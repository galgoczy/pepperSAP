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updateLinks="always"/>
  <mc:AlternateContent xmlns:mc="http://schemas.openxmlformats.org/markup-compatibility/2006">
    <mc:Choice Requires="x15">
      <x15ac:absPath xmlns:x15ac="http://schemas.microsoft.com/office/spreadsheetml/2010/11/ac" url="https://mediazen-my.sharepoint.com/personal/info_pepperhouse_hu/Documents/Egységek/"/>
    </mc:Choice>
  </mc:AlternateContent>
  <xr:revisionPtr revIDLastSave="0" documentId="8_{56E2B69D-BEAE-457D-8BFD-427562908039}" xr6:coauthVersionLast="47" xr6:coauthVersionMax="47" xr10:uidLastSave="{00000000-0000-0000-0000-000000000000}"/>
  <bookViews>
    <workbookView minimized="1" xWindow="1740" yWindow="1740" windowWidth="2388" windowHeight="564" firstSheet="6" activeTab="6" xr2:uid="{D3316F1A-FAA7-6A4A-8BDE-6A88972A744D}"/>
  </bookViews>
  <sheets>
    <sheet name="Államkincstár 005" sheetId="2" r:id="rId1"/>
    <sheet name="Knorr86 009" sheetId="4" r:id="rId2"/>
    <sheet name="Knorr69 006" sheetId="5" r:id="rId3"/>
    <sheet name="Knorr105 010" sheetId="3" r:id="rId4"/>
    <sheet name="RSR 008" sheetId="7" r:id="rId5"/>
    <sheet name="Szentkiralyi 003" sheetId="6" r:id="rId6"/>
    <sheet name="KTI 002" sheetId="9" r:id="rId7"/>
    <sheet name="Minták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8" i="6" l="1"/>
  <c r="E41" i="9"/>
  <c r="E86" i="6"/>
  <c r="E106" i="7"/>
  <c r="E89" i="7"/>
  <c r="E391" i="3"/>
  <c r="E287" i="3"/>
  <c r="E106" i="5"/>
  <c r="E91" i="5"/>
  <c r="E168" i="4"/>
  <c r="E128" i="4"/>
  <c r="E217" i="2"/>
  <c r="E180" i="2"/>
  <c r="E110" i="4"/>
  <c r="L7" i="9" a="1"/>
  <c r="L7" i="9"/>
  <c r="K7" i="9" a="1"/>
  <c r="K7" i="9"/>
  <c r="J7" i="9" a="1"/>
  <c r="J7" i="9"/>
  <c r="I7" i="9" a="1"/>
  <c r="I7" i="9"/>
  <c r="H7" i="9" a="1"/>
  <c r="H7" i="9"/>
  <c r="G7" i="9" a="1"/>
  <c r="G7" i="9"/>
  <c r="F7" i="9" a="1"/>
  <c r="F7" i="9"/>
  <c r="E7" i="9" a="1"/>
  <c r="E7" i="9"/>
  <c r="D7" i="9" a="1"/>
  <c r="D7" i="9"/>
  <c r="C7" i="9" a="1"/>
  <c r="C7" i="9"/>
  <c r="B7" i="9" a="1"/>
  <c r="B7" i="9"/>
  <c r="A7" i="9" a="1"/>
  <c r="A7" i="9"/>
  <c r="L7" i="6" a="1"/>
  <c r="L7" i="6"/>
  <c r="K7" i="6" a="1"/>
  <c r="K7" i="6"/>
  <c r="J7" i="6" a="1"/>
  <c r="J7" i="6"/>
  <c r="I7" i="6" a="1"/>
  <c r="I7" i="6"/>
  <c r="H7" i="6" a="1"/>
  <c r="H7" i="6"/>
  <c r="G7" i="6" a="1"/>
  <c r="G7" i="6"/>
  <c r="F7" i="6" a="1"/>
  <c r="F7" i="6"/>
  <c r="E7" i="6" a="1"/>
  <c r="E7" i="6"/>
  <c r="D7" i="6" a="1"/>
  <c r="D7" i="6"/>
  <c r="C7" i="6" a="1"/>
  <c r="C7" i="6"/>
  <c r="B7" i="6" a="1"/>
  <c r="B7" i="6"/>
  <c r="A7" i="6" a="1"/>
  <c r="A7" i="6"/>
  <c r="L7" i="3" a="1"/>
  <c r="L7" i="3"/>
  <c r="K7" i="3" a="1"/>
  <c r="K7" i="3"/>
  <c r="J7" i="3" a="1"/>
  <c r="J7" i="3"/>
  <c r="I7" i="3" a="1"/>
  <c r="I7" i="3"/>
  <c r="H7" i="3" a="1"/>
  <c r="H7" i="3"/>
  <c r="G7" i="3" a="1"/>
  <c r="G7" i="3"/>
  <c r="F7" i="3" a="1"/>
  <c r="F7" i="3"/>
  <c r="E7" i="3" a="1"/>
  <c r="E7" i="3"/>
  <c r="D7" i="3" a="1"/>
  <c r="D7" i="3"/>
  <c r="C7" i="3" a="1"/>
  <c r="C7" i="3"/>
  <c r="B7" i="3" a="1"/>
  <c r="B7" i="3"/>
  <c r="A7" i="3" a="1"/>
  <c r="A7" i="3"/>
  <c r="L7" i="5" a="1"/>
  <c r="L7" i="5"/>
  <c r="K7" i="5" a="1"/>
  <c r="K7" i="5"/>
  <c r="J7" i="5" a="1"/>
  <c r="J7" i="5"/>
  <c r="I7" i="5" a="1"/>
  <c r="I7" i="5"/>
  <c r="H7" i="5" a="1"/>
  <c r="H7" i="5"/>
  <c r="G7" i="5" a="1"/>
  <c r="G7" i="5"/>
  <c r="F7" i="5" a="1"/>
  <c r="F7" i="5"/>
  <c r="E7" i="5" a="1"/>
  <c r="E7" i="5"/>
  <c r="D7" i="5" a="1"/>
  <c r="D7" i="5"/>
  <c r="C7" i="5" a="1"/>
  <c r="C7" i="5"/>
  <c r="B7" i="5" a="1"/>
  <c r="B7" i="5"/>
  <c r="A7" i="5" a="1"/>
  <c r="A7" i="5"/>
  <c r="L7" i="2" a="1"/>
  <c r="L7" i="2"/>
  <c r="K7" i="2" a="1"/>
  <c r="K7" i="2"/>
  <c r="J7" i="2" a="1"/>
  <c r="J7" i="2"/>
  <c r="I7" i="2" a="1"/>
  <c r="I7" i="2"/>
  <c r="H7" i="2" a="1"/>
  <c r="H7" i="2"/>
  <c r="G7" i="2" a="1"/>
  <c r="G7" i="2"/>
  <c r="F7" i="2" a="1"/>
  <c r="F7" i="2"/>
  <c r="E7" i="2" a="1"/>
  <c r="E7" i="2"/>
  <c r="D7" i="2" a="1"/>
  <c r="D7" i="2"/>
  <c r="C7" i="2" a="1"/>
  <c r="C7" i="2"/>
  <c r="B7" i="2" a="1"/>
  <c r="B7" i="2"/>
  <c r="A7" i="2" a="1"/>
  <c r="A7" i="2"/>
  <c r="L7" i="4" a="1"/>
  <c r="L7" i="4"/>
  <c r="K7" i="4" a="1"/>
  <c r="K7" i="4"/>
  <c r="J7" i="4" a="1"/>
  <c r="J7" i="4"/>
  <c r="I7" i="4" a="1"/>
  <c r="I7" i="4"/>
  <c r="H7" i="4" a="1"/>
  <c r="H7" i="4"/>
  <c r="G7" i="4" a="1"/>
  <c r="G7" i="4"/>
  <c r="F7" i="4" a="1"/>
  <c r="F7" i="4"/>
  <c r="E7" i="4" a="1"/>
  <c r="E7" i="4"/>
  <c r="D7" i="4" a="1"/>
  <c r="D7" i="4"/>
  <c r="C7" i="4" a="1"/>
  <c r="C7" i="4"/>
  <c r="B7" i="4" a="1"/>
  <c r="B7" i="4"/>
  <c r="A7" i="4" a="1"/>
  <c r="A7" i="4"/>
  <c r="L7" i="7" a="1"/>
  <c r="L7" i="7"/>
  <c r="K7" i="7" a="1"/>
  <c r="K7" i="7"/>
  <c r="J7" i="7" a="1"/>
  <c r="J7" i="7"/>
  <c r="I7" i="7" a="1"/>
  <c r="I7" i="7"/>
  <c r="H7" i="7" a="1"/>
  <c r="H7" i="7"/>
  <c r="G7" i="7" a="1"/>
  <c r="G7" i="7"/>
  <c r="F7" i="7" a="1"/>
  <c r="F7" i="7"/>
  <c r="E7" i="7" a="1"/>
  <c r="E7" i="7"/>
  <c r="D7" i="7" a="1"/>
  <c r="D7" i="7"/>
  <c r="C7" i="7" a="1"/>
  <c r="C7" i="7"/>
  <c r="B7" i="7" a="1"/>
  <c r="B7" i="7"/>
  <c r="A7" i="7" a="1"/>
  <c r="A7" i="7"/>
  <c r="J4" i="9"/>
  <c r="E52" i="6"/>
  <c r="E57" i="7"/>
  <c r="E72" i="7"/>
  <c r="E69" i="6"/>
  <c r="E257" i="3"/>
  <c r="E157" i="3"/>
  <c r="E75" i="5"/>
  <c r="E60" i="5"/>
  <c r="E141" i="2"/>
  <c r="E114" i="2"/>
  <c r="E76" i="4"/>
  <c r="E32" i="7"/>
  <c r="L4" i="9"/>
  <c r="K4" i="9"/>
  <c r="I4" i="9"/>
  <c r="H4" i="9"/>
  <c r="G4" i="9"/>
  <c r="F4" i="9"/>
  <c r="E4" i="9"/>
  <c r="D4" i="9"/>
  <c r="C4" i="9"/>
  <c r="B4" i="9"/>
  <c r="A4" i="9"/>
  <c r="L4" i="7"/>
  <c r="K4" i="7"/>
  <c r="J4" i="7"/>
  <c r="I4" i="7"/>
  <c r="H4" i="7"/>
  <c r="G4" i="7"/>
  <c r="F4" i="7"/>
  <c r="E4" i="7"/>
  <c r="D4" i="7"/>
  <c r="C4" i="7"/>
  <c r="B4" i="7"/>
  <c r="A4" i="7"/>
  <c r="L4" i="6"/>
  <c r="K4" i="6"/>
  <c r="J4" i="6"/>
  <c r="I4" i="6"/>
  <c r="H4" i="6"/>
  <c r="G4" i="6"/>
  <c r="F4" i="6"/>
  <c r="E4" i="6"/>
  <c r="D4" i="6"/>
  <c r="C4" i="6"/>
  <c r="B4" i="6"/>
  <c r="A4" i="6"/>
  <c r="L4" i="3"/>
  <c r="K4" i="3"/>
  <c r="J4" i="3"/>
  <c r="I4" i="3"/>
  <c r="H4" i="3"/>
  <c r="G4" i="3"/>
  <c r="F4" i="3"/>
  <c r="E4" i="3"/>
  <c r="D4" i="3"/>
  <c r="C4" i="3"/>
  <c r="B4" i="3"/>
  <c r="A4" i="3"/>
  <c r="L4" i="5"/>
  <c r="K4" i="5"/>
  <c r="J4" i="5"/>
  <c r="I4" i="5"/>
  <c r="H4" i="5"/>
  <c r="G4" i="5"/>
  <c r="F4" i="5"/>
  <c r="E4" i="5"/>
  <c r="D4" i="5"/>
  <c r="C4" i="5"/>
  <c r="B4" i="5"/>
  <c r="A4" i="5"/>
  <c r="L4" i="4"/>
  <c r="K4" i="4"/>
  <c r="J4" i="4"/>
  <c r="I4" i="4"/>
  <c r="H4" i="4"/>
  <c r="G4" i="4"/>
  <c r="F4" i="4"/>
  <c r="E4" i="4"/>
  <c r="D4" i="4"/>
  <c r="C4" i="4"/>
  <c r="B4" i="4"/>
  <c r="A4" i="4"/>
  <c r="D4" i="2"/>
  <c r="E4" i="2"/>
  <c r="F4" i="2"/>
  <c r="G4" i="2"/>
  <c r="H4" i="2"/>
  <c r="I4" i="2"/>
  <c r="J4" i="2"/>
  <c r="K4" i="2"/>
  <c r="L4" i="2"/>
  <c r="C4" i="2"/>
  <c r="B4" i="2"/>
  <c r="A4" i="2"/>
  <c r="E32" i="9"/>
  <c r="E25" i="9"/>
  <c r="E38" i="6"/>
  <c r="E21" i="9"/>
  <c r="E18" i="7"/>
  <c r="E22" i="6"/>
  <c r="E55" i="4"/>
  <c r="E27" i="4"/>
  <c r="E19" i="3"/>
  <c r="E131" i="3"/>
  <c r="E41" i="5"/>
  <c r="E27" i="5"/>
  <c r="E82" i="2"/>
  <c r="E44" i="2"/>
  <c r="A5" i="5"/>
  <c r="D5" i="9"/>
  <c r="D5" i="7"/>
  <c r="D5" i="2"/>
  <c r="D5" i="4"/>
  <c r="D5" i="5"/>
  <c r="D5" i="3"/>
  <c r="D5" i="6"/>
  <c r="C5" i="9"/>
  <c r="C5" i="7"/>
  <c r="C5" i="2"/>
  <c r="C5" i="4"/>
  <c r="C5" i="5"/>
  <c r="C5" i="3"/>
  <c r="C5" i="6"/>
  <c r="B5" i="9"/>
  <c r="B5" i="7"/>
  <c r="B5" i="4"/>
  <c r="B5" i="2"/>
  <c r="B5" i="3"/>
  <c r="B5" i="6"/>
  <c r="B5" i="5"/>
  <c r="A5" i="9"/>
  <c r="A5" i="7"/>
  <c r="A5" i="4"/>
  <c r="A5" i="2"/>
  <c r="A5" i="3"/>
  <c r="A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<sst xmlns="http://schemas.openxmlformats.org/spreadsheetml/2006/main" count="2451" uniqueCount="926">
  <si>
    <t>Szállító</t>
  </si>
  <si>
    <t>Számlaszám</t>
  </si>
  <si>
    <t>Szállítólevél száma</t>
  </si>
  <si>
    <t>Teljesités Dátum</t>
  </si>
  <si>
    <t>Összeg</t>
  </si>
  <si>
    <t>Fiz.módja/határidő</t>
  </si>
  <si>
    <t>Megjegyzés</t>
  </si>
  <si>
    <t>kp összesítés</t>
  </si>
  <si>
    <t>január</t>
  </si>
  <si>
    <t>február</t>
  </si>
  <si>
    <t>március</t>
  </si>
  <si>
    <t>április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</si>
  <si>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</si>
  <si>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</si>
  <si>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</si>
  <si>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</si>
  <si>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</si>
  <si>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</si>
  <si>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</si>
  <si>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</si>
  <si>
    <t>Ebből kp</t>
  </si>
  <si>
    <t>2026. január</t>
  </si>
  <si>
    <t>Készpénzes</t>
  </si>
  <si>
    <t>Helit</t>
  </si>
  <si>
    <t>bk</t>
  </si>
  <si>
    <t>Aldi</t>
  </si>
  <si>
    <t>A05201379081700003</t>
  </si>
  <si>
    <t>Mol</t>
  </si>
  <si>
    <t>A0600148283500015</t>
  </si>
  <si>
    <t>kp</t>
  </si>
  <si>
    <t>Media Markt</t>
  </si>
  <si>
    <t>A22500276/0517/00020</t>
  </si>
  <si>
    <t>A05201379/0819/00007</t>
  </si>
  <si>
    <t>Metro</t>
  </si>
  <si>
    <t>2025-0/0(11)0011/000310</t>
  </si>
  <si>
    <t>A05201412/0498/00003</t>
  </si>
  <si>
    <t>Lidl</t>
  </si>
  <si>
    <t>A31900270/0254/00001</t>
  </si>
  <si>
    <t>Shu Li Ji</t>
  </si>
  <si>
    <t>2026-000020</t>
  </si>
  <si>
    <t>Sot tech</t>
  </si>
  <si>
    <t>A31900281/0260/00001</t>
  </si>
  <si>
    <t>A31900281/0260/00014</t>
  </si>
  <si>
    <t>Utalásos</t>
  </si>
  <si>
    <t>Cola</t>
  </si>
  <si>
    <t>Pepsi</t>
  </si>
  <si>
    <t>Fruit</t>
  </si>
  <si>
    <t>FRY6-SZ-1278218</t>
  </si>
  <si>
    <t>Pribo</t>
  </si>
  <si>
    <t>707/2026</t>
  </si>
  <si>
    <t>Gastroil</t>
  </si>
  <si>
    <t>W/2026/1400005</t>
  </si>
  <si>
    <t>FRY6-SZ-1278271</t>
  </si>
  <si>
    <t>Sixi</t>
  </si>
  <si>
    <t>SU12026-000002</t>
  </si>
  <si>
    <t>FRY6-SZ-1278284</t>
  </si>
  <si>
    <t>Assist</t>
  </si>
  <si>
    <t>B00070/2026</t>
  </si>
  <si>
    <t>FRY6-SZ-1278308</t>
  </si>
  <si>
    <t>FRY6-SZ-1278320</t>
  </si>
  <si>
    <t>FRY6-SZ-1278418</t>
  </si>
  <si>
    <t>FRY6-SZ-1278408</t>
  </si>
  <si>
    <t>FRY6-SZ-1278441</t>
  </si>
  <si>
    <t>W/2026/1800118</t>
  </si>
  <si>
    <t>ECR Contact</t>
  </si>
  <si>
    <t>ECRSZ-2026-30</t>
  </si>
  <si>
    <t>FRY6-SZ-1278467</t>
  </si>
  <si>
    <t>FRY6-SZ-1278491</t>
  </si>
  <si>
    <t>FRY6-SZ-1278545</t>
  </si>
  <si>
    <t>7153/2026</t>
  </si>
  <si>
    <t>FRY6-SZ-1278574</t>
  </si>
  <si>
    <t>B00410/2026</t>
  </si>
  <si>
    <t>Dallmayr</t>
  </si>
  <si>
    <t>ESZLA-2600542</t>
  </si>
  <si>
    <t>Sümeghi</t>
  </si>
  <si>
    <t>E-SMGH-2026-6</t>
  </si>
  <si>
    <t>FRY6-SZ-1278598</t>
  </si>
  <si>
    <t>FRY6-SZ-1278620</t>
  </si>
  <si>
    <t>FRY6-SZ-1278644</t>
  </si>
  <si>
    <t>FRY6-SZ-1278692</t>
  </si>
  <si>
    <t>W/2026/1800261</t>
  </si>
  <si>
    <t>FRY6-SZ-1278725</t>
  </si>
  <si>
    <t>12464/2026</t>
  </si>
  <si>
    <t>FRY6-SZ-1278798</t>
  </si>
  <si>
    <t>2026. február</t>
  </si>
  <si>
    <t>2026-00110010003284</t>
  </si>
  <si>
    <t>A31900271026700003</t>
  </si>
  <si>
    <t>A31900261/0274/00003</t>
  </si>
  <si>
    <t>Tesco</t>
  </si>
  <si>
    <t>A05704174/1466/00004</t>
  </si>
  <si>
    <t>Pergamen</t>
  </si>
  <si>
    <t>P26/000218</t>
  </si>
  <si>
    <t>P26/000234</t>
  </si>
  <si>
    <t>A31900282/0277/00007</t>
  </si>
  <si>
    <t>A31900282/0282/00009</t>
  </si>
  <si>
    <t>Munkaruha</t>
  </si>
  <si>
    <t>MNKRH-2026-485</t>
  </si>
  <si>
    <t>Jóváíró</t>
  </si>
  <si>
    <t>FRY6-SZ-1278871</t>
  </si>
  <si>
    <t>FRY6-SZ-1278939</t>
  </si>
  <si>
    <t>W/2026/1400310</t>
  </si>
  <si>
    <t>B00840/2026</t>
  </si>
  <si>
    <t>FRY6-SZ-1278966</t>
  </si>
  <si>
    <t>FRY6-SZ-1279023</t>
  </si>
  <si>
    <t>FRY6-SZ-1279056</t>
  </si>
  <si>
    <t>FRY6-SZ-1279076</t>
  </si>
  <si>
    <t>FRY6-SZ-1279093</t>
  </si>
  <si>
    <t>FRY6-SZ-1279117</t>
  </si>
  <si>
    <t>FRY6-SZ-1279197</t>
  </si>
  <si>
    <t>20867/2026</t>
  </si>
  <si>
    <t>FRY6-SZ-1279215</t>
  </si>
  <si>
    <t>W/2026/1800561</t>
  </si>
  <si>
    <t>B01221/2026</t>
  </si>
  <si>
    <t>ESZLA-2601840</t>
  </si>
  <si>
    <t>FRY6-SZ-1279286</t>
  </si>
  <si>
    <t>FRY6-SZ-1279366</t>
  </si>
  <si>
    <t>FRY6-SZ-1279383</t>
  </si>
  <si>
    <t>FRY6-SZ-1279415</t>
  </si>
  <si>
    <t>FRY6-SZ-1279465</t>
  </si>
  <si>
    <t>2026. március</t>
  </si>
  <si>
    <t>A31900282/0289/00001</t>
  </si>
  <si>
    <t>MGC</t>
  </si>
  <si>
    <t>A31900282/0296/00004</t>
  </si>
  <si>
    <t>A31900281/0301/00001</t>
  </si>
  <si>
    <t>Soft tech</t>
  </si>
  <si>
    <t>Hunnia Kristály</t>
  </si>
  <si>
    <t>DHUN-2026-003704</t>
  </si>
  <si>
    <t>A31900281/0308/00004</t>
  </si>
  <si>
    <t>GGM gastro</t>
  </si>
  <si>
    <t>Gasztronagyker</t>
  </si>
  <si>
    <t>GNK-2026-5436</t>
  </si>
  <si>
    <t>A31900282/0309/00013</t>
  </si>
  <si>
    <t>Pepco</t>
  </si>
  <si>
    <t>A17300687/1229/00003</t>
  </si>
  <si>
    <t>A31900282/0313/00011</t>
  </si>
  <si>
    <t>A31900281/0321/00002</t>
  </si>
  <si>
    <t>FRY6-SZ-1279525</t>
  </si>
  <si>
    <t>FRY6-SZ-1279558</t>
  </si>
  <si>
    <t>FRY6-SZ-1279585</t>
  </si>
  <si>
    <t>27997/2026</t>
  </si>
  <si>
    <t>B01585/2026</t>
  </si>
  <si>
    <t>FRY6-SZ-1279607</t>
  </si>
  <si>
    <t>FRY6-SZ-1279637</t>
  </si>
  <si>
    <t>FRY6-SZ-1279706</t>
  </si>
  <si>
    <t>Benei</t>
  </si>
  <si>
    <t>464/VBG/2026</t>
  </si>
  <si>
    <t xml:space="preserve">                                     </t>
  </si>
  <si>
    <t>Biofilter</t>
  </si>
  <si>
    <t>2026-PXL4/010796</t>
  </si>
  <si>
    <t>FRY6-SZ-1279722</t>
  </si>
  <si>
    <t>FRY6-SZ-1279769</t>
  </si>
  <si>
    <t>FRY6-SZ-1279776</t>
  </si>
  <si>
    <t>W/2026/1800799</t>
  </si>
  <si>
    <t>FRY6-SZ1279929</t>
  </si>
  <si>
    <t>33935/2026</t>
  </si>
  <si>
    <t>SU12026-000179</t>
  </si>
  <si>
    <t>ESZLA-2603076</t>
  </si>
  <si>
    <t>FRY6-SZ-1279946</t>
  </si>
  <si>
    <t>FRY6-SZ-1279973</t>
  </si>
  <si>
    <t>FRY6-SZ-1280006</t>
  </si>
  <si>
    <t>FRY6-SZ-1280061</t>
  </si>
  <si>
    <t>W/2026/1700800</t>
  </si>
  <si>
    <t>FRY6-SZ-1280094</t>
  </si>
  <si>
    <t>B02146/2026</t>
  </si>
  <si>
    <t>FRY6-SZ-1280115</t>
  </si>
  <si>
    <t>FRY6-SZ-1280166</t>
  </si>
  <si>
    <t>FRY6-SZ-1280245</t>
  </si>
  <si>
    <t>FRY6-SZ1280277</t>
  </si>
  <si>
    <t>Ordit</t>
  </si>
  <si>
    <t>E-2026-1567</t>
  </si>
  <si>
    <t>2026. április</t>
  </si>
  <si>
    <t>Chefs Uniform</t>
  </si>
  <si>
    <t>OVVAS-2026-1328</t>
  </si>
  <si>
    <t>FRY6-SZ-1280366</t>
  </si>
  <si>
    <t>FRY6-SZ-1280379</t>
  </si>
  <si>
    <t>W/2026/1400782</t>
  </si>
  <si>
    <t>Helit Kft.</t>
  </si>
  <si>
    <t>bk.</t>
  </si>
  <si>
    <t>Jóváíró!</t>
  </si>
  <si>
    <t>+ 5066Ft személyzeti</t>
  </si>
  <si>
    <t>Tesco-Global Zrt.</t>
  </si>
  <si>
    <t>A11701367/1418/00002</t>
  </si>
  <si>
    <t>kp.</t>
  </si>
  <si>
    <t>kenyér</t>
  </si>
  <si>
    <t>A11701363/1441/00001</t>
  </si>
  <si>
    <t>kenyér, filteres tea</t>
  </si>
  <si>
    <t>A11701366/1441/00001</t>
  </si>
  <si>
    <t>kenyér, elem</t>
  </si>
  <si>
    <t>Cs.Tilia Patika Bt.</t>
  </si>
  <si>
    <t>A23405328/2455/00005</t>
  </si>
  <si>
    <t>sebtapaszok</t>
  </si>
  <si>
    <t>PriboFood Kft.</t>
  </si>
  <si>
    <t>622/2026</t>
  </si>
  <si>
    <t>átutalás</t>
  </si>
  <si>
    <t>3698/2026</t>
  </si>
  <si>
    <t>7308/2026</t>
  </si>
  <si>
    <t>7314/2026</t>
  </si>
  <si>
    <t>10490/2026</t>
  </si>
  <si>
    <t>K-Frucht Mo. Kft.</t>
  </si>
  <si>
    <t>SZ2-2026-00146</t>
  </si>
  <si>
    <t>SZL-2026-00054, SZL-2026-00130, SZL-2026-00158</t>
  </si>
  <si>
    <t>SZ2-2026-00270</t>
  </si>
  <si>
    <t>SZL-2026-00231, SZL-2026-00334</t>
  </si>
  <si>
    <t>SZ2-2026-00423</t>
  </si>
  <si>
    <t>SZL-2026-00439, SZL-2026-00503</t>
  </si>
  <si>
    <t>SZ2-2026-00516</t>
  </si>
  <si>
    <t>SZL-2026-00652, SZL-2026-00718</t>
  </si>
  <si>
    <t>Delforg Kft.</t>
  </si>
  <si>
    <t>Silver Tojás Kft.</t>
  </si>
  <si>
    <t>216/2026</t>
  </si>
  <si>
    <t>SZ473/2026</t>
  </si>
  <si>
    <t>559/2026</t>
  </si>
  <si>
    <t>SZ806/2026</t>
  </si>
  <si>
    <t>844/2026</t>
  </si>
  <si>
    <t>SZ1109/2026</t>
  </si>
  <si>
    <t>Coca-cola HBC Mo. Kft.</t>
  </si>
  <si>
    <t>Magyarüdítő Forg. Kft.</t>
  </si>
  <si>
    <t>0962443726</t>
  </si>
  <si>
    <t>Assist-Trend Bp. Kft.</t>
  </si>
  <si>
    <t>B00197/2026</t>
  </si>
  <si>
    <t>Alois Dallmayr Bt.</t>
  </si>
  <si>
    <t>ESZLA-2516765</t>
  </si>
  <si>
    <t>ESZLA-2600541</t>
  </si>
  <si>
    <t>Gastroil Mo. Zrt</t>
  </si>
  <si>
    <t>W/2026/1400099</t>
  </si>
  <si>
    <t>Biofilter Környv. Zrt</t>
  </si>
  <si>
    <t>2026-PXL4/003091</t>
  </si>
  <si>
    <t>Sixi 2000 Kft.</t>
  </si>
  <si>
    <t>SU12026-000038</t>
  </si>
  <si>
    <t>Javító számla (hasábburgonya)</t>
  </si>
  <si>
    <t>Metro Ker. Kft.</t>
  </si>
  <si>
    <t>2026-0/0(11)0010/003284</t>
  </si>
  <si>
    <t>Teflon serpenyő</t>
  </si>
  <si>
    <t>A05704174/1466/00003</t>
  </si>
  <si>
    <t>Valentin fánk</t>
  </si>
  <si>
    <t>A05704174/1479/00002</t>
  </si>
  <si>
    <t>zöldség hámozó</t>
  </si>
  <si>
    <t>Kotányi Hungária Kft.</t>
  </si>
  <si>
    <t>S/34/26/000006</t>
  </si>
  <si>
    <t>Kotányi malmok</t>
  </si>
  <si>
    <t>SZ2-2026-00671</t>
  </si>
  <si>
    <t>SZL-2026-00817, SZL-2026-00871</t>
  </si>
  <si>
    <t>SZ2-2026-00802</t>
  </si>
  <si>
    <t>SZL-2026-00991, SZL-2026-01070</t>
  </si>
  <si>
    <t>SZ2-2026-00933</t>
  </si>
  <si>
    <t>SZL-2026-01152, SZL-2026-01225</t>
  </si>
  <si>
    <t>SZ2-2026-01040</t>
  </si>
  <si>
    <t>SZL-2026-01327, SZL-2026-01407</t>
  </si>
  <si>
    <t>SZ2-202601041</t>
  </si>
  <si>
    <t>SZL-2026-01329</t>
  </si>
  <si>
    <t>13614/2026</t>
  </si>
  <si>
    <t>13718/2026</t>
  </si>
  <si>
    <t>16818/2026</t>
  </si>
  <si>
    <t>17049/2026</t>
  </si>
  <si>
    <t>20242/2026</t>
  </si>
  <si>
    <t>21157/2026</t>
  </si>
  <si>
    <t>23588/2026</t>
  </si>
  <si>
    <t>23654/2026</t>
  </si>
  <si>
    <t>1432/2026</t>
  </si>
  <si>
    <t>SZ1705/2026</t>
  </si>
  <si>
    <t>1948/2026</t>
  </si>
  <si>
    <t>SZ2188/2026</t>
  </si>
  <si>
    <t>1979/2026</t>
  </si>
  <si>
    <t>SZ2232/2026</t>
  </si>
  <si>
    <t>2414/2026</t>
  </si>
  <si>
    <t>SZ2665/2026</t>
  </si>
  <si>
    <t>M.L. Energy Kft.</t>
  </si>
  <si>
    <t>B00771/2026</t>
  </si>
  <si>
    <t>B00822/2026</t>
  </si>
  <si>
    <t>+ 1.916Ft személzeti</t>
  </si>
  <si>
    <t>B01052/2026</t>
  </si>
  <si>
    <t>Gastroil Mo. Zrt.</t>
  </si>
  <si>
    <t>W/2026/1400357</t>
  </si>
  <si>
    <t>2026-PXL4/007027</t>
  </si>
  <si>
    <t>BiotechUsa Kft.</t>
  </si>
  <si>
    <t>BBE2026041862</t>
  </si>
  <si>
    <t>+57.141 Ft személyzeti vásárlás</t>
  </si>
  <si>
    <t>SESZLA-2601974</t>
  </si>
  <si>
    <t>helyesbítő!</t>
  </si>
  <si>
    <t>A05704169/1494/00001</t>
  </si>
  <si>
    <t>A05704174/1505/00005</t>
  </si>
  <si>
    <t>kenyér,tea,lakat</t>
  </si>
  <si>
    <t>SZ/A05704174/1479/00002</t>
  </si>
  <si>
    <t>Munkaruha Palotás Kft.</t>
  </si>
  <si>
    <t>MNKRH-2026-707</t>
  </si>
  <si>
    <t>munkacipő / Ági</t>
  </si>
  <si>
    <t>26841/2026</t>
  </si>
  <si>
    <t>26931/2026</t>
  </si>
  <si>
    <t>30115/2026</t>
  </si>
  <si>
    <t>30307/2026</t>
  </si>
  <si>
    <t>33583/2026</t>
  </si>
  <si>
    <t>33707/2026</t>
  </si>
  <si>
    <t>37135/2026</t>
  </si>
  <si>
    <t>37183/2026</t>
  </si>
  <si>
    <t>40373/2026</t>
  </si>
  <si>
    <t>40469/2026</t>
  </si>
  <si>
    <t>K-Frucht Mo. Kft</t>
  </si>
  <si>
    <t>SZ2-2026-01192</t>
  </si>
  <si>
    <t>SZL-2026-01501, SZL-2026-01566</t>
  </si>
  <si>
    <t>SZ2-2026-01337</t>
  </si>
  <si>
    <t>SZL-2026-01680, SZL-2026-01759</t>
  </si>
  <si>
    <t>SZ2-2026-01469</t>
  </si>
  <si>
    <t>SZL-2026-01849, SZL-2026-01928</t>
  </si>
  <si>
    <t>SZ2-2026-01602</t>
  </si>
  <si>
    <t>SZL-2026-02023, SZL-2026-02087</t>
  </si>
  <si>
    <t>SZ2-2026-01683</t>
  </si>
  <si>
    <t>SZL-2026-02180</t>
  </si>
  <si>
    <t>SilverTojás Kft.</t>
  </si>
  <si>
    <t>2800/2026</t>
  </si>
  <si>
    <t>SZ3104/2026</t>
  </si>
  <si>
    <t>3421/2026</t>
  </si>
  <si>
    <t>SZ3681/2026</t>
  </si>
  <si>
    <t>3984/2026</t>
  </si>
  <si>
    <t>SZ4282/2026</t>
  </si>
  <si>
    <t>Assist-Trend Budapest Kft.</t>
  </si>
  <si>
    <t>B01532/2026</t>
  </si>
  <si>
    <t>B02093/2026</t>
  </si>
  <si>
    <t>B02192/2026</t>
  </si>
  <si>
    <t>Módosító számla!</t>
  </si>
  <si>
    <t>Biofilter Környezetvédelmi Kft.</t>
  </si>
  <si>
    <t>2026-PXL4/010702</t>
  </si>
  <si>
    <t>W/2026/1400665</t>
  </si>
  <si>
    <t>SZU12026-000168</t>
  </si>
  <si>
    <t>ESZLA-2603589</t>
  </si>
  <si>
    <t>M.L. Energy Kft. /Hell</t>
  </si>
  <si>
    <t xml:space="preserve">  </t>
  </si>
  <si>
    <t xml:space="preserve"> személyzeti vásárlás + 58.328,-</t>
  </si>
  <si>
    <t>+ 3172 Ft személyzet</t>
  </si>
  <si>
    <t>+ 10.908Ft személyzeti</t>
  </si>
  <si>
    <t>+ 10.121Ft személyzeti</t>
  </si>
  <si>
    <t>+ 51.818Ft személyzeti</t>
  </si>
  <si>
    <t>Pénztárgép éves szervíz</t>
  </si>
  <si>
    <t>+24.045Ft személyzeti</t>
  </si>
  <si>
    <t>A29300278/0082/00001</t>
  </si>
  <si>
    <t>A29300278/0086/00001</t>
  </si>
  <si>
    <t>Spar</t>
  </si>
  <si>
    <t>A03103341/1628/00001</t>
  </si>
  <si>
    <t>A29300273/0088/00001</t>
  </si>
  <si>
    <t>A29300273/0089/00001</t>
  </si>
  <si>
    <t>A29300278/0098/00002</t>
  </si>
  <si>
    <t>A05703633/1511/00004</t>
  </si>
  <si>
    <t>A29300278/0105/00001</t>
  </si>
  <si>
    <t>Pribofood</t>
  </si>
  <si>
    <t>569/2026</t>
  </si>
  <si>
    <t>2026 01 13</t>
  </si>
  <si>
    <t>K-Frucht</t>
  </si>
  <si>
    <t>SZ2-2026-00145</t>
  </si>
  <si>
    <t>W/2026/1700100</t>
  </si>
  <si>
    <t>Sixi 2000kft.</t>
  </si>
  <si>
    <t>SU12026-000028</t>
  </si>
  <si>
    <t>2026_PXL4/003159</t>
  </si>
  <si>
    <t>ESZLA-2600478</t>
  </si>
  <si>
    <t>7054/2026</t>
  </si>
  <si>
    <t>Sz2-2026-00271</t>
  </si>
  <si>
    <t>Assist Trend</t>
  </si>
  <si>
    <t>B00546/2026</t>
  </si>
  <si>
    <t>10259/2026</t>
  </si>
  <si>
    <t>SZ2-2026-00424</t>
  </si>
  <si>
    <t>A29300278/0110/0001</t>
  </si>
  <si>
    <t>A29300275/0110/0002</t>
  </si>
  <si>
    <t>Lesti Akku</t>
  </si>
  <si>
    <t>DIO000117/2026</t>
  </si>
  <si>
    <t>Gábor fizette</t>
  </si>
  <si>
    <t>A29300279/0119/00001</t>
  </si>
  <si>
    <t>A29300274/0125/00001</t>
  </si>
  <si>
    <t>A03103341/1663/00002</t>
  </si>
  <si>
    <t>Mister Minit</t>
  </si>
  <si>
    <t>TS163-2026-41</t>
  </si>
  <si>
    <t>jóváíró számla</t>
  </si>
  <si>
    <t>A29300276/0132/00001</t>
  </si>
  <si>
    <t>Kfrucht</t>
  </si>
  <si>
    <t>SZ2-2026-00518</t>
  </si>
  <si>
    <t>ESZLA-2600911</t>
  </si>
  <si>
    <t>Sz2-2026-00673</t>
  </si>
  <si>
    <t>16951/2026</t>
  </si>
  <si>
    <t>2026-PXL4/007042</t>
  </si>
  <si>
    <t>SZ2-20206--008000</t>
  </si>
  <si>
    <t>W/2026/1700408</t>
  </si>
  <si>
    <t>B01142/2026</t>
  </si>
  <si>
    <t>20324/2026</t>
  </si>
  <si>
    <t>ESZLA-2601836</t>
  </si>
  <si>
    <t>SZ2-2026-00934</t>
  </si>
  <si>
    <t>A29300274/01239/00001</t>
  </si>
  <si>
    <t>A29300275/0141/00001</t>
  </si>
  <si>
    <t>A29300236/0569/00001</t>
  </si>
  <si>
    <t>A29300235/0571/00001</t>
  </si>
  <si>
    <t>A29300274/0159/00001</t>
  </si>
  <si>
    <t>A29300275/0157/00002</t>
  </si>
  <si>
    <t>A29300278/0167/00001</t>
  </si>
  <si>
    <t>26900/2026</t>
  </si>
  <si>
    <t>Eszla-2602492</t>
  </si>
  <si>
    <t>B02158/2026</t>
  </si>
  <si>
    <t>SZ2-2026-01471</t>
  </si>
  <si>
    <t>SZ2-2026-01339</t>
  </si>
  <si>
    <t>33455/2026</t>
  </si>
  <si>
    <t>ESZLA-2603145</t>
  </si>
  <si>
    <t>W/2026/1800941</t>
  </si>
  <si>
    <t>40487/2026</t>
  </si>
  <si>
    <t>SZ2-2026-01604</t>
  </si>
  <si>
    <t>ESZLA-2603593</t>
  </si>
  <si>
    <t>Spar magyarország Kft</t>
  </si>
  <si>
    <t>A03103978/1619/00001</t>
  </si>
  <si>
    <t>Kik TExtil-és Non-food Kft.</t>
  </si>
  <si>
    <t>A25900052/1919/00002</t>
  </si>
  <si>
    <t>Pepco Hungary Kft</t>
  </si>
  <si>
    <t>A17300887/0239/00001</t>
  </si>
  <si>
    <t xml:space="preserve">Praktiker </t>
  </si>
  <si>
    <t>A27400072/0471/00017</t>
  </si>
  <si>
    <t>Glasimpex</t>
  </si>
  <si>
    <t>SZA00328/2026</t>
  </si>
  <si>
    <t>A03104176/1603</t>
  </si>
  <si>
    <t>DM Kft</t>
  </si>
  <si>
    <t>A10300767/1365</t>
  </si>
  <si>
    <t>Alois Dallmayr</t>
  </si>
  <si>
    <t>ESZLA-2600365</t>
  </si>
  <si>
    <t>0.20</t>
  </si>
  <si>
    <t>ESZLA-2600785</t>
  </si>
  <si>
    <t>Coca Cola HBC Magyarország</t>
  </si>
  <si>
    <t xml:space="preserve">Biofilter </t>
  </si>
  <si>
    <t>2026-PXL4/003090</t>
  </si>
  <si>
    <t>Gastroil Magyarország Zrt.</t>
  </si>
  <si>
    <t>W/2026/1400021</t>
  </si>
  <si>
    <t>W/2026/1400098</t>
  </si>
  <si>
    <t>W/2026/1400147</t>
  </si>
  <si>
    <t>W/2026/1400203</t>
  </si>
  <si>
    <t>Helit Kft</t>
  </si>
  <si>
    <t>jóváíró</t>
  </si>
  <si>
    <t>K-Frucht Magyarország Kft.</t>
  </si>
  <si>
    <t>SZL-2026-00057</t>
  </si>
  <si>
    <t>SZL-2026-00088</t>
  </si>
  <si>
    <t>SZL-2026-00136</t>
  </si>
  <si>
    <t>SZL-2026-00160</t>
  </si>
  <si>
    <t>SZL-2026-00199</t>
  </si>
  <si>
    <t>SZL-2026-00223</t>
  </si>
  <si>
    <t>SZ2-2026-00148</t>
  </si>
  <si>
    <t xml:space="preserve">              SZL-2026-00057,00088,00160,00136,00199,00223</t>
  </si>
  <si>
    <t>SZL-2026-00267</t>
  </si>
  <si>
    <t>SZL-2026-00300</t>
  </si>
  <si>
    <t>SZL-2026-00332</t>
  </si>
  <si>
    <t>SZL-2026-00353</t>
  </si>
  <si>
    <t>SZL-2026-00377</t>
  </si>
  <si>
    <t>SZ2-2026-00272</t>
  </si>
  <si>
    <t>SZL-00267,00300,00332,00353,00377,</t>
  </si>
  <si>
    <t>SZL-2026-00436</t>
  </si>
  <si>
    <t>SZL-2026-00487</t>
  </si>
  <si>
    <t>SZL-2026-00504</t>
  </si>
  <si>
    <t>SZL-2026-00565</t>
  </si>
  <si>
    <t>SZL-2026-00586</t>
  </si>
  <si>
    <t>SZL-2026-00634</t>
  </si>
  <si>
    <t>SZ2-2026-00421</t>
  </si>
  <si>
    <t>SZL-00436,00487,00504,00565,00586</t>
  </si>
  <si>
    <t>SZL-2026-00683</t>
  </si>
  <si>
    <t>SZL-2026-00706</t>
  </si>
  <si>
    <t>SZL-2026-00749</t>
  </si>
  <si>
    <t>SZL-2026-00787</t>
  </si>
  <si>
    <t>SZ2-2026-00519</t>
  </si>
  <si>
    <t>SZL-00634,00683,00706,00749,00787</t>
  </si>
  <si>
    <t>Kelet Higiéniai Kft</t>
  </si>
  <si>
    <t>K00010/26</t>
  </si>
  <si>
    <t>K00286/26</t>
  </si>
  <si>
    <t>K00279/26</t>
  </si>
  <si>
    <t>K00646/26</t>
  </si>
  <si>
    <t>K00919/26</t>
  </si>
  <si>
    <t>Magyarüdítő Forgalmazó Kft.</t>
  </si>
  <si>
    <t>PriboFood Kft</t>
  </si>
  <si>
    <t>546/2026</t>
  </si>
  <si>
    <t>506/2026</t>
  </si>
  <si>
    <t>3792/2026</t>
  </si>
  <si>
    <t>3936/2026</t>
  </si>
  <si>
    <t>7263/2026</t>
  </si>
  <si>
    <t>7259/2026</t>
  </si>
  <si>
    <t>10451/2026</t>
  </si>
  <si>
    <t>P&amp;P</t>
  </si>
  <si>
    <t>FA470</t>
  </si>
  <si>
    <t>294/B/2026</t>
  </si>
  <si>
    <t>01.05-01.11</t>
  </si>
  <si>
    <t>1084,1587,2118,2621,3101,3811,FA470</t>
  </si>
  <si>
    <t>FA957</t>
  </si>
  <si>
    <t>817/B/2026</t>
  </si>
  <si>
    <t>3808,4500,4955,5406,5892,FA957</t>
  </si>
  <si>
    <t>FA1479</t>
  </si>
  <si>
    <t>1346/B/2026</t>
  </si>
  <si>
    <t>6708,7338,7788,8213,8736,FA1749</t>
  </si>
  <si>
    <t>FA1957</t>
  </si>
  <si>
    <t>1899/B/2026</t>
  </si>
  <si>
    <t>9451,10091,10566,11015,11514,FA1957</t>
  </si>
  <si>
    <t>153/2026</t>
  </si>
  <si>
    <t>SZ406/2026</t>
  </si>
  <si>
    <t>395/2026</t>
  </si>
  <si>
    <t>SZ575/2026</t>
  </si>
  <si>
    <t>533/2026</t>
  </si>
  <si>
    <t>SZ762/2026</t>
  </si>
  <si>
    <t>671/2026</t>
  </si>
  <si>
    <t>SZ911/2026</t>
  </si>
  <si>
    <t>845/2026</t>
  </si>
  <si>
    <t>SZ1111/2026</t>
  </si>
  <si>
    <t>1156/2026</t>
  </si>
  <si>
    <t>SZ1471/2026</t>
  </si>
  <si>
    <t>Sixi 2000 Kft</t>
  </si>
  <si>
    <t>SU12026-000011</t>
  </si>
  <si>
    <t>S.P.I.N</t>
  </si>
  <si>
    <t>A26/239</t>
  </si>
  <si>
    <t>102.336 Ft utalás</t>
  </si>
  <si>
    <t>38.572 Ft utalás</t>
  </si>
  <si>
    <t>172.440 Ft utalás</t>
  </si>
  <si>
    <t>28758 Ft utalás</t>
  </si>
  <si>
    <t>OBI Hungary Retail Kft</t>
  </si>
  <si>
    <t>A06600538/0446</t>
  </si>
  <si>
    <t>Két Briós Kft</t>
  </si>
  <si>
    <t>A03104461/1591/00004</t>
  </si>
  <si>
    <t>KP</t>
  </si>
  <si>
    <t>Biofilter Zrt</t>
  </si>
  <si>
    <t>2026-PXL4/007019</t>
  </si>
  <si>
    <t>Alois Dallmayer</t>
  </si>
  <si>
    <t>ESZLA-2601684</t>
  </si>
  <si>
    <t>Coca Cola</t>
  </si>
  <si>
    <t>Delforg Kft</t>
  </si>
  <si>
    <t>Gastroil Magyarország Kft</t>
  </si>
  <si>
    <t>W/2026/1400279</t>
  </si>
  <si>
    <t>W/2026/1400356</t>
  </si>
  <si>
    <t>W/2026/1400419</t>
  </si>
  <si>
    <t>W/2026/1400487</t>
  </si>
  <si>
    <t>SZL-2026-00818</t>
  </si>
  <si>
    <t>SZL-2026-00840</t>
  </si>
  <si>
    <t>SZL-2026-00893</t>
  </si>
  <si>
    <t>SZL-2026-00908</t>
  </si>
  <si>
    <t>SZL-2026-00944</t>
  </si>
  <si>
    <t>SZ2-2026-00672</t>
  </si>
  <si>
    <t>00818,00840,00893,00908,00944</t>
  </si>
  <si>
    <t>SZL-2026-01011</t>
  </si>
  <si>
    <t>SZL-2026-01032</t>
  </si>
  <si>
    <t>SZL-2026-01065</t>
  </si>
  <si>
    <t>SZL-2026-01087</t>
  </si>
  <si>
    <t>SZL-2026-01113</t>
  </si>
  <si>
    <t>SZ2-2026-00803</t>
  </si>
  <si>
    <t>01011,01032,01065,01087,01113</t>
  </si>
  <si>
    <t>SZL-2026-01153</t>
  </si>
  <si>
    <t>SZL-2026-01205</t>
  </si>
  <si>
    <t>SZL-2026-01227</t>
  </si>
  <si>
    <t>SZL-2026-01250</t>
  </si>
  <si>
    <t>SZL-2026-01282</t>
  </si>
  <si>
    <t>SZ2-2026-00935</t>
  </si>
  <si>
    <t>01153,01205,01227,01250,01282</t>
  </si>
  <si>
    <t>SZL-2026-01345</t>
  </si>
  <si>
    <t>SZL-2026-01365</t>
  </si>
  <si>
    <t>SZL--2026-01410</t>
  </si>
  <si>
    <t>SZL-2026-01421</t>
  </si>
  <si>
    <t>SZL-2026-01461</t>
  </si>
  <si>
    <t>SZ2-2026-01044</t>
  </si>
  <si>
    <t>01345,01365,01410,01421,01461</t>
  </si>
  <si>
    <t>Kelet Higiéniai Kereskedelmi Kft</t>
  </si>
  <si>
    <t>K01240/26</t>
  </si>
  <si>
    <t>K01544/26</t>
  </si>
  <si>
    <t>K01848/26</t>
  </si>
  <si>
    <t>K02164/26</t>
  </si>
  <si>
    <t>K02307/26</t>
  </si>
  <si>
    <t>FA2417</t>
  </si>
  <si>
    <t>2555/B/2026</t>
  </si>
  <si>
    <t>12081,12897,13332,13731,14161,FA2417</t>
  </si>
  <si>
    <t>FA2811</t>
  </si>
  <si>
    <t>FA3403</t>
  </si>
  <si>
    <t>3680/B/2026</t>
  </si>
  <si>
    <t>18031,18518,18883,19401,19825,FA3403</t>
  </si>
  <si>
    <t>FA3907</t>
  </si>
  <si>
    <t>4195/B/2026</t>
  </si>
  <si>
    <t>20746,21262,22175,22653,FA3907</t>
  </si>
  <si>
    <t>13613/2026</t>
  </si>
  <si>
    <t>13700/2026</t>
  </si>
  <si>
    <t>14634/2026</t>
  </si>
  <si>
    <t>15258/2026</t>
  </si>
  <si>
    <t>16862/2026</t>
  </si>
  <si>
    <t>20307/2026</t>
  </si>
  <si>
    <t>20301/2026</t>
  </si>
  <si>
    <t>21695/2026</t>
  </si>
  <si>
    <t>21742/2026</t>
  </si>
  <si>
    <t>23154/2026</t>
  </si>
  <si>
    <t>23748/2026</t>
  </si>
  <si>
    <t>Silver Tojás Kft</t>
  </si>
  <si>
    <t>1426/2026</t>
  </si>
  <si>
    <t>SZ1703/2026</t>
  </si>
  <si>
    <t>1576/2026</t>
  </si>
  <si>
    <t>SZ1853/2026</t>
  </si>
  <si>
    <t>1734/2026</t>
  </si>
  <si>
    <t>SZ1977/2026</t>
  </si>
  <si>
    <t>1947/2026</t>
  </si>
  <si>
    <t>SZ2187/2026</t>
  </si>
  <si>
    <t>2186/2026</t>
  </si>
  <si>
    <t>SZ2433/2026</t>
  </si>
  <si>
    <t>2416/2026</t>
  </si>
  <si>
    <t>SZ2668/2026</t>
  </si>
  <si>
    <t>2624/2026</t>
  </si>
  <si>
    <t>SZ2942/2026</t>
  </si>
  <si>
    <t>Sixi 200 Kft.</t>
  </si>
  <si>
    <t>SU12026-000074</t>
  </si>
  <si>
    <t>S.P.I.N Kft</t>
  </si>
  <si>
    <t>A26/624</t>
  </si>
  <si>
    <t>Viwa Product Europa Kft.</t>
  </si>
  <si>
    <t>AJ-2026/00116</t>
  </si>
  <si>
    <t>Kotányi Hungári Kft</t>
  </si>
  <si>
    <t>S/34/26/000011</t>
  </si>
  <si>
    <t>76208 utalás</t>
  </si>
  <si>
    <t>BK</t>
  </si>
  <si>
    <t>Kotányi</t>
  </si>
  <si>
    <t>S/34/26/000008</t>
  </si>
  <si>
    <t>ESZLA-2602490</t>
  </si>
  <si>
    <t>ESZLA-2603351</t>
  </si>
  <si>
    <t>2026-PXL4/010698</t>
  </si>
  <si>
    <t>2026-PXL4/010706</t>
  </si>
  <si>
    <t xml:space="preserve">Coca Cola </t>
  </si>
  <si>
    <t>W/2026/1400562</t>
  </si>
  <si>
    <t>W/2026/1400664</t>
  </si>
  <si>
    <t>W/2026/1700837</t>
  </si>
  <si>
    <t>MV Gastro Kft.</t>
  </si>
  <si>
    <t>VFRTRSZ-2026/28650</t>
  </si>
  <si>
    <t>2026-28697</t>
  </si>
  <si>
    <t>2026/28729</t>
  </si>
  <si>
    <t>2026/28754</t>
  </si>
  <si>
    <t>MV Gastro Kft</t>
  </si>
  <si>
    <t>MV-202629661</t>
  </si>
  <si>
    <t>MV-2026/29662</t>
  </si>
  <si>
    <t>2026/28809</t>
  </si>
  <si>
    <t>2026/28864</t>
  </si>
  <si>
    <t>2026/28903</t>
  </si>
  <si>
    <t>2026/28940</t>
  </si>
  <si>
    <t>2026/28989</t>
  </si>
  <si>
    <t>2026/29045</t>
  </si>
  <si>
    <t>MV-2026/29832</t>
  </si>
  <si>
    <t>2026/29091</t>
  </si>
  <si>
    <t>2026/29112</t>
  </si>
  <si>
    <t>2026/29155</t>
  </si>
  <si>
    <t>2026/29193</t>
  </si>
  <si>
    <t>2026/29231</t>
  </si>
  <si>
    <t>MV-2026/29975</t>
  </si>
  <si>
    <t>2026/29312</t>
  </si>
  <si>
    <t>2026/29346</t>
  </si>
  <si>
    <t>2026/29387</t>
  </si>
  <si>
    <t>2026/29423</t>
  </si>
  <si>
    <t>2026/29484</t>
  </si>
  <si>
    <t>MV-2026/30131</t>
  </si>
  <si>
    <t>29312,29346,29387,29423,29484</t>
  </si>
  <si>
    <t>2026/29523</t>
  </si>
  <si>
    <t>2026/29583</t>
  </si>
  <si>
    <t>MV-2026/30199</t>
  </si>
  <si>
    <t>SZL-2026-01497</t>
  </si>
  <si>
    <t>SZL-2026-01544</t>
  </si>
  <si>
    <t>SZL-2026-01567</t>
  </si>
  <si>
    <t>SZL-2026-01618</t>
  </si>
  <si>
    <t>SZ2-2026-01190</t>
  </si>
  <si>
    <t>01497,01544,01567,01618</t>
  </si>
  <si>
    <t>Magyarüdítő Forgalmazó Kft</t>
  </si>
  <si>
    <t>M.L. Energy Kft</t>
  </si>
  <si>
    <t>Kelet Higiéniai Kft.</t>
  </si>
  <si>
    <t>K02480/26</t>
  </si>
  <si>
    <t>K02812/26</t>
  </si>
  <si>
    <t>K03119/26</t>
  </si>
  <si>
    <t>K03433/26</t>
  </si>
  <si>
    <t>K03783/26</t>
  </si>
  <si>
    <t>FA4423</t>
  </si>
  <si>
    <t>4761/B/2026</t>
  </si>
  <si>
    <t>23370,24024,24534,24975,25433,FA4423</t>
  </si>
  <si>
    <t>FA4921</t>
  </si>
  <si>
    <t>5313/B/2026</t>
  </si>
  <si>
    <t>25866,26891,27323,27775,28533,FA4921</t>
  </si>
  <si>
    <t>FA5404</t>
  </si>
  <si>
    <t>5885/B/2026</t>
  </si>
  <si>
    <t>28876,29467,29920,30382,30855,FA5404</t>
  </si>
  <si>
    <t>FA5952</t>
  </si>
  <si>
    <t>6419/B/2026</t>
  </si>
  <si>
    <t>31821,32219,32695,33208,33655,FA5952</t>
  </si>
  <si>
    <t>26947/2026</t>
  </si>
  <si>
    <t>26840/2026</t>
  </si>
  <si>
    <t>30229/2026</t>
  </si>
  <si>
    <t>33710/2026</t>
  </si>
  <si>
    <t>33549/2026</t>
  </si>
  <si>
    <t>36816/2026</t>
  </si>
  <si>
    <t>36892/2026</t>
  </si>
  <si>
    <t>40376/2026</t>
  </si>
  <si>
    <t>40532/2026</t>
  </si>
  <si>
    <t>2832/2026</t>
  </si>
  <si>
    <t>SZ3153/2026</t>
  </si>
  <si>
    <t>2972/2026</t>
  </si>
  <si>
    <t>SZ3308/2026</t>
  </si>
  <si>
    <t>3123/2026</t>
  </si>
  <si>
    <t>SZ3423/2026</t>
  </si>
  <si>
    <t>3240/2026</t>
  </si>
  <si>
    <t>SZ3502/2026</t>
  </si>
  <si>
    <t>3611/2026</t>
  </si>
  <si>
    <t>SZ3836/2026</t>
  </si>
  <si>
    <t>3757/2026</t>
  </si>
  <si>
    <t>SZ4035/2026</t>
  </si>
  <si>
    <t>3897/2026</t>
  </si>
  <si>
    <t>SZ4186/2026</t>
  </si>
  <si>
    <t>4069/2026</t>
  </si>
  <si>
    <t>SZ4384/2026</t>
  </si>
  <si>
    <t>4333/2026</t>
  </si>
  <si>
    <t>SZ4686/2026</t>
  </si>
  <si>
    <t>Viwa Product Europa Kft</t>
  </si>
  <si>
    <t>AJ-2026/00219</t>
  </si>
  <si>
    <t>SIXI 2000 Kft</t>
  </si>
  <si>
    <t>SU12026-000178</t>
  </si>
  <si>
    <t>2026/29616</t>
  </si>
  <si>
    <t>2026/29672</t>
  </si>
  <si>
    <t>FA6410</t>
  </si>
  <si>
    <t>Iskola:71.620 Ft</t>
  </si>
  <si>
    <t>Iskola:26.368 Ft</t>
  </si>
  <si>
    <t>Iskola: 65.581 Ft</t>
  </si>
  <si>
    <t>Iskola:82411</t>
  </si>
  <si>
    <t>Iskola:20.778 Ft</t>
  </si>
  <si>
    <t>Iskolo:50.602</t>
  </si>
  <si>
    <t>Iskola:18.440 Ft</t>
  </si>
  <si>
    <t>Iskola:18.500 Ft</t>
  </si>
  <si>
    <t>Iskola:12.461 Ft</t>
  </si>
  <si>
    <t>Iskola:2.726 Ft</t>
  </si>
  <si>
    <t>Iskola:20.690</t>
  </si>
  <si>
    <t>Iskola:13.976</t>
  </si>
  <si>
    <t>Iskola:17.440</t>
  </si>
  <si>
    <t>Iskola:16.866</t>
  </si>
  <si>
    <t>Tábor:14.054 Ft</t>
  </si>
  <si>
    <t>Riz:12.341 Ft</t>
  </si>
  <si>
    <t>H105:480962</t>
  </si>
  <si>
    <t>Tábor:4.066 Ft</t>
  </si>
  <si>
    <t>Tábor:6.729</t>
  </si>
  <si>
    <t>RIZ:46.889 Ft</t>
  </si>
  <si>
    <t>Riz:24.076 Ft</t>
  </si>
  <si>
    <t>Riz:60.513 Ft</t>
  </si>
  <si>
    <t>Riz:58803</t>
  </si>
  <si>
    <t>Tábor:29.50Ft</t>
  </si>
  <si>
    <t>Tábor:9.346 Ft</t>
  </si>
  <si>
    <t>Tábor: 2.337 Ft</t>
  </si>
  <si>
    <t>Tábor:14.284 Ft</t>
  </si>
  <si>
    <t>Riz: 37.629 Ft</t>
  </si>
  <si>
    <t>Riz:75.265 FT</t>
  </si>
  <si>
    <t>H105:112788</t>
  </si>
  <si>
    <t>H105:45537</t>
  </si>
  <si>
    <t>H105:111.311</t>
  </si>
  <si>
    <t>H105:88.515</t>
  </si>
  <si>
    <t>H105:20258</t>
  </si>
  <si>
    <t>H105:38419</t>
  </si>
  <si>
    <t>Centrál Drinks</t>
  </si>
  <si>
    <t>2026/CD26000355</t>
  </si>
  <si>
    <t>A31900697/0227/00003</t>
  </si>
  <si>
    <t>A031034525/1560/00001</t>
  </si>
  <si>
    <t>2026-0-0(10)0006/001366</t>
  </si>
  <si>
    <t>A22500290/0484/00012</t>
  </si>
  <si>
    <t>Reál Kft</t>
  </si>
  <si>
    <t>A20300037/1618/00001</t>
  </si>
  <si>
    <t>Bk</t>
  </si>
  <si>
    <t>Brunch 3 in 1 KFT</t>
  </si>
  <si>
    <t>BRNCH-2025-992</t>
  </si>
  <si>
    <t>SIXI</t>
  </si>
  <si>
    <t>SU12026-000021</t>
  </si>
  <si>
    <t>Rojik Kft</t>
  </si>
  <si>
    <t>A-000286-LI/2026</t>
  </si>
  <si>
    <t>Assist Trend Kft</t>
  </si>
  <si>
    <t>B00462/2026</t>
  </si>
  <si>
    <t>Colca-Cola HBC Magyarország Kft</t>
  </si>
  <si>
    <t>A-000358-LI/2026</t>
  </si>
  <si>
    <t>Amicorn Kft</t>
  </si>
  <si>
    <t>MCRN-2026-210</t>
  </si>
  <si>
    <t>SU12026-000069</t>
  </si>
  <si>
    <t>A03103425/1560/00001</t>
  </si>
  <si>
    <t>A03103425/1575/00001</t>
  </si>
  <si>
    <t>Bubbles</t>
  </si>
  <si>
    <t xml:space="preserve">Helit </t>
  </si>
  <si>
    <t>SPAR</t>
  </si>
  <si>
    <t>A03103425/1665/00001</t>
  </si>
  <si>
    <t>A05702971/1606/00001</t>
  </si>
  <si>
    <t xml:space="preserve">Novo Parts Trade </t>
  </si>
  <si>
    <t>2026-PBV/003210</t>
  </si>
  <si>
    <t>A31900696/0267/00003</t>
  </si>
  <si>
    <t>A03102806/1651/00001</t>
  </si>
  <si>
    <t>Orlen</t>
  </si>
  <si>
    <t>A23402492/3177/00002</t>
  </si>
  <si>
    <t>TESCO-GLOBAL</t>
  </si>
  <si>
    <t>A05702970/1616/00003</t>
  </si>
  <si>
    <t>LIDL</t>
  </si>
  <si>
    <t>A31901814/0217/00004</t>
  </si>
  <si>
    <t xml:space="preserve"> </t>
  </si>
  <si>
    <t xml:space="preserve">TEDI ÁRUKERESKEDELÉMI - PESTI ÚT TESCO </t>
  </si>
  <si>
    <t>A23601071/0490/00001</t>
  </si>
  <si>
    <t>METRO</t>
  </si>
  <si>
    <t>2026-0/0(11)0069/000769</t>
  </si>
  <si>
    <t>2026-0/0(11)0012/000138</t>
  </si>
  <si>
    <t>GAL-GO KFT -GO PRINT</t>
  </si>
  <si>
    <t>A01902023/1895/00002</t>
  </si>
  <si>
    <t>2026/CD26002783</t>
  </si>
  <si>
    <t>2026/CD26002770</t>
  </si>
  <si>
    <t>Optimum Partners</t>
  </si>
  <si>
    <t>SZ02550/2026</t>
  </si>
  <si>
    <t>Lámpa és fény</t>
  </si>
  <si>
    <t>B01067/2026</t>
  </si>
  <si>
    <t>SIXI 2000 KFT</t>
  </si>
  <si>
    <t>SU12026-000110</t>
  </si>
  <si>
    <t xml:space="preserve">ROJIK KFT </t>
  </si>
  <si>
    <t>A-000570-LI-2026</t>
  </si>
  <si>
    <t>A000729-LI/2026</t>
  </si>
  <si>
    <t>K-Frucht Magyarország Kft</t>
  </si>
  <si>
    <t>SZL-20260225</t>
  </si>
  <si>
    <t>RAUCH</t>
  </si>
  <si>
    <t>AMICORN Kft.</t>
  </si>
  <si>
    <t>MCRN-2026-458</t>
  </si>
  <si>
    <t>A-000749-LI/2026</t>
  </si>
  <si>
    <t>Central Drinks</t>
  </si>
  <si>
    <t>2026/CD/26003990</t>
  </si>
  <si>
    <t>A05702968/1615/00001</t>
  </si>
  <si>
    <t>2026/CD/26004576</t>
  </si>
  <si>
    <t>HELIT KFT</t>
  </si>
  <si>
    <t>SPAR MAGYARORSZÁG</t>
  </si>
  <si>
    <t>A03103546/1721/00001</t>
  </si>
  <si>
    <t>A03103544/1701/00002</t>
  </si>
  <si>
    <t xml:space="preserve">BC- Higénia Hungary Kft </t>
  </si>
  <si>
    <t>KKSZLA00368/2026</t>
  </si>
  <si>
    <t>Müller</t>
  </si>
  <si>
    <t>A29400142/1144/00001</t>
  </si>
  <si>
    <t>2026-0/0(10)0013/004001</t>
  </si>
  <si>
    <t>LIDL Magyarország BT</t>
  </si>
  <si>
    <t>A31900333/0304/00002</t>
  </si>
  <si>
    <t xml:space="preserve">BK </t>
  </si>
  <si>
    <t>Voyagex Morini Kf t</t>
  </si>
  <si>
    <t>KS2604542</t>
  </si>
  <si>
    <t>AUCHAN MAGYARORSZÁG</t>
  </si>
  <si>
    <t>AI09/1221204</t>
  </si>
  <si>
    <t xml:space="preserve">UNI-FLOCK KFT </t>
  </si>
  <si>
    <t>A05702982/1326/00004</t>
  </si>
  <si>
    <t xml:space="preserve">                                       </t>
  </si>
  <si>
    <t>ROJIK KFT</t>
  </si>
  <si>
    <t>A-000831-LI-2026</t>
  </si>
  <si>
    <t xml:space="preserve">SIXI 2000 KFT </t>
  </si>
  <si>
    <t>SU12026-000152</t>
  </si>
  <si>
    <t>ASSIST-TREND BUDAPEST KFT</t>
  </si>
  <si>
    <t>B0-1661/2026</t>
  </si>
  <si>
    <t xml:space="preserve">Brunch 3 in 1 </t>
  </si>
  <si>
    <t>BRNCH-2026-204</t>
  </si>
  <si>
    <t>M. L. Energy Kft.</t>
  </si>
  <si>
    <t xml:space="preserve">Magyarüdítő Forgalmazó Kft </t>
  </si>
  <si>
    <t xml:space="preserve">Coca Cola HBC Magyarország </t>
  </si>
  <si>
    <t>ROJIK</t>
  </si>
  <si>
    <t>A-001129-LI/2026</t>
  </si>
  <si>
    <t xml:space="preserve">ASSIST TREND KFT </t>
  </si>
  <si>
    <t>B02222/2026</t>
  </si>
  <si>
    <t>A0001150-LI-2026</t>
  </si>
  <si>
    <t>JÓVÁÍRÁS</t>
  </si>
  <si>
    <t xml:space="preserve">M.L Energy Kft </t>
  </si>
  <si>
    <t>TEDI</t>
  </si>
  <si>
    <t>A23601070/0523/00001</t>
  </si>
  <si>
    <t>A-001257-LI/2026</t>
  </si>
  <si>
    <t>M-Pharmaland</t>
  </si>
  <si>
    <t>A23408128/0944/00001</t>
  </si>
  <si>
    <t>A20300037/1613/00001</t>
  </si>
  <si>
    <t>Kp</t>
  </si>
  <si>
    <t>A20300031/1876/00001</t>
  </si>
  <si>
    <t>2026-0/0110067/000171</t>
  </si>
  <si>
    <t>SilverTojás Kft</t>
  </si>
  <si>
    <t>718/2026</t>
  </si>
  <si>
    <t>1033/2026</t>
  </si>
  <si>
    <t>Dallmayr Bt</t>
  </si>
  <si>
    <t>ESZLA-2600514</t>
  </si>
  <si>
    <t>B00463/2026</t>
  </si>
  <si>
    <t>B00075/2026</t>
  </si>
  <si>
    <t>Mb</t>
  </si>
  <si>
    <t>K-Frucht Kft</t>
  </si>
  <si>
    <t>SZ2-2026-00147</t>
  </si>
  <si>
    <t>SZ2-2026-00422</t>
  </si>
  <si>
    <t>SZ2-2026-00269</t>
  </si>
  <si>
    <t>Pribofood Kft</t>
  </si>
  <si>
    <t>8250/2026</t>
  </si>
  <si>
    <t>2051/2026</t>
  </si>
  <si>
    <t>A05201012/1565/00001</t>
  </si>
  <si>
    <t>A20300031/1904/00001</t>
  </si>
  <si>
    <t>Ikea</t>
  </si>
  <si>
    <t>A29600025/1026/00004</t>
  </si>
  <si>
    <t>2026-0/0(11)0007/003816</t>
  </si>
  <si>
    <t>Kik</t>
  </si>
  <si>
    <t>A25900050/1941/00001</t>
  </si>
  <si>
    <t>2026-PXL4/007572</t>
  </si>
  <si>
    <t>2179/2026</t>
  </si>
  <si>
    <t>15783/2026</t>
  </si>
  <si>
    <t>21517/2026</t>
  </si>
  <si>
    <t>15611/2026</t>
  </si>
  <si>
    <t>SZ2-2026-00932</t>
  </si>
  <si>
    <t>SZ2-2026-00674</t>
  </si>
  <si>
    <t>SZ2-2026-00801</t>
  </si>
  <si>
    <t>Gastroil Zrt</t>
  </si>
  <si>
    <t>W/2026/1400278</t>
  </si>
  <si>
    <t>A20300037/1652/00001</t>
  </si>
  <si>
    <t>Lidl Bt</t>
  </si>
  <si>
    <t>A31900539025200002</t>
  </si>
  <si>
    <t>Spar Kft</t>
  </si>
  <si>
    <t>A03103000/1702/00001</t>
  </si>
  <si>
    <t>Rozsker Kft</t>
  </si>
  <si>
    <t>Gasztronagyker Kft</t>
  </si>
  <si>
    <t>GNK-2026-6223</t>
  </si>
  <si>
    <t>helit</t>
  </si>
  <si>
    <t>B01788/2026</t>
  </si>
  <si>
    <t>B01610/2026</t>
  </si>
  <si>
    <t>B02305/2026</t>
  </si>
  <si>
    <t>2026-PXL4/011196</t>
  </si>
  <si>
    <t>Benei Kft</t>
  </si>
  <si>
    <t>437/VBG/2026</t>
  </si>
  <si>
    <t>SU12026-000162</t>
  </si>
  <si>
    <t>SZ2-2026-01191</t>
  </si>
  <si>
    <t>SZ2-2026-01338</t>
  </si>
  <si>
    <t>SZ2-2026-01470</t>
  </si>
  <si>
    <t>SZ2-2026-01603</t>
  </si>
  <si>
    <t>ESZLA-2603071</t>
  </si>
  <si>
    <t>3224/2026</t>
  </si>
  <si>
    <t>3966/2026</t>
  </si>
  <si>
    <t>28468/2026</t>
  </si>
  <si>
    <t>35041/2026</t>
  </si>
  <si>
    <t>35198/2026</t>
  </si>
  <si>
    <t>W/2026/1400722</t>
  </si>
  <si>
    <t>Átutalás</t>
  </si>
  <si>
    <t>B00039/2026</t>
  </si>
  <si>
    <t>ESZLA-2600479</t>
  </si>
  <si>
    <t>5986/2026</t>
  </si>
  <si>
    <t>10290/2026</t>
  </si>
  <si>
    <t>SIXI 2000 KFT.</t>
  </si>
  <si>
    <t>SU12026-000058</t>
  </si>
  <si>
    <t>18701/2026</t>
  </si>
  <si>
    <t xml:space="preserve">átutalás </t>
  </si>
  <si>
    <t>ESZLA-2601835</t>
  </si>
  <si>
    <t>B01398/2026</t>
  </si>
  <si>
    <t>26868/2026</t>
  </si>
  <si>
    <t>B02087/2026</t>
  </si>
  <si>
    <t>SU12026-000169</t>
  </si>
  <si>
    <t>38593/2026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</si>
</sst>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\ &quot;Ft&quot;"/>
    <numFmt numFmtId="165" formatCode="#,##0.00000\ &quot;Ft&quot;"/>
    <numFmt numFmtId="166" formatCode="#,##0.000\ &quot;Ft&quot;"/>
    <numFmt numFmtId="167" formatCode="yyyy/mm/dd;@"/>
    <numFmt numFmtId="168" formatCode="_-* #,##0\ [$Ft-40E]_-;\-* #,##0\ [$Ft-40E]_-;_-* &quot;-&quot;??\ [$Ft-40E]_-;_-@_-"/>
  </numFmts>
  <fonts count="28">
    <font>
      <sz val="12"/>
      <color theme="1"/>
      <name val="Aptos Narrow"/>
      <family val="2"/>
      <charset val="238"/>
      <scheme val="minor"/>
    </font>
    <font>
      <b/>
      <sz val="11"/>
      <color rgb="FF000000"/>
      <name val="Calibri"/>
      <family val="2"/>
      <charset val="238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charset val="238"/>
      <scheme val="minor"/>
    </font>
    <font>
      <sz val="11"/>
      <color theme="1"/>
      <name val="Calibri"/>
    </font>
    <font>
      <b/>
      <sz val="11"/>
      <color rgb="FF000000"/>
      <name val="Calibri"/>
    </font>
    <font>
      <i/>
      <sz val="12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0"/>
      <name val="Calibri"/>
      <family val="2"/>
      <charset val="238"/>
    </font>
    <font>
      <b/>
      <sz val="11"/>
      <color theme="0"/>
      <name val="Calibri"/>
      <family val="2"/>
    </font>
    <font>
      <sz val="12"/>
      <color theme="0"/>
      <name val="Aptos Narrow"/>
      <family val="2"/>
      <charset val="238"/>
      <scheme val="minor"/>
    </font>
    <font>
      <sz val="11"/>
      <color rgb="FF000000"/>
      <name val="Calibri"/>
    </font>
    <font>
      <sz val="10"/>
      <color theme="1"/>
      <name val="Aptos Narrow"/>
      <family val="2"/>
      <charset val="238"/>
      <scheme val="minor"/>
    </font>
    <font>
      <sz val="8"/>
      <color theme="1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  <font>
      <b/>
      <sz val="11"/>
      <color rgb="FF000000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0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Calibri"/>
      <family val="2"/>
      <charset val="238"/>
    </font>
    <font>
      <b/>
      <sz val="12"/>
      <color theme="1"/>
      <name val="Aptos Narrow"/>
      <family val="2"/>
      <charset val="238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charset val="1"/>
    </font>
    <font>
      <sz val="11"/>
      <color theme="0"/>
      <name val="Calibri"/>
      <family val="2"/>
      <charset val="238"/>
    </font>
    <font>
      <sz val="12"/>
      <color rgb="FFFF0000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indent="5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14" fontId="9" fillId="0" borderId="7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7" fillId="0" borderId="5" xfId="0" applyFont="1" applyBorder="1" applyAlignment="1">
      <alignment horizontal="center"/>
    </xf>
    <xf numFmtId="164" fontId="17" fillId="0" borderId="0" xfId="0" applyNumberFormat="1" applyFont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center" vertical="center"/>
    </xf>
    <xf numFmtId="164" fontId="16" fillId="0" borderId="7" xfId="0" applyNumberFormat="1" applyFont="1" applyBorder="1" applyAlignment="1">
      <alignment horizontal="center" vertical="center"/>
    </xf>
    <xf numFmtId="14" fontId="16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14" fontId="17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horizontal="center"/>
    </xf>
    <xf numFmtId="0" fontId="17" fillId="6" borderId="0" xfId="0" applyFont="1" applyFill="1" applyAlignment="1">
      <alignment horizontal="center"/>
    </xf>
    <xf numFmtId="0" fontId="17" fillId="7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5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1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 vertical="top"/>
    </xf>
    <xf numFmtId="14" fontId="18" fillId="0" borderId="0" xfId="0" applyNumberFormat="1" applyFont="1" applyAlignment="1">
      <alignment horizontal="center" vertical="top"/>
    </xf>
    <xf numFmtId="164" fontId="18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4" fillId="8" borderId="0" xfId="0" applyFont="1" applyFill="1" applyAlignment="1">
      <alignment horizontal="center"/>
    </xf>
    <xf numFmtId="167" fontId="4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18" fillId="4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164" fontId="8" fillId="10" borderId="0" xfId="0" applyNumberFormat="1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164" fontId="23" fillId="10" borderId="0" xfId="0" applyNumberFormat="1" applyFont="1" applyFill="1" applyAlignment="1">
      <alignment horizontal="center"/>
    </xf>
    <xf numFmtId="16" fontId="18" fillId="0" borderId="0" xfId="0" applyNumberFormat="1" applyFont="1" applyAlignment="1">
      <alignment horizontal="center"/>
    </xf>
    <xf numFmtId="14" fontId="18" fillId="4" borderId="0" xfId="0" applyNumberFormat="1" applyFont="1" applyFill="1" applyAlignment="1">
      <alignment horizontal="center"/>
    </xf>
    <xf numFmtId="164" fontId="18" fillId="4" borderId="0" xfId="0" applyNumberFormat="1" applyFont="1" applyFill="1" applyAlignment="1">
      <alignment horizontal="center"/>
    </xf>
    <xf numFmtId="16" fontId="18" fillId="4" borderId="0" xfId="0" applyNumberFormat="1" applyFont="1" applyFill="1" applyAlignment="1">
      <alignment horizontal="center"/>
    </xf>
    <xf numFmtId="164" fontId="18" fillId="9" borderId="0" xfId="0" applyNumberFormat="1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49" fontId="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20" fillId="5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4" fillId="0" borderId="0" xfId="0" applyFont="1"/>
    <xf numFmtId="14" fontId="4" fillId="0" borderId="0" xfId="0" applyNumberFormat="1" applyFont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indent="2"/>
    </xf>
    <xf numFmtId="0" fontId="4" fillId="8" borderId="0" xfId="0" applyFont="1" applyFill="1" applyAlignment="1">
      <alignment horizontal="center" vertical="center" indent="2"/>
    </xf>
    <xf numFmtId="14" fontId="4" fillId="0" borderId="0" xfId="0" applyNumberFormat="1" applyFont="1" applyAlignment="1">
      <alignment horizontal="center" vertical="center" indent="2"/>
    </xf>
    <xf numFmtId="164" fontId="4" fillId="0" borderId="0" xfId="0" applyNumberFormat="1" applyFont="1" applyAlignment="1">
      <alignment horizontal="center" vertical="center" indent="2"/>
    </xf>
    <xf numFmtId="0" fontId="21" fillId="0" borderId="0" xfId="0" applyFont="1" applyAlignment="1">
      <alignment horizontal="center" vertical="center" indent="2"/>
    </xf>
    <xf numFmtId="0" fontId="21" fillId="8" borderId="0" xfId="0" applyFont="1" applyFill="1" applyAlignment="1">
      <alignment horizontal="center" vertical="center" indent="2"/>
    </xf>
    <xf numFmtId="14" fontId="21" fillId="0" borderId="0" xfId="0" applyNumberFormat="1" applyFont="1" applyAlignment="1">
      <alignment horizontal="center" vertical="center" indent="2"/>
    </xf>
    <xf numFmtId="164" fontId="21" fillId="0" borderId="0" xfId="0" applyNumberFormat="1" applyFont="1" applyAlignment="1">
      <alignment horizontal="center" vertical="center" indent="2"/>
    </xf>
    <xf numFmtId="167" fontId="4" fillId="0" borderId="0" xfId="0" applyNumberFormat="1" applyFont="1" applyAlignment="1">
      <alignment horizontal="center" vertical="center" indent="2"/>
    </xf>
    <xf numFmtId="0" fontId="4" fillId="0" borderId="0" xfId="0" applyFont="1" applyAlignment="1">
      <alignment horizontal="center" vertical="center" wrapText="1" indent="2"/>
    </xf>
    <xf numFmtId="0" fontId="7" fillId="0" borderId="0" xfId="0" applyFont="1" applyAlignment="1">
      <alignment horizontal="center" vertical="center" indent="2"/>
    </xf>
    <xf numFmtId="0" fontId="3" fillId="0" borderId="0" xfId="0" applyFont="1" applyAlignment="1">
      <alignment horizontal="center" vertical="center" indent="2"/>
    </xf>
    <xf numFmtId="0" fontId="12" fillId="0" borderId="0" xfId="0" applyFont="1" applyAlignment="1">
      <alignment horizontal="center" vertical="center" indent="2"/>
    </xf>
    <xf numFmtId="0" fontId="5" fillId="0" borderId="0" xfId="0" applyFont="1" applyAlignment="1">
      <alignment horizontal="center" vertical="center" indent="2"/>
    </xf>
    <xf numFmtId="165" fontId="5" fillId="0" borderId="0" xfId="0" applyNumberFormat="1" applyFont="1" applyAlignment="1">
      <alignment horizontal="center" vertical="center" indent="2"/>
    </xf>
    <xf numFmtId="0" fontId="0" fillId="0" borderId="0" xfId="0" applyAlignment="1">
      <alignment horizontal="center" vertical="center" indent="2"/>
    </xf>
    <xf numFmtId="0" fontId="21" fillId="0" borderId="1" xfId="0" applyFont="1" applyBorder="1" applyAlignment="1">
      <alignment horizontal="center" vertical="center" indent="2"/>
    </xf>
    <xf numFmtId="0" fontId="21" fillId="0" borderId="2" xfId="0" applyFont="1" applyBorder="1" applyAlignment="1">
      <alignment horizontal="center" vertical="center" indent="2"/>
    </xf>
    <xf numFmtId="14" fontId="21" fillId="0" borderId="2" xfId="0" applyNumberFormat="1" applyFont="1" applyBorder="1" applyAlignment="1">
      <alignment horizontal="center" vertical="center" indent="2"/>
    </xf>
    <xf numFmtId="164" fontId="21" fillId="0" borderId="2" xfId="0" applyNumberFormat="1" applyFont="1" applyBorder="1" applyAlignment="1">
      <alignment horizontal="center" vertical="center" indent="2"/>
    </xf>
    <xf numFmtId="0" fontId="3" fillId="0" borderId="2" xfId="0" applyFont="1" applyBorder="1" applyAlignment="1">
      <alignment horizontal="center" vertical="center" indent="2"/>
    </xf>
    <xf numFmtId="0" fontId="0" fillId="0" borderId="2" xfId="0" applyBorder="1" applyAlignment="1">
      <alignment horizontal="center" vertical="center" indent="2"/>
    </xf>
    <xf numFmtId="0" fontId="0" fillId="0" borderId="3" xfId="0" applyBorder="1" applyAlignment="1">
      <alignment horizontal="center" vertical="center" indent="2"/>
    </xf>
    <xf numFmtId="0" fontId="21" fillId="0" borderId="4" xfId="0" applyFont="1" applyBorder="1" applyAlignment="1">
      <alignment horizontal="center" vertical="center" indent="2"/>
    </xf>
    <xf numFmtId="0" fontId="0" fillId="0" borderId="5" xfId="0" applyBorder="1" applyAlignment="1">
      <alignment horizontal="center" vertical="center" indent="2"/>
    </xf>
    <xf numFmtId="164" fontId="0" fillId="0" borderId="0" xfId="0" applyNumberFormat="1" applyAlignment="1">
      <alignment horizontal="center" vertical="center" indent="2"/>
    </xf>
    <xf numFmtId="0" fontId="25" fillId="0" borderId="6" xfId="0" applyFont="1" applyBorder="1" applyAlignment="1">
      <alignment horizontal="center" vertical="center" indent="2"/>
    </xf>
    <xf numFmtId="0" fontId="25" fillId="0" borderId="7" xfId="0" applyFont="1" applyBorder="1" applyAlignment="1">
      <alignment horizontal="center" vertical="center" indent="2"/>
    </xf>
    <xf numFmtId="14" fontId="25" fillId="0" borderId="7" xfId="0" applyNumberFormat="1" applyFont="1" applyBorder="1" applyAlignment="1">
      <alignment horizontal="center" vertical="center" indent="2"/>
    </xf>
    <xf numFmtId="164" fontId="21" fillId="0" borderId="7" xfId="0" applyNumberFormat="1" applyFont="1" applyBorder="1" applyAlignment="1">
      <alignment horizontal="center" vertical="center" indent="2"/>
    </xf>
    <xf numFmtId="0" fontId="3" fillId="0" borderId="7" xfId="0" applyFont="1" applyBorder="1" applyAlignment="1">
      <alignment horizontal="center" vertical="center" indent="2"/>
    </xf>
    <xf numFmtId="0" fontId="0" fillId="0" borderId="7" xfId="0" applyBorder="1" applyAlignment="1">
      <alignment horizontal="center" vertical="center" indent="2"/>
    </xf>
    <xf numFmtId="0" fontId="0" fillId="0" borderId="8" xfId="0" applyBorder="1" applyAlignment="1">
      <alignment horizontal="center" vertical="center" indent="2"/>
    </xf>
    <xf numFmtId="164" fontId="12" fillId="0" borderId="0" xfId="0" applyNumberFormat="1" applyFont="1" applyAlignment="1">
      <alignment horizontal="center" vertical="center" wrapText="1" indent="2"/>
    </xf>
    <xf numFmtId="14" fontId="0" fillId="0" borderId="0" xfId="0" applyNumberFormat="1" applyAlignment="1">
      <alignment horizontal="center" vertical="center" indent="2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/>
    </xf>
    <xf numFmtId="164" fontId="18" fillId="12" borderId="0" xfId="0" applyNumberFormat="1" applyFont="1" applyFill="1" applyAlignment="1">
      <alignment horizontal="center"/>
    </xf>
    <xf numFmtId="164" fontId="18" fillId="11" borderId="0" xfId="0" applyNumberFormat="1" applyFont="1" applyFill="1" applyAlignment="1">
      <alignment horizontal="center"/>
    </xf>
    <xf numFmtId="14" fontId="18" fillId="5" borderId="0" xfId="0" applyNumberFormat="1" applyFont="1" applyFill="1" applyAlignment="1">
      <alignment horizontal="center"/>
    </xf>
    <xf numFmtId="164" fontId="18" fillId="5" borderId="0" xfId="0" applyNumberFormat="1" applyFont="1" applyFill="1" applyAlignment="1">
      <alignment horizontal="center"/>
    </xf>
    <xf numFmtId="16" fontId="18" fillId="5" borderId="0" xfId="0" applyNumberFormat="1" applyFont="1" applyFill="1" applyAlignment="1">
      <alignment horizontal="center"/>
    </xf>
    <xf numFmtId="164" fontId="8" fillId="10" borderId="0" xfId="0" applyNumberFormat="1" applyFont="1" applyFill="1" applyAlignment="1">
      <alignment horizontal="center" vertical="center" indent="2"/>
    </xf>
    <xf numFmtId="0" fontId="0" fillId="5" borderId="0" xfId="0" applyFill="1"/>
    <xf numFmtId="0" fontId="0" fillId="5" borderId="0" xfId="0" applyFill="1" applyAlignment="1">
      <alignment horizontal="center"/>
    </xf>
    <xf numFmtId="0" fontId="11" fillId="0" borderId="0" xfId="0" applyFont="1" applyAlignment="1">
      <alignment horizontal="center"/>
    </xf>
    <xf numFmtId="0" fontId="27" fillId="0" borderId="0" xfId="0" applyFont="1" applyAlignment="1">
      <alignment horizontal="center" vertical="center" indent="2"/>
    </xf>
    <xf numFmtId="14" fontId="27" fillId="0" borderId="0" xfId="0" applyNumberFormat="1" applyFont="1" applyAlignment="1">
      <alignment horizontal="center" vertical="center" indent="2"/>
    </xf>
    <xf numFmtId="164" fontId="27" fillId="0" borderId="0" xfId="0" applyNumberFormat="1" applyFont="1" applyAlignment="1">
      <alignment horizontal="center" vertical="center" indent="2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0" fillId="0" borderId="0" xfId="0" applyNumberFormat="1"/>
    <xf numFmtId="0" fontId="21" fillId="0" borderId="7" xfId="0" applyFont="1" applyBorder="1" applyAlignment="1">
      <alignment horizontal="center" vertical="center" indent="2"/>
    </xf>
    <xf numFmtId="0" fontId="26" fillId="0" borderId="0" xfId="0" applyFont="1" applyAlignment="1">
      <alignment horizontal="center" vertical="center" indent="2"/>
    </xf>
    <xf numFmtId="0" fontId="0" fillId="0" borderId="5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0" borderId="0" xfId="0" applyFont="1" applyAlignment="1">
      <alignment horizontal="center" indent="6"/>
    </xf>
    <xf numFmtId="14" fontId="4" fillId="0" borderId="0" xfId="0" applyNumberFormat="1" applyFont="1" applyAlignment="1">
      <alignment horizontal="center" indent="6"/>
    </xf>
    <xf numFmtId="164" fontId="4" fillId="0" borderId="0" xfId="0" applyNumberFormat="1" applyFont="1" applyAlignment="1">
      <alignment horizontal="center" indent="6"/>
    </xf>
    <xf numFmtId="0" fontId="4" fillId="8" borderId="0" xfId="0" applyFont="1" applyFill="1" applyAlignment="1">
      <alignment horizontal="center" indent="6"/>
    </xf>
    <xf numFmtId="0" fontId="27" fillId="8" borderId="0" xfId="0" applyFont="1" applyFill="1" applyAlignment="1">
      <alignment horizontal="center" vertical="center" indent="2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 indent="1"/>
    </xf>
    <xf numFmtId="168" fontId="8" fillId="10" borderId="0" xfId="0" applyNumberFormat="1" applyFont="1" applyFill="1" applyAlignment="1">
      <alignment horizontal="center" vertical="center" indent="1"/>
    </xf>
    <xf numFmtId="164" fontId="8" fillId="10" borderId="0" xfId="0" applyNumberFormat="1" applyFont="1" applyFill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0" xfId="0" applyNumberFormat="1"/>
    <xf numFmtId="16" fontId="17" fillId="0" borderId="0" xfId="0" applyNumberFormat="1" applyFont="1" applyAlignment="1">
      <alignment horizontal="center"/>
    </xf>
    <xf numFmtId="0" fontId="12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indent="2"/>
    </xf>
    <xf numFmtId="0" fontId="1" fillId="3" borderId="0" xfId="0" applyFont="1" applyFill="1" applyAlignment="1">
      <alignment horizontal="center" vertical="center" indent="2"/>
    </xf>
  </cellXfs>
  <cellStyles count="1"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F26E-5533-4948-895A-9EFD026DF076}">
  <sheetPr>
    <tabColor theme="9" tint="0.39997558519241921"/>
  </sheetPr>
  <dimension ref="A1:Z1102"/>
  <sheetViews>
    <sheetView workbookViewId="0">
      <pane ySplit="1" topLeftCell="A199" activePane="bottomLeft" state="frozen"/>
      <selection pane="bottomLeft" activeCell="E218" sqref="A218:G218"/>
    </sheetView>
  </sheetViews>
  <sheetFormatPr defaultColWidth="9" defaultRowHeight="15.75" customHeight="1"/>
  <cols>
    <col min="1" max="1" width="23.75" style="5" customWidth="1"/>
    <col min="2" max="2" width="25" style="5" customWidth="1"/>
    <col min="3" max="3" width="19.25" style="5" customWidth="1"/>
    <col min="4" max="4" width="26.125" style="6" customWidth="1"/>
    <col min="5" max="5" width="13.5" style="10" bestFit="1" customWidth="1"/>
    <col min="6" max="6" width="21.125" style="5" bestFit="1" customWidth="1"/>
    <col min="7" max="7" width="20.25" style="2" bestFit="1" customWidth="1"/>
    <col min="8" max="8" width="10.75" style="2" bestFit="1" customWidth="1"/>
    <col min="9" max="16384" width="9" style="2"/>
  </cols>
  <sheetData>
    <row r="1" spans="1:26" ht="15.6">
      <c r="A1" s="1" t="s">
        <v>0</v>
      </c>
      <c r="B1" s="1" t="s">
        <v>1</v>
      </c>
      <c r="C1" s="1" t="s">
        <v>2</v>
      </c>
      <c r="D1" s="13" t="s">
        <v>3</v>
      </c>
      <c r="E1" s="14" t="s">
        <v>4</v>
      </c>
      <c r="F1" s="1" t="s">
        <v>5</v>
      </c>
      <c r="G1" s="3" t="s">
        <v>6</v>
      </c>
    </row>
    <row r="2" spans="1:26" ht="15.6">
      <c r="A2" s="15" t="s">
        <v>7</v>
      </c>
      <c r="B2" s="16"/>
      <c r="C2" s="16"/>
      <c r="D2" s="17"/>
      <c r="E2" s="18"/>
      <c r="F2" s="16"/>
      <c r="G2" s="19"/>
      <c r="H2" s="20"/>
      <c r="I2" s="20"/>
      <c r="J2" s="20"/>
      <c r="K2" s="20"/>
      <c r="L2" s="20"/>
      <c r="M2" s="21"/>
    </row>
    <row r="3" spans="1:26" ht="15.6">
      <c r="A3" s="22" t="s">
        <v>8</v>
      </c>
      <c r="B3" s="1" t="s">
        <v>9</v>
      </c>
      <c r="C3" s="1" t="s">
        <v>10</v>
      </c>
      <c r="D3" s="13" t="s">
        <v>11</v>
      </c>
      <c r="E3" s="14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23"/>
    </row>
    <row r="4" spans="1:26">
      <c r="A4" s="31">
        <f>SUM(
SUMIFS($E$11:$E$291,$D$11:$D$291,"&gt;="&amp;EOMONTH($A$8,-1)+1,$D$11:$D$291,"&lt;="&amp;EOMONTH($A$8,0),$F$11:$F$291,"kp"),
SUMIFS($E$11:$E$291,$D$11:$D$291,"&gt;="&amp;EOMONTH($A$8,-1)+1,$D$11:$D$291,"&lt;="&amp;EOMONTH($A$8,0),$F$11:$F$291,"kp."),
SUMIFS($E$11:$E$291,$D$11:$D$291,"&gt;="&amp;EOMONTH($A$8,-1)+1,$D$11:$D$291,"&lt;="&amp;EOMONTH($A$8,0),$F$11:$F$291,"bk"),
SUMIFS($E$11:$E$291,$D$11:$D$291,"&gt;="&amp;EOMONTH($A$8,-1)+1,$D$11:$D$291,"&lt;="&amp;EOMONTH($A$8,0),$F$11:$F$291,"bk."),
SUMIFS($E$11:$E$291,$D$11:$D$291,"&gt;="&amp;EOMONTH($A$8,-1)+1,$D$11:$D$291,"&lt;="&amp;EOMONTH($A$8,0),$F$11:$F$291,"mgc")
)</f>
        <v>5574807</v>
      </c>
      <c r="B4" s="14">
        <f>SUM(
SUMIFS($E$11:$E$291,$D$11:$D$291,"&gt;="&amp;EOMONTH(B$8,-1)+1,$D$11:$D$291,"&lt;="&amp;EOMONTH(B$8,0),$F$11:$F$291,"kp"),
SUMIFS($E$11:$E$291,$D$11:$D$291,"&gt;="&amp;EOMONTH(B$8,-1)+1,$D$11:$D$291,"&lt;="&amp;EOMONTH(B$8,0),$F$11:$F$291,"kp."),
SUMIFS($E$11:$E$291,$D$11:$D$291,"&gt;="&amp;EOMONTH(B$8,-1)+1,$D$11:$D$291,"&lt;="&amp;EOMONTH(B$8,0),$F$11:$F$291,"bk"),
SUMIFS($E$11:$E$291,$D$11:$D$291,"&gt;="&amp;EOMONTH(B$8,-1)+1,$D$11:$D$291,"&lt;="&amp;EOMONTH(B$8,0),$F$11:$F$291,"bk."),
SUMIFS($E$11:$E$291,$D$11:$D$291,"&gt;="&amp;EOMONTH(B$8,-1)+1,$D$11:$D$291,"&lt;="&amp;EOMONTH(B$8,0),$F$11:$F$291,"mgc")
)</f>
        <v>4925974</v>
      </c>
      <c r="C4" s="14">
        <f>SUM(
SUMIFS($E$11:$E$291,$D$11:$D$291,"&gt;="&amp;EOMONTH(C$8,-1)+1,$D$11:$D$291,"&lt;="&amp;EOMONTH(C$8,0),$F$11:$F$291,"kp"),
SUMIFS($E$11:$E$291,$D$11:$D$291,"&gt;="&amp;EOMONTH(C$8,-1)+1,$D$11:$D$291,"&lt;="&amp;EOMONTH(C$8,0),$F$11:$F$291,"kp."),
SUMIFS($E$11:$E$291,$D$11:$D$291,"&gt;="&amp;EOMONTH(C$8,-1)+1,$D$11:$D$291,"&lt;="&amp;EOMONTH(C$8,0),$F$11:$F$291,"bk"),
SUMIFS($E$11:$E$291,$D$11:$D$291,"&gt;="&amp;EOMONTH(C$8,-1)+1,$D$11:$D$291,"&lt;="&amp;EOMONTH(C$8,0),$F$11:$F$291,"bk."),
SUMIFS($E$11:$E$291,$D$11:$D$291,"&gt;="&amp;EOMONTH(C$8,-1)+1,$D$11:$D$291,"&lt;="&amp;EOMONTH(C$8,0),$F$11:$F$291,"mgc")
)</f>
        <v>6076955</v>
      </c>
      <c r="D4" s="14">
        <f>SUM(
SUMIFS($E$11:$E$291,$D$11:$D$291,"&gt;="&amp;EOMONTH(D$8,-1)+1,$D$11:$D$291,"&lt;="&amp;EOMONTH(D$8,0),$F$11:$F$291,"kp"),
SUMIFS($E$11:$E$291,$D$11:$D$291,"&gt;="&amp;EOMONTH(D$8,-1)+1,$D$11:$D$291,"&lt;="&amp;EOMONTH(D$8,0),$F$11:$F$291,"kp."),
SUMIFS($E$11:$E$291,$D$11:$D$291,"&gt;="&amp;EOMONTH(D$8,-1)+1,$D$11:$D$291,"&lt;="&amp;EOMONTH(D$8,0),$F$11:$F$291,"bk"),
SUMIFS($E$11:$E$291,$D$11:$D$291,"&gt;="&amp;EOMONTH(D$8,-1)+1,$D$11:$D$291,"&lt;="&amp;EOMONTH(D$8,0),$F$11:$F$291,"bk."),
SUMIFS($E$11:$E$291,$D$11:$D$291,"&gt;="&amp;EOMONTH(D$8,-1)+1,$D$11:$D$291,"&lt;="&amp;EOMONTH(D$8,0),$F$11:$F$291,"mgc")
)</f>
        <v>452143</v>
      </c>
      <c r="E4" s="14">
        <f>SUM(
SUMIFS($E$11:$E$291,$D$11:$D$291,"&gt;="&amp;EOMONTH(E$8,-1)+1,$D$11:$D$291,"&lt;="&amp;EOMONTH(E$8,0),$F$11:$F$291,"kp"),
SUMIFS($E$11:$E$291,$D$11:$D$291,"&gt;="&amp;EOMONTH(E$8,-1)+1,$D$11:$D$291,"&lt;="&amp;EOMONTH(E$8,0),$F$11:$F$291,"kp."),
SUMIFS($E$11:$E$291,$D$11:$D$291,"&gt;="&amp;EOMONTH(E$8,-1)+1,$D$11:$D$291,"&lt;="&amp;EOMONTH(E$8,0),$F$11:$F$291,"bk"),
SUMIFS($E$11:$E$291,$D$11:$D$291,"&gt;="&amp;EOMONTH(E$8,-1)+1,$D$11:$D$291,"&lt;="&amp;EOMONTH(E$8,0),$F$11:$F$291,"bk."),
SUMIFS($E$11:$E$291,$D$11:$D$291,"&gt;="&amp;EOMONTH(E$8,-1)+1,$D$11:$D$291,"&lt;="&amp;EOMONTH(E$8,0),$F$11:$F$291,"mgc")
)</f>
        <v>0</v>
      </c>
      <c r="F4" s="14">
        <f>SUM(
SUMIFS($E$11:$E$291,$D$11:$D$291,"&gt;="&amp;EOMONTH(F$8,-1)+1,$D$11:$D$291,"&lt;="&amp;EOMONTH(F$8,0),$F$11:$F$291,"kp"),
SUMIFS($E$11:$E$291,$D$11:$D$291,"&gt;="&amp;EOMONTH(F$8,-1)+1,$D$11:$D$291,"&lt;="&amp;EOMONTH(F$8,0),$F$11:$F$291,"kp."),
SUMIFS($E$11:$E$291,$D$11:$D$291,"&gt;="&amp;EOMONTH(F$8,-1)+1,$D$11:$D$291,"&lt;="&amp;EOMONTH(F$8,0),$F$11:$F$291,"bk"),
SUMIFS($E$11:$E$291,$D$11:$D$291,"&gt;="&amp;EOMONTH(F$8,-1)+1,$D$11:$D$291,"&lt;="&amp;EOMONTH(F$8,0),$F$11:$F$291,"bk."),
SUMIFS($E$11:$E$291,$D$11:$D$291,"&gt;="&amp;EOMONTH(F$8,-1)+1,$D$11:$D$291,"&lt;="&amp;EOMONTH(F$8,0),$F$11:$F$291,"mgc")
)</f>
        <v>0</v>
      </c>
      <c r="G4" s="14">
        <f>SUM(
SUMIFS($E$11:$E$291,$D$11:$D$291,"&gt;="&amp;EOMONTH(G$8,-1)+1,$D$11:$D$291,"&lt;="&amp;EOMONTH(G$8,0),$F$11:$F$291,"kp"),
SUMIFS($E$11:$E$291,$D$11:$D$291,"&gt;="&amp;EOMONTH(G$8,-1)+1,$D$11:$D$291,"&lt;="&amp;EOMONTH(G$8,0),$F$11:$F$291,"kp."),
SUMIFS($E$11:$E$291,$D$11:$D$291,"&gt;="&amp;EOMONTH(G$8,-1)+1,$D$11:$D$291,"&lt;="&amp;EOMONTH(G$8,0),$F$11:$F$291,"bk"),
SUMIFS($E$11:$E$291,$D$11:$D$291,"&gt;="&amp;EOMONTH(G$8,-1)+1,$D$11:$D$291,"&lt;="&amp;EOMONTH(G$8,0),$F$11:$F$291,"bk."),
SUMIFS($E$11:$E$291,$D$11:$D$291,"&gt;="&amp;EOMONTH(G$8,-1)+1,$D$11:$D$291,"&lt;="&amp;EOMONTH(G$8,0),$F$11:$F$291,"mgc")
)</f>
        <v>0</v>
      </c>
      <c r="H4" s="14">
        <f>SUM(
SUMIFS($E$11:$E$291,$D$11:$D$291,"&gt;="&amp;EOMONTH(H$8,-1)+1,$D$11:$D$291,"&lt;="&amp;EOMONTH(H$8,0),$F$11:$F$291,"kp"),
SUMIFS($E$11:$E$291,$D$11:$D$291,"&gt;="&amp;EOMONTH(H$8,-1)+1,$D$11:$D$291,"&lt;="&amp;EOMONTH(H$8,0),$F$11:$F$291,"kp."),
SUMIFS($E$11:$E$291,$D$11:$D$291,"&gt;="&amp;EOMONTH(H$8,-1)+1,$D$11:$D$291,"&lt;="&amp;EOMONTH(H$8,0),$F$11:$F$291,"bk"),
SUMIFS($E$11:$E$291,$D$11:$D$291,"&gt;="&amp;EOMONTH(H$8,-1)+1,$D$11:$D$291,"&lt;="&amp;EOMONTH(H$8,0),$F$11:$F$291,"bk."),
SUMIFS($E$11:$E$291,$D$11:$D$291,"&gt;="&amp;EOMONTH(H$8,-1)+1,$D$11:$D$291,"&lt;="&amp;EOMONTH(H$8,0),$F$11:$F$291,"mgc")
)</f>
        <v>0</v>
      </c>
      <c r="I4" s="14">
        <f>SUM(
SUMIFS($E$11:$E$291,$D$11:$D$291,"&gt;="&amp;EOMONTH(I$8,-1)+1,$D$11:$D$291,"&lt;="&amp;EOMONTH(I$8,0),$F$11:$F$291,"kp"),
SUMIFS($E$11:$E$291,$D$11:$D$291,"&gt;="&amp;EOMONTH(I$8,-1)+1,$D$11:$D$291,"&lt;="&amp;EOMONTH(I$8,0),$F$11:$F$291,"kp."),
SUMIFS($E$11:$E$291,$D$11:$D$291,"&gt;="&amp;EOMONTH(I$8,-1)+1,$D$11:$D$291,"&lt;="&amp;EOMONTH(I$8,0),$F$11:$F$291,"bk"),
SUMIFS($E$11:$E$291,$D$11:$D$291,"&gt;="&amp;EOMONTH(I$8,-1)+1,$D$11:$D$291,"&lt;="&amp;EOMONTH(I$8,0),$F$11:$F$291,"bk."),
SUMIFS($E$11:$E$291,$D$11:$D$291,"&gt;="&amp;EOMONTH(I$8,-1)+1,$D$11:$D$291,"&lt;="&amp;EOMONTH(I$8,0),$F$11:$F$291,"mgc")
)</f>
        <v>0</v>
      </c>
      <c r="J4" s="14">
        <f>SUM(
SUMIFS($E$11:$E$291,$D$11:$D$291,"&gt;="&amp;EOMONTH(J$8,-1)+1,$D$11:$D$291,"&lt;="&amp;EOMONTH(J$8,0),$F$11:$F$291,"kp"),
SUMIFS($E$11:$E$291,$D$11:$D$291,"&gt;="&amp;EOMONTH(J$8,-1)+1,$D$11:$D$291,"&lt;="&amp;EOMONTH(J$8,0),$F$11:$F$291,"kp."),
SUMIFS($E$11:$E$291,$D$11:$D$291,"&gt;="&amp;EOMONTH(J$8,-1)+1,$D$11:$D$291,"&lt;="&amp;EOMONTH(J$8,0),$F$11:$F$291,"bk"),
SUMIFS($E$11:$E$291,$D$11:$D$291,"&gt;="&amp;EOMONTH(J$8,-1)+1,$D$11:$D$291,"&lt;="&amp;EOMONTH(J$8,0),$F$11:$F$291,"bk."),
SUMIFS($E$11:$E$291,$D$11:$D$291,"&gt;="&amp;EOMONTH(J$8,-1)+1,$D$11:$D$291,"&lt;="&amp;EOMONTH(J$8,0),$F$11:$F$291,"mgc")
)</f>
        <v>0</v>
      </c>
      <c r="K4" s="14">
        <f>SUM(
SUMIFS($E$11:$E$291,$D$11:$D$291,"&gt;="&amp;EOMONTH(K$8,-1)+1,$D$11:$D$291,"&lt;="&amp;EOMONTH(K$8,0),$F$11:$F$291,"kp"),
SUMIFS($E$11:$E$291,$D$11:$D$291,"&gt;="&amp;EOMONTH(K$8,-1)+1,$D$11:$D$291,"&lt;="&amp;EOMONTH(K$8,0),$F$11:$F$291,"kp."),
SUMIFS($E$11:$E$291,$D$11:$D$291,"&gt;="&amp;EOMONTH(K$8,-1)+1,$D$11:$D$291,"&lt;="&amp;EOMONTH(K$8,0),$F$11:$F$291,"bk"),
SUMIFS($E$11:$E$291,$D$11:$D$291,"&gt;="&amp;EOMONTH(K$8,-1)+1,$D$11:$D$291,"&lt;="&amp;EOMONTH(K$8,0),$F$11:$F$291,"bk."),
SUMIFS($E$11:$E$291,$D$11:$D$291,"&gt;="&amp;EOMONTH(K$8,-1)+1,$D$11:$D$291,"&lt;="&amp;EOMONTH(K$8,0),$F$11:$F$291,"mgc")
)</f>
        <v>0</v>
      </c>
      <c r="L4" s="14">
        <f>SUM(
SUMIFS($E$11:$E$291,$D$11:$D$291,"&gt;="&amp;EOMONTH(L$8,-1)+1,$D$11:$D$291,"&lt;="&amp;EOMONTH(L$8,0),$F$11:$F$291,"kp"),
SUMIFS($E$11:$E$291,$D$11:$D$291,"&gt;="&amp;EOMONTH(L$8,-1)+1,$D$11:$D$291,"&lt;="&amp;EOMONTH(L$8,0),$F$11:$F$291,"kp."),
SUMIFS($E$11:$E$291,$D$11:$D$291,"&gt;="&amp;EOMONTH(L$8,-1)+1,$D$11:$D$291,"&lt;="&amp;EOMONTH(L$8,0),$F$11:$F$291,"bk"),
SUMIFS($E$11:$E$291,$D$11:$D$291,"&gt;="&amp;EOMONTH(L$8,-1)+1,$D$11:$D$291,"&lt;="&amp;EOMONTH(L$8,0),$F$11:$F$291,"bk."),
SUMIFS($E$11:$E$291,$D$11:$D$291,"&gt;="&amp;EOMONTH(L$8,-1)+1,$D$11:$D$291,"&lt;="&amp;EOMONTH(L$8,0),$F$11:$F$291,"mgc")
)</f>
        <v>0</v>
      </c>
      <c r="M4" s="23"/>
    </row>
    <row r="5" spans="1:26" ht="15.6">
      <c r="A5" s="33">
        <f>SUMIFS(E11:E885,D11:D885,"&gt;=2025.01.01",D11:D885,"&lt;=2025.01.31",A11:A885,"HELIT*",F11:F885,"kp") + SUMIFS(E11:E885,D11:D885,"&gt;=2025.01.01",D11:D885,"&lt;=2025.01.31",A11:A885,"HELIT*",F11:F885,"kp.") + SUMIFS(E11:E885,D11:D885,"&gt;=2025.01.01",D11:D885,"&lt;=2025.01.31",A11:A885,"HELIT*",F11:F885,"bk") + SUMIFS(E11:E885,D11:D885,"&gt;=2025.01.01",D11:D885,"&lt;=2025.01.31",A11:A885,"HELIT*",F11:F885,"bk.") + SUMIFS(E11:E885,D11:D885,"&gt;=2025.01.01",D11:D885,"&lt;=2025.01.31",A11:A885,"HELIT*",F11:F885,"bankkártya")</f>
        <v>0</v>
      </c>
      <c r="B5" s="34">
        <f>SUMIFS(E11:E2387,D11:D2387,"&gt;=2025.02.01",D11:D2387,"&lt;=2025.02.28",A11:A2387,"HELIT*",F11:F2387,"kp") + SUMIFS(E11:E2387,D11:D2387,"&gt;=2025.02.01",D11:D2387,"&lt;=2025.02.28",A11:A2387,"HELIT*",F11:F2387,"kp.") + SUMIFS(E11:E2387,D11:D2387,"&gt;=2025.02.01",D11:D2387,"&lt;=2025.02.28",A11:A2387,"HELIT*",F11:F2387,"bk") + SUMIFS(E11:E2387,D11:D2387,"&gt;=2025.02.01",D11:D2387,"&lt;=2025.02.28",A11:A2387,"HELIT*",F11:F2387,"bk.") + SUMIFS(E11:E2387,D11:D2387,"&gt;=2025.02.01",D11:D2387,"&lt;=2025.02.28",A11:A2387,"HELIT*",F11:F2387,"bankkártya")</f>
        <v>0</v>
      </c>
      <c r="C5" s="34">
        <f>SUMIFS(E11:E2268,D11:D2268,"&gt;=2025.03.01",D11:D2268,"&lt;=2025.03.31",A11:A2268,"HELIT*",F11:F2268,"kp") + SUMIFS(E11:E2268,D11:D2268,"&gt;=2025.03.01",D11:D2268,"&lt;=2025.03.31",A11:A2268,"HELIT*",F11:F2268,"kp.") + SUMIFS(E11:E2268,D11:D2268,"&gt;=2025.03.01",D11:D2268,"&lt;=2025.03.31",A11:A2268,"HELIT*",F11:F2268,"bk") + SUMIFS(E11:E2268,D11:D2268,"&gt;=2025.03.01",D11:D2268,"&lt;=2025.03.31",A11:A2268,"HELIT*",F11:F2268,"bk.") + SUMIFS(E11:E2268,D11:D2268,"&gt;=2025.03.01",D11:D2268,"&lt;=2025.03.31",A11:A2268,"HELIT*",F11:F2268,"bankkártya")</f>
        <v>0</v>
      </c>
      <c r="D5" s="38">
        <f>SUMIFS(E11:E2268,D11:D2268,"&gt;=2025.04.01",D11:D2268,"&lt;=2025.04.30",A11:A2268,"HELIT*",F11:F2268,"kp") + SUMIFS(E11:E2268,D11:D2268,"&gt;=2025.04.01",D11:D2268,"&lt;=2025.04.30",A11:A2268,"HELIT*",F11:F2268,"kp.") + SUMIFS(E11:E2268,D11:D2268,"&gt;=2025.04.01",D11:D2268,"&lt;=2025.04.30",A11:A2268,"HELIT*",F11:F2268,"bk") + SUMIFS(E11:E2268,D11:D2268,"&gt;=2025.04.01",D11:D2268,"&lt;=2025.04.30",A11:A2268,"HELIT*",F11:F2268,"bk.") + SUMIFS(E11:E2268,D11:D2268,"&gt;=2025.04.01",D11:D2268,"&lt;=2025.04.30",A11:A2268,"HELIT*",F11:F2268,"bankkártya")</f>
        <v>0</v>
      </c>
      <c r="E5" s="25"/>
      <c r="F5" s="24"/>
      <c r="G5" s="26"/>
      <c r="H5" s="27"/>
      <c r="I5" s="27"/>
      <c r="J5" s="27"/>
      <c r="K5" s="27"/>
      <c r="L5" s="27"/>
      <c r="M5" s="28"/>
    </row>
    <row r="6" spans="1:26" ht="15.6">
      <c r="A6" s="1" t="s">
        <v>20</v>
      </c>
      <c r="B6" s="1"/>
      <c r="C6" s="1"/>
      <c r="D6" s="13"/>
      <c r="E6" s="14"/>
      <c r="F6" s="1"/>
      <c r="G6" s="3"/>
    </row>
    <row r="7" spans="1:26">
      <c r="A7" s="144" cm="1">
        <f t="array" ref="A7">SUM(SUMIFS($E$11:$E$2010,
$D$11:$D$2010,"&gt;="&amp;EOMONTH(A8,-1)+1,
$D$11:$D$2010,"&lt;="&amp;EOMONTH(A8,0),
$F$11:$F$2010,{"kp";"kp."}))</f>
        <v>30187</v>
      </c>
      <c r="B7" s="144" cm="1">
        <f t="array" ref="B7">SUM(SUMIFS($E$11:$E$2010,
$D$11:$D$2010,"&gt;="&amp;EOMONTH(B8,-1)+1,
$D$11:$D$2010,"&lt;="&amp;EOMONTH(B8,0),
$F$11:$F$2010,{"kp";"kp."}))</f>
        <v>0</v>
      </c>
      <c r="C7" s="144" cm="1">
        <f t="array" ref="C7">SUM(SUMIFS($E$11:$E$2010,
$D$11:$D$2010,"&gt;="&amp;EOMONTH(C8,-1)+1,
$D$11:$D$2010,"&lt;="&amp;EOMONTH(C8,0),
$F$11:$F$2010,{"kp";"kp."}))</f>
        <v>64640</v>
      </c>
      <c r="D7" s="144" cm="1">
        <f t="array" ref="D7">SUM(SUMIFS($E$11:$E$2010,
$D$11:$D$2010,"&gt;="&amp;EOMONTH(D8,-1)+1,
$D$11:$D$2010,"&lt;="&amp;EOMONTH(D8,0),
$F$11:$F$2010,{"kp";"kp."}))</f>
        <v>5780</v>
      </c>
      <c r="E7" s="144" cm="1">
        <f t="array" ref="E7">SUM(SUMIFS($E$11:$E$2010,
$D$11:$D$2010,"&gt;="&amp;EOMONTH(E8,-1)+1,
$D$11:$D$2010,"&lt;="&amp;EOMONTH(E8,0),
$F$11:$F$2010,{"kp";"kp."}))</f>
        <v>0</v>
      </c>
      <c r="F7" s="144" cm="1">
        <f t="array" ref="F7">SUM(SUMIFS($E$11:$E$2010,
$D$11:$D$2010,"&gt;="&amp;EOMONTH(F8,-1)+1,
$D$11:$D$2010,"&lt;="&amp;EOMONTH(F8,0),
$F$11:$F$2010,{"kp";"kp."}))</f>
        <v>0</v>
      </c>
      <c r="G7" s="144" cm="1">
        <f t="array" ref="G7">SUM(SUMIFS($E$11:$E$2010,
$D$11:$D$2010,"&gt;="&amp;EOMONTH(G8,-1)+1,
$D$11:$D$2010,"&lt;="&amp;EOMONTH(G8,0),
$F$11:$F$2010,{"kp";"kp."}))</f>
        <v>0</v>
      </c>
      <c r="H7" s="144" cm="1">
        <f t="array" ref="H7">SUM(SUMIFS($E$11:$E$2010,
$D$11:$D$2010,"&gt;="&amp;EOMONTH(H8,-1)+1,
$D$11:$D$2010,"&lt;="&amp;EOMONTH(H8,0),
$F$11:$F$2010,{"kp";"kp."}))</f>
        <v>0</v>
      </c>
      <c r="I7" s="144" cm="1">
        <f t="array" ref="I7">SUM(SUMIFS($E$11:$E$2010,
$D$11:$D$2010,"&gt;="&amp;EOMONTH(I8,-1)+1,
$D$11:$D$2010,"&lt;="&amp;EOMONTH(I8,0),
$F$11:$F$2010,{"kp";"kp."}))</f>
        <v>0</v>
      </c>
      <c r="J7" s="144" cm="1">
        <f t="array" ref="J7">SUM(SUMIFS($E$11:$E$2010,
$D$11:$D$2010,"&gt;="&amp;EOMONTH(J8,-1)+1,
$D$11:$D$2010,"&lt;="&amp;EOMONTH(J8,0),
$F$11:$F$2010,{"kp";"kp."}))</f>
        <v>0</v>
      </c>
      <c r="K7" s="144" cm="1">
        <f t="array" ref="K7">SUM(SUMIFS($E$11:$E$2010,
$D$11:$D$2010,"&gt;="&amp;EOMONTH(K8,-1)+1,
$D$11:$D$2010,"&lt;="&amp;EOMONTH(K8,0),
$F$11:$F$2010,{"kp";"kp."}))</f>
        <v>0</v>
      </c>
      <c r="L7" s="144" cm="1">
        <f t="array" ref="L7">SUM(SUMIFS($E$11:$E$2010,
$D$11:$D$2010,"&gt;="&amp;EOMONTH(L8,-1)+1,
$D$11:$D$2010,"&lt;="&amp;EOMONTH(L8,0),
$F$11:$F$2010,{"kp";"kp."}))</f>
        <v>0</v>
      </c>
    </row>
    <row r="8" spans="1:26" s="156" customFormat="1">
      <c r="A8" s="40">
        <v>46037</v>
      </c>
      <c r="B8" s="40">
        <v>46068</v>
      </c>
      <c r="C8" s="40">
        <v>46096</v>
      </c>
      <c r="D8" s="40">
        <v>46127</v>
      </c>
      <c r="E8" s="40">
        <v>46157</v>
      </c>
      <c r="F8" s="40">
        <v>46188</v>
      </c>
      <c r="G8" s="40">
        <v>46218</v>
      </c>
      <c r="H8" s="40">
        <v>46249</v>
      </c>
      <c r="I8" s="40">
        <v>46280</v>
      </c>
      <c r="J8" s="40">
        <v>46310</v>
      </c>
      <c r="K8" s="40">
        <v>46341</v>
      </c>
      <c r="L8" s="40">
        <v>46371</v>
      </c>
    </row>
    <row r="9" spans="1:26" ht="15.6" customHeight="1">
      <c r="A9" s="188" t="s">
        <v>21</v>
      </c>
      <c r="B9" s="188"/>
      <c r="C9" s="188"/>
      <c r="D9" s="188"/>
      <c r="E9" s="188"/>
      <c r="F9" s="188"/>
      <c r="G9" s="188"/>
    </row>
    <row r="10" spans="1:26" ht="15.6" customHeight="1">
      <c r="A10" s="189" t="s">
        <v>22</v>
      </c>
      <c r="B10" s="189"/>
      <c r="C10" s="189"/>
      <c r="D10" s="189"/>
      <c r="E10" s="189"/>
      <c r="F10" s="189"/>
      <c r="G10" s="189"/>
    </row>
    <row r="11" spans="1:26" ht="15.6" customHeight="1">
      <c r="A11" s="5" t="s">
        <v>23</v>
      </c>
      <c r="B11" s="84">
        <v>617000749</v>
      </c>
      <c r="D11" s="6">
        <v>46027</v>
      </c>
      <c r="E11" s="10">
        <v>492605</v>
      </c>
      <c r="F11" s="5" t="s">
        <v>24</v>
      </c>
    </row>
    <row r="12" spans="1:26" s="7" customFormat="1" ht="15.6" customHeight="1">
      <c r="A12" s="5" t="s">
        <v>23</v>
      </c>
      <c r="B12" s="84">
        <v>617001802</v>
      </c>
      <c r="C12" s="5"/>
      <c r="D12" s="6">
        <v>46028</v>
      </c>
      <c r="E12" s="10">
        <v>7876</v>
      </c>
      <c r="F12" s="5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s="7" customFormat="1" ht="15.6" customHeight="1">
      <c r="A13" s="5" t="s">
        <v>23</v>
      </c>
      <c r="B13" s="84">
        <v>617001803</v>
      </c>
      <c r="C13" s="5"/>
      <c r="D13" s="6">
        <v>46028</v>
      </c>
      <c r="E13" s="10">
        <v>318815</v>
      </c>
      <c r="F13" s="5" t="s">
        <v>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s="7" customFormat="1" ht="15.6" customHeight="1">
      <c r="A14" s="5" t="s">
        <v>23</v>
      </c>
      <c r="B14" s="84">
        <v>617002496</v>
      </c>
      <c r="C14" s="5"/>
      <c r="D14" s="6">
        <v>46029</v>
      </c>
      <c r="E14" s="10">
        <v>136898</v>
      </c>
      <c r="F14" s="5" t="s">
        <v>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s="7" customFormat="1" ht="15.6" customHeight="1">
      <c r="A15" s="5" t="s">
        <v>25</v>
      </c>
      <c r="B15" s="84" t="s">
        <v>26</v>
      </c>
      <c r="C15" s="5"/>
      <c r="D15" s="6">
        <v>46029</v>
      </c>
      <c r="E15" s="10">
        <v>6117</v>
      </c>
      <c r="F15" s="5" t="s">
        <v>24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s="7" customFormat="1" ht="15.6" customHeight="1">
      <c r="A16" s="5" t="s">
        <v>27</v>
      </c>
      <c r="B16" s="84" t="s">
        <v>28</v>
      </c>
      <c r="C16" s="5"/>
      <c r="D16" s="6">
        <v>46028</v>
      </c>
      <c r="E16" s="10">
        <v>7190</v>
      </c>
      <c r="F16" s="5" t="s">
        <v>29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s="7" customFormat="1" ht="15.6" customHeight="1">
      <c r="A17" s="5" t="s">
        <v>23</v>
      </c>
      <c r="B17" s="84">
        <v>617003033</v>
      </c>
      <c r="C17" s="5"/>
      <c r="D17" s="6">
        <v>46030</v>
      </c>
      <c r="E17" s="10">
        <v>446526</v>
      </c>
      <c r="F17" s="5" t="s">
        <v>24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s="7" customFormat="1" ht="15.6" customHeight="1">
      <c r="A18" s="5" t="s">
        <v>30</v>
      </c>
      <c r="B18" s="84" t="s">
        <v>31</v>
      </c>
      <c r="C18" s="5"/>
      <c r="D18" s="6">
        <v>46029</v>
      </c>
      <c r="E18" s="10">
        <v>22997</v>
      </c>
      <c r="F18" s="5" t="s">
        <v>29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s="7" customFormat="1" ht="15.6" customHeight="1">
      <c r="A19" s="5" t="s">
        <v>23</v>
      </c>
      <c r="B19" s="84">
        <v>617003692</v>
      </c>
      <c r="C19" s="5"/>
      <c r="D19" s="6">
        <v>46031</v>
      </c>
      <c r="E19" s="10">
        <v>12070</v>
      </c>
      <c r="F19" s="5" t="s">
        <v>24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s="7" customFormat="1" ht="15.6" customHeight="1">
      <c r="A20" s="5" t="s">
        <v>23</v>
      </c>
      <c r="B20" s="84">
        <v>617003700</v>
      </c>
      <c r="C20" s="5"/>
      <c r="D20" s="6">
        <v>46031</v>
      </c>
      <c r="E20" s="10">
        <v>277835</v>
      </c>
      <c r="F20" s="5" t="s">
        <v>24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s="7" customFormat="1" ht="15.6" customHeight="1">
      <c r="A21" s="5" t="s">
        <v>25</v>
      </c>
      <c r="B21" s="84" t="s">
        <v>32</v>
      </c>
      <c r="C21" s="5"/>
      <c r="D21" s="6">
        <v>46031</v>
      </c>
      <c r="E21" s="10">
        <v>3792</v>
      </c>
      <c r="F21" s="5" t="s">
        <v>24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 customHeight="1">
      <c r="A22" s="5" t="s">
        <v>33</v>
      </c>
      <c r="B22" s="84" t="s">
        <v>34</v>
      </c>
      <c r="D22" s="6">
        <v>46028</v>
      </c>
      <c r="E22" s="10">
        <v>16601</v>
      </c>
      <c r="F22" s="5" t="s">
        <v>24</v>
      </c>
    </row>
    <row r="23" spans="1:26" ht="15.6" customHeight="1">
      <c r="A23" s="5" t="s">
        <v>23</v>
      </c>
      <c r="B23" s="84">
        <v>617004208</v>
      </c>
      <c r="D23" s="6">
        <v>46032</v>
      </c>
      <c r="E23" s="10">
        <v>280426</v>
      </c>
      <c r="F23" s="30" t="s">
        <v>24</v>
      </c>
    </row>
    <row r="24" spans="1:26" ht="15.6" customHeight="1">
      <c r="A24" s="5" t="s">
        <v>23</v>
      </c>
      <c r="B24" s="84">
        <v>617005354</v>
      </c>
      <c r="D24" s="6">
        <v>46035</v>
      </c>
      <c r="E24" s="10">
        <v>199109</v>
      </c>
      <c r="F24" s="5" t="s">
        <v>24</v>
      </c>
    </row>
    <row r="25" spans="1:26" ht="15.6" customHeight="1">
      <c r="A25" s="5" t="s">
        <v>23</v>
      </c>
      <c r="B25" s="84">
        <v>617005958</v>
      </c>
      <c r="D25" s="6">
        <v>46036</v>
      </c>
      <c r="E25" s="10">
        <v>445793</v>
      </c>
      <c r="F25" s="5" t="s">
        <v>24</v>
      </c>
    </row>
    <row r="26" spans="1:26" ht="15.6" customHeight="1">
      <c r="A26" s="5" t="s">
        <v>23</v>
      </c>
      <c r="B26" s="84">
        <v>617006508</v>
      </c>
      <c r="D26" s="6">
        <v>46037</v>
      </c>
      <c r="E26" s="10">
        <v>264389</v>
      </c>
      <c r="F26" s="5" t="s">
        <v>24</v>
      </c>
    </row>
    <row r="27" spans="1:26" ht="15.6" customHeight="1">
      <c r="A27" s="5" t="s">
        <v>25</v>
      </c>
      <c r="B27" s="84" t="s">
        <v>35</v>
      </c>
      <c r="D27" s="6">
        <v>46038</v>
      </c>
      <c r="E27" s="10">
        <v>9664</v>
      </c>
      <c r="F27" s="5" t="s">
        <v>24</v>
      </c>
    </row>
    <row r="28" spans="1:26" ht="15.6" customHeight="1">
      <c r="A28" s="5" t="s">
        <v>23</v>
      </c>
      <c r="B28" s="84">
        <v>617007190</v>
      </c>
      <c r="D28" s="6">
        <v>46038</v>
      </c>
      <c r="E28" s="10">
        <v>272501</v>
      </c>
      <c r="F28" s="5" t="s">
        <v>24</v>
      </c>
    </row>
    <row r="29" spans="1:26" ht="15.6" customHeight="1">
      <c r="A29" s="5" t="s">
        <v>23</v>
      </c>
      <c r="B29" s="84">
        <v>617007951</v>
      </c>
      <c r="D29" s="6">
        <v>46041</v>
      </c>
      <c r="E29" s="10">
        <v>261459</v>
      </c>
      <c r="F29" s="5" t="s">
        <v>24</v>
      </c>
    </row>
    <row r="30" spans="1:26" ht="15.6" customHeight="1">
      <c r="A30" s="5" t="s">
        <v>23</v>
      </c>
      <c r="B30" s="84">
        <v>617008884</v>
      </c>
      <c r="D30" s="6">
        <v>46042</v>
      </c>
      <c r="E30" s="10">
        <v>206431</v>
      </c>
      <c r="F30" s="5" t="s">
        <v>24</v>
      </c>
    </row>
    <row r="31" spans="1:26" ht="15.6" customHeight="1">
      <c r="A31" s="5" t="s">
        <v>23</v>
      </c>
      <c r="B31" s="84">
        <v>617009526</v>
      </c>
      <c r="D31" s="6">
        <v>46043</v>
      </c>
      <c r="E31" s="10">
        <v>279924</v>
      </c>
      <c r="F31" s="5" t="s">
        <v>24</v>
      </c>
    </row>
    <row r="32" spans="1:26" ht="15.6" customHeight="1">
      <c r="A32" s="5" t="s">
        <v>23</v>
      </c>
      <c r="B32" s="84">
        <v>617010035</v>
      </c>
      <c r="D32" s="6">
        <v>46044</v>
      </c>
      <c r="E32" s="10">
        <v>238518</v>
      </c>
      <c r="F32" s="5" t="s">
        <v>24</v>
      </c>
    </row>
    <row r="33" spans="1:7" ht="15.6" customHeight="1">
      <c r="A33" s="5" t="s">
        <v>36</v>
      </c>
      <c r="B33" s="84" t="s">
        <v>37</v>
      </c>
      <c r="D33" s="6">
        <v>46043</v>
      </c>
      <c r="E33" s="10">
        <v>999</v>
      </c>
      <c r="F33" s="5" t="s">
        <v>24</v>
      </c>
    </row>
    <row r="34" spans="1:7" ht="15.6" customHeight="1">
      <c r="A34" s="5" t="s">
        <v>23</v>
      </c>
      <c r="B34" s="84">
        <v>617010744</v>
      </c>
      <c r="D34" s="6">
        <v>46045</v>
      </c>
      <c r="E34" s="10">
        <v>222328</v>
      </c>
      <c r="F34" s="5" t="s">
        <v>24</v>
      </c>
    </row>
    <row r="35" spans="1:7" ht="15.6" customHeight="1">
      <c r="A35" s="5" t="s">
        <v>38</v>
      </c>
      <c r="B35" s="84" t="s">
        <v>39</v>
      </c>
      <c r="D35" s="6">
        <v>46044</v>
      </c>
      <c r="E35" s="10">
        <v>8844</v>
      </c>
      <c r="F35" s="5" t="s">
        <v>24</v>
      </c>
    </row>
    <row r="36" spans="1:7" ht="15.6" customHeight="1">
      <c r="A36" s="5" t="s">
        <v>23</v>
      </c>
      <c r="B36" s="84">
        <v>617011542</v>
      </c>
      <c r="D36" s="6">
        <v>46048</v>
      </c>
      <c r="E36" s="10">
        <v>304366</v>
      </c>
      <c r="F36" s="5" t="s">
        <v>24</v>
      </c>
    </row>
    <row r="37" spans="1:7" ht="15.6" customHeight="1">
      <c r="A37" s="5" t="s">
        <v>23</v>
      </c>
      <c r="B37" s="84">
        <v>617012491</v>
      </c>
      <c r="D37" s="6">
        <v>46049</v>
      </c>
      <c r="E37" s="10">
        <v>721094</v>
      </c>
      <c r="F37" s="5" t="s">
        <v>24</v>
      </c>
    </row>
    <row r="38" spans="1:7" ht="15.6" customHeight="1">
      <c r="A38" s="5" t="s">
        <v>40</v>
      </c>
      <c r="B38" s="84">
        <v>202606700</v>
      </c>
      <c r="D38" s="6">
        <v>46044</v>
      </c>
      <c r="E38" s="10">
        <v>31960</v>
      </c>
      <c r="F38" s="5" t="s">
        <v>24</v>
      </c>
    </row>
    <row r="39" spans="1:7" ht="15.6" customHeight="1">
      <c r="A39" s="5" t="s">
        <v>36</v>
      </c>
      <c r="B39" s="84" t="s">
        <v>41</v>
      </c>
      <c r="D39" s="6">
        <v>46050</v>
      </c>
      <c r="E39" s="10">
        <v>7409</v>
      </c>
      <c r="F39" s="5" t="s">
        <v>24</v>
      </c>
    </row>
    <row r="40" spans="1:7" ht="15.6" customHeight="1">
      <c r="A40" s="5" t="s">
        <v>36</v>
      </c>
      <c r="B40" s="84" t="s">
        <v>42</v>
      </c>
      <c r="D40" s="6">
        <v>46050</v>
      </c>
      <c r="E40" s="10">
        <v>4443</v>
      </c>
      <c r="F40" s="5" t="s">
        <v>24</v>
      </c>
    </row>
    <row r="41" spans="1:7" ht="15.6" customHeight="1">
      <c r="A41" s="5" t="s">
        <v>23</v>
      </c>
      <c r="B41" s="84">
        <v>617013623</v>
      </c>
      <c r="D41" s="6">
        <v>46051</v>
      </c>
      <c r="E41" s="10">
        <v>65828</v>
      </c>
      <c r="F41" s="5" t="s">
        <v>24</v>
      </c>
    </row>
    <row r="42" spans="1:7" ht="15.6" customHeight="1">
      <c r="A42" s="5" t="s">
        <v>23</v>
      </c>
      <c r="B42" s="84">
        <v>261800673</v>
      </c>
      <c r="D42" s="6">
        <v>46049</v>
      </c>
      <c r="E42" s="10">
        <v>-724266</v>
      </c>
      <c r="F42" s="5" t="s">
        <v>24</v>
      </c>
    </row>
    <row r="43" spans="1:7" ht="15.6" customHeight="1">
      <c r="A43" s="5" t="s">
        <v>23</v>
      </c>
      <c r="B43" s="84">
        <v>617012473</v>
      </c>
      <c r="D43" s="6">
        <v>46049</v>
      </c>
      <c r="E43" s="10">
        <v>724266</v>
      </c>
      <c r="F43" s="5" t="s">
        <v>24</v>
      </c>
    </row>
    <row r="44" spans="1:7" ht="15.6" customHeight="1">
      <c r="E44" s="90">
        <f>SUM(E11:E43)</f>
        <v>5574807</v>
      </c>
    </row>
    <row r="45" spans="1:7" ht="15.6" customHeight="1">
      <c r="A45" s="188" t="s">
        <v>21</v>
      </c>
      <c r="B45" s="188"/>
      <c r="C45" s="188"/>
      <c r="D45" s="188"/>
      <c r="E45" s="188"/>
      <c r="F45" s="188"/>
      <c r="G45" s="188"/>
    </row>
    <row r="46" spans="1:7" ht="15.6" customHeight="1">
      <c r="A46" s="189" t="s">
        <v>43</v>
      </c>
      <c r="B46" s="189"/>
      <c r="C46" s="189"/>
      <c r="D46" s="189"/>
      <c r="E46" s="189"/>
      <c r="F46" s="189"/>
      <c r="G46" s="189"/>
    </row>
    <row r="47" spans="1:7" ht="15.6" customHeight="1">
      <c r="A47" s="5" t="s">
        <v>44</v>
      </c>
      <c r="C47" s="5">
        <v>8929577784</v>
      </c>
      <c r="D47" s="6">
        <v>46027</v>
      </c>
      <c r="E47" s="10">
        <v>100586</v>
      </c>
      <c r="F47" s="30">
        <v>46041</v>
      </c>
    </row>
    <row r="48" spans="1:7" ht="15.6" customHeight="1">
      <c r="A48" s="5" t="s">
        <v>45</v>
      </c>
      <c r="C48" s="5">
        <v>3048033</v>
      </c>
      <c r="D48" s="6">
        <v>46027</v>
      </c>
      <c r="E48" s="10">
        <v>97107</v>
      </c>
    </row>
    <row r="49" spans="1:26" ht="15.6" customHeight="1">
      <c r="A49" s="5" t="s">
        <v>46</v>
      </c>
      <c r="B49" s="5" t="s">
        <v>47</v>
      </c>
      <c r="D49" s="6">
        <v>46026</v>
      </c>
      <c r="E49" s="10">
        <v>117072</v>
      </c>
      <c r="F49" s="30">
        <v>46041</v>
      </c>
    </row>
    <row r="50" spans="1:26" ht="15.6" customHeight="1">
      <c r="A50" s="5" t="s">
        <v>48</v>
      </c>
      <c r="B50" s="5" t="s">
        <v>49</v>
      </c>
      <c r="D50" s="6">
        <v>46027</v>
      </c>
      <c r="E50" s="10">
        <v>35558</v>
      </c>
      <c r="F50" s="30">
        <v>46035</v>
      </c>
    </row>
    <row r="51" spans="1:26" ht="15.6" customHeight="1">
      <c r="A51" s="5" t="s">
        <v>50</v>
      </c>
      <c r="B51" s="5" t="s">
        <v>51</v>
      </c>
      <c r="D51" s="6">
        <v>46028</v>
      </c>
      <c r="E51" s="10">
        <v>65020</v>
      </c>
      <c r="F51" s="30">
        <v>46036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6" customHeight="1">
      <c r="A52" s="5" t="s">
        <v>46</v>
      </c>
      <c r="B52" s="5" t="s">
        <v>52</v>
      </c>
      <c r="D52" s="6">
        <v>46027</v>
      </c>
      <c r="E52" s="10">
        <v>29567</v>
      </c>
      <c r="F52" s="30">
        <v>46042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6" customHeight="1">
      <c r="A53" s="5" t="s">
        <v>53</v>
      </c>
      <c r="B53" s="5" t="s">
        <v>54</v>
      </c>
      <c r="D53" s="6">
        <v>46028</v>
      </c>
      <c r="E53" s="10">
        <v>89429</v>
      </c>
      <c r="F53" s="30">
        <v>46036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6" customHeight="1">
      <c r="A54" s="5" t="s">
        <v>46</v>
      </c>
      <c r="B54" s="5" t="s">
        <v>55</v>
      </c>
      <c r="D54" s="6">
        <v>46028</v>
      </c>
      <c r="E54" s="10">
        <v>33143</v>
      </c>
      <c r="F54" s="30">
        <v>46043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6" customHeight="1">
      <c r="A55" s="5" t="s">
        <v>27</v>
      </c>
      <c r="D55" s="6">
        <v>46028</v>
      </c>
      <c r="E55" s="10">
        <v>26172</v>
      </c>
    </row>
    <row r="56" spans="1:26" ht="15.6" customHeight="1">
      <c r="A56" s="5" t="s">
        <v>56</v>
      </c>
      <c r="B56" s="5" t="s">
        <v>57</v>
      </c>
      <c r="D56" s="6">
        <v>46029</v>
      </c>
      <c r="E56" s="10">
        <v>147004</v>
      </c>
      <c r="F56" s="30">
        <v>46037</v>
      </c>
    </row>
    <row r="57" spans="1:26" ht="15.6" customHeight="1">
      <c r="A57" s="5" t="s">
        <v>46</v>
      </c>
      <c r="B57" s="5" t="s">
        <v>58</v>
      </c>
      <c r="D57" s="6">
        <v>46029</v>
      </c>
      <c r="E57" s="10">
        <v>56772</v>
      </c>
      <c r="F57" s="30">
        <v>46044</v>
      </c>
    </row>
    <row r="58" spans="1:26" ht="15.6" customHeight="1">
      <c r="A58" s="5" t="s">
        <v>46</v>
      </c>
      <c r="B58" s="5" t="s">
        <v>59</v>
      </c>
      <c r="D58" s="6">
        <v>46030</v>
      </c>
      <c r="E58" s="10">
        <v>44268</v>
      </c>
      <c r="F58" s="30">
        <v>46045</v>
      </c>
    </row>
    <row r="59" spans="1:26" ht="15.6" customHeight="1">
      <c r="A59" s="5" t="s">
        <v>46</v>
      </c>
      <c r="B59" s="5" t="s">
        <v>60</v>
      </c>
      <c r="D59" s="6">
        <v>46034</v>
      </c>
      <c r="E59" s="10">
        <v>71197</v>
      </c>
      <c r="F59" s="30">
        <v>46049</v>
      </c>
    </row>
    <row r="60" spans="1:26" ht="15.6" customHeight="1">
      <c r="A60" s="5" t="s">
        <v>46</v>
      </c>
      <c r="B60" s="5" t="s">
        <v>61</v>
      </c>
      <c r="D60" s="6">
        <v>46034</v>
      </c>
      <c r="E60" s="10">
        <v>33940</v>
      </c>
      <c r="F60" s="30">
        <v>46049</v>
      </c>
    </row>
    <row r="61" spans="1:26" ht="15.6" customHeight="1">
      <c r="A61" s="5" t="s">
        <v>46</v>
      </c>
      <c r="B61" s="5" t="s">
        <v>62</v>
      </c>
      <c r="D61" s="6">
        <v>46035</v>
      </c>
      <c r="E61" s="10">
        <v>55296</v>
      </c>
      <c r="F61" s="30">
        <v>46050</v>
      </c>
    </row>
    <row r="62" spans="1:26" ht="15.6" customHeight="1">
      <c r="A62" s="5" t="s">
        <v>50</v>
      </c>
      <c r="B62" s="5" t="s">
        <v>63</v>
      </c>
      <c r="D62" s="6">
        <v>46036</v>
      </c>
      <c r="E62" s="10">
        <v>65020</v>
      </c>
      <c r="F62" s="30">
        <v>46044</v>
      </c>
    </row>
    <row r="63" spans="1:26" ht="15.6" customHeight="1">
      <c r="A63" s="5" t="s">
        <v>64</v>
      </c>
      <c r="B63" s="5" t="s">
        <v>65</v>
      </c>
      <c r="D63" s="6">
        <v>46036</v>
      </c>
      <c r="E63" s="10">
        <v>38100</v>
      </c>
      <c r="F63" s="30">
        <v>46036</v>
      </c>
    </row>
    <row r="64" spans="1:26" ht="15.6" customHeight="1">
      <c r="A64" s="5" t="s">
        <v>46</v>
      </c>
      <c r="B64" s="5" t="s">
        <v>66</v>
      </c>
      <c r="D64" s="6">
        <v>46036</v>
      </c>
      <c r="E64" s="10">
        <v>54148</v>
      </c>
      <c r="F64" s="30">
        <v>46051</v>
      </c>
    </row>
    <row r="65" spans="1:6" ht="15.6" customHeight="1">
      <c r="A65" s="5" t="s">
        <v>46</v>
      </c>
      <c r="B65" s="5" t="s">
        <v>67</v>
      </c>
      <c r="D65" s="6">
        <v>46037</v>
      </c>
      <c r="E65" s="10">
        <v>31272</v>
      </c>
      <c r="F65" s="30">
        <v>46052</v>
      </c>
    </row>
    <row r="66" spans="1:6" ht="15.6" customHeight="1">
      <c r="A66" s="5" t="s">
        <v>46</v>
      </c>
      <c r="B66" s="5" t="s">
        <v>68</v>
      </c>
      <c r="D66" s="6">
        <v>46041</v>
      </c>
      <c r="E66" s="10">
        <v>65387</v>
      </c>
      <c r="F66" s="30">
        <v>46056</v>
      </c>
    </row>
    <row r="67" spans="1:6" ht="15.6" customHeight="1">
      <c r="A67" s="5" t="s">
        <v>48</v>
      </c>
      <c r="B67" s="5" t="s">
        <v>69</v>
      </c>
      <c r="D67" s="6">
        <v>46041</v>
      </c>
      <c r="E67" s="10">
        <v>39162</v>
      </c>
      <c r="F67" s="30">
        <v>46049</v>
      </c>
    </row>
    <row r="68" spans="1:6" ht="15.6" customHeight="1">
      <c r="A68" s="5" t="s">
        <v>46</v>
      </c>
      <c r="B68" s="5" t="s">
        <v>70</v>
      </c>
      <c r="D68" s="6">
        <v>46041</v>
      </c>
      <c r="E68" s="10">
        <v>21448</v>
      </c>
      <c r="F68" s="30">
        <v>46056</v>
      </c>
    </row>
    <row r="69" spans="1:6" ht="15.6" customHeight="1">
      <c r="A69" s="5" t="s">
        <v>56</v>
      </c>
      <c r="B69" s="5" t="s">
        <v>71</v>
      </c>
      <c r="D69" s="6">
        <v>46042</v>
      </c>
      <c r="E69" s="10">
        <v>87630</v>
      </c>
      <c r="F69" s="30">
        <v>46050</v>
      </c>
    </row>
    <row r="70" spans="1:6" ht="15.6" customHeight="1">
      <c r="A70" s="5" t="s">
        <v>72</v>
      </c>
      <c r="B70" s="5" t="s">
        <v>73</v>
      </c>
      <c r="D70" s="6">
        <v>46038</v>
      </c>
      <c r="E70" s="10">
        <v>150768</v>
      </c>
      <c r="F70" s="30">
        <v>46046</v>
      </c>
    </row>
    <row r="71" spans="1:6" ht="15.6" customHeight="1">
      <c r="A71" s="5" t="s">
        <v>74</v>
      </c>
      <c r="B71" s="5" t="s">
        <v>75</v>
      </c>
      <c r="D71" s="6">
        <v>46041</v>
      </c>
      <c r="E71" s="10">
        <v>60000</v>
      </c>
      <c r="F71" s="30">
        <v>46046</v>
      </c>
    </row>
    <row r="72" spans="1:6" ht="15.6" customHeight="1">
      <c r="A72" s="5" t="s">
        <v>46</v>
      </c>
      <c r="B72" s="5" t="s">
        <v>76</v>
      </c>
      <c r="D72" s="6">
        <v>46042</v>
      </c>
      <c r="E72" s="10">
        <v>52285</v>
      </c>
      <c r="F72" s="30">
        <v>46057</v>
      </c>
    </row>
    <row r="73" spans="1:6" ht="15.6" customHeight="1">
      <c r="A73" s="5" t="s">
        <v>46</v>
      </c>
      <c r="B73" s="5" t="s">
        <v>77</v>
      </c>
      <c r="D73" s="6">
        <v>46043</v>
      </c>
      <c r="E73" s="10">
        <v>53657</v>
      </c>
      <c r="F73" s="30">
        <v>46058</v>
      </c>
    </row>
    <row r="74" spans="1:6" ht="15.6" customHeight="1">
      <c r="A74" s="5" t="s">
        <v>45</v>
      </c>
      <c r="C74" s="5">
        <v>3050589</v>
      </c>
      <c r="D74" s="6">
        <v>46044</v>
      </c>
      <c r="E74" s="10">
        <v>105910</v>
      </c>
    </row>
    <row r="75" spans="1:6" ht="15.6" customHeight="1">
      <c r="A75" s="5" t="s">
        <v>46</v>
      </c>
      <c r="B75" s="5" t="s">
        <v>78</v>
      </c>
      <c r="D75" s="6">
        <v>46044</v>
      </c>
      <c r="E75" s="10">
        <v>32956</v>
      </c>
      <c r="F75" s="30">
        <v>46059</v>
      </c>
    </row>
    <row r="76" spans="1:6" ht="15.6" customHeight="1">
      <c r="A76" s="5" t="s">
        <v>46</v>
      </c>
      <c r="B76" s="5" t="s">
        <v>79</v>
      </c>
      <c r="D76" s="6">
        <v>46047</v>
      </c>
      <c r="E76" s="10">
        <v>60121</v>
      </c>
      <c r="F76" s="30">
        <v>46062</v>
      </c>
    </row>
    <row r="77" spans="1:6" ht="15.6" customHeight="1">
      <c r="A77" s="5" t="s">
        <v>50</v>
      </c>
      <c r="B77" s="5" t="s">
        <v>80</v>
      </c>
      <c r="D77" s="6">
        <v>46048</v>
      </c>
      <c r="E77" s="10">
        <v>61220</v>
      </c>
      <c r="F77" s="30">
        <v>46056</v>
      </c>
    </row>
    <row r="78" spans="1:6" ht="15.6" customHeight="1">
      <c r="A78" s="5" t="s">
        <v>46</v>
      </c>
      <c r="B78" s="5" t="s">
        <v>81</v>
      </c>
      <c r="D78" s="6">
        <v>46048</v>
      </c>
      <c r="E78" s="10">
        <v>166697</v>
      </c>
      <c r="F78" s="30">
        <v>46063</v>
      </c>
    </row>
    <row r="79" spans="1:6" ht="15.6" customHeight="1">
      <c r="A79" s="5" t="s">
        <v>27</v>
      </c>
      <c r="D79" s="6">
        <v>46045</v>
      </c>
      <c r="E79" s="10">
        <v>26890</v>
      </c>
    </row>
    <row r="80" spans="1:6" ht="15.6" customHeight="1">
      <c r="A80" s="5" t="s">
        <v>48</v>
      </c>
      <c r="B80" s="5" t="s">
        <v>82</v>
      </c>
      <c r="D80" s="6">
        <v>46051</v>
      </c>
      <c r="E80" s="10">
        <v>28963</v>
      </c>
      <c r="F80" s="30">
        <v>46059</v>
      </c>
    </row>
    <row r="81" spans="1:7" ht="15.6" customHeight="1">
      <c r="A81" s="5" t="s">
        <v>46</v>
      </c>
      <c r="B81" s="5" t="s">
        <v>83</v>
      </c>
      <c r="D81" s="6">
        <v>46051</v>
      </c>
      <c r="E81" s="10">
        <v>5780</v>
      </c>
      <c r="F81" s="30">
        <v>46066</v>
      </c>
    </row>
    <row r="82" spans="1:7" ht="15.6" customHeight="1">
      <c r="E82" s="90">
        <f>SUM(E47:E81)</f>
        <v>2209545</v>
      </c>
      <c r="F82" s="30"/>
    </row>
    <row r="83" spans="1:7" ht="15.6" customHeight="1">
      <c r="A83" s="188" t="s">
        <v>84</v>
      </c>
      <c r="B83" s="188"/>
      <c r="C83" s="188"/>
      <c r="D83" s="188"/>
      <c r="E83" s="188"/>
      <c r="F83" s="188"/>
      <c r="G83" s="188"/>
    </row>
    <row r="84" spans="1:7" ht="15.6" customHeight="1">
      <c r="A84" s="189" t="s">
        <v>22</v>
      </c>
      <c r="B84" s="189"/>
      <c r="C84" s="189"/>
      <c r="D84" s="189"/>
      <c r="E84" s="189"/>
      <c r="F84" s="189"/>
      <c r="G84" s="189"/>
    </row>
    <row r="85" spans="1:7" ht="15.6" customHeight="1">
      <c r="A85" s="5" t="s">
        <v>33</v>
      </c>
      <c r="B85" s="5" t="s">
        <v>85</v>
      </c>
      <c r="D85" s="6">
        <v>46055</v>
      </c>
      <c r="E85" s="10">
        <v>2802</v>
      </c>
      <c r="F85" s="5" t="s">
        <v>24</v>
      </c>
      <c r="G85"/>
    </row>
    <row r="86" spans="1:7" ht="15.6" customHeight="1">
      <c r="A86" s="5" t="s">
        <v>36</v>
      </c>
      <c r="B86" s="5" t="s">
        <v>86</v>
      </c>
      <c r="D86" s="6">
        <v>46056</v>
      </c>
      <c r="E86" s="10">
        <v>6751</v>
      </c>
      <c r="F86" s="5" t="s">
        <v>24</v>
      </c>
      <c r="G86"/>
    </row>
    <row r="87" spans="1:7" ht="15.6" customHeight="1">
      <c r="A87" s="5" t="s">
        <v>23</v>
      </c>
      <c r="B87" s="84">
        <v>617014931</v>
      </c>
      <c r="D87" s="6">
        <v>46055</v>
      </c>
      <c r="E87" s="10">
        <v>3973</v>
      </c>
      <c r="F87" s="5" t="s">
        <v>24</v>
      </c>
      <c r="G87"/>
    </row>
    <row r="88" spans="1:7" ht="15.6" customHeight="1">
      <c r="A88" s="5" t="s">
        <v>23</v>
      </c>
      <c r="B88" s="84">
        <v>617014932</v>
      </c>
      <c r="D88" s="6">
        <v>46055</v>
      </c>
      <c r="E88" s="10">
        <v>582117</v>
      </c>
      <c r="F88" s="5" t="s">
        <v>24</v>
      </c>
      <c r="G88"/>
    </row>
    <row r="89" spans="1:7" ht="15.6" customHeight="1">
      <c r="A89" s="5" t="s">
        <v>23</v>
      </c>
      <c r="B89" s="84">
        <v>617016556</v>
      </c>
      <c r="D89" s="6">
        <v>46057</v>
      </c>
      <c r="E89" s="10">
        <v>379727</v>
      </c>
      <c r="F89" s="5" t="s">
        <v>24</v>
      </c>
      <c r="G89"/>
    </row>
    <row r="90" spans="1:7" ht="15.6" customHeight="1">
      <c r="A90" s="5" t="s">
        <v>23</v>
      </c>
      <c r="B90" s="84">
        <v>617017981</v>
      </c>
      <c r="D90" s="6">
        <v>46059</v>
      </c>
      <c r="E90" s="10">
        <v>268776</v>
      </c>
      <c r="F90" s="5" t="s">
        <v>24</v>
      </c>
      <c r="G90"/>
    </row>
    <row r="91" spans="1:7" ht="15.6" customHeight="1">
      <c r="A91" s="5" t="s">
        <v>23</v>
      </c>
      <c r="B91" s="84">
        <v>617018784</v>
      </c>
      <c r="D91" s="6">
        <v>46062</v>
      </c>
      <c r="E91" s="10">
        <v>185576</v>
      </c>
      <c r="F91" s="5" t="s">
        <v>24</v>
      </c>
      <c r="G91"/>
    </row>
    <row r="92" spans="1:7" ht="15.6" customHeight="1">
      <c r="A92" s="5" t="s">
        <v>23</v>
      </c>
      <c r="B92" s="84">
        <v>617019836</v>
      </c>
      <c r="D92" s="6">
        <v>46063</v>
      </c>
      <c r="E92" s="10">
        <v>311530</v>
      </c>
      <c r="F92" s="5" t="s">
        <v>24</v>
      </c>
      <c r="G92"/>
    </row>
    <row r="93" spans="1:7" ht="15.6" customHeight="1">
      <c r="A93" s="5" t="s">
        <v>23</v>
      </c>
      <c r="B93" s="84">
        <v>617020600</v>
      </c>
      <c r="D93" s="6">
        <v>46064</v>
      </c>
      <c r="E93" s="10">
        <v>146071</v>
      </c>
      <c r="F93" s="5" t="s">
        <v>24</v>
      </c>
      <c r="G93"/>
    </row>
    <row r="94" spans="1:7" ht="15.6" customHeight="1">
      <c r="A94" s="5" t="s">
        <v>36</v>
      </c>
      <c r="B94" s="84" t="s">
        <v>87</v>
      </c>
      <c r="D94" s="6">
        <v>46064</v>
      </c>
      <c r="E94" s="10">
        <v>4245</v>
      </c>
      <c r="F94" s="5" t="s">
        <v>24</v>
      </c>
      <c r="G94"/>
    </row>
    <row r="95" spans="1:7" ht="15.6" customHeight="1">
      <c r="A95" s="5" t="s">
        <v>23</v>
      </c>
      <c r="B95" s="84">
        <v>617021180</v>
      </c>
      <c r="D95" s="6">
        <v>46065</v>
      </c>
      <c r="E95" s="10">
        <v>299791</v>
      </c>
      <c r="F95" s="5" t="s">
        <v>24</v>
      </c>
      <c r="G95"/>
    </row>
    <row r="96" spans="1:7" ht="15.6" customHeight="1">
      <c r="A96" s="5" t="s">
        <v>88</v>
      </c>
      <c r="B96" s="84" t="s">
        <v>89</v>
      </c>
      <c r="D96" s="6">
        <v>46064</v>
      </c>
      <c r="E96" s="10">
        <v>10470</v>
      </c>
      <c r="F96" s="5" t="s">
        <v>24</v>
      </c>
      <c r="G96"/>
    </row>
    <row r="97" spans="1:7" ht="15.6" customHeight="1">
      <c r="A97" s="5" t="s">
        <v>23</v>
      </c>
      <c r="B97" s="84">
        <v>617021762</v>
      </c>
      <c r="D97" s="6">
        <v>46066</v>
      </c>
      <c r="E97" s="10">
        <v>172455</v>
      </c>
      <c r="F97" s="5" t="s">
        <v>24</v>
      </c>
      <c r="G97"/>
    </row>
    <row r="98" spans="1:7" ht="15.6" customHeight="1">
      <c r="A98" s="5" t="s">
        <v>90</v>
      </c>
      <c r="B98" s="84" t="s">
        <v>91</v>
      </c>
      <c r="D98" s="6">
        <v>46066</v>
      </c>
      <c r="E98" s="10">
        <v>3990</v>
      </c>
      <c r="F98" s="5" t="s">
        <v>24</v>
      </c>
      <c r="G98"/>
    </row>
    <row r="99" spans="1:7" ht="15.6" customHeight="1">
      <c r="A99" s="5" t="s">
        <v>23</v>
      </c>
      <c r="B99" s="84">
        <v>617022945</v>
      </c>
      <c r="C99"/>
      <c r="D99" s="6">
        <v>46069</v>
      </c>
      <c r="E99" s="10">
        <v>281320</v>
      </c>
      <c r="F99" s="2" t="s">
        <v>24</v>
      </c>
      <c r="G99"/>
    </row>
    <row r="100" spans="1:7" ht="15.6" customHeight="1">
      <c r="A100" s="5" t="s">
        <v>23</v>
      </c>
      <c r="B100" s="84">
        <v>617023971</v>
      </c>
      <c r="C100"/>
      <c r="D100" s="6">
        <v>46070</v>
      </c>
      <c r="E100" s="10">
        <v>680386</v>
      </c>
      <c r="F100" s="2" t="s">
        <v>24</v>
      </c>
      <c r="G100"/>
    </row>
    <row r="101" spans="1:7" ht="15.6" customHeight="1">
      <c r="A101" s="5" t="s">
        <v>90</v>
      </c>
      <c r="B101" s="84" t="s">
        <v>92</v>
      </c>
      <c r="C101"/>
      <c r="D101" s="6">
        <v>46070</v>
      </c>
      <c r="E101" s="10">
        <v>7600</v>
      </c>
      <c r="F101" s="2" t="s">
        <v>24</v>
      </c>
      <c r="G101"/>
    </row>
    <row r="102" spans="1:7" ht="15.6" customHeight="1">
      <c r="A102" s="5" t="s">
        <v>23</v>
      </c>
      <c r="B102" s="84">
        <v>617024630</v>
      </c>
      <c r="C102"/>
      <c r="D102" s="6">
        <v>46071</v>
      </c>
      <c r="E102" s="10">
        <v>6039</v>
      </c>
      <c r="F102" s="2" t="s">
        <v>24</v>
      </c>
      <c r="G102"/>
    </row>
    <row r="103" spans="1:7" ht="15.6" customHeight="1">
      <c r="A103" s="5" t="s">
        <v>36</v>
      </c>
      <c r="B103" s="84" t="s">
        <v>93</v>
      </c>
      <c r="C103"/>
      <c r="D103" s="6">
        <v>46071</v>
      </c>
      <c r="E103" s="10">
        <v>5094</v>
      </c>
      <c r="F103" s="2" t="s">
        <v>24</v>
      </c>
      <c r="G103"/>
    </row>
    <row r="104" spans="1:7" ht="15.6" customHeight="1">
      <c r="A104" s="5" t="s">
        <v>23</v>
      </c>
      <c r="B104" s="84">
        <v>617025735</v>
      </c>
      <c r="C104"/>
      <c r="D104" s="6">
        <v>46073</v>
      </c>
      <c r="E104" s="10">
        <v>428702</v>
      </c>
      <c r="F104" s="2" t="s">
        <v>24</v>
      </c>
      <c r="G104"/>
    </row>
    <row r="105" spans="1:7" ht="15.6" customHeight="1">
      <c r="A105" s="5" t="s">
        <v>36</v>
      </c>
      <c r="B105" s="84" t="s">
        <v>94</v>
      </c>
      <c r="C105"/>
      <c r="D105" s="6">
        <v>46076</v>
      </c>
      <c r="E105" s="10">
        <v>3629</v>
      </c>
      <c r="F105" s="2" t="s">
        <v>24</v>
      </c>
      <c r="G105"/>
    </row>
    <row r="106" spans="1:7" ht="15.6" customHeight="1">
      <c r="A106" s="5" t="s">
        <v>23</v>
      </c>
      <c r="B106" s="84">
        <v>617027853</v>
      </c>
      <c r="C106"/>
      <c r="D106" s="6">
        <v>46077</v>
      </c>
      <c r="E106" s="10">
        <v>439051</v>
      </c>
      <c r="F106" s="2" t="s">
        <v>24</v>
      </c>
      <c r="G106"/>
    </row>
    <row r="107" spans="1:7" ht="15.6" customHeight="1">
      <c r="A107" s="5" t="s">
        <v>95</v>
      </c>
      <c r="B107" s="84" t="s">
        <v>96</v>
      </c>
      <c r="C107"/>
      <c r="D107" s="6">
        <v>46077</v>
      </c>
      <c r="E107" s="10">
        <v>22550</v>
      </c>
      <c r="F107" s="2" t="s">
        <v>24</v>
      </c>
      <c r="G107"/>
    </row>
    <row r="108" spans="1:7" ht="15.6" customHeight="1">
      <c r="A108" s="5" t="s">
        <v>23</v>
      </c>
      <c r="B108" s="84">
        <v>617028575</v>
      </c>
      <c r="C108"/>
      <c r="D108" s="6">
        <v>46078</v>
      </c>
      <c r="E108" s="10">
        <v>109678</v>
      </c>
      <c r="F108" s="2" t="s">
        <v>24</v>
      </c>
      <c r="G108"/>
    </row>
    <row r="109" spans="1:7" ht="15.6" customHeight="1">
      <c r="A109" s="5" t="s">
        <v>23</v>
      </c>
      <c r="B109" s="84">
        <v>617029160</v>
      </c>
      <c r="C109"/>
      <c r="D109" s="6">
        <v>46079</v>
      </c>
      <c r="E109" s="10">
        <v>293321</v>
      </c>
      <c r="F109" s="2" t="s">
        <v>24</v>
      </c>
      <c r="G109"/>
    </row>
    <row r="110" spans="1:7" ht="15.6" customHeight="1">
      <c r="A110" s="5" t="s">
        <v>23</v>
      </c>
      <c r="B110" s="84">
        <v>617021766</v>
      </c>
      <c r="C110"/>
      <c r="D110" s="6">
        <v>46066</v>
      </c>
      <c r="E110" s="10">
        <v>128610</v>
      </c>
      <c r="F110" s="2" t="s">
        <v>24</v>
      </c>
      <c r="G110"/>
    </row>
    <row r="111" spans="1:7" ht="15.6" customHeight="1">
      <c r="A111" s="5" t="s">
        <v>23</v>
      </c>
      <c r="B111" s="84">
        <v>617029159</v>
      </c>
      <c r="C111"/>
      <c r="D111" s="6">
        <v>46079</v>
      </c>
      <c r="E111" s="10">
        <v>2195</v>
      </c>
      <c r="F111" s="2" t="s">
        <v>24</v>
      </c>
      <c r="G111"/>
    </row>
    <row r="112" spans="1:7" ht="15.6" customHeight="1">
      <c r="A112" s="5" t="s">
        <v>23</v>
      </c>
      <c r="B112" s="84">
        <v>261801545</v>
      </c>
      <c r="C112"/>
      <c r="D112" s="6">
        <v>46078</v>
      </c>
      <c r="E112" s="10">
        <v>-12595</v>
      </c>
      <c r="F112" s="2"/>
      <c r="G112" t="s">
        <v>97</v>
      </c>
    </row>
    <row r="113" spans="1:7" ht="15.6" customHeight="1">
      <c r="A113" s="5" t="s">
        <v>23</v>
      </c>
      <c r="B113" s="84">
        <v>617029951</v>
      </c>
      <c r="C113"/>
      <c r="D113" s="6">
        <v>46080</v>
      </c>
      <c r="E113" s="10">
        <v>139525</v>
      </c>
      <c r="F113" s="2" t="s">
        <v>24</v>
      </c>
      <c r="G113"/>
    </row>
    <row r="114" spans="1:7" ht="15.6" customHeight="1">
      <c r="C114"/>
      <c r="E114" s="90">
        <f>SUM(E85:E113)</f>
        <v>4913379</v>
      </c>
      <c r="F114" s="2"/>
      <c r="G114"/>
    </row>
    <row r="115" spans="1:7" ht="15.6" customHeight="1">
      <c r="A115" s="188" t="s">
        <v>84</v>
      </c>
      <c r="B115" s="188"/>
      <c r="C115" s="188"/>
      <c r="D115" s="188"/>
      <c r="E115" s="188"/>
      <c r="F115" s="188"/>
      <c r="G115" s="188"/>
    </row>
    <row r="116" spans="1:7" ht="15.6" customHeight="1">
      <c r="A116" s="189" t="s">
        <v>43</v>
      </c>
      <c r="B116" s="189"/>
      <c r="C116" s="189"/>
      <c r="D116" s="189"/>
      <c r="E116" s="189"/>
      <c r="F116" s="189"/>
      <c r="G116" s="189"/>
    </row>
    <row r="117" spans="1:7" ht="15.6" customHeight="1">
      <c r="A117" s="5" t="s">
        <v>46</v>
      </c>
      <c r="B117" s="5" t="s">
        <v>98</v>
      </c>
      <c r="D117" s="6">
        <v>46055</v>
      </c>
      <c r="E117" s="10">
        <v>75887</v>
      </c>
      <c r="F117" s="6">
        <v>46070</v>
      </c>
    </row>
    <row r="118" spans="1:7" ht="15.6" customHeight="1">
      <c r="A118" s="5" t="s">
        <v>46</v>
      </c>
      <c r="B118" s="5" t="s">
        <v>99</v>
      </c>
      <c r="D118" s="6">
        <v>46057</v>
      </c>
      <c r="E118" s="10">
        <v>79410</v>
      </c>
      <c r="F118" s="6">
        <v>46072</v>
      </c>
    </row>
    <row r="119" spans="1:7" ht="15.6" customHeight="1">
      <c r="A119" s="5" t="s">
        <v>50</v>
      </c>
      <c r="B119" s="5" t="s">
        <v>100</v>
      </c>
      <c r="D119" s="6">
        <v>46058</v>
      </c>
      <c r="E119" s="10">
        <v>63120</v>
      </c>
      <c r="F119" s="6">
        <v>46066</v>
      </c>
    </row>
    <row r="120" spans="1:7" ht="15.6" customHeight="1">
      <c r="A120" s="5" t="s">
        <v>56</v>
      </c>
      <c r="B120" s="5" t="s">
        <v>101</v>
      </c>
      <c r="D120" s="6">
        <v>46057</v>
      </c>
      <c r="E120" s="10">
        <v>100245</v>
      </c>
      <c r="F120" s="6">
        <v>46065</v>
      </c>
    </row>
    <row r="121" spans="1:7" ht="15.6" customHeight="1">
      <c r="A121" s="5" t="s">
        <v>46</v>
      </c>
      <c r="B121" s="5" t="s">
        <v>102</v>
      </c>
      <c r="D121" s="6">
        <v>46058</v>
      </c>
      <c r="E121" s="10">
        <v>56041</v>
      </c>
      <c r="F121" s="6">
        <v>46073</v>
      </c>
    </row>
    <row r="122" spans="1:7" ht="15.6" customHeight="1">
      <c r="A122" s="5" t="s">
        <v>46</v>
      </c>
      <c r="B122" s="5" t="s">
        <v>103</v>
      </c>
      <c r="D122" s="6">
        <v>46062</v>
      </c>
      <c r="E122" s="10">
        <v>23833</v>
      </c>
      <c r="F122" s="6">
        <v>46077</v>
      </c>
    </row>
    <row r="123" spans="1:7" ht="15.6" customHeight="1">
      <c r="A123" s="5" t="s">
        <v>44</v>
      </c>
      <c r="C123" s="5">
        <v>8929636331</v>
      </c>
      <c r="D123" s="6">
        <v>46062</v>
      </c>
      <c r="E123" s="10">
        <v>70906</v>
      </c>
      <c r="F123" s="6">
        <v>46076</v>
      </c>
    </row>
    <row r="124" spans="1:7" ht="15.6" customHeight="1">
      <c r="A124" s="5" t="s">
        <v>46</v>
      </c>
      <c r="B124" s="5" t="s">
        <v>104</v>
      </c>
      <c r="D124" s="6">
        <v>46063</v>
      </c>
      <c r="E124" s="10">
        <v>64232</v>
      </c>
      <c r="F124" s="6">
        <v>46078</v>
      </c>
    </row>
    <row r="125" spans="1:7" ht="15.6" customHeight="1">
      <c r="A125" s="5" t="s">
        <v>46</v>
      </c>
      <c r="B125" s="5" t="s">
        <v>105</v>
      </c>
      <c r="D125" s="6">
        <v>46064</v>
      </c>
      <c r="E125" s="10">
        <v>69857</v>
      </c>
      <c r="F125" s="6">
        <v>46079</v>
      </c>
    </row>
    <row r="126" spans="1:7" ht="15.6" customHeight="1">
      <c r="A126" s="5" t="s">
        <v>46</v>
      </c>
      <c r="B126" s="5" t="s">
        <v>106</v>
      </c>
      <c r="D126" s="6">
        <v>46064</v>
      </c>
      <c r="E126" s="10">
        <v>28501</v>
      </c>
      <c r="F126" s="6">
        <v>46079</v>
      </c>
    </row>
    <row r="127" spans="1:7" ht="15.6" customHeight="1">
      <c r="A127" s="5" t="s">
        <v>46</v>
      </c>
      <c r="B127" s="5" t="s">
        <v>107</v>
      </c>
      <c r="D127" s="6">
        <v>46065</v>
      </c>
      <c r="E127" s="10">
        <v>66253</v>
      </c>
      <c r="F127" s="6">
        <v>46080</v>
      </c>
    </row>
    <row r="128" spans="1:7" ht="15.6" customHeight="1">
      <c r="A128" s="5" t="s">
        <v>46</v>
      </c>
      <c r="B128" s="5" t="s">
        <v>108</v>
      </c>
      <c r="D128" s="6">
        <v>46069</v>
      </c>
      <c r="E128" s="10">
        <v>15812</v>
      </c>
      <c r="F128" s="6">
        <v>46084</v>
      </c>
    </row>
    <row r="129" spans="1:7" ht="15.6" customHeight="1">
      <c r="A129" s="5" t="s">
        <v>48</v>
      </c>
      <c r="B129" s="5" t="s">
        <v>109</v>
      </c>
      <c r="D129" s="6">
        <v>46070</v>
      </c>
      <c r="E129" s="10">
        <v>31472</v>
      </c>
      <c r="F129" s="6">
        <v>46078</v>
      </c>
    </row>
    <row r="130" spans="1:7" ht="15.6" customHeight="1">
      <c r="A130" s="5" t="s">
        <v>46</v>
      </c>
      <c r="B130" s="5" t="s">
        <v>110</v>
      </c>
      <c r="D130" s="6">
        <v>46069</v>
      </c>
      <c r="E130" s="10">
        <v>109112</v>
      </c>
      <c r="F130" s="6">
        <v>46084</v>
      </c>
    </row>
    <row r="131" spans="1:7" ht="15.6" customHeight="1">
      <c r="A131" s="5" t="s">
        <v>50</v>
      </c>
      <c r="B131" s="5" t="s">
        <v>111</v>
      </c>
      <c r="D131" s="6">
        <v>46070</v>
      </c>
      <c r="E131" s="10">
        <v>63120</v>
      </c>
      <c r="F131" s="6">
        <v>46078</v>
      </c>
    </row>
    <row r="132" spans="1:7" ht="15.6" customHeight="1">
      <c r="A132" s="5" t="s">
        <v>45</v>
      </c>
      <c r="C132" s="5">
        <v>3054136</v>
      </c>
      <c r="D132" s="6">
        <v>46070</v>
      </c>
      <c r="E132" s="10">
        <v>57970</v>
      </c>
      <c r="F132" s="6"/>
    </row>
    <row r="133" spans="1:7" ht="15.6" customHeight="1">
      <c r="A133" s="5" t="s">
        <v>27</v>
      </c>
      <c r="D133" s="6">
        <v>46069</v>
      </c>
      <c r="E133" s="10">
        <v>23149</v>
      </c>
      <c r="F133" s="6"/>
    </row>
    <row r="134" spans="1:7" ht="15.6" customHeight="1">
      <c r="A134" s="5" t="s">
        <v>56</v>
      </c>
      <c r="B134" s="5" t="s">
        <v>112</v>
      </c>
      <c r="D134" s="6">
        <v>46071</v>
      </c>
      <c r="E134" s="10">
        <v>123885</v>
      </c>
      <c r="F134" s="6">
        <v>46079</v>
      </c>
    </row>
    <row r="135" spans="1:7" ht="15.6" customHeight="1">
      <c r="A135" s="5" t="s">
        <v>72</v>
      </c>
      <c r="B135" s="5" t="s">
        <v>113</v>
      </c>
      <c r="D135" s="6">
        <v>46070</v>
      </c>
      <c r="E135" s="10">
        <v>128664</v>
      </c>
      <c r="F135" s="6">
        <v>46078</v>
      </c>
    </row>
    <row r="136" spans="1:7" ht="15.6" customHeight="1">
      <c r="A136" s="5" t="s">
        <v>46</v>
      </c>
      <c r="B136" s="5" t="s">
        <v>114</v>
      </c>
      <c r="D136" s="6">
        <v>46072</v>
      </c>
      <c r="E136" s="10">
        <v>78442</v>
      </c>
      <c r="F136" s="6">
        <v>46087</v>
      </c>
    </row>
    <row r="137" spans="1:7" ht="15.6" customHeight="1">
      <c r="A137" s="5" t="s">
        <v>46</v>
      </c>
      <c r="B137" s="5" t="s">
        <v>115</v>
      </c>
      <c r="D137" s="6">
        <v>46076</v>
      </c>
      <c r="E137" s="10">
        <v>40216</v>
      </c>
      <c r="F137" s="6">
        <v>46091</v>
      </c>
    </row>
    <row r="138" spans="1:7" ht="15.6" customHeight="1">
      <c r="A138" s="5" t="s">
        <v>46</v>
      </c>
      <c r="B138" s="5" t="s">
        <v>116</v>
      </c>
      <c r="D138" s="6">
        <v>46077</v>
      </c>
      <c r="E138" s="10">
        <v>35975</v>
      </c>
      <c r="F138" s="6">
        <v>46092</v>
      </c>
    </row>
    <row r="139" spans="1:7" ht="15.6" customHeight="1">
      <c r="A139" s="5" t="s">
        <v>46</v>
      </c>
      <c r="B139" s="5" t="s">
        <v>117</v>
      </c>
      <c r="D139" s="6">
        <v>46078</v>
      </c>
      <c r="E139" s="10">
        <v>32566</v>
      </c>
      <c r="F139" s="6">
        <v>46093</v>
      </c>
    </row>
    <row r="140" spans="1:7" ht="15.6" customHeight="1">
      <c r="A140" s="5" t="s">
        <v>46</v>
      </c>
      <c r="B140" s="5" t="s">
        <v>118</v>
      </c>
      <c r="D140" s="6">
        <v>46079</v>
      </c>
      <c r="E140" s="10">
        <v>19842</v>
      </c>
      <c r="F140" s="6">
        <v>46094</v>
      </c>
    </row>
    <row r="141" spans="1:7" ht="15.6" customHeight="1">
      <c r="A141" s="2"/>
      <c r="B141" s="2"/>
      <c r="C141" s="2"/>
      <c r="D141" s="41"/>
      <c r="E141" s="90">
        <f>SUM(E117:E140)</f>
        <v>1458510</v>
      </c>
      <c r="F141" s="41"/>
    </row>
    <row r="142" spans="1:7" ht="15.6" customHeight="1">
      <c r="A142" s="188" t="s">
        <v>119</v>
      </c>
      <c r="B142" s="188"/>
      <c r="C142" s="188"/>
      <c r="D142" s="188"/>
      <c r="E142" s="188"/>
      <c r="F142" s="188"/>
      <c r="G142" s="188"/>
    </row>
    <row r="143" spans="1:7" ht="15.6" customHeight="1">
      <c r="A143" s="189" t="s">
        <v>22</v>
      </c>
      <c r="B143" s="189"/>
      <c r="C143" s="189"/>
      <c r="D143" s="189"/>
      <c r="E143" s="189"/>
      <c r="F143" s="189"/>
      <c r="G143" s="189"/>
    </row>
    <row r="144" spans="1:7" ht="15.6" customHeight="1">
      <c r="A144" s="5" t="s">
        <v>23</v>
      </c>
      <c r="B144" s="84">
        <v>617030581</v>
      </c>
      <c r="D144" s="6">
        <v>46083</v>
      </c>
      <c r="E144" s="10">
        <v>333657</v>
      </c>
      <c r="F144" s="5" t="s">
        <v>24</v>
      </c>
      <c r="G144"/>
    </row>
    <row r="145" spans="1:7" ht="15.6" customHeight="1">
      <c r="A145" s="5" t="s">
        <v>36</v>
      </c>
      <c r="B145" s="84" t="s">
        <v>120</v>
      </c>
      <c r="D145" s="6">
        <v>46083</v>
      </c>
      <c r="E145" s="10">
        <v>5094</v>
      </c>
      <c r="F145" s="5" t="s">
        <v>24</v>
      </c>
      <c r="G145"/>
    </row>
    <row r="146" spans="1:7" ht="15.6" customHeight="1">
      <c r="A146" s="5" t="s">
        <v>23</v>
      </c>
      <c r="B146" s="84">
        <v>617031616</v>
      </c>
      <c r="D146" s="6">
        <v>46084</v>
      </c>
      <c r="E146" s="10">
        <v>359717</v>
      </c>
      <c r="F146" s="5" t="s">
        <v>24</v>
      </c>
      <c r="G146"/>
    </row>
    <row r="147" spans="1:7" ht="15.6" customHeight="1">
      <c r="A147" s="5" t="s">
        <v>23</v>
      </c>
      <c r="B147" s="84">
        <v>617032373</v>
      </c>
      <c r="D147" s="6">
        <v>46085</v>
      </c>
      <c r="E147" s="10">
        <v>113045</v>
      </c>
      <c r="F147" s="5" t="s">
        <v>24</v>
      </c>
      <c r="G147"/>
    </row>
    <row r="148" spans="1:7" ht="15.6" customHeight="1">
      <c r="A148" s="5" t="s">
        <v>27</v>
      </c>
      <c r="D148" s="6">
        <v>46084</v>
      </c>
      <c r="E148" s="10">
        <v>20005</v>
      </c>
      <c r="F148" s="5" t="s">
        <v>121</v>
      </c>
      <c r="G148"/>
    </row>
    <row r="149" spans="1:7" ht="15.6" customHeight="1">
      <c r="A149" s="5" t="s">
        <v>23</v>
      </c>
      <c r="B149" s="84">
        <v>617032959</v>
      </c>
      <c r="D149" s="6">
        <v>46086</v>
      </c>
      <c r="E149" s="10">
        <v>266617</v>
      </c>
      <c r="F149" s="5" t="s">
        <v>24</v>
      </c>
      <c r="G149"/>
    </row>
    <row r="150" spans="1:7" ht="15.6" customHeight="1">
      <c r="A150" s="5" t="s">
        <v>23</v>
      </c>
      <c r="B150" s="84">
        <v>617033573</v>
      </c>
      <c r="D150" s="6">
        <v>46087</v>
      </c>
      <c r="E150" s="10">
        <v>205751</v>
      </c>
      <c r="F150" s="5" t="s">
        <v>24</v>
      </c>
      <c r="G150"/>
    </row>
    <row r="151" spans="1:7" ht="15.6" customHeight="1">
      <c r="A151" s="5" t="s">
        <v>36</v>
      </c>
      <c r="B151" s="5" t="s">
        <v>122</v>
      </c>
      <c r="D151" s="6">
        <v>46090</v>
      </c>
      <c r="E151" s="10">
        <v>5094</v>
      </c>
      <c r="F151" s="5" t="s">
        <v>24</v>
      </c>
      <c r="G151"/>
    </row>
    <row r="152" spans="1:7" ht="15.6" customHeight="1">
      <c r="A152" s="5" t="s">
        <v>23</v>
      </c>
      <c r="B152" s="84">
        <v>617034723</v>
      </c>
      <c r="D152" s="6">
        <v>46090</v>
      </c>
      <c r="E152" s="10">
        <v>165991</v>
      </c>
      <c r="F152" s="5" t="s">
        <v>24</v>
      </c>
      <c r="G152"/>
    </row>
    <row r="153" spans="1:7" ht="15.6" customHeight="1">
      <c r="A153" s="5" t="s">
        <v>23</v>
      </c>
      <c r="B153" s="84">
        <v>617035547</v>
      </c>
      <c r="D153" s="6">
        <v>46091</v>
      </c>
      <c r="E153" s="10">
        <v>226141</v>
      </c>
      <c r="F153" s="5" t="s">
        <v>24</v>
      </c>
      <c r="G153"/>
    </row>
    <row r="154" spans="1:7" ht="15.6" customHeight="1">
      <c r="A154" s="5" t="s">
        <v>36</v>
      </c>
      <c r="B154" s="84" t="s">
        <v>123</v>
      </c>
      <c r="D154" s="6">
        <v>46091</v>
      </c>
      <c r="E154" s="10">
        <v>12280</v>
      </c>
      <c r="F154" s="5" t="s">
        <v>24</v>
      </c>
      <c r="G154"/>
    </row>
    <row r="155" spans="1:7" ht="15.6" customHeight="1">
      <c r="A155" s="5" t="s">
        <v>23</v>
      </c>
      <c r="B155" s="84">
        <v>617036454</v>
      </c>
      <c r="D155" s="6">
        <v>46092</v>
      </c>
      <c r="E155" s="10">
        <v>266168</v>
      </c>
      <c r="F155" s="5" t="s">
        <v>24</v>
      </c>
      <c r="G155"/>
    </row>
    <row r="156" spans="1:7" ht="15.6" customHeight="1">
      <c r="A156" s="5" t="s">
        <v>23</v>
      </c>
      <c r="B156" s="84">
        <v>617037152</v>
      </c>
      <c r="D156" s="6">
        <v>46093</v>
      </c>
      <c r="E156" s="10">
        <v>522131</v>
      </c>
      <c r="F156" s="5" t="s">
        <v>24</v>
      </c>
      <c r="G156"/>
    </row>
    <row r="157" spans="1:7" ht="15.6" customHeight="1">
      <c r="A157" s="5" t="s">
        <v>23</v>
      </c>
      <c r="B157" s="84">
        <v>617038757</v>
      </c>
      <c r="D157" s="6">
        <v>46097</v>
      </c>
      <c r="E157" s="10">
        <v>97445</v>
      </c>
      <c r="F157" s="5" t="s">
        <v>24</v>
      </c>
      <c r="G157"/>
    </row>
    <row r="158" spans="1:7" ht="15.6" customHeight="1">
      <c r="A158" s="5" t="s">
        <v>124</v>
      </c>
      <c r="B158" s="84">
        <v>202620411</v>
      </c>
      <c r="D158" s="6">
        <v>46093</v>
      </c>
      <c r="E158" s="10">
        <v>31960</v>
      </c>
      <c r="F158" s="5" t="s">
        <v>24</v>
      </c>
      <c r="G158"/>
    </row>
    <row r="159" spans="1:7" ht="15.6" customHeight="1">
      <c r="A159" s="5" t="s">
        <v>23</v>
      </c>
      <c r="B159" s="84">
        <v>617039792</v>
      </c>
      <c r="D159" s="6">
        <v>46098</v>
      </c>
      <c r="E159" s="10">
        <v>400041</v>
      </c>
      <c r="F159" s="5" t="s">
        <v>24</v>
      </c>
      <c r="G159"/>
    </row>
    <row r="160" spans="1:7" ht="15.6" customHeight="1">
      <c r="A160" s="5" t="s">
        <v>125</v>
      </c>
      <c r="B160" s="84" t="s">
        <v>126</v>
      </c>
      <c r="D160" s="6">
        <v>46090</v>
      </c>
      <c r="E160" s="10">
        <v>64640</v>
      </c>
      <c r="F160" s="5" t="s">
        <v>29</v>
      </c>
      <c r="G160"/>
    </row>
    <row r="161" spans="1:7" ht="15.6" customHeight="1">
      <c r="A161" s="5" t="s">
        <v>23</v>
      </c>
      <c r="B161" s="84">
        <v>617040593</v>
      </c>
      <c r="D161" s="6">
        <v>46099</v>
      </c>
      <c r="E161" s="10">
        <v>405502</v>
      </c>
      <c r="F161" s="5" t="s">
        <v>24</v>
      </c>
      <c r="G161"/>
    </row>
    <row r="162" spans="1:7" ht="15.6" customHeight="1">
      <c r="A162" s="5" t="s">
        <v>36</v>
      </c>
      <c r="B162" s="84" t="s">
        <v>127</v>
      </c>
      <c r="D162" s="6">
        <v>46099</v>
      </c>
      <c r="E162" s="10">
        <v>4194</v>
      </c>
      <c r="F162" s="5" t="s">
        <v>24</v>
      </c>
      <c r="G162"/>
    </row>
    <row r="163" spans="1:7" ht="15.6" customHeight="1">
      <c r="A163" s="5" t="s">
        <v>23</v>
      </c>
      <c r="B163" s="84">
        <v>617041209</v>
      </c>
      <c r="D163" s="6">
        <v>46100</v>
      </c>
      <c r="E163" s="10">
        <v>169816</v>
      </c>
      <c r="F163" s="5" t="s">
        <v>24</v>
      </c>
      <c r="G163"/>
    </row>
    <row r="164" spans="1:7" ht="15.6" customHeight="1">
      <c r="A164" s="5" t="s">
        <v>23</v>
      </c>
      <c r="B164" s="84">
        <v>261802235</v>
      </c>
      <c r="D164" s="6">
        <v>46099</v>
      </c>
      <c r="E164" s="10">
        <v>-19656</v>
      </c>
      <c r="G164" t="s">
        <v>97</v>
      </c>
    </row>
    <row r="165" spans="1:7" ht="15.6" customHeight="1">
      <c r="A165" s="5" t="s">
        <v>23</v>
      </c>
      <c r="B165" s="84">
        <v>617041883</v>
      </c>
      <c r="D165" s="6">
        <v>46101</v>
      </c>
      <c r="E165" s="10">
        <v>250086</v>
      </c>
      <c r="F165" s="5" t="s">
        <v>24</v>
      </c>
      <c r="G165"/>
    </row>
    <row r="166" spans="1:7" ht="15.6" customHeight="1">
      <c r="A166" s="5" t="s">
        <v>23</v>
      </c>
      <c r="B166" s="84">
        <v>617041884</v>
      </c>
      <c r="D166" s="6">
        <v>46101</v>
      </c>
      <c r="E166" s="10">
        <v>7304</v>
      </c>
      <c r="F166" s="5" t="s">
        <v>24</v>
      </c>
      <c r="G166"/>
    </row>
    <row r="167" spans="1:7" ht="15.6" customHeight="1">
      <c r="A167" s="5" t="s">
        <v>128</v>
      </c>
      <c r="B167" s="84">
        <v>103122609</v>
      </c>
      <c r="D167" s="6">
        <v>46093</v>
      </c>
      <c r="E167" s="10">
        <v>46645</v>
      </c>
      <c r="F167" s="5" t="s">
        <v>24</v>
      </c>
      <c r="G167"/>
    </row>
    <row r="168" spans="1:7" ht="15.6" customHeight="1">
      <c r="A168" s="5" t="s">
        <v>23</v>
      </c>
      <c r="B168" s="84">
        <v>617042878</v>
      </c>
      <c r="D168" s="6">
        <v>46104</v>
      </c>
      <c r="E168" s="10">
        <v>477850</v>
      </c>
      <c r="F168" s="5" t="s">
        <v>24</v>
      </c>
      <c r="G168"/>
    </row>
    <row r="169" spans="1:7" ht="15.6" customHeight="1">
      <c r="A169" s="5" t="s">
        <v>129</v>
      </c>
      <c r="B169" s="84" t="s">
        <v>130</v>
      </c>
      <c r="D169" s="6">
        <v>46101</v>
      </c>
      <c r="E169" s="10">
        <v>29820</v>
      </c>
      <c r="F169" s="5" t="s">
        <v>24</v>
      </c>
      <c r="G169"/>
    </row>
    <row r="170" spans="1:7" ht="15.6" customHeight="1">
      <c r="A170" s="5" t="s">
        <v>36</v>
      </c>
      <c r="B170" s="84" t="s">
        <v>131</v>
      </c>
      <c r="D170" s="6">
        <v>46104</v>
      </c>
      <c r="E170" s="10">
        <v>1398</v>
      </c>
      <c r="F170" s="5" t="s">
        <v>24</v>
      </c>
      <c r="G170"/>
    </row>
    <row r="171" spans="1:7" ht="15.6" customHeight="1">
      <c r="A171" s="5" t="s">
        <v>23</v>
      </c>
      <c r="B171" s="84">
        <v>617043834</v>
      </c>
      <c r="D171" s="6">
        <v>46105</v>
      </c>
      <c r="E171" s="10">
        <v>270774</v>
      </c>
      <c r="F171" s="5" t="s">
        <v>24</v>
      </c>
      <c r="G171"/>
    </row>
    <row r="172" spans="1:7" ht="15.6" customHeight="1">
      <c r="A172" s="5" t="s">
        <v>132</v>
      </c>
      <c r="B172" s="84" t="s">
        <v>133</v>
      </c>
      <c r="D172" s="6">
        <v>46105</v>
      </c>
      <c r="E172" s="10">
        <v>5630</v>
      </c>
      <c r="F172" s="5" t="s">
        <v>24</v>
      </c>
      <c r="G172"/>
    </row>
    <row r="173" spans="1:7" ht="15.6" customHeight="1">
      <c r="A173" s="5" t="s">
        <v>23</v>
      </c>
      <c r="B173" s="84">
        <v>617044715</v>
      </c>
      <c r="D173" s="6">
        <v>46106</v>
      </c>
      <c r="E173" s="10">
        <v>456100</v>
      </c>
      <c r="F173" s="5" t="s">
        <v>24</v>
      </c>
      <c r="G173"/>
    </row>
    <row r="174" spans="1:7" ht="15.6" customHeight="1">
      <c r="A174" s="5" t="s">
        <v>23</v>
      </c>
      <c r="B174" s="84">
        <v>617045346</v>
      </c>
      <c r="D174" s="6">
        <v>46107</v>
      </c>
      <c r="E174" s="10">
        <v>204961</v>
      </c>
      <c r="F174" s="5" t="s">
        <v>24</v>
      </c>
      <c r="G174"/>
    </row>
    <row r="175" spans="1:7" ht="15.6" customHeight="1">
      <c r="A175" s="5" t="s">
        <v>23</v>
      </c>
      <c r="B175" s="84">
        <v>617046087</v>
      </c>
      <c r="D175" s="6">
        <v>46108</v>
      </c>
      <c r="E175" s="10">
        <v>148136</v>
      </c>
      <c r="F175" s="5" t="s">
        <v>24</v>
      </c>
      <c r="G175"/>
    </row>
    <row r="176" spans="1:7" ht="15.6" customHeight="1">
      <c r="A176" s="5" t="s">
        <v>36</v>
      </c>
      <c r="B176" s="84" t="s">
        <v>134</v>
      </c>
      <c r="D176" s="6">
        <v>46108</v>
      </c>
      <c r="E176" s="10">
        <v>3232</v>
      </c>
      <c r="F176" s="5" t="s">
        <v>24</v>
      </c>
      <c r="G176"/>
    </row>
    <row r="177" spans="1:7" ht="15.6" customHeight="1">
      <c r="A177" s="5" t="s">
        <v>23</v>
      </c>
      <c r="B177" s="84">
        <v>617047051</v>
      </c>
      <c r="D177" s="6">
        <v>46111</v>
      </c>
      <c r="E177" s="10">
        <v>187096</v>
      </c>
      <c r="F177" s="5" t="s">
        <v>24</v>
      </c>
      <c r="G177"/>
    </row>
    <row r="178" spans="1:7" ht="15.6" customHeight="1">
      <c r="A178" s="5" t="s">
        <v>36</v>
      </c>
      <c r="B178" s="84" t="s">
        <v>135</v>
      </c>
      <c r="D178" s="6">
        <v>46112</v>
      </c>
      <c r="E178" s="10">
        <v>5094</v>
      </c>
      <c r="F178" s="5" t="s">
        <v>24</v>
      </c>
      <c r="G178"/>
    </row>
    <row r="179" spans="1:7" ht="15.6" customHeight="1">
      <c r="A179" s="5" t="s">
        <v>23</v>
      </c>
      <c r="B179" s="84">
        <v>617048021</v>
      </c>
      <c r="D179" s="6">
        <v>46112</v>
      </c>
      <c r="E179" s="10">
        <v>307540</v>
      </c>
      <c r="F179" s="5" t="s">
        <v>24</v>
      </c>
      <c r="G179"/>
    </row>
    <row r="180" spans="1:7" ht="15.6" customHeight="1">
      <c r="B180" s="2"/>
      <c r="E180" s="90">
        <f>SUM(E144:E179)</f>
        <v>6057299</v>
      </c>
      <c r="G180"/>
    </row>
    <row r="181" spans="1:7" ht="15.6" customHeight="1">
      <c r="A181" s="188" t="s">
        <v>119</v>
      </c>
      <c r="B181" s="188"/>
      <c r="C181" s="188"/>
      <c r="D181" s="188"/>
      <c r="E181" s="188"/>
      <c r="F181" s="188"/>
      <c r="G181" s="188"/>
    </row>
    <row r="182" spans="1:7" ht="15.6" customHeight="1">
      <c r="A182" s="189" t="s">
        <v>43</v>
      </c>
      <c r="B182" s="189"/>
      <c r="C182" s="189"/>
      <c r="D182" s="189"/>
      <c r="E182" s="189"/>
      <c r="F182" s="189"/>
      <c r="G182" s="189"/>
    </row>
    <row r="183" spans="1:7" s="5" customFormat="1" ht="15.6" customHeight="1">
      <c r="A183" s="5" t="s">
        <v>46</v>
      </c>
      <c r="B183" s="5" t="s">
        <v>136</v>
      </c>
      <c r="D183" s="6">
        <v>46082</v>
      </c>
      <c r="E183" s="10">
        <v>124285</v>
      </c>
      <c r="F183" s="30">
        <v>46097</v>
      </c>
    </row>
    <row r="184" spans="1:7" s="5" customFormat="1" ht="15.6" customHeight="1">
      <c r="A184" s="5" t="s">
        <v>46</v>
      </c>
      <c r="B184" s="5" t="s">
        <v>137</v>
      </c>
      <c r="D184" s="6">
        <v>46083</v>
      </c>
      <c r="E184" s="10">
        <v>48536</v>
      </c>
      <c r="F184" s="30">
        <v>46098</v>
      </c>
    </row>
    <row r="185" spans="1:7" s="5" customFormat="1" ht="15.6" customHeight="1">
      <c r="A185" s="5" t="s">
        <v>46</v>
      </c>
      <c r="B185" s="5" t="s">
        <v>138</v>
      </c>
      <c r="D185" s="6">
        <v>46084</v>
      </c>
      <c r="E185" s="10">
        <v>69652</v>
      </c>
      <c r="F185" s="30">
        <v>46099</v>
      </c>
    </row>
    <row r="186" spans="1:7" s="5" customFormat="1" ht="15.6" customHeight="1">
      <c r="A186" s="5" t="s">
        <v>48</v>
      </c>
      <c r="B186" s="5" t="s">
        <v>139</v>
      </c>
      <c r="D186" s="6">
        <v>46085</v>
      </c>
      <c r="E186" s="10">
        <v>25461</v>
      </c>
      <c r="F186" s="30">
        <v>46093</v>
      </c>
    </row>
    <row r="187" spans="1:7" s="5" customFormat="1" ht="15.6" customHeight="1">
      <c r="A187" s="5" t="s">
        <v>56</v>
      </c>
      <c r="B187" s="5" t="s">
        <v>140</v>
      </c>
      <c r="D187" s="6">
        <v>46085</v>
      </c>
      <c r="E187" s="10">
        <v>120142</v>
      </c>
      <c r="F187" s="30">
        <v>46093</v>
      </c>
    </row>
    <row r="188" spans="1:7" s="5" customFormat="1" ht="15.6" customHeight="1">
      <c r="A188" s="5" t="s">
        <v>46</v>
      </c>
      <c r="B188" s="5" t="s">
        <v>141</v>
      </c>
      <c r="D188" s="6">
        <v>46085</v>
      </c>
      <c r="E188" s="10">
        <v>31355</v>
      </c>
      <c r="F188" s="30">
        <v>46100</v>
      </c>
    </row>
    <row r="189" spans="1:7" s="5" customFormat="1" ht="15.6" customHeight="1">
      <c r="A189" s="5" t="s">
        <v>46</v>
      </c>
      <c r="B189" s="5" t="s">
        <v>142</v>
      </c>
      <c r="D189" s="6">
        <v>46086</v>
      </c>
      <c r="E189" s="10">
        <v>40250</v>
      </c>
      <c r="F189" s="30">
        <v>46101</v>
      </c>
    </row>
    <row r="190" spans="1:7" s="5" customFormat="1" ht="15.6" customHeight="1">
      <c r="A190" s="5" t="s">
        <v>46</v>
      </c>
      <c r="B190" s="5" t="s">
        <v>143</v>
      </c>
      <c r="D190" s="6">
        <v>46090</v>
      </c>
      <c r="E190" s="10">
        <v>61309</v>
      </c>
      <c r="F190" s="30">
        <v>46105</v>
      </c>
    </row>
    <row r="191" spans="1:7" s="5" customFormat="1" ht="15.6" customHeight="1">
      <c r="A191" s="5" t="s">
        <v>45</v>
      </c>
      <c r="C191" s="5">
        <v>3056800</v>
      </c>
      <c r="D191" s="6">
        <v>46090</v>
      </c>
      <c r="E191" s="10">
        <v>106337</v>
      </c>
    </row>
    <row r="192" spans="1:7" s="5" customFormat="1" ht="15.6" customHeight="1">
      <c r="A192" s="5" t="s">
        <v>144</v>
      </c>
      <c r="B192" s="5" t="s">
        <v>145</v>
      </c>
      <c r="C192" s="5" t="s">
        <v>146</v>
      </c>
      <c r="D192" s="6">
        <v>46090</v>
      </c>
      <c r="E192" s="10">
        <v>28127</v>
      </c>
      <c r="F192" s="30">
        <v>46090</v>
      </c>
    </row>
    <row r="193" spans="1:6" s="5" customFormat="1" ht="15.6" customHeight="1">
      <c r="A193" s="5" t="s">
        <v>147</v>
      </c>
      <c r="B193" s="5" t="s">
        <v>148</v>
      </c>
      <c r="D193" s="6">
        <v>46102</v>
      </c>
      <c r="E193" s="10">
        <v>21812</v>
      </c>
      <c r="F193" s="30">
        <v>46102</v>
      </c>
    </row>
    <row r="194" spans="1:6" s="5" customFormat="1" ht="15.6" customHeight="1">
      <c r="A194" s="5" t="s">
        <v>46</v>
      </c>
      <c r="B194" s="5" t="s">
        <v>149</v>
      </c>
      <c r="D194" s="6">
        <v>46090</v>
      </c>
      <c r="E194" s="10">
        <v>71031</v>
      </c>
      <c r="F194" s="30">
        <v>46105</v>
      </c>
    </row>
    <row r="195" spans="1:6" s="5" customFormat="1" ht="15.6" customHeight="1">
      <c r="A195" s="5" t="s">
        <v>46</v>
      </c>
      <c r="B195" s="5" t="s">
        <v>150</v>
      </c>
      <c r="D195" s="6">
        <v>46091</v>
      </c>
      <c r="E195" s="10">
        <v>51395</v>
      </c>
      <c r="F195" s="30">
        <v>46106</v>
      </c>
    </row>
    <row r="196" spans="1:6" s="5" customFormat="1" ht="15.6" customHeight="1">
      <c r="A196" s="5" t="s">
        <v>46</v>
      </c>
      <c r="B196" s="5" t="s">
        <v>151</v>
      </c>
      <c r="D196" s="6">
        <v>46092</v>
      </c>
      <c r="E196" s="10">
        <v>122442</v>
      </c>
      <c r="F196" s="30">
        <v>46107</v>
      </c>
    </row>
    <row r="197" spans="1:6" s="5" customFormat="1" ht="15.6" customHeight="1">
      <c r="A197" s="5" t="s">
        <v>50</v>
      </c>
      <c r="B197" s="5" t="s">
        <v>152</v>
      </c>
      <c r="D197" s="6">
        <v>46093</v>
      </c>
      <c r="E197" s="10">
        <v>63120</v>
      </c>
      <c r="F197" s="30">
        <v>46101</v>
      </c>
    </row>
    <row r="198" spans="1:6" s="5" customFormat="1" ht="15.6" customHeight="1">
      <c r="A198" s="5" t="s">
        <v>46</v>
      </c>
      <c r="B198" s="5" t="s">
        <v>153</v>
      </c>
      <c r="D198" s="6">
        <v>46097</v>
      </c>
      <c r="E198" s="10">
        <v>71110</v>
      </c>
      <c r="F198" s="30">
        <v>46112</v>
      </c>
    </row>
    <row r="199" spans="1:6" s="5" customFormat="1" ht="15.6" customHeight="1">
      <c r="A199" s="5" t="s">
        <v>48</v>
      </c>
      <c r="B199" s="5" t="s">
        <v>154</v>
      </c>
      <c r="D199" s="6">
        <v>46098</v>
      </c>
      <c r="E199" s="10">
        <v>34878</v>
      </c>
      <c r="F199" s="30">
        <v>46106</v>
      </c>
    </row>
    <row r="200" spans="1:6" s="5" customFormat="1" ht="15.6" customHeight="1">
      <c r="A200" s="5" t="s">
        <v>53</v>
      </c>
      <c r="B200" s="5" t="s">
        <v>155</v>
      </c>
      <c r="C200" s="30"/>
      <c r="D200" s="30">
        <v>46098</v>
      </c>
      <c r="E200" s="10">
        <v>89389</v>
      </c>
      <c r="F200" s="30">
        <v>46106</v>
      </c>
    </row>
    <row r="201" spans="1:6" s="5" customFormat="1" ht="15.6" customHeight="1">
      <c r="A201" s="5" t="s">
        <v>72</v>
      </c>
      <c r="B201" s="5" t="s">
        <v>156</v>
      </c>
      <c r="D201" s="6">
        <v>46097</v>
      </c>
      <c r="E201" s="10">
        <v>144930</v>
      </c>
      <c r="F201" s="30">
        <v>46105</v>
      </c>
    </row>
    <row r="202" spans="1:6" s="5" customFormat="1" ht="15.6" customHeight="1">
      <c r="A202" s="5" t="s">
        <v>46</v>
      </c>
      <c r="B202" s="5" t="s">
        <v>157</v>
      </c>
      <c r="D202" s="6">
        <v>46098</v>
      </c>
      <c r="E202" s="10">
        <v>108399</v>
      </c>
      <c r="F202" s="30">
        <v>46113</v>
      </c>
    </row>
    <row r="203" spans="1:6" s="5" customFormat="1" ht="15.6" customHeight="1">
      <c r="A203" s="5" t="s">
        <v>44</v>
      </c>
      <c r="C203" s="5">
        <v>8929716446</v>
      </c>
      <c r="D203" s="6">
        <v>46099</v>
      </c>
      <c r="E203" s="10">
        <v>70906</v>
      </c>
      <c r="F203" s="30">
        <v>46113</v>
      </c>
    </row>
    <row r="204" spans="1:6" s="5" customFormat="1" ht="15.6" customHeight="1">
      <c r="A204" s="5" t="s">
        <v>46</v>
      </c>
      <c r="B204" s="5" t="s">
        <v>158</v>
      </c>
      <c r="D204" s="6">
        <v>46099</v>
      </c>
      <c r="E204" s="10">
        <v>35172</v>
      </c>
      <c r="F204" s="30">
        <v>46114</v>
      </c>
    </row>
    <row r="205" spans="1:6" s="5" customFormat="1" ht="15.6" customHeight="1">
      <c r="A205" s="5" t="s">
        <v>46</v>
      </c>
      <c r="B205" s="5" t="s">
        <v>159</v>
      </c>
      <c r="D205" s="6">
        <v>46100</v>
      </c>
      <c r="E205" s="10">
        <v>22214</v>
      </c>
      <c r="F205" s="30">
        <v>46115</v>
      </c>
    </row>
    <row r="206" spans="1:6" s="5" customFormat="1" ht="15.6" customHeight="1">
      <c r="A206" s="5" t="s">
        <v>46</v>
      </c>
      <c r="B206" s="5" t="s">
        <v>160</v>
      </c>
      <c r="D206" s="6">
        <v>46104</v>
      </c>
      <c r="E206" s="10">
        <v>35145</v>
      </c>
      <c r="F206" s="30">
        <v>46119</v>
      </c>
    </row>
    <row r="207" spans="1:6" s="5" customFormat="1" ht="15.6" customHeight="1">
      <c r="A207" s="5" t="s">
        <v>50</v>
      </c>
      <c r="B207" s="5" t="s">
        <v>161</v>
      </c>
      <c r="D207" s="6">
        <v>46104</v>
      </c>
      <c r="E207" s="10">
        <v>63120</v>
      </c>
      <c r="F207" s="30">
        <v>46112</v>
      </c>
    </row>
    <row r="208" spans="1:6" s="5" customFormat="1" ht="15.6" customHeight="1">
      <c r="A208" s="5" t="s">
        <v>46</v>
      </c>
      <c r="B208" s="5" t="s">
        <v>162</v>
      </c>
      <c r="D208" s="6">
        <v>46104</v>
      </c>
      <c r="E208" s="10">
        <v>14158</v>
      </c>
      <c r="F208" s="30">
        <v>46119</v>
      </c>
    </row>
    <row r="209" spans="1:7" s="5" customFormat="1" ht="15.6" customHeight="1">
      <c r="A209" s="5" t="s">
        <v>27</v>
      </c>
      <c r="D209" s="6">
        <v>46104</v>
      </c>
      <c r="E209" s="10">
        <v>24912</v>
      </c>
    </row>
    <row r="210" spans="1:7" s="5" customFormat="1" ht="15.6" customHeight="1">
      <c r="A210" s="5" t="s">
        <v>56</v>
      </c>
      <c r="B210" s="5" t="s">
        <v>163</v>
      </c>
      <c r="D210" s="6">
        <v>46105</v>
      </c>
      <c r="E210" s="10">
        <v>109243</v>
      </c>
      <c r="F210" s="30">
        <v>46113</v>
      </c>
    </row>
    <row r="211" spans="1:7" s="5" customFormat="1" ht="15.6" customHeight="1">
      <c r="A211" s="5" t="s">
        <v>46</v>
      </c>
      <c r="B211" s="5" t="s">
        <v>164</v>
      </c>
      <c r="D211" s="6">
        <v>46105</v>
      </c>
      <c r="E211" s="10">
        <v>111228</v>
      </c>
      <c r="F211" s="30">
        <v>46120</v>
      </c>
    </row>
    <row r="212" spans="1:7" s="5" customFormat="1" ht="15.6" customHeight="1">
      <c r="A212" s="5" t="s">
        <v>46</v>
      </c>
      <c r="B212" s="5" t="s">
        <v>165</v>
      </c>
      <c r="D212" s="6">
        <v>46107</v>
      </c>
      <c r="E212" s="10">
        <v>40094</v>
      </c>
      <c r="F212" s="30">
        <v>46122</v>
      </c>
    </row>
    <row r="213" spans="1:7" s="5" customFormat="1" ht="15.6" customHeight="1">
      <c r="A213" s="5" t="s">
        <v>46</v>
      </c>
      <c r="B213" s="5" t="s">
        <v>166</v>
      </c>
      <c r="D213" s="6">
        <v>46110</v>
      </c>
      <c r="E213" s="10">
        <v>58072</v>
      </c>
      <c r="F213" s="30">
        <v>46125</v>
      </c>
    </row>
    <row r="214" spans="1:7" s="5" customFormat="1" ht="15.6" customHeight="1">
      <c r="A214" s="5" t="s">
        <v>45</v>
      </c>
      <c r="C214" s="5">
        <v>3060107</v>
      </c>
      <c r="D214" s="6">
        <v>46111</v>
      </c>
      <c r="E214" s="10">
        <v>83712</v>
      </c>
    </row>
    <row r="215" spans="1:7" s="5" customFormat="1" ht="15.6" customHeight="1">
      <c r="A215" s="5" t="s">
        <v>46</v>
      </c>
      <c r="B215" s="5" t="s">
        <v>167</v>
      </c>
      <c r="D215" s="6">
        <v>46111</v>
      </c>
      <c r="E215" s="10">
        <v>48190</v>
      </c>
      <c r="F215" s="30">
        <v>46126</v>
      </c>
    </row>
    <row r="216" spans="1:7" s="5" customFormat="1" ht="15.6" customHeight="1">
      <c r="A216" s="5" t="s">
        <v>168</v>
      </c>
      <c r="B216" s="5" t="s">
        <v>169</v>
      </c>
      <c r="D216" s="6">
        <v>46111</v>
      </c>
      <c r="E216" s="10">
        <v>76337</v>
      </c>
      <c r="F216" s="30">
        <v>46112</v>
      </c>
    </row>
    <row r="217" spans="1:7" s="5" customFormat="1" ht="15.6" customHeight="1">
      <c r="D217" s="6"/>
      <c r="E217" s="90">
        <f>SUM(E183:E216)</f>
        <v>2226463</v>
      </c>
      <c r="F217" s="30"/>
    </row>
    <row r="218" spans="1:7" ht="15.6" customHeight="1">
      <c r="A218" s="188" t="s">
        <v>170</v>
      </c>
      <c r="B218" s="188"/>
      <c r="C218" s="188"/>
      <c r="D218" s="188"/>
      <c r="E218" s="188"/>
      <c r="F218" s="188"/>
      <c r="G218" s="188"/>
    </row>
    <row r="219" spans="1:7" ht="15.6" customHeight="1">
      <c r="A219" s="189" t="s">
        <v>22</v>
      </c>
      <c r="B219" s="189"/>
      <c r="C219" s="189"/>
      <c r="D219" s="189"/>
      <c r="E219" s="189"/>
      <c r="F219" s="189"/>
      <c r="G219" s="189"/>
    </row>
    <row r="220" spans="1:7" ht="15.6" customHeight="1">
      <c r="A220" s="2" t="s">
        <v>23</v>
      </c>
      <c r="B220" s="2">
        <v>617048802</v>
      </c>
      <c r="C220"/>
      <c r="D220" s="41">
        <v>46113</v>
      </c>
      <c r="E220" s="32">
        <v>34177</v>
      </c>
      <c r="F220" s="2" t="s">
        <v>24</v>
      </c>
      <c r="G220"/>
    </row>
    <row r="221" spans="1:7" ht="15.6" customHeight="1">
      <c r="A221" s="2" t="s">
        <v>23</v>
      </c>
      <c r="B221" s="2">
        <v>617048803</v>
      </c>
      <c r="C221"/>
      <c r="D221" s="41">
        <v>46113</v>
      </c>
      <c r="E221" s="32">
        <v>190389</v>
      </c>
      <c r="F221" s="2" t="s">
        <v>24</v>
      </c>
      <c r="G221"/>
    </row>
    <row r="222" spans="1:7" ht="15.6" customHeight="1">
      <c r="A222" s="2" t="s">
        <v>23</v>
      </c>
      <c r="B222" s="2">
        <v>617049442</v>
      </c>
      <c r="C222"/>
      <c r="D222" s="41">
        <v>46114</v>
      </c>
      <c r="E222" s="32">
        <v>221797</v>
      </c>
      <c r="F222" s="2" t="s">
        <v>24</v>
      </c>
      <c r="G222"/>
    </row>
    <row r="223" spans="1:7" ht="15.6" customHeight="1">
      <c r="A223" s="2" t="s">
        <v>171</v>
      </c>
      <c r="B223" s="2" t="s">
        <v>172</v>
      </c>
      <c r="C223"/>
      <c r="D223" s="41">
        <v>46113</v>
      </c>
      <c r="E223" s="32">
        <v>5780</v>
      </c>
      <c r="F223" s="2" t="s">
        <v>29</v>
      </c>
      <c r="G223"/>
    </row>
    <row r="224" spans="1:7" ht="15.6" customHeight="1">
      <c r="A224" s="2"/>
      <c r="B224" s="2"/>
      <c r="C224"/>
      <c r="D224" s="41"/>
      <c r="E224" s="32"/>
      <c r="F224" s="2"/>
      <c r="G224"/>
    </row>
    <row r="225" spans="1:7" ht="15.6" customHeight="1">
      <c r="A225" s="2"/>
      <c r="B225" s="2"/>
      <c r="C225"/>
      <c r="D225" s="41"/>
      <c r="E225" s="32"/>
      <c r="F225" s="2"/>
      <c r="G225"/>
    </row>
    <row r="226" spans="1:7" ht="15.6" customHeight="1">
      <c r="A226" s="188" t="s">
        <v>170</v>
      </c>
      <c r="B226" s="188"/>
      <c r="C226" s="188"/>
      <c r="D226" s="188"/>
      <c r="E226" s="188"/>
      <c r="F226" s="188"/>
      <c r="G226" s="188"/>
    </row>
    <row r="227" spans="1:7" ht="15.6" customHeight="1">
      <c r="A227" s="189" t="s">
        <v>43</v>
      </c>
      <c r="B227" s="189"/>
      <c r="C227" s="189"/>
      <c r="D227" s="189"/>
      <c r="E227" s="189"/>
      <c r="F227" s="189"/>
      <c r="G227" s="189"/>
    </row>
    <row r="228" spans="1:7" ht="15.6" customHeight="1">
      <c r="A228" s="2" t="s">
        <v>46</v>
      </c>
      <c r="B228" s="2" t="s">
        <v>173</v>
      </c>
      <c r="C228" s="2"/>
      <c r="D228" s="41">
        <v>46113</v>
      </c>
      <c r="E228" s="32">
        <v>30339</v>
      </c>
      <c r="F228" s="184">
        <v>46127</v>
      </c>
    </row>
    <row r="229" spans="1:7" ht="15.6" customHeight="1">
      <c r="A229" s="2" t="s">
        <v>46</v>
      </c>
      <c r="B229" s="2" t="s">
        <v>174</v>
      </c>
      <c r="C229" s="2"/>
      <c r="D229" s="41">
        <v>46113</v>
      </c>
      <c r="E229" s="32">
        <v>51694</v>
      </c>
      <c r="F229" s="184">
        <v>46128</v>
      </c>
    </row>
    <row r="230" spans="1:7" ht="15.6" customHeight="1">
      <c r="A230" s="2" t="s">
        <v>50</v>
      </c>
      <c r="B230" s="2" t="s">
        <v>175</v>
      </c>
      <c r="C230" s="2"/>
      <c r="D230" s="41">
        <v>46114</v>
      </c>
      <c r="E230" s="32">
        <v>63120</v>
      </c>
      <c r="F230" s="184">
        <v>46122</v>
      </c>
    </row>
    <row r="231" spans="1:7" ht="15.6" customHeight="1">
      <c r="A231" s="2"/>
      <c r="B231" s="2"/>
      <c r="C231" s="2"/>
      <c r="D231" s="41"/>
      <c r="E231" s="32"/>
      <c r="F231" s="2"/>
    </row>
    <row r="232" spans="1:7" ht="15.6" customHeight="1">
      <c r="A232" s="2"/>
      <c r="B232" s="2"/>
      <c r="C232" s="2"/>
      <c r="D232" s="41"/>
      <c r="E232" s="32"/>
      <c r="F232" s="2"/>
    </row>
    <row r="233" spans="1:7" ht="15.6" customHeight="1">
      <c r="A233" s="2"/>
      <c r="B233" s="2"/>
      <c r="C233" s="2"/>
      <c r="D233" s="41"/>
      <c r="E233" s="32"/>
      <c r="F233" s="2"/>
    </row>
    <row r="234" spans="1:7" ht="15.6" customHeight="1">
      <c r="A234" s="2"/>
      <c r="B234" s="2"/>
      <c r="C234" s="2"/>
      <c r="D234" s="41"/>
      <c r="E234" s="32"/>
      <c r="F234" s="2"/>
    </row>
    <row r="235" spans="1:7" ht="15.6" customHeight="1">
      <c r="A235" s="2"/>
      <c r="B235" s="2"/>
      <c r="C235" s="2"/>
      <c r="D235" s="41"/>
      <c r="E235" s="32"/>
      <c r="F235" s="2"/>
    </row>
    <row r="236" spans="1:7" ht="15.6" customHeight="1">
      <c r="A236" s="2"/>
      <c r="B236" s="2"/>
      <c r="C236" s="2"/>
      <c r="D236" s="41"/>
      <c r="E236" s="32"/>
      <c r="F236" s="2"/>
    </row>
    <row r="237" spans="1:7" ht="15.6" customHeight="1">
      <c r="A237" s="2"/>
      <c r="B237" s="2"/>
      <c r="C237" s="2"/>
      <c r="D237" s="41"/>
      <c r="E237" s="32"/>
      <c r="F237" s="2"/>
    </row>
    <row r="238" spans="1:7" ht="15.6" customHeight="1">
      <c r="A238" s="2"/>
      <c r="B238" s="2"/>
      <c r="C238" s="2"/>
      <c r="D238" s="41"/>
      <c r="E238" s="32"/>
      <c r="F238" s="2"/>
    </row>
    <row r="239" spans="1:7" ht="15.6" customHeight="1">
      <c r="A239" s="2"/>
      <c r="B239" s="2"/>
      <c r="C239" s="2"/>
      <c r="D239" s="41"/>
      <c r="E239" s="32"/>
      <c r="F239" s="2"/>
    </row>
    <row r="240" spans="1:7" ht="15.6" customHeight="1">
      <c r="A240" s="2"/>
      <c r="B240" s="2"/>
      <c r="C240" s="2"/>
      <c r="D240" s="41"/>
      <c r="E240" s="32"/>
      <c r="F240" s="2"/>
    </row>
    <row r="241" spans="4:5" s="2" customFormat="1" ht="15.6" customHeight="1">
      <c r="D241" s="41"/>
      <c r="E241" s="32"/>
    </row>
    <row r="242" spans="4:5" s="2" customFormat="1" ht="15.6" customHeight="1">
      <c r="D242" s="41"/>
      <c r="E242" s="32"/>
    </row>
    <row r="243" spans="4:5" s="2" customFormat="1" ht="15.6" customHeight="1">
      <c r="D243" s="41"/>
      <c r="E243" s="32"/>
    </row>
    <row r="244" spans="4:5" s="2" customFormat="1" ht="15.6" customHeight="1">
      <c r="D244" s="41"/>
      <c r="E244" s="32"/>
    </row>
    <row r="245" spans="4:5" s="2" customFormat="1" ht="15.6" customHeight="1">
      <c r="D245" s="41"/>
      <c r="E245" s="32"/>
    </row>
    <row r="246" spans="4:5" s="2" customFormat="1" ht="15.6" customHeight="1">
      <c r="D246" s="41"/>
      <c r="E246" s="32"/>
    </row>
    <row r="247" spans="4:5" s="2" customFormat="1" ht="15.6" customHeight="1">
      <c r="D247" s="41"/>
      <c r="E247" s="32"/>
    </row>
    <row r="248" spans="4:5" s="2" customFormat="1" ht="15.6" customHeight="1">
      <c r="D248" s="41"/>
      <c r="E248" s="32"/>
    </row>
    <row r="249" spans="4:5" s="2" customFormat="1" ht="15.6" customHeight="1">
      <c r="D249" s="41"/>
      <c r="E249" s="32"/>
    </row>
    <row r="250" spans="4:5" s="2" customFormat="1" ht="15.6" customHeight="1">
      <c r="D250" s="41"/>
      <c r="E250" s="32"/>
    </row>
    <row r="251" spans="4:5" s="2" customFormat="1" ht="15.6" customHeight="1">
      <c r="D251" s="41"/>
      <c r="E251" s="32"/>
    </row>
    <row r="252" spans="4:5" s="2" customFormat="1" ht="15.6" customHeight="1">
      <c r="D252" s="41"/>
      <c r="E252" s="32"/>
    </row>
    <row r="253" spans="4:5" s="2" customFormat="1" ht="15.6" customHeight="1">
      <c r="D253" s="41"/>
      <c r="E253" s="32"/>
    </row>
    <row r="254" spans="4:5" s="2" customFormat="1" ht="15.6" customHeight="1">
      <c r="D254" s="41"/>
      <c r="E254" s="32"/>
    </row>
    <row r="255" spans="4:5" s="2" customFormat="1" ht="15.6" customHeight="1">
      <c r="D255" s="41"/>
      <c r="E255" s="32"/>
    </row>
    <row r="256" spans="4:5" s="2" customFormat="1" ht="15.6" customHeight="1">
      <c r="D256" s="41"/>
      <c r="E256" s="32"/>
    </row>
    <row r="257" spans="4:5" s="2" customFormat="1" ht="15.6" customHeight="1">
      <c r="D257" s="41"/>
      <c r="E257" s="32"/>
    </row>
    <row r="258" spans="4:5" s="2" customFormat="1" ht="15.6" customHeight="1">
      <c r="D258" s="41"/>
      <c r="E258" s="32"/>
    </row>
    <row r="259" spans="4:5" s="2" customFormat="1" ht="15.6" customHeight="1">
      <c r="D259" s="41"/>
      <c r="E259" s="32"/>
    </row>
    <row r="260" spans="4:5" s="2" customFormat="1" ht="15.6" customHeight="1">
      <c r="D260" s="41"/>
      <c r="E260" s="32"/>
    </row>
    <row r="261" spans="4:5" s="2" customFormat="1" ht="15.6" customHeight="1">
      <c r="D261" s="41"/>
      <c r="E261" s="32"/>
    </row>
    <row r="262" spans="4:5" s="2" customFormat="1" ht="15.6" customHeight="1">
      <c r="D262" s="41"/>
      <c r="E262" s="32"/>
    </row>
    <row r="263" spans="4:5" s="2" customFormat="1" ht="15.6" customHeight="1">
      <c r="D263" s="41"/>
      <c r="E263" s="32"/>
    </row>
    <row r="264" spans="4:5" s="2" customFormat="1" ht="15.6" customHeight="1">
      <c r="D264" s="41"/>
      <c r="E264" s="32"/>
    </row>
    <row r="265" spans="4:5" s="2" customFormat="1" ht="15.6" customHeight="1">
      <c r="D265" s="41"/>
      <c r="E265" s="32"/>
    </row>
    <row r="266" spans="4:5" s="2" customFormat="1" ht="15.6" customHeight="1">
      <c r="D266" s="41"/>
      <c r="E266" s="32"/>
    </row>
    <row r="267" spans="4:5" s="2" customFormat="1" ht="15.6" customHeight="1">
      <c r="D267" s="41"/>
      <c r="E267" s="32"/>
    </row>
    <row r="268" spans="4:5" s="2" customFormat="1" ht="15.6" customHeight="1">
      <c r="D268" s="41"/>
      <c r="E268" s="32"/>
    </row>
    <row r="269" spans="4:5" s="2" customFormat="1" ht="15.6" customHeight="1">
      <c r="D269" s="41"/>
      <c r="E269" s="32"/>
    </row>
    <row r="270" spans="4:5" s="2" customFormat="1" ht="15.6" customHeight="1">
      <c r="D270" s="41"/>
      <c r="E270" s="32"/>
    </row>
    <row r="271" spans="4:5" s="2" customFormat="1" ht="15.6" customHeight="1">
      <c r="D271" s="41"/>
      <c r="E271" s="32"/>
    </row>
    <row r="272" spans="4:5" s="2" customFormat="1" ht="15.6" customHeight="1">
      <c r="D272" s="41"/>
      <c r="E272" s="32"/>
    </row>
    <row r="273" spans="4:5" s="2" customFormat="1" ht="15.6" customHeight="1">
      <c r="D273" s="41"/>
      <c r="E273" s="32"/>
    </row>
    <row r="274" spans="4:5" s="2" customFormat="1" ht="15.6" customHeight="1">
      <c r="D274" s="41"/>
      <c r="E274" s="32"/>
    </row>
    <row r="275" spans="4:5" s="2" customFormat="1" ht="15.6" customHeight="1">
      <c r="D275" s="41"/>
      <c r="E275" s="32"/>
    </row>
    <row r="276" spans="4:5" s="2" customFormat="1" ht="15.6" customHeight="1">
      <c r="D276" s="41"/>
      <c r="E276" s="32"/>
    </row>
    <row r="277" spans="4:5" s="2" customFormat="1" ht="15.6" customHeight="1">
      <c r="D277" s="41"/>
      <c r="E277" s="32"/>
    </row>
    <row r="278" spans="4:5" s="2" customFormat="1" ht="15.6" customHeight="1">
      <c r="D278" s="41"/>
      <c r="E278" s="32"/>
    </row>
    <row r="279" spans="4:5" s="2" customFormat="1" ht="15.6" customHeight="1">
      <c r="D279" s="41"/>
      <c r="E279" s="32"/>
    </row>
    <row r="280" spans="4:5" s="2" customFormat="1" ht="15.6" customHeight="1">
      <c r="D280" s="41"/>
      <c r="E280" s="32"/>
    </row>
    <row r="281" spans="4:5" s="2" customFormat="1" ht="15.6" customHeight="1">
      <c r="D281" s="41"/>
      <c r="E281" s="32"/>
    </row>
    <row r="282" spans="4:5" s="2" customFormat="1" ht="15.6" customHeight="1">
      <c r="D282" s="41"/>
      <c r="E282" s="32"/>
    </row>
    <row r="283" spans="4:5" s="2" customFormat="1" ht="15.6" customHeight="1">
      <c r="D283" s="41"/>
      <c r="E283" s="32"/>
    </row>
    <row r="284" spans="4:5" s="2" customFormat="1" ht="15.6" customHeight="1">
      <c r="D284" s="41"/>
      <c r="E284" s="32"/>
    </row>
    <row r="285" spans="4:5" s="2" customFormat="1" ht="15.6" customHeight="1">
      <c r="D285" s="41"/>
      <c r="E285" s="32"/>
    </row>
    <row r="286" spans="4:5" s="2" customFormat="1" ht="15.6" customHeight="1">
      <c r="D286" s="41"/>
      <c r="E286" s="32"/>
    </row>
    <row r="287" spans="4:5" s="2" customFormat="1" ht="15.6" customHeight="1">
      <c r="D287" s="41"/>
      <c r="E287" s="32"/>
    </row>
    <row r="288" spans="4:5" s="2" customFormat="1" ht="15.6" customHeight="1">
      <c r="D288" s="41"/>
      <c r="E288" s="32"/>
    </row>
    <row r="289" spans="4:5" s="2" customFormat="1" ht="15.6" customHeight="1">
      <c r="D289" s="41"/>
      <c r="E289" s="32"/>
    </row>
    <row r="290" spans="4:5" s="2" customFormat="1" ht="15.6" customHeight="1">
      <c r="D290" s="41"/>
      <c r="E290" s="32"/>
    </row>
    <row r="291" spans="4:5" s="2" customFormat="1" ht="15.6" customHeight="1">
      <c r="D291" s="41"/>
      <c r="E291" s="32"/>
    </row>
    <row r="292" spans="4:5" s="2" customFormat="1" ht="15.6" customHeight="1">
      <c r="D292" s="41"/>
      <c r="E292" s="32"/>
    </row>
    <row r="293" spans="4:5" s="2" customFormat="1" ht="15.6" customHeight="1">
      <c r="D293" s="41"/>
      <c r="E293" s="32"/>
    </row>
    <row r="294" spans="4:5" s="2" customFormat="1" ht="15.6" customHeight="1">
      <c r="D294" s="41"/>
      <c r="E294" s="32"/>
    </row>
    <row r="295" spans="4:5" s="2" customFormat="1" ht="15.6" customHeight="1">
      <c r="D295" s="41"/>
      <c r="E295" s="32"/>
    </row>
    <row r="296" spans="4:5" s="2" customFormat="1" ht="15.6" customHeight="1">
      <c r="D296" s="41"/>
      <c r="E296" s="32"/>
    </row>
    <row r="297" spans="4:5" s="2" customFormat="1" ht="15.6" customHeight="1">
      <c r="D297" s="41"/>
      <c r="E297" s="32"/>
    </row>
    <row r="298" spans="4:5" s="2" customFormat="1" ht="15.6" customHeight="1">
      <c r="D298" s="41"/>
      <c r="E298" s="32"/>
    </row>
    <row r="299" spans="4:5" s="2" customFormat="1" ht="15.6" customHeight="1">
      <c r="D299" s="41"/>
      <c r="E299" s="32"/>
    </row>
    <row r="300" spans="4:5" s="2" customFormat="1" ht="15.6" customHeight="1">
      <c r="D300" s="41"/>
      <c r="E300" s="32"/>
    </row>
    <row r="301" spans="4:5" s="2" customFormat="1" ht="15.6" customHeight="1">
      <c r="D301" s="41"/>
      <c r="E301" s="32"/>
    </row>
    <row r="302" spans="4:5" s="2" customFormat="1" ht="15.6" customHeight="1">
      <c r="D302" s="41"/>
      <c r="E302" s="32"/>
    </row>
    <row r="303" spans="4:5" s="2" customFormat="1" ht="15.6" customHeight="1">
      <c r="D303" s="41"/>
      <c r="E303" s="32"/>
    </row>
    <row r="304" spans="4:5" s="2" customFormat="1" ht="15.6" customHeight="1">
      <c r="D304" s="41"/>
      <c r="E304" s="32"/>
    </row>
    <row r="305" spans="4:5" s="2" customFormat="1" ht="15.6" customHeight="1">
      <c r="D305" s="41"/>
      <c r="E305" s="32"/>
    </row>
    <row r="306" spans="4:5" s="2" customFormat="1" ht="15.6" customHeight="1">
      <c r="D306" s="41"/>
      <c r="E306" s="32"/>
    </row>
    <row r="307" spans="4:5" s="2" customFormat="1" ht="15.6" customHeight="1">
      <c r="D307" s="41"/>
      <c r="E307" s="32"/>
    </row>
    <row r="308" spans="4:5" s="2" customFormat="1" ht="15.6" customHeight="1">
      <c r="D308" s="41"/>
      <c r="E308" s="32"/>
    </row>
    <row r="309" spans="4:5" s="2" customFormat="1" ht="15.6" customHeight="1">
      <c r="D309" s="41"/>
      <c r="E309" s="32"/>
    </row>
    <row r="310" spans="4:5" s="2" customFormat="1" ht="15.6" customHeight="1">
      <c r="D310" s="41"/>
      <c r="E310" s="32"/>
    </row>
    <row r="311" spans="4:5" s="2" customFormat="1" ht="15.6" customHeight="1">
      <c r="D311" s="41"/>
      <c r="E311" s="32"/>
    </row>
    <row r="312" spans="4:5" s="2" customFormat="1" ht="15.6" customHeight="1">
      <c r="D312" s="41"/>
      <c r="E312" s="32"/>
    </row>
    <row r="313" spans="4:5" s="2" customFormat="1" ht="15.6" customHeight="1">
      <c r="D313" s="41"/>
      <c r="E313" s="32"/>
    </row>
    <row r="314" spans="4:5" s="2" customFormat="1" ht="15.6" customHeight="1">
      <c r="D314" s="41"/>
      <c r="E314" s="32"/>
    </row>
    <row r="315" spans="4:5" s="2" customFormat="1" ht="15.6" customHeight="1">
      <c r="D315" s="41"/>
      <c r="E315" s="32"/>
    </row>
    <row r="316" spans="4:5" s="2" customFormat="1" ht="15.6" customHeight="1">
      <c r="D316" s="41"/>
      <c r="E316" s="32"/>
    </row>
    <row r="317" spans="4:5" s="2" customFormat="1" ht="15.6" customHeight="1">
      <c r="D317" s="41"/>
      <c r="E317" s="32"/>
    </row>
    <row r="318" spans="4:5" s="2" customFormat="1" ht="15.6" customHeight="1">
      <c r="D318" s="41"/>
      <c r="E318" s="32"/>
    </row>
    <row r="319" spans="4:5" s="2" customFormat="1" ht="15.6" customHeight="1">
      <c r="D319" s="41"/>
      <c r="E319" s="32"/>
    </row>
    <row r="320" spans="4:5" s="2" customFormat="1" ht="15.6" customHeight="1">
      <c r="D320" s="41"/>
      <c r="E320" s="32"/>
    </row>
    <row r="321" spans="4:5" s="2" customFormat="1" ht="15.6" customHeight="1">
      <c r="D321" s="41"/>
      <c r="E321" s="32"/>
    </row>
    <row r="322" spans="4:5" s="2" customFormat="1" ht="15.6" customHeight="1">
      <c r="D322" s="41"/>
      <c r="E322" s="32"/>
    </row>
    <row r="323" spans="4:5" s="2" customFormat="1" ht="15.6" customHeight="1">
      <c r="D323" s="41"/>
      <c r="E323" s="32"/>
    </row>
    <row r="324" spans="4:5" s="2" customFormat="1" ht="15.6" customHeight="1">
      <c r="D324" s="41"/>
      <c r="E324" s="32"/>
    </row>
    <row r="325" spans="4:5" s="2" customFormat="1" ht="15.6" customHeight="1">
      <c r="D325" s="41"/>
      <c r="E325" s="32"/>
    </row>
    <row r="326" spans="4:5" s="2" customFormat="1" ht="15.6" customHeight="1">
      <c r="D326" s="41"/>
      <c r="E326" s="32"/>
    </row>
    <row r="327" spans="4:5" s="2" customFormat="1" ht="15.6" customHeight="1">
      <c r="D327" s="41"/>
      <c r="E327" s="32"/>
    </row>
    <row r="328" spans="4:5" s="2" customFormat="1" ht="15.6" customHeight="1">
      <c r="D328" s="41"/>
      <c r="E328" s="32"/>
    </row>
    <row r="329" spans="4:5" s="2" customFormat="1" ht="15.6" customHeight="1">
      <c r="D329" s="41"/>
      <c r="E329" s="32"/>
    </row>
    <row r="330" spans="4:5" s="2" customFormat="1" ht="15.6" customHeight="1">
      <c r="D330" s="41"/>
      <c r="E330" s="32"/>
    </row>
    <row r="331" spans="4:5" s="2" customFormat="1" ht="15.6" customHeight="1">
      <c r="D331" s="41"/>
      <c r="E331" s="32"/>
    </row>
    <row r="332" spans="4:5" s="2" customFormat="1" ht="15.6" customHeight="1">
      <c r="D332" s="41"/>
      <c r="E332" s="32"/>
    </row>
    <row r="333" spans="4:5" s="2" customFormat="1" ht="15.6" customHeight="1">
      <c r="D333" s="41"/>
      <c r="E333" s="32"/>
    </row>
    <row r="334" spans="4:5" s="2" customFormat="1" ht="15.6" customHeight="1">
      <c r="D334" s="41"/>
      <c r="E334" s="32"/>
    </row>
    <row r="335" spans="4:5" s="2" customFormat="1" ht="15.6" customHeight="1">
      <c r="D335" s="41"/>
      <c r="E335" s="32"/>
    </row>
    <row r="336" spans="4:5" s="2" customFormat="1" ht="15.6" customHeight="1">
      <c r="D336" s="41"/>
      <c r="E336" s="32"/>
    </row>
    <row r="337" spans="4:5" s="2" customFormat="1" ht="15.6" customHeight="1">
      <c r="D337" s="41"/>
      <c r="E337" s="32"/>
    </row>
    <row r="338" spans="4:5" s="2" customFormat="1" ht="15.6" customHeight="1">
      <c r="D338" s="41"/>
      <c r="E338" s="32"/>
    </row>
    <row r="339" spans="4:5" s="2" customFormat="1" ht="15.6" customHeight="1">
      <c r="D339" s="41"/>
      <c r="E339" s="32"/>
    </row>
    <row r="340" spans="4:5" s="2" customFormat="1" ht="15.6" customHeight="1">
      <c r="D340" s="41"/>
      <c r="E340" s="32"/>
    </row>
    <row r="341" spans="4:5" s="2" customFormat="1" ht="15.6" customHeight="1">
      <c r="D341" s="41"/>
      <c r="E341" s="32"/>
    </row>
    <row r="342" spans="4:5" s="2" customFormat="1" ht="15.6" customHeight="1">
      <c r="D342" s="41"/>
      <c r="E342" s="32"/>
    </row>
    <row r="343" spans="4:5" s="2" customFormat="1" ht="15.6" customHeight="1">
      <c r="D343" s="41"/>
      <c r="E343" s="32"/>
    </row>
    <row r="344" spans="4:5" s="2" customFormat="1" ht="15.6" customHeight="1">
      <c r="D344" s="41"/>
      <c r="E344" s="32"/>
    </row>
    <row r="345" spans="4:5" s="2" customFormat="1" ht="15.6" customHeight="1">
      <c r="D345" s="41"/>
      <c r="E345" s="32"/>
    </row>
    <row r="346" spans="4:5" s="2" customFormat="1" ht="15.6" customHeight="1">
      <c r="D346" s="41"/>
      <c r="E346" s="32"/>
    </row>
    <row r="347" spans="4:5" s="2" customFormat="1" ht="15.6" customHeight="1">
      <c r="D347" s="41"/>
      <c r="E347" s="32"/>
    </row>
    <row r="348" spans="4:5" s="2" customFormat="1" ht="15.6" customHeight="1">
      <c r="D348" s="41"/>
      <c r="E348" s="32"/>
    </row>
    <row r="349" spans="4:5" s="2" customFormat="1" ht="15.6" customHeight="1">
      <c r="D349" s="41"/>
      <c r="E349" s="32"/>
    </row>
    <row r="350" spans="4:5" s="2" customFormat="1" ht="15.6" customHeight="1">
      <c r="D350" s="41"/>
      <c r="E350" s="32"/>
    </row>
    <row r="351" spans="4:5" s="2" customFormat="1" ht="15.6" customHeight="1">
      <c r="D351" s="41"/>
      <c r="E351" s="32"/>
    </row>
    <row r="352" spans="4:5" s="2" customFormat="1" ht="15.6" customHeight="1">
      <c r="D352" s="41"/>
      <c r="E352" s="32"/>
    </row>
    <row r="353" spans="4:5" s="2" customFormat="1" ht="15.6" customHeight="1">
      <c r="D353" s="41"/>
      <c r="E353" s="32"/>
    </row>
    <row r="354" spans="4:5" s="2" customFormat="1" ht="15.6" customHeight="1">
      <c r="D354" s="41"/>
      <c r="E354" s="32"/>
    </row>
    <row r="355" spans="4:5" s="2" customFormat="1" ht="15.6" customHeight="1">
      <c r="D355" s="41"/>
      <c r="E355" s="32"/>
    </row>
    <row r="356" spans="4:5" s="2" customFormat="1" ht="15.6" customHeight="1">
      <c r="D356" s="41"/>
      <c r="E356" s="32"/>
    </row>
    <row r="357" spans="4:5" s="2" customFormat="1" ht="15.6" customHeight="1">
      <c r="D357" s="41"/>
      <c r="E357" s="32"/>
    </row>
    <row r="358" spans="4:5" s="2" customFormat="1" ht="15.6" customHeight="1">
      <c r="D358" s="41"/>
      <c r="E358" s="32"/>
    </row>
    <row r="359" spans="4:5" s="2" customFormat="1" ht="15.6" customHeight="1">
      <c r="D359" s="41"/>
      <c r="E359" s="32"/>
    </row>
    <row r="360" spans="4:5" s="2" customFormat="1" ht="15.6" customHeight="1">
      <c r="D360" s="41"/>
      <c r="E360" s="32"/>
    </row>
    <row r="361" spans="4:5" s="2" customFormat="1" ht="15.6" customHeight="1">
      <c r="D361" s="41"/>
      <c r="E361" s="32"/>
    </row>
    <row r="362" spans="4:5" s="2" customFormat="1" ht="15.6" customHeight="1">
      <c r="D362" s="41"/>
      <c r="E362" s="32"/>
    </row>
    <row r="363" spans="4:5" s="2" customFormat="1" ht="15.6" customHeight="1">
      <c r="D363" s="41"/>
      <c r="E363" s="32"/>
    </row>
    <row r="364" spans="4:5" s="2" customFormat="1" ht="15.6" customHeight="1">
      <c r="D364" s="41"/>
      <c r="E364" s="32"/>
    </row>
    <row r="365" spans="4:5" s="2" customFormat="1" ht="15.6" customHeight="1">
      <c r="D365" s="41"/>
      <c r="E365" s="32"/>
    </row>
    <row r="366" spans="4:5" s="2" customFormat="1" ht="15.6" customHeight="1">
      <c r="D366" s="41"/>
      <c r="E366" s="32"/>
    </row>
    <row r="367" spans="4:5" s="2" customFormat="1" ht="15.6" customHeight="1">
      <c r="D367" s="41"/>
      <c r="E367" s="32"/>
    </row>
    <row r="368" spans="4:5" s="2" customFormat="1" ht="15.6" customHeight="1">
      <c r="D368" s="41"/>
      <c r="E368" s="32"/>
    </row>
    <row r="369" spans="1:8" ht="15.6" customHeight="1">
      <c r="A369" s="2"/>
      <c r="B369" s="2"/>
      <c r="C369" s="2"/>
      <c r="D369" s="41"/>
      <c r="E369" s="32"/>
      <c r="F369" s="2"/>
    </row>
    <row r="370" spans="1:8" ht="15.6" customHeight="1">
      <c r="A370" s="2"/>
      <c r="B370" s="2"/>
      <c r="C370" s="2"/>
      <c r="D370" s="41"/>
      <c r="E370" s="32"/>
      <c r="F370" s="2"/>
    </row>
    <row r="371" spans="1:8" ht="15.6" customHeight="1">
      <c r="A371" s="2"/>
      <c r="B371" s="2"/>
      <c r="C371" s="2"/>
      <c r="D371" s="41"/>
      <c r="E371" s="32"/>
      <c r="F371" s="2"/>
    </row>
    <row r="372" spans="1:8" ht="15.6" customHeight="1">
      <c r="A372" s="2"/>
      <c r="B372" s="2"/>
      <c r="C372" s="2"/>
      <c r="D372" s="41"/>
      <c r="E372" s="32"/>
      <c r="F372" s="2"/>
    </row>
    <row r="373" spans="1:8" ht="15.6" customHeight="1">
      <c r="A373" s="2"/>
      <c r="B373" s="2"/>
      <c r="C373" s="2"/>
      <c r="D373" s="41"/>
      <c r="E373" s="32"/>
      <c r="F373" s="2"/>
    </row>
    <row r="374" spans="1:8" ht="15.6" customHeight="1">
      <c r="A374" s="2"/>
      <c r="B374" s="2"/>
      <c r="C374" s="2"/>
      <c r="D374" s="41"/>
      <c r="E374" s="32"/>
      <c r="F374" s="2"/>
    </row>
    <row r="375" spans="1:8" ht="15.6" customHeight="1">
      <c r="A375" s="2"/>
      <c r="B375" s="2"/>
      <c r="C375" s="2"/>
      <c r="D375" s="41"/>
      <c r="E375" s="32"/>
      <c r="F375" s="2"/>
    </row>
    <row r="376" spans="1:8" ht="15.6" customHeight="1">
      <c r="A376" s="2"/>
      <c r="B376" s="2"/>
      <c r="C376" s="2"/>
      <c r="D376" s="41"/>
      <c r="E376" s="32"/>
      <c r="F376" s="2"/>
    </row>
    <row r="377" spans="1:8" ht="15.6" customHeight="1">
      <c r="A377" s="2"/>
      <c r="B377" s="2"/>
      <c r="C377" s="2"/>
      <c r="D377" s="41"/>
      <c r="E377" s="32"/>
      <c r="F377" s="2"/>
    </row>
    <row r="378" spans="1:8" ht="15.6" customHeight="1">
      <c r="A378" s="2"/>
      <c r="B378" s="2"/>
      <c r="C378" s="2"/>
      <c r="D378" s="41"/>
      <c r="E378" s="32"/>
      <c r="F378" s="2"/>
    </row>
    <row r="379" spans="1:8" ht="15.6" customHeight="1">
      <c r="A379" s="2"/>
      <c r="B379" s="2"/>
      <c r="C379" s="2"/>
      <c r="D379" s="41"/>
      <c r="E379" s="32"/>
      <c r="F379" s="2"/>
    </row>
    <row r="380" spans="1:8" ht="15.6" customHeight="1">
      <c r="A380" s="2"/>
      <c r="B380" s="2"/>
      <c r="C380" s="2"/>
      <c r="D380" s="41"/>
      <c r="E380" s="32"/>
      <c r="F380" s="2"/>
      <c r="H380" s="4"/>
    </row>
    <row r="381" spans="1:8" ht="15.6" customHeight="1">
      <c r="A381" s="2"/>
      <c r="B381" s="2"/>
      <c r="C381" s="2"/>
      <c r="D381" s="41"/>
      <c r="E381" s="32"/>
      <c r="F381" s="2"/>
      <c r="H381" s="4"/>
    </row>
    <row r="382" spans="1:8" ht="15.6" customHeight="1">
      <c r="A382" s="2"/>
      <c r="B382" s="2"/>
      <c r="C382" s="2"/>
      <c r="D382" s="41"/>
      <c r="E382" s="32"/>
      <c r="F382" s="2"/>
      <c r="H382" s="4"/>
    </row>
    <row r="383" spans="1:8" ht="15.6" customHeight="1">
      <c r="A383" s="2"/>
      <c r="B383" s="2"/>
      <c r="C383" s="2"/>
      <c r="D383" s="41"/>
      <c r="E383" s="32"/>
      <c r="F383" s="2"/>
      <c r="H383" s="4"/>
    </row>
    <row r="384" spans="1:8" ht="15.6" customHeight="1">
      <c r="A384" s="2"/>
      <c r="B384" s="2"/>
      <c r="C384" s="2"/>
      <c r="D384" s="41"/>
      <c r="E384" s="32"/>
      <c r="F384" s="2"/>
      <c r="H384" s="4"/>
    </row>
    <row r="385" spans="1:8" ht="15.6" customHeight="1">
      <c r="A385" s="2"/>
      <c r="B385" s="2"/>
      <c r="C385" s="2"/>
      <c r="D385" s="41"/>
      <c r="E385" s="32"/>
      <c r="F385" s="2"/>
      <c r="H385" s="4"/>
    </row>
    <row r="386" spans="1:8" ht="15.6" customHeight="1">
      <c r="A386" s="2"/>
      <c r="B386" s="2"/>
      <c r="C386" s="2"/>
      <c r="D386" s="41"/>
      <c r="E386" s="32"/>
      <c r="F386" s="2"/>
    </row>
    <row r="387" spans="1:8" ht="15.6" customHeight="1">
      <c r="A387" s="2"/>
      <c r="B387" s="2"/>
      <c r="C387" s="2"/>
      <c r="D387" s="41"/>
      <c r="E387" s="32"/>
      <c r="F387" s="2"/>
    </row>
    <row r="388" spans="1:8" ht="15.6" customHeight="1">
      <c r="A388" s="2"/>
      <c r="B388" s="2"/>
      <c r="C388" s="2"/>
      <c r="D388" s="41"/>
      <c r="E388" s="32"/>
      <c r="F388" s="2"/>
    </row>
    <row r="389" spans="1:8" ht="15.6" customHeight="1">
      <c r="A389" s="2"/>
      <c r="B389" s="2"/>
      <c r="C389" s="2"/>
      <c r="D389" s="41"/>
      <c r="E389" s="32"/>
      <c r="F389" s="2"/>
    </row>
    <row r="390" spans="1:8" ht="15.6" customHeight="1">
      <c r="A390" s="2"/>
      <c r="B390" s="2"/>
      <c r="C390" s="2"/>
      <c r="D390" s="41"/>
      <c r="E390" s="32"/>
      <c r="F390" s="2"/>
    </row>
    <row r="391" spans="1:8" ht="15.6" customHeight="1">
      <c r="A391" s="2"/>
      <c r="B391" s="2"/>
      <c r="C391" s="2"/>
      <c r="D391" s="41"/>
      <c r="E391" s="32"/>
      <c r="F391" s="2"/>
    </row>
    <row r="392" spans="1:8" ht="15.6" customHeight="1">
      <c r="A392" s="2"/>
      <c r="B392" s="2"/>
      <c r="C392" s="2"/>
      <c r="D392" s="41"/>
      <c r="E392" s="32"/>
      <c r="F392" s="2"/>
    </row>
    <row r="393" spans="1:8" ht="15.6" customHeight="1">
      <c r="A393" s="2"/>
      <c r="B393" s="2"/>
      <c r="C393" s="2"/>
      <c r="D393" s="41"/>
      <c r="E393" s="32"/>
      <c r="F393" s="2"/>
    </row>
    <row r="394" spans="1:8" ht="15.6" customHeight="1">
      <c r="A394" s="2"/>
      <c r="B394" s="2"/>
      <c r="C394" s="2"/>
      <c r="D394" s="41"/>
      <c r="E394" s="32"/>
      <c r="F394" s="2"/>
    </row>
    <row r="395" spans="1:8" ht="15.6" customHeight="1">
      <c r="A395" s="2"/>
      <c r="B395" s="2"/>
      <c r="C395" s="2"/>
      <c r="D395" s="41"/>
      <c r="E395" s="32"/>
      <c r="F395" s="2"/>
    </row>
    <row r="396" spans="1:8" ht="15.6" customHeight="1">
      <c r="A396" s="2"/>
      <c r="B396" s="2"/>
      <c r="C396" s="2"/>
      <c r="D396" s="41"/>
      <c r="E396" s="32"/>
      <c r="F396" s="2"/>
    </row>
    <row r="397" spans="1:8" ht="15.6" customHeight="1">
      <c r="A397" s="2"/>
      <c r="B397" s="2"/>
      <c r="C397" s="2"/>
      <c r="D397" s="41"/>
      <c r="E397" s="32"/>
      <c r="F397" s="2"/>
    </row>
    <row r="398" spans="1:8" ht="15.6" customHeight="1">
      <c r="A398" s="2"/>
      <c r="B398" s="2"/>
      <c r="C398" s="2"/>
      <c r="D398" s="41"/>
      <c r="E398" s="32"/>
      <c r="F398" s="2"/>
    </row>
    <row r="399" spans="1:8" ht="15.6" customHeight="1">
      <c r="A399" s="2"/>
      <c r="B399" s="2"/>
      <c r="C399" s="2"/>
      <c r="D399" s="41"/>
      <c r="E399" s="32"/>
      <c r="F399" s="2"/>
    </row>
    <row r="400" spans="1:8" ht="15.6" customHeight="1">
      <c r="A400" s="2"/>
      <c r="B400" s="2"/>
      <c r="C400" s="2"/>
      <c r="D400" s="41"/>
      <c r="E400" s="32"/>
      <c r="F400" s="2"/>
    </row>
    <row r="401" spans="4:5" s="2" customFormat="1" ht="15.6" customHeight="1">
      <c r="D401" s="41"/>
      <c r="E401" s="32"/>
    </row>
    <row r="402" spans="4:5" s="2" customFormat="1" ht="15.6" customHeight="1">
      <c r="D402" s="41"/>
      <c r="E402" s="32"/>
    </row>
    <row r="403" spans="4:5" s="2" customFormat="1" ht="15.6" customHeight="1">
      <c r="D403" s="41"/>
      <c r="E403" s="32"/>
    </row>
    <row r="404" spans="4:5" s="2" customFormat="1" ht="15.6" customHeight="1">
      <c r="D404" s="41"/>
      <c r="E404" s="32"/>
    </row>
    <row r="405" spans="4:5" s="2" customFormat="1" ht="15.6" customHeight="1">
      <c r="D405" s="41"/>
      <c r="E405" s="32"/>
    </row>
    <row r="406" spans="4:5" s="2" customFormat="1" ht="15.6" customHeight="1">
      <c r="D406" s="41"/>
      <c r="E406" s="32"/>
    </row>
    <row r="407" spans="4:5" s="2" customFormat="1" ht="15.6" customHeight="1">
      <c r="D407" s="41"/>
      <c r="E407" s="32"/>
    </row>
    <row r="408" spans="4:5" s="2" customFormat="1" ht="15.6" customHeight="1">
      <c r="D408" s="41"/>
      <c r="E408" s="32"/>
    </row>
    <row r="409" spans="4:5" s="2" customFormat="1" ht="15.6" customHeight="1">
      <c r="D409" s="41"/>
      <c r="E409" s="32"/>
    </row>
    <row r="410" spans="4:5" s="2" customFormat="1" ht="15.6" customHeight="1">
      <c r="D410" s="41"/>
      <c r="E410" s="32"/>
    </row>
    <row r="411" spans="4:5" s="2" customFormat="1" ht="15.6" customHeight="1">
      <c r="D411" s="41"/>
      <c r="E411" s="32"/>
    </row>
    <row r="412" spans="4:5" s="2" customFormat="1" ht="15.6" customHeight="1">
      <c r="D412" s="41"/>
      <c r="E412" s="32"/>
    </row>
    <row r="413" spans="4:5" s="2" customFormat="1" ht="15.6" customHeight="1">
      <c r="D413" s="41"/>
      <c r="E413" s="32"/>
    </row>
    <row r="414" spans="4:5" s="2" customFormat="1" ht="15.6" customHeight="1">
      <c r="D414" s="41"/>
      <c r="E414" s="32"/>
    </row>
    <row r="415" spans="4:5" s="2" customFormat="1" ht="15.6" customHeight="1">
      <c r="D415" s="41"/>
      <c r="E415" s="32"/>
    </row>
    <row r="416" spans="4:5" s="2" customFormat="1" ht="15.6" customHeight="1">
      <c r="D416" s="41"/>
      <c r="E416" s="32"/>
    </row>
    <row r="417" spans="4:5" s="2" customFormat="1" ht="15.6" customHeight="1">
      <c r="D417" s="41"/>
      <c r="E417" s="32"/>
    </row>
    <row r="418" spans="4:5" s="2" customFormat="1" ht="15.6" customHeight="1">
      <c r="D418" s="41"/>
      <c r="E418" s="32"/>
    </row>
    <row r="419" spans="4:5" s="2" customFormat="1" ht="15.6" customHeight="1">
      <c r="D419" s="41"/>
      <c r="E419" s="32"/>
    </row>
    <row r="420" spans="4:5" s="2" customFormat="1" ht="15.6" customHeight="1">
      <c r="D420" s="41"/>
      <c r="E420" s="32"/>
    </row>
    <row r="421" spans="4:5" s="2" customFormat="1" ht="15.6" customHeight="1">
      <c r="D421" s="41"/>
      <c r="E421" s="32"/>
    </row>
    <row r="422" spans="4:5" s="2" customFormat="1" ht="15.6" customHeight="1">
      <c r="D422" s="41"/>
      <c r="E422" s="32"/>
    </row>
    <row r="423" spans="4:5" s="2" customFormat="1" ht="15.6" customHeight="1">
      <c r="D423" s="41"/>
      <c r="E423" s="32"/>
    </row>
    <row r="424" spans="4:5" s="2" customFormat="1" ht="15.6" customHeight="1">
      <c r="D424" s="41"/>
      <c r="E424" s="32"/>
    </row>
    <row r="425" spans="4:5" s="2" customFormat="1" ht="15.6" customHeight="1">
      <c r="D425" s="41"/>
      <c r="E425" s="32"/>
    </row>
    <row r="426" spans="4:5" s="2" customFormat="1" ht="15.6" customHeight="1">
      <c r="D426" s="41"/>
      <c r="E426" s="32"/>
    </row>
    <row r="427" spans="4:5" s="2" customFormat="1" ht="15.6" customHeight="1">
      <c r="D427" s="41"/>
      <c r="E427" s="32"/>
    </row>
    <row r="428" spans="4:5" s="2" customFormat="1" ht="15.6" customHeight="1">
      <c r="D428" s="41"/>
      <c r="E428" s="32"/>
    </row>
    <row r="429" spans="4:5" s="2" customFormat="1">
      <c r="D429" s="41"/>
      <c r="E429" s="32"/>
    </row>
    <row r="430" spans="4:5" s="2" customFormat="1">
      <c r="D430" s="41"/>
      <c r="E430" s="32"/>
    </row>
    <row r="431" spans="4:5" s="2" customFormat="1">
      <c r="D431" s="41"/>
      <c r="E431" s="32"/>
    </row>
    <row r="432" spans="4:5" s="2" customFormat="1" ht="15.6" customHeight="1">
      <c r="D432" s="41"/>
      <c r="E432" s="32"/>
    </row>
    <row r="433" spans="1:8" ht="15.6" customHeight="1">
      <c r="A433" s="2"/>
      <c r="B433" s="2"/>
      <c r="C433" s="2"/>
      <c r="D433" s="41"/>
      <c r="E433" s="32"/>
      <c r="F433" s="2"/>
    </row>
    <row r="434" spans="1:8" ht="15.6" customHeight="1">
      <c r="A434" s="2"/>
      <c r="B434" s="2"/>
      <c r="C434" s="2"/>
      <c r="D434" s="41"/>
      <c r="E434" s="32"/>
      <c r="F434" s="2"/>
    </row>
    <row r="435" spans="1:8" ht="15.6" customHeight="1">
      <c r="A435" s="2"/>
      <c r="B435" s="2"/>
      <c r="C435" s="2"/>
      <c r="D435" s="41"/>
      <c r="E435" s="32"/>
      <c r="F435" s="2"/>
    </row>
    <row r="436" spans="1:8" ht="15.6" customHeight="1">
      <c r="A436" s="2"/>
      <c r="B436" s="2"/>
      <c r="C436" s="2"/>
      <c r="D436" s="41"/>
      <c r="E436" s="32"/>
      <c r="F436" s="2"/>
    </row>
    <row r="437" spans="1:8" ht="15.6" customHeight="1">
      <c r="A437" s="2"/>
      <c r="B437" s="2"/>
      <c r="C437" s="2"/>
      <c r="D437" s="41"/>
      <c r="E437" s="32"/>
      <c r="F437" s="2"/>
    </row>
    <row r="438" spans="1:8" ht="15.6" customHeight="1">
      <c r="A438" s="2"/>
      <c r="B438" s="2"/>
      <c r="C438" s="2"/>
      <c r="D438" s="41"/>
      <c r="E438" s="32"/>
      <c r="F438" s="2"/>
    </row>
    <row r="439" spans="1:8" ht="15.6" customHeight="1">
      <c r="A439" s="2"/>
      <c r="B439" s="2"/>
      <c r="C439" s="2"/>
      <c r="D439" s="41"/>
      <c r="E439" s="32"/>
      <c r="F439" s="2"/>
    </row>
    <row r="440" spans="1:8" ht="15.6" customHeight="1">
      <c r="A440" s="2"/>
      <c r="B440" s="2"/>
      <c r="C440" s="2"/>
      <c r="D440" s="41"/>
      <c r="E440" s="32"/>
      <c r="F440" s="2"/>
    </row>
    <row r="441" spans="1:8" ht="15.6" customHeight="1">
      <c r="A441" s="2"/>
      <c r="B441" s="2"/>
      <c r="C441" s="2"/>
      <c r="D441" s="41"/>
      <c r="E441" s="32"/>
      <c r="F441" s="2"/>
    </row>
    <row r="442" spans="1:8" ht="15.6" customHeight="1">
      <c r="A442" s="2"/>
      <c r="B442" s="2"/>
      <c r="C442" s="2"/>
      <c r="D442" s="41"/>
      <c r="E442" s="32"/>
      <c r="F442" s="2"/>
    </row>
    <row r="443" spans="1:8" ht="15.6" customHeight="1">
      <c r="A443" s="2"/>
      <c r="B443" s="2"/>
      <c r="C443" s="2"/>
      <c r="D443" s="41"/>
      <c r="E443" s="32"/>
      <c r="F443" s="2"/>
    </row>
    <row r="444" spans="1:8" ht="15.6" customHeight="1">
      <c r="A444" s="2"/>
      <c r="B444" s="2"/>
      <c r="C444" s="2"/>
      <c r="D444" s="41"/>
      <c r="E444" s="32"/>
      <c r="F444" s="2"/>
    </row>
    <row r="445" spans="1:8">
      <c r="A445" s="2"/>
      <c r="B445" s="2"/>
      <c r="C445" s="2"/>
      <c r="D445" s="41"/>
      <c r="E445" s="32"/>
      <c r="F445" s="2"/>
    </row>
    <row r="446" spans="1:8">
      <c r="A446" s="2"/>
      <c r="B446" s="2"/>
      <c r="C446" s="2"/>
      <c r="D446" s="41"/>
      <c r="E446" s="32"/>
      <c r="F446" s="2"/>
      <c r="H446" s="32"/>
    </row>
    <row r="447" spans="1:8" ht="15.6" customHeight="1">
      <c r="A447" s="2"/>
      <c r="B447" s="2"/>
      <c r="C447" s="2"/>
      <c r="D447" s="41"/>
      <c r="E447" s="32"/>
      <c r="F447" s="2"/>
    </row>
    <row r="448" spans="1:8" ht="15.6" customHeight="1">
      <c r="A448" s="2"/>
      <c r="B448" s="2"/>
      <c r="C448" s="2"/>
      <c r="D448" s="41"/>
      <c r="E448" s="32"/>
      <c r="F448" s="2"/>
    </row>
    <row r="449" spans="4:5" s="2" customFormat="1" ht="15.6" customHeight="1">
      <c r="D449" s="41"/>
      <c r="E449" s="32"/>
    </row>
    <row r="450" spans="4:5" s="2" customFormat="1" ht="15.6" customHeight="1">
      <c r="D450" s="41"/>
      <c r="E450" s="32"/>
    </row>
    <row r="451" spans="4:5" s="2" customFormat="1" ht="15.6" customHeight="1">
      <c r="D451" s="41"/>
      <c r="E451" s="32"/>
    </row>
    <row r="452" spans="4:5" s="2" customFormat="1" ht="15.6" customHeight="1">
      <c r="D452" s="41"/>
      <c r="E452" s="32"/>
    </row>
    <row r="453" spans="4:5" s="2" customFormat="1" ht="15.6" customHeight="1">
      <c r="D453" s="41"/>
      <c r="E453" s="32"/>
    </row>
    <row r="454" spans="4:5" s="2" customFormat="1" ht="15.6" customHeight="1">
      <c r="D454" s="41"/>
      <c r="E454" s="32"/>
    </row>
    <row r="455" spans="4:5" s="2" customFormat="1" ht="15.6" customHeight="1">
      <c r="D455" s="41"/>
      <c r="E455" s="32"/>
    </row>
    <row r="456" spans="4:5" s="2" customFormat="1" ht="15.6" customHeight="1">
      <c r="D456" s="41"/>
      <c r="E456" s="32"/>
    </row>
    <row r="457" spans="4:5" s="2" customFormat="1" ht="15.6" customHeight="1">
      <c r="D457" s="41"/>
      <c r="E457" s="32"/>
    </row>
    <row r="458" spans="4:5" s="2" customFormat="1" ht="15.6" customHeight="1">
      <c r="D458" s="41"/>
      <c r="E458" s="32"/>
    </row>
    <row r="459" spans="4:5" s="2" customFormat="1" ht="15.6" customHeight="1">
      <c r="D459" s="41"/>
      <c r="E459" s="32"/>
    </row>
    <row r="460" spans="4:5" s="2" customFormat="1" ht="15.6" customHeight="1">
      <c r="D460" s="41"/>
      <c r="E460" s="32"/>
    </row>
    <row r="461" spans="4:5" s="2" customFormat="1" ht="15.6" customHeight="1">
      <c r="D461" s="41"/>
      <c r="E461" s="32"/>
    </row>
    <row r="462" spans="4:5" s="2" customFormat="1" ht="15.6" customHeight="1">
      <c r="D462" s="41"/>
      <c r="E462" s="32"/>
    </row>
    <row r="463" spans="4:5" s="2" customFormat="1" ht="15.6" customHeight="1">
      <c r="D463" s="41"/>
      <c r="E463" s="32"/>
    </row>
    <row r="464" spans="4:5" s="2" customFormat="1" ht="15.6" customHeight="1">
      <c r="D464" s="41"/>
      <c r="E464" s="32"/>
    </row>
    <row r="465" spans="4:5" s="2" customFormat="1" ht="15.6" customHeight="1">
      <c r="D465" s="41"/>
      <c r="E465" s="32"/>
    </row>
    <row r="466" spans="4:5" s="2" customFormat="1" ht="15.6" customHeight="1">
      <c r="D466" s="41"/>
      <c r="E466" s="32"/>
    </row>
    <row r="467" spans="4:5" s="2" customFormat="1">
      <c r="D467" s="41"/>
      <c r="E467" s="32"/>
    </row>
    <row r="468" spans="4:5" s="2" customFormat="1">
      <c r="D468" s="41"/>
      <c r="E468" s="32"/>
    </row>
    <row r="469" spans="4:5" s="2" customFormat="1">
      <c r="D469" s="41"/>
      <c r="E469" s="32"/>
    </row>
    <row r="470" spans="4:5" s="2" customFormat="1" ht="15.6" customHeight="1">
      <c r="D470" s="41"/>
      <c r="E470" s="32"/>
    </row>
    <row r="471" spans="4:5" s="2" customFormat="1" ht="15.6" customHeight="1">
      <c r="D471" s="41"/>
      <c r="E471" s="32"/>
    </row>
    <row r="472" spans="4:5" s="2" customFormat="1" ht="15.6" customHeight="1">
      <c r="D472" s="41"/>
      <c r="E472" s="32"/>
    </row>
    <row r="473" spans="4:5" s="2" customFormat="1" ht="15.6" customHeight="1">
      <c r="D473" s="41"/>
      <c r="E473" s="32"/>
    </row>
    <row r="474" spans="4:5" s="2" customFormat="1" ht="15.6" customHeight="1">
      <c r="D474" s="41"/>
      <c r="E474" s="32"/>
    </row>
    <row r="475" spans="4:5" s="2" customFormat="1" ht="15.6" customHeight="1">
      <c r="D475" s="41"/>
      <c r="E475" s="32"/>
    </row>
    <row r="476" spans="4:5" s="2" customFormat="1">
      <c r="D476" s="41"/>
      <c r="E476" s="32"/>
    </row>
    <row r="477" spans="4:5" s="2" customFormat="1">
      <c r="D477" s="41"/>
      <c r="E477" s="32"/>
    </row>
    <row r="478" spans="4:5" s="2" customFormat="1">
      <c r="D478" s="41"/>
      <c r="E478" s="32"/>
    </row>
    <row r="479" spans="4:5" s="2" customFormat="1">
      <c r="D479" s="41"/>
      <c r="E479" s="32"/>
    </row>
    <row r="480" spans="4:5" s="2" customFormat="1">
      <c r="D480" s="41"/>
      <c r="E480" s="32"/>
    </row>
    <row r="481" spans="4:5" s="2" customFormat="1">
      <c r="D481" s="41"/>
      <c r="E481" s="32"/>
    </row>
    <row r="482" spans="4:5" s="2" customFormat="1">
      <c r="D482" s="41"/>
      <c r="E482" s="32"/>
    </row>
    <row r="483" spans="4:5" s="2" customFormat="1">
      <c r="D483" s="41"/>
      <c r="E483" s="32"/>
    </row>
    <row r="484" spans="4:5" s="2" customFormat="1">
      <c r="D484" s="41"/>
      <c r="E484" s="32"/>
    </row>
    <row r="485" spans="4:5" s="2" customFormat="1">
      <c r="D485" s="41"/>
      <c r="E485" s="32"/>
    </row>
    <row r="486" spans="4:5" s="2" customFormat="1">
      <c r="D486" s="41"/>
      <c r="E486" s="32"/>
    </row>
    <row r="487" spans="4:5" s="2" customFormat="1">
      <c r="D487" s="41"/>
      <c r="E487" s="32"/>
    </row>
    <row r="488" spans="4:5" s="2" customFormat="1">
      <c r="D488" s="41"/>
      <c r="E488" s="32"/>
    </row>
    <row r="489" spans="4:5" s="2" customFormat="1">
      <c r="D489" s="41"/>
      <c r="E489" s="32"/>
    </row>
    <row r="490" spans="4:5" s="2" customFormat="1">
      <c r="D490" s="41"/>
      <c r="E490" s="32"/>
    </row>
    <row r="491" spans="4:5" s="2" customFormat="1">
      <c r="D491" s="41"/>
      <c r="E491" s="32"/>
    </row>
    <row r="492" spans="4:5" s="2" customFormat="1">
      <c r="D492" s="41"/>
      <c r="E492" s="32"/>
    </row>
    <row r="493" spans="4:5" s="2" customFormat="1">
      <c r="D493" s="41"/>
      <c r="E493" s="32"/>
    </row>
    <row r="494" spans="4:5" s="2" customFormat="1">
      <c r="D494" s="41"/>
      <c r="E494" s="32"/>
    </row>
    <row r="495" spans="4:5" s="2" customFormat="1">
      <c r="D495" s="41"/>
      <c r="E495" s="32"/>
    </row>
    <row r="496" spans="4:5" s="2" customFormat="1">
      <c r="D496" s="41"/>
      <c r="E496" s="32"/>
    </row>
    <row r="497" spans="4:5" s="2" customFormat="1">
      <c r="D497" s="41"/>
      <c r="E497" s="32"/>
    </row>
    <row r="498" spans="4:5" s="2" customFormat="1" ht="15.6" customHeight="1">
      <c r="D498" s="41"/>
      <c r="E498" s="32"/>
    </row>
    <row r="499" spans="4:5" s="2" customFormat="1" ht="15.6" customHeight="1">
      <c r="D499" s="41"/>
      <c r="E499" s="32"/>
    </row>
    <row r="500" spans="4:5" s="2" customFormat="1" ht="15.6" customHeight="1">
      <c r="D500" s="41"/>
      <c r="E500" s="32"/>
    </row>
    <row r="501" spans="4:5" s="2" customFormat="1" ht="15.6" customHeight="1">
      <c r="D501" s="41"/>
      <c r="E501" s="32"/>
    </row>
    <row r="502" spans="4:5" s="2" customFormat="1" ht="15.6" customHeight="1">
      <c r="D502" s="41"/>
      <c r="E502" s="32"/>
    </row>
    <row r="503" spans="4:5" s="2" customFormat="1" ht="15.6" customHeight="1">
      <c r="D503" s="41"/>
      <c r="E503" s="32"/>
    </row>
    <row r="504" spans="4:5" s="2" customFormat="1" ht="15.6" customHeight="1">
      <c r="D504" s="41"/>
      <c r="E504" s="32"/>
    </row>
    <row r="505" spans="4:5" s="2" customFormat="1" ht="15.6" customHeight="1">
      <c r="D505" s="41"/>
      <c r="E505" s="32"/>
    </row>
    <row r="506" spans="4:5" s="2" customFormat="1" ht="15.6" customHeight="1">
      <c r="D506" s="41"/>
      <c r="E506" s="32"/>
    </row>
    <row r="507" spans="4:5" s="2" customFormat="1" ht="15.6" customHeight="1">
      <c r="D507" s="41"/>
      <c r="E507" s="32"/>
    </row>
    <row r="508" spans="4:5" s="2" customFormat="1" ht="15.6" customHeight="1">
      <c r="D508" s="41"/>
      <c r="E508" s="32"/>
    </row>
    <row r="509" spans="4:5" s="2" customFormat="1" ht="15.6" customHeight="1">
      <c r="D509" s="41"/>
      <c r="E509" s="32"/>
    </row>
    <row r="510" spans="4:5" s="2" customFormat="1" ht="15.6" customHeight="1">
      <c r="D510" s="41"/>
      <c r="E510" s="32"/>
    </row>
    <row r="511" spans="4:5" s="2" customFormat="1" ht="15.6" customHeight="1">
      <c r="D511" s="41"/>
      <c r="E511" s="32"/>
    </row>
    <row r="512" spans="4:5" s="2" customFormat="1" ht="15.6" customHeight="1">
      <c r="D512" s="41"/>
      <c r="E512" s="32"/>
    </row>
    <row r="513" spans="4:5" s="2" customFormat="1">
      <c r="D513" s="41"/>
      <c r="E513" s="32"/>
    </row>
    <row r="514" spans="4:5" s="2" customFormat="1">
      <c r="D514" s="41"/>
      <c r="E514" s="32"/>
    </row>
    <row r="515" spans="4:5" s="2" customFormat="1" ht="15.6" customHeight="1">
      <c r="D515" s="41"/>
      <c r="E515" s="32"/>
    </row>
    <row r="516" spans="4:5" s="2" customFormat="1" ht="15.6" customHeight="1">
      <c r="D516" s="41"/>
      <c r="E516" s="32"/>
    </row>
    <row r="517" spans="4:5" s="2" customFormat="1" ht="15.6" customHeight="1">
      <c r="D517" s="41"/>
      <c r="E517" s="32"/>
    </row>
    <row r="518" spans="4:5" s="2" customFormat="1" ht="15.6" customHeight="1">
      <c r="D518" s="41"/>
      <c r="E518" s="32"/>
    </row>
    <row r="519" spans="4:5" s="2" customFormat="1" ht="15.6" customHeight="1">
      <c r="D519" s="41"/>
      <c r="E519" s="32"/>
    </row>
    <row r="520" spans="4:5" s="2" customFormat="1" ht="15.6" customHeight="1">
      <c r="D520" s="41"/>
      <c r="E520" s="32"/>
    </row>
    <row r="521" spans="4:5" s="2" customFormat="1" ht="15.6" customHeight="1">
      <c r="D521" s="41"/>
      <c r="E521" s="32"/>
    </row>
    <row r="522" spans="4:5" s="2" customFormat="1" ht="15.6" customHeight="1">
      <c r="D522" s="41"/>
      <c r="E522" s="32"/>
    </row>
    <row r="523" spans="4:5" s="2" customFormat="1" ht="15.6" customHeight="1">
      <c r="D523" s="41"/>
      <c r="E523" s="32"/>
    </row>
    <row r="524" spans="4:5" s="2" customFormat="1" ht="15.6" customHeight="1">
      <c r="D524" s="41"/>
      <c r="E524" s="32"/>
    </row>
    <row r="525" spans="4:5" s="2" customFormat="1" ht="15.6" customHeight="1">
      <c r="D525" s="41"/>
      <c r="E525" s="32"/>
    </row>
    <row r="526" spans="4:5" s="2" customFormat="1" ht="15.6" customHeight="1">
      <c r="D526" s="41"/>
      <c r="E526" s="32"/>
    </row>
    <row r="527" spans="4:5" s="2" customFormat="1" ht="15.6" customHeight="1">
      <c r="D527" s="41"/>
      <c r="E527" s="32"/>
    </row>
    <row r="528" spans="4:5" s="2" customFormat="1" ht="15.6" customHeight="1">
      <c r="D528" s="41"/>
      <c r="E528" s="32"/>
    </row>
    <row r="529" spans="4:5" s="2" customFormat="1" ht="15.6" customHeight="1">
      <c r="D529" s="41"/>
      <c r="E529" s="32"/>
    </row>
    <row r="530" spans="4:5" s="2" customFormat="1">
      <c r="D530" s="41"/>
      <c r="E530" s="32"/>
    </row>
    <row r="531" spans="4:5" s="2" customFormat="1">
      <c r="D531" s="41"/>
      <c r="E531" s="32"/>
    </row>
    <row r="532" spans="4:5" s="2" customFormat="1">
      <c r="D532" s="41"/>
      <c r="E532" s="32"/>
    </row>
    <row r="533" spans="4:5" s="2" customFormat="1">
      <c r="D533" s="41"/>
      <c r="E533" s="32"/>
    </row>
    <row r="534" spans="4:5" s="2" customFormat="1" ht="15.6" customHeight="1">
      <c r="D534" s="41"/>
      <c r="E534" s="32"/>
    </row>
    <row r="535" spans="4:5" s="2" customFormat="1" ht="15.6" customHeight="1">
      <c r="D535" s="41"/>
      <c r="E535" s="32"/>
    </row>
    <row r="536" spans="4:5" s="2" customFormat="1" ht="15.6" customHeight="1">
      <c r="D536" s="41"/>
      <c r="E536" s="32"/>
    </row>
    <row r="537" spans="4:5" s="2" customFormat="1" ht="15.6" customHeight="1">
      <c r="D537" s="41"/>
      <c r="E537" s="32"/>
    </row>
    <row r="538" spans="4:5" s="2" customFormat="1" ht="15.6" customHeight="1">
      <c r="D538" s="41"/>
      <c r="E538" s="32"/>
    </row>
    <row r="539" spans="4:5" s="2" customFormat="1" ht="15.6" customHeight="1">
      <c r="D539" s="41"/>
      <c r="E539" s="32"/>
    </row>
    <row r="540" spans="4:5" s="2" customFormat="1" ht="15.6" customHeight="1">
      <c r="D540" s="41"/>
      <c r="E540" s="32"/>
    </row>
    <row r="541" spans="4:5" s="2" customFormat="1">
      <c r="D541" s="41"/>
      <c r="E541" s="32"/>
    </row>
    <row r="542" spans="4:5" s="2" customFormat="1">
      <c r="D542" s="41"/>
      <c r="E542" s="32"/>
    </row>
    <row r="543" spans="4:5" s="2" customFormat="1">
      <c r="D543" s="41"/>
      <c r="E543" s="32"/>
    </row>
    <row r="544" spans="4:5" s="2" customFormat="1">
      <c r="D544" s="41"/>
      <c r="E544" s="32"/>
    </row>
    <row r="545" spans="4:5" s="2" customFormat="1">
      <c r="D545" s="41"/>
      <c r="E545" s="32"/>
    </row>
    <row r="546" spans="4:5" s="2" customFormat="1">
      <c r="D546" s="41"/>
      <c r="E546" s="32"/>
    </row>
    <row r="547" spans="4:5" s="2" customFormat="1">
      <c r="D547" s="41"/>
      <c r="E547" s="32"/>
    </row>
    <row r="548" spans="4:5" s="2" customFormat="1">
      <c r="D548" s="41"/>
      <c r="E548" s="32"/>
    </row>
    <row r="549" spans="4:5" s="2" customFormat="1">
      <c r="D549" s="41"/>
      <c r="E549" s="32"/>
    </row>
    <row r="550" spans="4:5" s="2" customFormat="1">
      <c r="D550" s="41"/>
      <c r="E550" s="32"/>
    </row>
    <row r="551" spans="4:5" s="2" customFormat="1">
      <c r="D551" s="41"/>
      <c r="E551" s="32"/>
    </row>
    <row r="552" spans="4:5" s="2" customFormat="1">
      <c r="D552" s="41"/>
      <c r="E552" s="32"/>
    </row>
    <row r="553" spans="4:5" s="2" customFormat="1">
      <c r="D553" s="41"/>
      <c r="E553" s="32"/>
    </row>
    <row r="554" spans="4:5" s="2" customFormat="1">
      <c r="D554" s="41"/>
      <c r="E554" s="32"/>
    </row>
    <row r="555" spans="4:5" s="2" customFormat="1">
      <c r="D555" s="41"/>
      <c r="E555" s="32"/>
    </row>
    <row r="556" spans="4:5" s="2" customFormat="1">
      <c r="D556" s="41"/>
      <c r="E556" s="32"/>
    </row>
    <row r="557" spans="4:5" s="2" customFormat="1">
      <c r="D557" s="41"/>
      <c r="E557" s="32"/>
    </row>
    <row r="558" spans="4:5" s="2" customFormat="1">
      <c r="D558" s="41"/>
      <c r="E558" s="32"/>
    </row>
    <row r="559" spans="4:5" s="2" customFormat="1">
      <c r="D559" s="41"/>
      <c r="E559" s="32"/>
    </row>
    <row r="560" spans="4:5" s="2" customFormat="1">
      <c r="D560" s="41"/>
      <c r="E560" s="32"/>
    </row>
    <row r="561" spans="4:5" s="2" customFormat="1">
      <c r="D561" s="41"/>
      <c r="E561" s="32"/>
    </row>
    <row r="562" spans="4:5" s="2" customFormat="1">
      <c r="D562" s="41"/>
      <c r="E562" s="32"/>
    </row>
    <row r="563" spans="4:5" s="2" customFormat="1">
      <c r="D563" s="41"/>
      <c r="E563" s="32"/>
    </row>
    <row r="564" spans="4:5" s="2" customFormat="1">
      <c r="D564" s="41"/>
      <c r="E564" s="32"/>
    </row>
    <row r="565" spans="4:5" s="2" customFormat="1">
      <c r="D565" s="41"/>
      <c r="E565" s="32"/>
    </row>
    <row r="566" spans="4:5" s="2" customFormat="1">
      <c r="D566" s="41"/>
      <c r="E566" s="32"/>
    </row>
    <row r="567" spans="4:5" s="2" customFormat="1">
      <c r="D567" s="41"/>
      <c r="E567" s="32"/>
    </row>
    <row r="568" spans="4:5" s="2" customFormat="1">
      <c r="D568" s="41"/>
      <c r="E568" s="32"/>
    </row>
    <row r="569" spans="4:5" s="2" customFormat="1">
      <c r="D569" s="41"/>
      <c r="E569" s="32"/>
    </row>
    <row r="570" spans="4:5" s="2" customFormat="1">
      <c r="D570" s="41"/>
      <c r="E570" s="32"/>
    </row>
    <row r="571" spans="4:5" s="2" customFormat="1">
      <c r="D571" s="41"/>
      <c r="E571" s="32"/>
    </row>
    <row r="572" spans="4:5" s="2" customFormat="1">
      <c r="D572" s="41"/>
      <c r="E572" s="32"/>
    </row>
    <row r="573" spans="4:5" s="2" customFormat="1" ht="15.6" customHeight="1">
      <c r="D573" s="41"/>
      <c r="E573" s="32"/>
    </row>
    <row r="574" spans="4:5" s="2" customFormat="1" ht="15.6" customHeight="1">
      <c r="D574" s="41"/>
      <c r="E574" s="32"/>
    </row>
    <row r="575" spans="4:5" s="2" customFormat="1" ht="15.6" customHeight="1">
      <c r="D575" s="41"/>
      <c r="E575" s="32"/>
    </row>
    <row r="576" spans="4:5" s="2" customFormat="1" ht="15.6" customHeight="1">
      <c r="D576" s="41"/>
      <c r="E576" s="32"/>
    </row>
    <row r="577" spans="4:5" s="2" customFormat="1" ht="15.6" customHeight="1">
      <c r="D577" s="41"/>
      <c r="E577" s="32"/>
    </row>
    <row r="578" spans="4:5" s="2" customFormat="1" ht="15.6" customHeight="1">
      <c r="D578" s="41"/>
      <c r="E578" s="32"/>
    </row>
    <row r="579" spans="4:5" s="2" customFormat="1" ht="15.6" customHeight="1">
      <c r="D579" s="41"/>
      <c r="E579" s="32"/>
    </row>
    <row r="580" spans="4:5" s="2" customFormat="1" ht="15.6" customHeight="1">
      <c r="D580" s="41"/>
      <c r="E580" s="32"/>
    </row>
    <row r="581" spans="4:5" s="2" customFormat="1" ht="15.6" customHeight="1">
      <c r="D581" s="41"/>
      <c r="E581" s="32"/>
    </row>
    <row r="582" spans="4:5" s="2" customFormat="1" ht="15.6" customHeight="1">
      <c r="D582" s="41"/>
      <c r="E582" s="32"/>
    </row>
    <row r="583" spans="4:5" s="2" customFormat="1">
      <c r="D583" s="41"/>
      <c r="E583" s="32"/>
    </row>
    <row r="584" spans="4:5" s="2" customFormat="1">
      <c r="D584" s="41"/>
      <c r="E584" s="32"/>
    </row>
    <row r="585" spans="4:5" s="2" customFormat="1" ht="15.6" customHeight="1">
      <c r="D585" s="41"/>
      <c r="E585" s="32"/>
    </row>
    <row r="586" spans="4:5" s="2" customFormat="1" ht="15.6" customHeight="1">
      <c r="D586" s="41"/>
      <c r="E586" s="32"/>
    </row>
    <row r="587" spans="4:5" s="2" customFormat="1" ht="15.6" customHeight="1">
      <c r="D587" s="41"/>
      <c r="E587" s="32"/>
    </row>
    <row r="588" spans="4:5" s="2" customFormat="1" ht="15.6" customHeight="1">
      <c r="D588" s="41"/>
      <c r="E588" s="32"/>
    </row>
    <row r="589" spans="4:5" s="2" customFormat="1" ht="15.6" customHeight="1">
      <c r="D589" s="41"/>
      <c r="E589" s="32"/>
    </row>
    <row r="590" spans="4:5" s="2" customFormat="1" ht="15.6" customHeight="1">
      <c r="D590" s="41"/>
      <c r="E590" s="32"/>
    </row>
    <row r="591" spans="4:5" s="2" customFormat="1" ht="15.6" customHeight="1">
      <c r="D591" s="41"/>
      <c r="E591" s="32"/>
    </row>
    <row r="592" spans="4:5" s="2" customFormat="1" ht="15.6" customHeight="1">
      <c r="D592" s="41"/>
      <c r="E592" s="32"/>
    </row>
    <row r="593" spans="4:5" s="2" customFormat="1" ht="15.6" customHeight="1">
      <c r="D593" s="41"/>
      <c r="E593" s="32"/>
    </row>
    <row r="594" spans="4:5" s="2" customFormat="1" ht="15.6" customHeight="1">
      <c r="D594" s="41"/>
      <c r="E594" s="32"/>
    </row>
    <row r="595" spans="4:5" s="2" customFormat="1" ht="15.6" customHeight="1">
      <c r="D595" s="41"/>
      <c r="E595" s="32"/>
    </row>
    <row r="596" spans="4:5" s="2" customFormat="1" ht="15.6" customHeight="1">
      <c r="D596" s="41"/>
      <c r="E596" s="32"/>
    </row>
    <row r="597" spans="4:5" s="2" customFormat="1" ht="15.6" customHeight="1">
      <c r="D597" s="41"/>
      <c r="E597" s="32"/>
    </row>
    <row r="598" spans="4:5" s="2" customFormat="1" ht="15.6" customHeight="1">
      <c r="D598" s="41"/>
      <c r="E598" s="32"/>
    </row>
    <row r="599" spans="4:5" s="2" customFormat="1" ht="15.6" customHeight="1">
      <c r="D599" s="41"/>
      <c r="E599" s="32"/>
    </row>
    <row r="600" spans="4:5" s="2" customFormat="1" ht="15.6" customHeight="1">
      <c r="D600" s="41"/>
      <c r="E600" s="32"/>
    </row>
    <row r="601" spans="4:5" s="2" customFormat="1" ht="15.6" customHeight="1">
      <c r="D601" s="41"/>
      <c r="E601" s="32"/>
    </row>
    <row r="602" spans="4:5" s="2" customFormat="1" ht="15.6" customHeight="1">
      <c r="D602" s="41"/>
      <c r="E602" s="32"/>
    </row>
    <row r="603" spans="4:5" s="2" customFormat="1" ht="15.6" customHeight="1">
      <c r="D603" s="41"/>
      <c r="E603" s="32"/>
    </row>
    <row r="604" spans="4:5" s="2" customFormat="1" ht="15.6" customHeight="1">
      <c r="D604" s="41"/>
      <c r="E604" s="32"/>
    </row>
    <row r="605" spans="4:5" s="2" customFormat="1" ht="15.6" customHeight="1">
      <c r="D605" s="41"/>
      <c r="E605" s="32"/>
    </row>
    <row r="606" spans="4:5" s="2" customFormat="1" ht="15.6" customHeight="1">
      <c r="D606" s="41"/>
      <c r="E606" s="32"/>
    </row>
    <row r="607" spans="4:5" s="2" customFormat="1" ht="15.6" customHeight="1">
      <c r="D607" s="41"/>
      <c r="E607" s="32"/>
    </row>
    <row r="608" spans="4:5" s="2" customFormat="1" ht="15.6" customHeight="1">
      <c r="D608" s="41"/>
      <c r="E608" s="32"/>
    </row>
    <row r="609" spans="4:5" s="2" customFormat="1">
      <c r="D609" s="41"/>
      <c r="E609" s="32"/>
    </row>
    <row r="610" spans="4:5" s="2" customFormat="1">
      <c r="D610" s="41"/>
      <c r="E610" s="32"/>
    </row>
    <row r="611" spans="4:5" s="2" customFormat="1" ht="15.6" customHeight="1">
      <c r="D611" s="41"/>
      <c r="E611" s="32"/>
    </row>
    <row r="612" spans="4:5" s="2" customFormat="1" ht="15.6" customHeight="1">
      <c r="D612" s="41"/>
      <c r="E612" s="32"/>
    </row>
    <row r="613" spans="4:5" s="2" customFormat="1" ht="15.6" customHeight="1">
      <c r="D613" s="41"/>
      <c r="E613" s="32"/>
    </row>
    <row r="614" spans="4:5" s="2" customFormat="1" ht="15.6" customHeight="1">
      <c r="D614" s="41"/>
      <c r="E614" s="32"/>
    </row>
    <row r="615" spans="4:5" s="2" customFormat="1" ht="15.6" customHeight="1">
      <c r="D615" s="41"/>
      <c r="E615" s="32"/>
    </row>
    <row r="616" spans="4:5" s="2" customFormat="1" ht="15.6" customHeight="1">
      <c r="D616" s="41"/>
      <c r="E616" s="32"/>
    </row>
    <row r="617" spans="4:5" s="2" customFormat="1" ht="15.6" customHeight="1">
      <c r="D617" s="41"/>
      <c r="E617" s="32"/>
    </row>
    <row r="618" spans="4:5" s="2" customFormat="1" ht="15.6" customHeight="1">
      <c r="D618" s="41"/>
      <c r="E618" s="32"/>
    </row>
    <row r="619" spans="4:5" s="2" customFormat="1" ht="15.6" customHeight="1">
      <c r="D619" s="41"/>
      <c r="E619" s="32"/>
    </row>
    <row r="620" spans="4:5" s="2" customFormat="1" ht="15.6" customHeight="1">
      <c r="D620" s="41"/>
      <c r="E620" s="32"/>
    </row>
    <row r="621" spans="4:5" s="2" customFormat="1" ht="15.6" customHeight="1">
      <c r="D621" s="41"/>
      <c r="E621" s="32"/>
    </row>
    <row r="622" spans="4:5" s="2" customFormat="1" ht="15.6" customHeight="1">
      <c r="D622" s="41"/>
      <c r="E622" s="32"/>
    </row>
    <row r="623" spans="4:5" s="2" customFormat="1" ht="15.6" customHeight="1">
      <c r="D623" s="41"/>
      <c r="E623" s="32"/>
    </row>
    <row r="624" spans="4:5" s="2" customFormat="1" ht="15.6" customHeight="1">
      <c r="D624" s="41"/>
      <c r="E624" s="32"/>
    </row>
    <row r="625" spans="4:5" s="2" customFormat="1" ht="15.6" customHeight="1">
      <c r="D625" s="41"/>
      <c r="E625" s="32"/>
    </row>
    <row r="626" spans="4:5" s="2" customFormat="1" ht="15.6" customHeight="1">
      <c r="D626" s="41"/>
      <c r="E626" s="32"/>
    </row>
    <row r="627" spans="4:5" s="2" customFormat="1" ht="15.6" customHeight="1">
      <c r="D627" s="41"/>
      <c r="E627" s="32"/>
    </row>
    <row r="628" spans="4:5" s="2" customFormat="1" ht="15.6" customHeight="1">
      <c r="D628" s="41"/>
      <c r="E628" s="32"/>
    </row>
    <row r="629" spans="4:5" s="2" customFormat="1" ht="15.6" customHeight="1">
      <c r="D629" s="41"/>
      <c r="E629" s="32"/>
    </row>
    <row r="630" spans="4:5" s="2" customFormat="1" ht="15.6" customHeight="1">
      <c r="D630" s="41"/>
      <c r="E630" s="32"/>
    </row>
    <row r="631" spans="4:5" s="2" customFormat="1" ht="15.6" customHeight="1">
      <c r="D631" s="41"/>
      <c r="E631" s="32"/>
    </row>
    <row r="632" spans="4:5" s="2" customFormat="1" ht="15.6" customHeight="1">
      <c r="D632" s="41"/>
      <c r="E632" s="32"/>
    </row>
    <row r="633" spans="4:5" s="2" customFormat="1" ht="15.6" customHeight="1">
      <c r="D633" s="41"/>
      <c r="E633" s="32"/>
    </row>
    <row r="634" spans="4:5" s="2" customFormat="1" ht="15.6" customHeight="1">
      <c r="D634" s="41"/>
      <c r="E634" s="32"/>
    </row>
    <row r="635" spans="4:5" s="2" customFormat="1" ht="15.6" customHeight="1">
      <c r="D635" s="41"/>
      <c r="E635" s="32"/>
    </row>
    <row r="636" spans="4:5" s="2" customFormat="1" ht="15.6" customHeight="1">
      <c r="D636" s="41"/>
      <c r="E636" s="32"/>
    </row>
    <row r="637" spans="4:5" s="2" customFormat="1" ht="15.6" customHeight="1">
      <c r="D637" s="41"/>
      <c r="E637" s="32"/>
    </row>
    <row r="638" spans="4:5" s="2" customFormat="1" ht="15.6" customHeight="1">
      <c r="D638" s="41"/>
      <c r="E638" s="32"/>
    </row>
    <row r="639" spans="4:5" s="2" customFormat="1" ht="15.6" customHeight="1">
      <c r="D639" s="41"/>
      <c r="E639" s="32"/>
    </row>
    <row r="640" spans="4:5" s="2" customFormat="1" ht="15.6" customHeight="1">
      <c r="D640" s="41"/>
      <c r="E640" s="32"/>
    </row>
    <row r="641" spans="4:5" s="2" customFormat="1" ht="15.6" customHeight="1">
      <c r="D641" s="41"/>
      <c r="E641" s="32"/>
    </row>
    <row r="642" spans="4:5" s="2" customFormat="1" ht="15.6" customHeight="1">
      <c r="D642" s="41"/>
      <c r="E642" s="32"/>
    </row>
    <row r="643" spans="4:5" s="2" customFormat="1" ht="15.75" customHeight="1">
      <c r="D643" s="41"/>
      <c r="E643" s="32"/>
    </row>
    <row r="644" spans="4:5" s="2" customFormat="1" ht="15.75" customHeight="1">
      <c r="D644" s="41"/>
      <c r="E644" s="32"/>
    </row>
    <row r="645" spans="4:5" s="2" customFormat="1" ht="15.75" customHeight="1">
      <c r="D645" s="41"/>
      <c r="E645" s="32"/>
    </row>
    <row r="646" spans="4:5" s="2" customFormat="1" ht="15.75" customHeight="1">
      <c r="D646" s="41"/>
      <c r="E646" s="32"/>
    </row>
    <row r="647" spans="4:5" s="2" customFormat="1" ht="15.75" customHeight="1">
      <c r="D647" s="41"/>
      <c r="E647" s="32"/>
    </row>
    <row r="648" spans="4:5" s="2" customFormat="1" ht="15.75" customHeight="1">
      <c r="D648" s="41"/>
      <c r="E648" s="32"/>
    </row>
    <row r="649" spans="4:5" s="2" customFormat="1" ht="15.75" customHeight="1">
      <c r="D649" s="41"/>
      <c r="E649" s="32"/>
    </row>
    <row r="650" spans="4:5" s="2" customFormat="1" ht="15.75" customHeight="1">
      <c r="D650" s="41"/>
      <c r="E650" s="32"/>
    </row>
    <row r="651" spans="4:5" s="2" customFormat="1" ht="15.75" customHeight="1">
      <c r="D651" s="41"/>
      <c r="E651" s="32"/>
    </row>
    <row r="652" spans="4:5" s="2" customFormat="1" ht="15.75" customHeight="1">
      <c r="D652" s="41"/>
      <c r="E652" s="32"/>
    </row>
    <row r="653" spans="4:5" s="2" customFormat="1" ht="15.75" customHeight="1">
      <c r="D653" s="41"/>
      <c r="E653" s="32"/>
    </row>
    <row r="654" spans="4:5" s="2" customFormat="1" ht="15.75" customHeight="1">
      <c r="D654" s="41"/>
      <c r="E654" s="32"/>
    </row>
    <row r="655" spans="4:5" s="2" customFormat="1" ht="15.75" customHeight="1">
      <c r="D655" s="41"/>
      <c r="E655" s="32"/>
    </row>
    <row r="656" spans="4:5" s="2" customFormat="1" ht="15.75" customHeight="1">
      <c r="D656" s="41"/>
      <c r="E656" s="32"/>
    </row>
    <row r="657" spans="4:5" s="2" customFormat="1" ht="15.75" customHeight="1">
      <c r="D657" s="41"/>
      <c r="E657" s="32"/>
    </row>
    <row r="658" spans="4:5" s="2" customFormat="1" ht="15.75" customHeight="1">
      <c r="D658" s="41"/>
      <c r="E658" s="32"/>
    </row>
    <row r="659" spans="4:5" s="2" customFormat="1" ht="15.75" customHeight="1">
      <c r="D659" s="41"/>
      <c r="E659" s="32"/>
    </row>
    <row r="660" spans="4:5" s="2" customFormat="1" ht="15.75" customHeight="1">
      <c r="D660" s="41"/>
      <c r="E660" s="32"/>
    </row>
    <row r="661" spans="4:5" s="2" customFormat="1" ht="15.75" customHeight="1">
      <c r="D661" s="41"/>
      <c r="E661" s="32"/>
    </row>
    <row r="662" spans="4:5" s="2" customFormat="1" ht="15.75" customHeight="1">
      <c r="D662" s="41"/>
      <c r="E662" s="32"/>
    </row>
    <row r="663" spans="4:5" s="2" customFormat="1" ht="15.75" customHeight="1">
      <c r="D663" s="41"/>
      <c r="E663" s="32"/>
    </row>
    <row r="664" spans="4:5" s="2" customFormat="1" ht="15.75" customHeight="1">
      <c r="D664" s="41"/>
      <c r="E664" s="32"/>
    </row>
    <row r="665" spans="4:5" s="2" customFormat="1" ht="15.75" customHeight="1">
      <c r="D665" s="41"/>
      <c r="E665" s="32"/>
    </row>
    <row r="666" spans="4:5" s="2" customFormat="1" ht="15.75" customHeight="1">
      <c r="D666" s="41"/>
      <c r="E666" s="32"/>
    </row>
    <row r="667" spans="4:5" s="2" customFormat="1" ht="15.75" customHeight="1">
      <c r="D667" s="41"/>
      <c r="E667" s="32"/>
    </row>
    <row r="668" spans="4:5" s="2" customFormat="1" ht="15.75" customHeight="1">
      <c r="D668" s="41"/>
      <c r="E668" s="32"/>
    </row>
    <row r="669" spans="4:5" s="2" customFormat="1" ht="15.75" customHeight="1">
      <c r="D669" s="41"/>
      <c r="E669" s="32"/>
    </row>
    <row r="670" spans="4:5" s="2" customFormat="1" ht="15.75" customHeight="1">
      <c r="D670" s="41"/>
      <c r="E670" s="32"/>
    </row>
    <row r="671" spans="4:5" s="2" customFormat="1" ht="15.75" customHeight="1">
      <c r="D671" s="41"/>
      <c r="E671" s="32"/>
    </row>
    <row r="672" spans="4:5" s="2" customFormat="1" ht="15.75" customHeight="1">
      <c r="D672" s="41"/>
      <c r="E672" s="32"/>
    </row>
    <row r="673" spans="1:8" ht="15.75" customHeight="1">
      <c r="A673" s="2"/>
      <c r="B673" s="2"/>
      <c r="C673" s="2"/>
      <c r="D673" s="41"/>
      <c r="E673" s="32"/>
      <c r="F673" s="2"/>
    </row>
    <row r="674" spans="1:8" ht="15.75" customHeight="1">
      <c r="A674" s="2"/>
      <c r="B674" s="2"/>
      <c r="C674" s="2"/>
      <c r="D674" s="41"/>
      <c r="E674" s="32"/>
      <c r="F674" s="2"/>
    </row>
    <row r="675" spans="1:8" ht="15.75" customHeight="1">
      <c r="A675" s="2"/>
      <c r="B675" s="2"/>
      <c r="C675" s="2"/>
      <c r="D675" s="41"/>
      <c r="E675" s="32"/>
      <c r="F675" s="2"/>
    </row>
    <row r="676" spans="1:8" ht="15.75" customHeight="1">
      <c r="A676" s="2"/>
      <c r="B676" s="2"/>
      <c r="C676" s="2"/>
      <c r="D676" s="41"/>
      <c r="E676" s="32"/>
      <c r="F676" s="2"/>
    </row>
    <row r="677" spans="1:8" ht="15.75" customHeight="1">
      <c r="A677" s="2"/>
      <c r="B677" s="2"/>
      <c r="C677" s="2"/>
      <c r="D677" s="41"/>
      <c r="E677" s="32"/>
      <c r="F677" s="2"/>
    </row>
    <row r="678" spans="1:8" ht="15.75" customHeight="1">
      <c r="A678" s="2"/>
      <c r="B678" s="2"/>
      <c r="C678" s="2"/>
      <c r="D678" s="41"/>
      <c r="E678" s="32"/>
      <c r="F678" s="2"/>
    </row>
    <row r="679" spans="1:8" ht="15.75" customHeight="1">
      <c r="A679" s="2"/>
      <c r="B679" s="2"/>
      <c r="C679" s="2"/>
      <c r="D679" s="41"/>
      <c r="E679" s="32"/>
      <c r="F679" s="2"/>
    </row>
    <row r="680" spans="1:8" ht="15.75" customHeight="1">
      <c r="A680" s="2"/>
      <c r="B680" s="2"/>
      <c r="C680" s="2"/>
      <c r="D680" s="41"/>
      <c r="E680" s="32"/>
      <c r="F680" s="2"/>
    </row>
    <row r="681" spans="1:8" ht="15.75" customHeight="1">
      <c r="A681" s="2"/>
      <c r="B681" s="2"/>
      <c r="C681" s="2"/>
      <c r="D681" s="41"/>
      <c r="E681" s="32"/>
      <c r="F681" s="2"/>
      <c r="H681" s="39"/>
    </row>
    <row r="682" spans="1:8" ht="15.75" customHeight="1">
      <c r="A682" s="2"/>
      <c r="B682" s="2"/>
      <c r="C682" s="2"/>
      <c r="D682" s="41"/>
      <c r="E682" s="32"/>
      <c r="F682" s="2"/>
      <c r="H682" s="39"/>
    </row>
    <row r="683" spans="1:8" ht="15.75" customHeight="1">
      <c r="A683" s="2"/>
      <c r="B683" s="2"/>
      <c r="C683" s="2"/>
      <c r="D683" s="41"/>
      <c r="E683" s="32"/>
      <c r="F683" s="2"/>
    </row>
    <row r="684" spans="1:8" ht="15.75" customHeight="1">
      <c r="A684" s="2"/>
      <c r="B684" s="2"/>
      <c r="C684" s="2"/>
      <c r="D684" s="41"/>
      <c r="E684" s="32"/>
      <c r="F684" s="2"/>
    </row>
    <row r="685" spans="1:8" ht="15.75" customHeight="1">
      <c r="A685" s="2"/>
      <c r="B685" s="2"/>
      <c r="C685" s="2"/>
      <c r="D685" s="41"/>
      <c r="E685" s="32"/>
      <c r="F685" s="2"/>
    </row>
    <row r="686" spans="1:8" ht="15.75" customHeight="1">
      <c r="A686" s="2"/>
      <c r="B686" s="2"/>
      <c r="C686" s="2"/>
      <c r="D686" s="41"/>
      <c r="E686" s="32"/>
      <c r="F686" s="2"/>
    </row>
    <row r="687" spans="1:8" ht="15.75" customHeight="1">
      <c r="A687" s="2"/>
      <c r="B687" s="2"/>
      <c r="C687" s="2"/>
      <c r="D687" s="41"/>
      <c r="E687" s="32"/>
      <c r="F687" s="2"/>
    </row>
    <row r="688" spans="1:8" ht="15.75" customHeight="1">
      <c r="A688" s="2"/>
      <c r="B688" s="2"/>
      <c r="C688" s="2"/>
      <c r="D688" s="41"/>
      <c r="E688" s="32"/>
      <c r="F688" s="2"/>
    </row>
    <row r="689" spans="4:5" s="2" customFormat="1" ht="15.75" customHeight="1">
      <c r="D689" s="41"/>
      <c r="E689" s="32"/>
    </row>
    <row r="690" spans="4:5" s="2" customFormat="1" ht="15.75" customHeight="1">
      <c r="D690" s="41"/>
      <c r="E690" s="32"/>
    </row>
    <row r="691" spans="4:5" s="2" customFormat="1" ht="15.75" customHeight="1">
      <c r="D691" s="41"/>
      <c r="E691" s="32"/>
    </row>
    <row r="692" spans="4:5" s="2" customFormat="1" ht="15.75" customHeight="1">
      <c r="D692" s="41"/>
      <c r="E692" s="32"/>
    </row>
    <row r="693" spans="4:5" s="2" customFormat="1" ht="15.75" customHeight="1">
      <c r="D693" s="41"/>
      <c r="E693" s="32"/>
    </row>
    <row r="694" spans="4:5" s="2" customFormat="1" ht="15.75" customHeight="1">
      <c r="D694" s="41"/>
      <c r="E694" s="32"/>
    </row>
    <row r="695" spans="4:5" s="2" customFormat="1" ht="15.75" customHeight="1">
      <c r="D695" s="41"/>
      <c r="E695" s="32"/>
    </row>
    <row r="696" spans="4:5" s="2" customFormat="1" ht="15.75" customHeight="1">
      <c r="D696" s="41"/>
      <c r="E696" s="32"/>
    </row>
    <row r="697" spans="4:5" s="2" customFormat="1" ht="15.75" customHeight="1">
      <c r="D697" s="41"/>
      <c r="E697" s="32"/>
    </row>
    <row r="698" spans="4:5" s="2" customFormat="1" ht="15.75" customHeight="1">
      <c r="D698" s="41"/>
      <c r="E698" s="32"/>
    </row>
    <row r="699" spans="4:5" s="2" customFormat="1" ht="15.75" customHeight="1">
      <c r="D699" s="41"/>
      <c r="E699" s="32"/>
    </row>
    <row r="700" spans="4:5" s="2" customFormat="1" ht="15.75" customHeight="1">
      <c r="D700" s="41"/>
      <c r="E700" s="32"/>
    </row>
    <row r="701" spans="4:5" s="2" customFormat="1" ht="15.75" customHeight="1">
      <c r="D701" s="41"/>
      <c r="E701" s="32"/>
    </row>
    <row r="702" spans="4:5" s="2" customFormat="1" ht="15.75" customHeight="1">
      <c r="D702" s="41"/>
      <c r="E702" s="32"/>
    </row>
    <row r="703" spans="4:5" s="2" customFormat="1" ht="15.75" customHeight="1">
      <c r="D703" s="41"/>
      <c r="E703" s="32"/>
    </row>
    <row r="704" spans="4:5" s="2" customFormat="1" ht="15.75" customHeight="1">
      <c r="D704" s="41"/>
      <c r="E704" s="32"/>
    </row>
    <row r="705" spans="4:5" s="2" customFormat="1" ht="15.75" customHeight="1">
      <c r="D705" s="41"/>
      <c r="E705" s="32"/>
    </row>
    <row r="706" spans="4:5" s="2" customFormat="1" ht="15.75" customHeight="1">
      <c r="D706" s="41"/>
      <c r="E706" s="32"/>
    </row>
    <row r="707" spans="4:5" s="2" customFormat="1" ht="15.75" customHeight="1">
      <c r="D707" s="41"/>
      <c r="E707" s="32"/>
    </row>
    <row r="708" spans="4:5" s="2" customFormat="1" ht="15.75" customHeight="1">
      <c r="D708" s="41"/>
      <c r="E708" s="32"/>
    </row>
    <row r="709" spans="4:5" s="2" customFormat="1" ht="15.75" customHeight="1">
      <c r="D709" s="41"/>
      <c r="E709" s="32"/>
    </row>
    <row r="710" spans="4:5" s="2" customFormat="1" ht="15.75" customHeight="1">
      <c r="D710" s="41"/>
      <c r="E710" s="32"/>
    </row>
    <row r="711" spans="4:5" s="2" customFormat="1" ht="15.75" customHeight="1">
      <c r="D711" s="41"/>
      <c r="E711" s="32"/>
    </row>
    <row r="712" spans="4:5" s="2" customFormat="1" ht="15.75" customHeight="1">
      <c r="D712" s="41"/>
      <c r="E712" s="32"/>
    </row>
    <row r="713" spans="4:5" s="2" customFormat="1" ht="15.75" customHeight="1">
      <c r="D713" s="41"/>
      <c r="E713" s="32"/>
    </row>
    <row r="714" spans="4:5" s="2" customFormat="1" ht="15.75" customHeight="1">
      <c r="D714" s="41"/>
      <c r="E714" s="32"/>
    </row>
    <row r="715" spans="4:5" s="2" customFormat="1" ht="15.75" customHeight="1">
      <c r="D715" s="41"/>
      <c r="E715" s="32"/>
    </row>
    <row r="716" spans="4:5" s="2" customFormat="1" ht="15.75" customHeight="1">
      <c r="D716" s="41"/>
      <c r="E716" s="32"/>
    </row>
    <row r="717" spans="4:5" s="2" customFormat="1" ht="15.75" customHeight="1">
      <c r="D717" s="41"/>
      <c r="E717" s="32"/>
    </row>
    <row r="718" spans="4:5" s="2" customFormat="1" ht="15.75" customHeight="1">
      <c r="D718" s="41"/>
      <c r="E718" s="32"/>
    </row>
    <row r="719" spans="4:5" s="2" customFormat="1" ht="15.75" customHeight="1">
      <c r="D719" s="41"/>
      <c r="E719" s="32"/>
    </row>
    <row r="720" spans="4:5" s="2" customFormat="1" ht="15.75" customHeight="1">
      <c r="D720" s="41"/>
      <c r="E720" s="32"/>
    </row>
    <row r="721" spans="4:5" s="2" customFormat="1" ht="15.75" customHeight="1">
      <c r="D721" s="41"/>
      <c r="E721" s="32"/>
    </row>
    <row r="722" spans="4:5" s="2" customFormat="1" ht="15.75" customHeight="1">
      <c r="D722" s="41"/>
      <c r="E722" s="32"/>
    </row>
    <row r="723" spans="4:5" s="2" customFormat="1" ht="15.75" customHeight="1">
      <c r="D723" s="41"/>
      <c r="E723" s="32"/>
    </row>
    <row r="724" spans="4:5" s="2" customFormat="1" ht="15.75" customHeight="1">
      <c r="D724" s="41"/>
      <c r="E724" s="32"/>
    </row>
    <row r="725" spans="4:5" s="2" customFormat="1" ht="15.75" customHeight="1">
      <c r="D725" s="41"/>
      <c r="E725" s="32"/>
    </row>
    <row r="726" spans="4:5" s="2" customFormat="1" ht="15.75" customHeight="1">
      <c r="D726" s="41"/>
      <c r="E726" s="32"/>
    </row>
    <row r="727" spans="4:5" s="2" customFormat="1" ht="15.75" customHeight="1">
      <c r="D727" s="41"/>
      <c r="E727" s="32"/>
    </row>
    <row r="728" spans="4:5" s="2" customFormat="1" ht="15.75" customHeight="1">
      <c r="D728" s="41"/>
      <c r="E728" s="32"/>
    </row>
    <row r="729" spans="4:5" s="2" customFormat="1" ht="15.75" customHeight="1">
      <c r="D729" s="41"/>
      <c r="E729" s="32"/>
    </row>
    <row r="730" spans="4:5" s="2" customFormat="1" ht="15.75" customHeight="1">
      <c r="D730" s="41"/>
      <c r="E730" s="32"/>
    </row>
    <row r="731" spans="4:5" s="2" customFormat="1" ht="15.75" customHeight="1">
      <c r="D731" s="41"/>
      <c r="E731" s="32"/>
    </row>
    <row r="732" spans="4:5" s="2" customFormat="1" ht="15.75" customHeight="1">
      <c r="D732" s="41"/>
      <c r="E732" s="32"/>
    </row>
    <row r="733" spans="4:5" s="2" customFormat="1" ht="15.75" customHeight="1">
      <c r="D733" s="41"/>
      <c r="E733" s="32"/>
    </row>
    <row r="734" spans="4:5" s="2" customFormat="1" ht="15.75" customHeight="1">
      <c r="D734" s="41"/>
      <c r="E734" s="32"/>
    </row>
    <row r="735" spans="4:5" s="2" customFormat="1" ht="15.75" customHeight="1">
      <c r="D735" s="41"/>
      <c r="E735" s="32"/>
    </row>
    <row r="736" spans="4:5" s="2" customFormat="1" ht="15.75" customHeight="1">
      <c r="D736" s="41"/>
      <c r="E736" s="32"/>
    </row>
    <row r="737" spans="4:5" s="2" customFormat="1" ht="15.75" customHeight="1">
      <c r="D737" s="41"/>
      <c r="E737" s="32"/>
    </row>
    <row r="738" spans="4:5" s="2" customFormat="1" ht="15.75" customHeight="1">
      <c r="D738" s="41"/>
      <c r="E738" s="32"/>
    </row>
    <row r="739" spans="4:5" s="2" customFormat="1" ht="15.75" customHeight="1">
      <c r="D739" s="41"/>
      <c r="E739" s="32"/>
    </row>
    <row r="740" spans="4:5" s="2" customFormat="1" ht="15.75" customHeight="1">
      <c r="D740" s="41"/>
      <c r="E740" s="32"/>
    </row>
    <row r="741" spans="4:5" s="2" customFormat="1" ht="15.75" customHeight="1">
      <c r="D741" s="41"/>
      <c r="E741" s="32"/>
    </row>
    <row r="742" spans="4:5" s="2" customFormat="1" ht="15.75" customHeight="1">
      <c r="D742" s="41"/>
      <c r="E742" s="32"/>
    </row>
    <row r="743" spans="4:5" s="2" customFormat="1" ht="15.75" customHeight="1">
      <c r="D743" s="41"/>
      <c r="E743" s="32"/>
    </row>
    <row r="744" spans="4:5" s="2" customFormat="1" ht="15.75" customHeight="1">
      <c r="D744" s="41"/>
      <c r="E744" s="32"/>
    </row>
    <row r="745" spans="4:5" s="2" customFormat="1" ht="15.75" customHeight="1">
      <c r="D745" s="41"/>
      <c r="E745" s="32"/>
    </row>
    <row r="746" spans="4:5" s="2" customFormat="1" ht="15.75" customHeight="1">
      <c r="D746" s="41"/>
      <c r="E746" s="32"/>
    </row>
    <row r="747" spans="4:5" s="2" customFormat="1" ht="15.75" customHeight="1">
      <c r="D747" s="41"/>
      <c r="E747" s="32"/>
    </row>
    <row r="748" spans="4:5" s="2" customFormat="1" ht="15.75" customHeight="1">
      <c r="D748" s="41"/>
      <c r="E748" s="32"/>
    </row>
    <row r="749" spans="4:5" s="2" customFormat="1" ht="15.75" customHeight="1">
      <c r="D749" s="41"/>
      <c r="E749" s="32"/>
    </row>
    <row r="750" spans="4:5" s="2" customFormat="1" ht="15.75" customHeight="1">
      <c r="D750" s="41"/>
      <c r="E750" s="32"/>
    </row>
    <row r="751" spans="4:5" s="2" customFormat="1" ht="15.75" customHeight="1">
      <c r="D751" s="41"/>
      <c r="E751" s="32"/>
    </row>
    <row r="752" spans="4:5" s="2" customFormat="1" ht="15.75" customHeight="1">
      <c r="D752" s="41"/>
      <c r="E752" s="32"/>
    </row>
    <row r="753" spans="4:5" s="2" customFormat="1" ht="15.75" customHeight="1">
      <c r="D753" s="41"/>
      <c r="E753" s="32"/>
    </row>
    <row r="754" spans="4:5" s="2" customFormat="1" ht="15.75" customHeight="1">
      <c r="D754" s="41"/>
      <c r="E754" s="32"/>
    </row>
    <row r="755" spans="4:5" s="2" customFormat="1" ht="15.75" customHeight="1">
      <c r="D755" s="41"/>
      <c r="E755" s="32"/>
    </row>
    <row r="756" spans="4:5" s="2" customFormat="1" ht="15.75" customHeight="1">
      <c r="D756" s="41"/>
      <c r="E756" s="32"/>
    </row>
    <row r="757" spans="4:5" s="2" customFormat="1" ht="15.75" customHeight="1">
      <c r="D757" s="41"/>
      <c r="E757" s="32"/>
    </row>
    <row r="758" spans="4:5" s="2" customFormat="1" ht="15.75" customHeight="1">
      <c r="D758" s="41"/>
      <c r="E758" s="32"/>
    </row>
    <row r="759" spans="4:5" s="2" customFormat="1" ht="15.75" customHeight="1">
      <c r="D759" s="41"/>
      <c r="E759" s="32"/>
    </row>
    <row r="760" spans="4:5" s="2" customFormat="1" ht="15.75" customHeight="1">
      <c r="D760" s="41"/>
      <c r="E760" s="32"/>
    </row>
    <row r="761" spans="4:5" s="2" customFormat="1" ht="15.75" customHeight="1">
      <c r="D761" s="41"/>
      <c r="E761" s="32"/>
    </row>
    <row r="762" spans="4:5" s="2" customFormat="1" ht="15.75" customHeight="1">
      <c r="D762" s="41"/>
      <c r="E762" s="32"/>
    </row>
    <row r="763" spans="4:5" s="2" customFormat="1" ht="15.75" customHeight="1">
      <c r="D763" s="41"/>
      <c r="E763" s="32"/>
    </row>
    <row r="764" spans="4:5" s="2" customFormat="1" ht="15.75" customHeight="1">
      <c r="D764" s="41"/>
      <c r="E764" s="32"/>
    </row>
    <row r="765" spans="4:5" s="2" customFormat="1" ht="15.75" customHeight="1">
      <c r="D765" s="41"/>
      <c r="E765" s="32"/>
    </row>
    <row r="766" spans="4:5" s="2" customFormat="1" ht="15.75" customHeight="1">
      <c r="D766" s="41"/>
      <c r="E766" s="32"/>
    </row>
    <row r="767" spans="4:5" s="2" customFormat="1" ht="15.75" customHeight="1">
      <c r="D767" s="41"/>
      <c r="E767" s="32"/>
    </row>
    <row r="768" spans="4:5" s="2" customFormat="1" ht="15.75" customHeight="1">
      <c r="D768" s="41"/>
      <c r="E768" s="32"/>
    </row>
    <row r="769" spans="4:5" s="2" customFormat="1" ht="15.75" customHeight="1">
      <c r="D769" s="41"/>
      <c r="E769" s="32"/>
    </row>
    <row r="770" spans="4:5" s="2" customFormat="1" ht="15.75" customHeight="1">
      <c r="D770" s="41"/>
      <c r="E770" s="32"/>
    </row>
    <row r="771" spans="4:5" s="2" customFormat="1" ht="15.75" customHeight="1">
      <c r="D771" s="41"/>
      <c r="E771" s="32"/>
    </row>
    <row r="772" spans="4:5" s="2" customFormat="1" ht="15.75" customHeight="1">
      <c r="D772" s="41"/>
      <c r="E772" s="32"/>
    </row>
    <row r="773" spans="4:5" s="2" customFormat="1" ht="15.75" customHeight="1">
      <c r="D773" s="41"/>
      <c r="E773" s="32"/>
    </row>
    <row r="774" spans="4:5" s="2" customFormat="1" ht="15.75" customHeight="1">
      <c r="D774" s="41"/>
      <c r="E774" s="32"/>
    </row>
    <row r="775" spans="4:5" s="2" customFormat="1" ht="15.75" customHeight="1">
      <c r="D775" s="41"/>
      <c r="E775" s="32"/>
    </row>
    <row r="776" spans="4:5" s="2" customFormat="1" ht="15.75" customHeight="1">
      <c r="D776" s="41"/>
      <c r="E776" s="32"/>
    </row>
    <row r="777" spans="4:5" s="2" customFormat="1" ht="15.75" customHeight="1">
      <c r="D777" s="41"/>
      <c r="E777" s="32"/>
    </row>
    <row r="778" spans="4:5" s="2" customFormat="1" ht="15.75" customHeight="1">
      <c r="D778" s="41"/>
      <c r="E778" s="32"/>
    </row>
    <row r="779" spans="4:5" s="2" customFormat="1" ht="15.75" customHeight="1">
      <c r="D779" s="41"/>
      <c r="E779" s="32"/>
    </row>
    <row r="780" spans="4:5" s="2" customFormat="1" ht="15.75" customHeight="1">
      <c r="D780" s="41"/>
      <c r="E780" s="32"/>
    </row>
    <row r="781" spans="4:5" s="2" customFormat="1" ht="15.75" customHeight="1">
      <c r="D781" s="41"/>
      <c r="E781" s="32"/>
    </row>
    <row r="782" spans="4:5" s="2" customFormat="1" ht="15.75" customHeight="1">
      <c r="D782" s="41"/>
      <c r="E782" s="32"/>
    </row>
    <row r="783" spans="4:5" s="2" customFormat="1" ht="15.75" customHeight="1">
      <c r="D783" s="41"/>
      <c r="E783" s="32"/>
    </row>
    <row r="784" spans="4:5" s="2" customFormat="1" ht="15.75" customHeight="1">
      <c r="D784" s="41"/>
      <c r="E784" s="32"/>
    </row>
    <row r="785" spans="4:5" s="2" customFormat="1" ht="15.75" customHeight="1">
      <c r="D785" s="41"/>
      <c r="E785" s="32"/>
    </row>
    <row r="786" spans="4:5" s="2" customFormat="1" ht="15.75" customHeight="1">
      <c r="D786" s="41"/>
      <c r="E786" s="32"/>
    </row>
    <row r="787" spans="4:5" s="2" customFormat="1" ht="15.75" customHeight="1">
      <c r="D787" s="41"/>
      <c r="E787" s="32"/>
    </row>
    <row r="788" spans="4:5" s="2" customFormat="1" ht="15.75" customHeight="1">
      <c r="D788" s="41"/>
      <c r="E788" s="32"/>
    </row>
    <row r="789" spans="4:5" s="2" customFormat="1" ht="15.75" customHeight="1">
      <c r="D789" s="41"/>
      <c r="E789" s="32"/>
    </row>
    <row r="790" spans="4:5" s="2" customFormat="1" ht="15.75" customHeight="1">
      <c r="D790" s="41"/>
      <c r="E790" s="32"/>
    </row>
    <row r="791" spans="4:5" s="2" customFormat="1" ht="15.75" customHeight="1">
      <c r="D791" s="41"/>
      <c r="E791" s="32"/>
    </row>
    <row r="792" spans="4:5" s="2" customFormat="1" ht="15.75" customHeight="1">
      <c r="D792" s="41"/>
      <c r="E792" s="32"/>
    </row>
    <row r="793" spans="4:5" s="2" customFormat="1" ht="15.75" customHeight="1">
      <c r="D793" s="41"/>
      <c r="E793" s="32"/>
    </row>
    <row r="794" spans="4:5" s="2" customFormat="1" ht="15.75" customHeight="1">
      <c r="D794" s="41"/>
      <c r="E794" s="32"/>
    </row>
    <row r="795" spans="4:5" s="2" customFormat="1" ht="15.75" customHeight="1">
      <c r="D795" s="41"/>
      <c r="E795" s="32"/>
    </row>
    <row r="796" spans="4:5" s="2" customFormat="1" ht="15.75" customHeight="1">
      <c r="D796" s="41"/>
      <c r="E796" s="32"/>
    </row>
    <row r="797" spans="4:5" s="2" customFormat="1" ht="15.75" customHeight="1">
      <c r="D797" s="41"/>
      <c r="E797" s="32"/>
    </row>
    <row r="798" spans="4:5" s="2" customFormat="1" ht="15.75" customHeight="1">
      <c r="D798" s="41"/>
      <c r="E798" s="32"/>
    </row>
    <row r="799" spans="4:5" s="2" customFormat="1" ht="15.75" customHeight="1">
      <c r="D799" s="41"/>
      <c r="E799" s="32"/>
    </row>
    <row r="800" spans="4:5" s="2" customFormat="1" ht="15.75" customHeight="1">
      <c r="D800" s="41"/>
      <c r="E800" s="32"/>
    </row>
    <row r="801" spans="4:5" s="2" customFormat="1" ht="15.75" customHeight="1">
      <c r="D801" s="41"/>
      <c r="E801" s="32"/>
    </row>
    <row r="802" spans="4:5" s="2" customFormat="1" ht="15.75" customHeight="1">
      <c r="D802" s="41"/>
      <c r="E802" s="32"/>
    </row>
    <row r="803" spans="4:5" s="2" customFormat="1" ht="15.75" customHeight="1">
      <c r="D803" s="41"/>
      <c r="E803" s="32"/>
    </row>
    <row r="804" spans="4:5" s="2" customFormat="1" ht="15.75" customHeight="1">
      <c r="D804" s="41"/>
      <c r="E804" s="32"/>
    </row>
    <row r="805" spans="4:5" s="2" customFormat="1" ht="15.75" customHeight="1">
      <c r="D805" s="41"/>
      <c r="E805" s="32"/>
    </row>
    <row r="806" spans="4:5" s="2" customFormat="1" ht="15.75" customHeight="1">
      <c r="D806" s="41"/>
      <c r="E806" s="32"/>
    </row>
    <row r="807" spans="4:5" s="2" customFormat="1" ht="15.75" customHeight="1">
      <c r="D807" s="41"/>
      <c r="E807" s="32"/>
    </row>
    <row r="808" spans="4:5" s="2" customFormat="1" ht="15.75" customHeight="1">
      <c r="D808" s="41"/>
      <c r="E808" s="32"/>
    </row>
    <row r="809" spans="4:5" s="2" customFormat="1" ht="15.75" customHeight="1">
      <c r="D809" s="41"/>
      <c r="E809" s="32"/>
    </row>
    <row r="810" spans="4:5" s="2" customFormat="1" ht="15.75" customHeight="1">
      <c r="D810" s="41"/>
      <c r="E810" s="32"/>
    </row>
    <row r="811" spans="4:5" s="2" customFormat="1" ht="15.75" customHeight="1">
      <c r="D811" s="41"/>
      <c r="E811" s="32"/>
    </row>
    <row r="812" spans="4:5" s="2" customFormat="1" ht="15.75" customHeight="1">
      <c r="D812" s="41"/>
      <c r="E812" s="32"/>
    </row>
    <row r="813" spans="4:5" s="2" customFormat="1" ht="15.75" customHeight="1">
      <c r="D813" s="41"/>
      <c r="E813" s="32"/>
    </row>
    <row r="814" spans="4:5" s="2" customFormat="1" ht="15.75" customHeight="1">
      <c r="D814" s="41"/>
      <c r="E814" s="32"/>
    </row>
    <row r="815" spans="4:5" s="2" customFormat="1" ht="15.75" customHeight="1">
      <c r="D815" s="41"/>
      <c r="E815" s="32"/>
    </row>
    <row r="816" spans="4:5" s="2" customFormat="1" ht="15.75" customHeight="1">
      <c r="D816" s="41"/>
      <c r="E816" s="32"/>
    </row>
    <row r="817" spans="4:5" s="2" customFormat="1" ht="15.75" customHeight="1">
      <c r="D817" s="41"/>
      <c r="E817" s="32"/>
    </row>
    <row r="818" spans="4:5" s="2" customFormat="1" ht="15.75" customHeight="1">
      <c r="D818" s="41"/>
      <c r="E818" s="32"/>
    </row>
    <row r="819" spans="4:5" s="2" customFormat="1" ht="15.75" customHeight="1">
      <c r="D819" s="41"/>
      <c r="E819" s="32"/>
    </row>
    <row r="820" spans="4:5" s="2" customFormat="1" ht="15.75" customHeight="1">
      <c r="D820" s="41"/>
      <c r="E820" s="32"/>
    </row>
    <row r="821" spans="4:5" s="2" customFormat="1" ht="15.75" customHeight="1">
      <c r="D821" s="41"/>
      <c r="E821" s="32"/>
    </row>
    <row r="822" spans="4:5" s="2" customFormat="1" ht="15.75" customHeight="1">
      <c r="D822" s="41"/>
      <c r="E822" s="32"/>
    </row>
    <row r="823" spans="4:5" s="2" customFormat="1" ht="15.75" customHeight="1">
      <c r="D823" s="41"/>
      <c r="E823" s="32"/>
    </row>
    <row r="824" spans="4:5" s="2" customFormat="1" ht="15.75" customHeight="1">
      <c r="D824" s="41"/>
      <c r="E824" s="32"/>
    </row>
    <row r="825" spans="4:5" s="2" customFormat="1" ht="15.75" customHeight="1">
      <c r="D825" s="41"/>
      <c r="E825" s="32"/>
    </row>
    <row r="826" spans="4:5" s="2" customFormat="1" ht="15.75" customHeight="1">
      <c r="D826" s="41"/>
      <c r="E826" s="32"/>
    </row>
    <row r="827" spans="4:5" s="2" customFormat="1" ht="15.75" customHeight="1">
      <c r="D827" s="41"/>
      <c r="E827" s="32"/>
    </row>
    <row r="828" spans="4:5" s="2" customFormat="1" ht="15.75" customHeight="1">
      <c r="D828" s="41"/>
      <c r="E828" s="32"/>
    </row>
    <row r="829" spans="4:5" s="2" customFormat="1" ht="15.75" customHeight="1">
      <c r="D829" s="41"/>
      <c r="E829" s="32"/>
    </row>
    <row r="830" spans="4:5" s="2" customFormat="1" ht="15.75" customHeight="1">
      <c r="D830" s="41"/>
      <c r="E830" s="32"/>
    </row>
    <row r="831" spans="4:5" s="2" customFormat="1" ht="15.75" customHeight="1">
      <c r="D831" s="41"/>
      <c r="E831" s="32"/>
    </row>
    <row r="832" spans="4:5" s="2" customFormat="1" ht="15.75" customHeight="1">
      <c r="D832" s="41"/>
      <c r="E832" s="32"/>
    </row>
    <row r="833" spans="4:5" s="2" customFormat="1" ht="15.75" customHeight="1">
      <c r="D833" s="41"/>
      <c r="E833" s="32"/>
    </row>
    <row r="834" spans="4:5" s="2" customFormat="1" ht="15.75" customHeight="1">
      <c r="D834" s="41"/>
      <c r="E834" s="32"/>
    </row>
    <row r="835" spans="4:5" s="2" customFormat="1" ht="15.75" customHeight="1">
      <c r="D835" s="41"/>
      <c r="E835" s="32"/>
    </row>
    <row r="836" spans="4:5" s="2" customFormat="1" ht="15.75" customHeight="1">
      <c r="D836" s="41"/>
      <c r="E836" s="32"/>
    </row>
    <row r="837" spans="4:5" s="2" customFormat="1" ht="15.75" customHeight="1">
      <c r="D837" s="41"/>
      <c r="E837" s="32"/>
    </row>
    <row r="838" spans="4:5" s="2" customFormat="1" ht="15.75" customHeight="1">
      <c r="D838" s="41"/>
      <c r="E838" s="32"/>
    </row>
    <row r="839" spans="4:5" s="2" customFormat="1" ht="15.75" customHeight="1">
      <c r="D839" s="41"/>
      <c r="E839" s="32"/>
    </row>
    <row r="840" spans="4:5" s="2" customFormat="1" ht="15.75" customHeight="1">
      <c r="D840" s="41"/>
      <c r="E840" s="32"/>
    </row>
    <row r="841" spans="4:5" s="2" customFormat="1" ht="15.75" customHeight="1">
      <c r="D841" s="41"/>
      <c r="E841" s="32"/>
    </row>
    <row r="842" spans="4:5" s="2" customFormat="1" ht="15.75" customHeight="1">
      <c r="D842" s="41"/>
      <c r="E842" s="32"/>
    </row>
    <row r="843" spans="4:5" s="2" customFormat="1" ht="15.75" customHeight="1">
      <c r="D843" s="41"/>
      <c r="E843" s="32"/>
    </row>
    <row r="844" spans="4:5" s="2" customFormat="1" ht="15.75" customHeight="1">
      <c r="D844" s="41"/>
      <c r="E844" s="32"/>
    </row>
    <row r="845" spans="4:5" s="2" customFormat="1" ht="15.75" customHeight="1">
      <c r="D845" s="41"/>
      <c r="E845" s="32"/>
    </row>
    <row r="846" spans="4:5" s="2" customFormat="1" ht="15.75" customHeight="1">
      <c r="D846" s="41"/>
      <c r="E846" s="32"/>
    </row>
    <row r="847" spans="4:5" s="2" customFormat="1" ht="15.75" customHeight="1">
      <c r="D847" s="41"/>
      <c r="E847" s="32"/>
    </row>
    <row r="848" spans="4:5" s="2" customFormat="1" ht="15.75" customHeight="1">
      <c r="D848" s="41"/>
      <c r="E848" s="32"/>
    </row>
    <row r="849" spans="4:5" s="2" customFormat="1" ht="15.75" customHeight="1">
      <c r="D849" s="41"/>
      <c r="E849" s="32"/>
    </row>
    <row r="850" spans="4:5" s="2" customFormat="1" ht="15.75" customHeight="1">
      <c r="D850" s="41"/>
      <c r="E850" s="32"/>
    </row>
    <row r="851" spans="4:5" s="2" customFormat="1" ht="15.75" customHeight="1">
      <c r="D851" s="41"/>
      <c r="E851" s="32"/>
    </row>
    <row r="852" spans="4:5" s="2" customFormat="1" ht="15.75" customHeight="1">
      <c r="D852" s="41"/>
      <c r="E852" s="32"/>
    </row>
    <row r="853" spans="4:5" s="2" customFormat="1" ht="15.75" customHeight="1">
      <c r="D853" s="41"/>
      <c r="E853" s="32"/>
    </row>
    <row r="854" spans="4:5" s="2" customFormat="1" ht="15.75" customHeight="1">
      <c r="D854" s="41"/>
      <c r="E854" s="32"/>
    </row>
    <row r="855" spans="4:5" s="2" customFormat="1" ht="15.75" customHeight="1">
      <c r="D855" s="41"/>
      <c r="E855" s="32"/>
    </row>
    <row r="856" spans="4:5" s="2" customFormat="1" ht="15.75" customHeight="1">
      <c r="D856" s="41"/>
      <c r="E856" s="32"/>
    </row>
    <row r="857" spans="4:5" s="2" customFormat="1" ht="15.75" customHeight="1">
      <c r="D857" s="41"/>
      <c r="E857" s="32"/>
    </row>
    <row r="858" spans="4:5" s="2" customFormat="1" ht="15.75" customHeight="1">
      <c r="D858" s="41"/>
      <c r="E858" s="32"/>
    </row>
    <row r="859" spans="4:5" s="2" customFormat="1" ht="15.75" customHeight="1">
      <c r="D859" s="41"/>
      <c r="E859" s="32"/>
    </row>
    <row r="860" spans="4:5" s="2" customFormat="1" ht="15.75" customHeight="1">
      <c r="D860" s="41"/>
      <c r="E860" s="32"/>
    </row>
    <row r="861" spans="4:5" s="2" customFormat="1" ht="15.75" customHeight="1">
      <c r="D861" s="41"/>
      <c r="E861" s="32"/>
    </row>
    <row r="862" spans="4:5" s="2" customFormat="1" ht="15.75" customHeight="1">
      <c r="D862" s="41"/>
      <c r="E862" s="32"/>
    </row>
    <row r="863" spans="4:5" s="2" customFormat="1" ht="15.75" customHeight="1">
      <c r="D863" s="41"/>
      <c r="E863" s="32"/>
    </row>
    <row r="864" spans="4:5" s="2" customFormat="1" ht="15.75" customHeight="1">
      <c r="D864" s="41"/>
      <c r="E864" s="32"/>
    </row>
    <row r="865" spans="4:5" s="2" customFormat="1" ht="15.75" customHeight="1">
      <c r="D865" s="41"/>
      <c r="E865" s="32"/>
    </row>
    <row r="866" spans="4:5" s="2" customFormat="1" ht="15.75" customHeight="1">
      <c r="D866" s="41"/>
      <c r="E866" s="32"/>
    </row>
    <row r="867" spans="4:5" s="2" customFormat="1" ht="15.75" customHeight="1">
      <c r="D867" s="41"/>
      <c r="E867" s="32"/>
    </row>
    <row r="868" spans="4:5" s="2" customFormat="1" ht="15.75" customHeight="1">
      <c r="D868" s="41"/>
      <c r="E868" s="32"/>
    </row>
    <row r="869" spans="4:5" s="2" customFormat="1" ht="15.75" customHeight="1">
      <c r="D869" s="41"/>
      <c r="E869" s="32"/>
    </row>
    <row r="870" spans="4:5" s="2" customFormat="1" ht="15.75" customHeight="1">
      <c r="D870" s="41"/>
      <c r="E870" s="32"/>
    </row>
    <row r="871" spans="4:5" s="2" customFormat="1" ht="15.75" customHeight="1">
      <c r="D871" s="41"/>
      <c r="E871" s="32"/>
    </row>
    <row r="872" spans="4:5" s="2" customFormat="1" ht="15.75" customHeight="1">
      <c r="D872" s="41"/>
      <c r="E872" s="32"/>
    </row>
    <row r="873" spans="4:5" s="2" customFormat="1" ht="15.75" customHeight="1">
      <c r="D873" s="41"/>
      <c r="E873" s="32"/>
    </row>
    <row r="874" spans="4:5" s="2" customFormat="1" ht="15.75" customHeight="1">
      <c r="D874" s="41"/>
      <c r="E874" s="32"/>
    </row>
    <row r="875" spans="4:5" s="2" customFormat="1" ht="15.75" customHeight="1">
      <c r="D875" s="41"/>
      <c r="E875" s="32"/>
    </row>
    <row r="876" spans="4:5" s="2" customFormat="1" ht="15.75" customHeight="1">
      <c r="D876" s="41"/>
      <c r="E876" s="32"/>
    </row>
    <row r="877" spans="4:5" s="2" customFormat="1" ht="15.75" customHeight="1">
      <c r="D877" s="41"/>
      <c r="E877" s="32"/>
    </row>
    <row r="878" spans="4:5" s="2" customFormat="1" ht="15.75" customHeight="1">
      <c r="D878" s="41"/>
      <c r="E878" s="32"/>
    </row>
    <row r="879" spans="4:5" s="2" customFormat="1" ht="15.75" customHeight="1">
      <c r="D879" s="41"/>
      <c r="E879" s="32"/>
    </row>
    <row r="880" spans="4:5" s="2" customFormat="1" ht="15.75" customHeight="1">
      <c r="D880" s="41"/>
      <c r="E880" s="32"/>
    </row>
    <row r="881" spans="4:5" s="2" customFormat="1" ht="15.75" customHeight="1">
      <c r="D881" s="41"/>
      <c r="E881" s="32"/>
    </row>
    <row r="882" spans="4:5" s="2" customFormat="1" ht="15.75" customHeight="1">
      <c r="D882" s="41"/>
      <c r="E882" s="32"/>
    </row>
    <row r="883" spans="4:5" s="2" customFormat="1" ht="15.75" customHeight="1">
      <c r="D883" s="41"/>
      <c r="E883" s="32"/>
    </row>
    <row r="884" spans="4:5" s="2" customFormat="1" ht="15.75" customHeight="1">
      <c r="D884" s="41"/>
      <c r="E884" s="32"/>
    </row>
    <row r="885" spans="4:5" s="2" customFormat="1" ht="15.75" customHeight="1">
      <c r="D885" s="41"/>
      <c r="E885" s="32"/>
    </row>
    <row r="886" spans="4:5" s="2" customFormat="1" ht="15.75" customHeight="1">
      <c r="D886" s="41"/>
      <c r="E886" s="32"/>
    </row>
    <row r="887" spans="4:5" s="2" customFormat="1" ht="15.75" customHeight="1">
      <c r="D887" s="41"/>
      <c r="E887" s="32"/>
    </row>
    <row r="888" spans="4:5" s="2" customFormat="1" ht="15.75" customHeight="1">
      <c r="D888" s="41"/>
      <c r="E888" s="32"/>
    </row>
    <row r="889" spans="4:5" s="2" customFormat="1" ht="15.75" customHeight="1">
      <c r="D889" s="41"/>
      <c r="E889" s="32"/>
    </row>
    <row r="890" spans="4:5" s="2" customFormat="1" ht="15.75" customHeight="1">
      <c r="D890" s="41"/>
      <c r="E890" s="32"/>
    </row>
    <row r="891" spans="4:5" s="2" customFormat="1" ht="15.75" customHeight="1">
      <c r="D891" s="41"/>
      <c r="E891" s="32"/>
    </row>
    <row r="892" spans="4:5" s="2" customFormat="1" ht="15.75" customHeight="1">
      <c r="D892" s="41"/>
      <c r="E892" s="32"/>
    </row>
    <row r="893" spans="4:5" s="2" customFormat="1" ht="15.75" customHeight="1">
      <c r="D893" s="41"/>
      <c r="E893" s="32"/>
    </row>
    <row r="894" spans="4:5" s="2" customFormat="1" ht="15.75" customHeight="1">
      <c r="D894" s="41"/>
      <c r="E894" s="32"/>
    </row>
    <row r="895" spans="4:5" s="2" customFormat="1" ht="15.75" customHeight="1">
      <c r="D895" s="41"/>
      <c r="E895" s="32"/>
    </row>
    <row r="896" spans="4:5" s="2" customFormat="1" ht="15.75" customHeight="1">
      <c r="D896" s="41"/>
      <c r="E896" s="32"/>
    </row>
    <row r="897" spans="4:5" s="2" customFormat="1" ht="15.75" customHeight="1">
      <c r="D897" s="41"/>
      <c r="E897" s="32"/>
    </row>
    <row r="898" spans="4:5" s="2" customFormat="1" ht="15.75" customHeight="1">
      <c r="D898" s="41"/>
      <c r="E898" s="32"/>
    </row>
    <row r="899" spans="4:5" s="2" customFormat="1" ht="15.75" customHeight="1">
      <c r="D899" s="41"/>
      <c r="E899" s="32"/>
    </row>
    <row r="900" spans="4:5" s="2" customFormat="1" ht="15.75" customHeight="1">
      <c r="D900" s="41"/>
      <c r="E900" s="32"/>
    </row>
    <row r="901" spans="4:5" s="2" customFormat="1" ht="15.75" customHeight="1">
      <c r="D901" s="41"/>
      <c r="E901" s="32"/>
    </row>
    <row r="902" spans="4:5" s="2" customFormat="1" ht="15.75" customHeight="1">
      <c r="D902" s="41"/>
      <c r="E902" s="32"/>
    </row>
    <row r="903" spans="4:5" s="2" customFormat="1" ht="15.75" customHeight="1">
      <c r="D903" s="41"/>
      <c r="E903" s="32"/>
    </row>
    <row r="904" spans="4:5" s="2" customFormat="1" ht="15.75" customHeight="1">
      <c r="D904" s="41"/>
      <c r="E904" s="32"/>
    </row>
    <row r="905" spans="4:5" s="2" customFormat="1" ht="15.75" customHeight="1">
      <c r="D905" s="41"/>
      <c r="E905" s="32"/>
    </row>
    <row r="906" spans="4:5" s="2" customFormat="1" ht="15.75" customHeight="1">
      <c r="D906" s="41"/>
      <c r="E906" s="32"/>
    </row>
    <row r="907" spans="4:5" s="2" customFormat="1" ht="15.75" customHeight="1">
      <c r="D907" s="41"/>
      <c r="E907" s="32"/>
    </row>
    <row r="908" spans="4:5" s="2" customFormat="1" ht="15.75" customHeight="1">
      <c r="D908" s="41"/>
      <c r="E908" s="32"/>
    </row>
    <row r="909" spans="4:5" s="2" customFormat="1" ht="15.75" customHeight="1">
      <c r="D909" s="41"/>
      <c r="E909" s="32"/>
    </row>
    <row r="910" spans="4:5" s="2" customFormat="1" ht="15.75" customHeight="1">
      <c r="D910" s="41"/>
      <c r="E910" s="32"/>
    </row>
    <row r="911" spans="4:5" s="2" customFormat="1" ht="15.75" customHeight="1">
      <c r="D911" s="41"/>
      <c r="E911" s="32"/>
    </row>
    <row r="912" spans="4:5" s="2" customFormat="1" ht="15.75" customHeight="1">
      <c r="D912" s="41"/>
      <c r="E912" s="32"/>
    </row>
    <row r="913" spans="4:5" s="2" customFormat="1" ht="15.75" customHeight="1">
      <c r="D913" s="41"/>
      <c r="E913" s="32"/>
    </row>
    <row r="914" spans="4:5" s="2" customFormat="1" ht="15.75" customHeight="1">
      <c r="D914" s="41"/>
      <c r="E914" s="32"/>
    </row>
    <row r="915" spans="4:5" s="2" customFormat="1" ht="15.75" customHeight="1">
      <c r="D915" s="41"/>
      <c r="E915" s="32"/>
    </row>
    <row r="916" spans="4:5" s="2" customFormat="1" ht="15.75" customHeight="1">
      <c r="D916" s="41"/>
      <c r="E916" s="32"/>
    </row>
    <row r="917" spans="4:5" s="2" customFormat="1" ht="15.75" customHeight="1">
      <c r="D917" s="41"/>
      <c r="E917" s="32"/>
    </row>
    <row r="918" spans="4:5" s="2" customFormat="1" ht="15.75" customHeight="1">
      <c r="D918" s="41"/>
      <c r="E918" s="32"/>
    </row>
    <row r="919" spans="4:5" s="2" customFormat="1" ht="15.75" customHeight="1">
      <c r="D919" s="41"/>
      <c r="E919" s="32"/>
    </row>
    <row r="920" spans="4:5" s="2" customFormat="1" ht="15.75" customHeight="1">
      <c r="D920" s="41"/>
      <c r="E920" s="32"/>
    </row>
    <row r="921" spans="4:5" s="2" customFormat="1" ht="15.75" customHeight="1">
      <c r="D921" s="41"/>
      <c r="E921" s="32"/>
    </row>
    <row r="922" spans="4:5" s="2" customFormat="1" ht="15.75" customHeight="1">
      <c r="D922" s="41"/>
      <c r="E922" s="32"/>
    </row>
    <row r="923" spans="4:5" s="2" customFormat="1" ht="15.75" customHeight="1">
      <c r="D923" s="41"/>
      <c r="E923" s="32"/>
    </row>
    <row r="924" spans="4:5" s="2" customFormat="1" ht="15.75" customHeight="1">
      <c r="D924" s="41"/>
      <c r="E924" s="32"/>
    </row>
    <row r="925" spans="4:5" s="2" customFormat="1" ht="15.75" customHeight="1">
      <c r="D925" s="41"/>
      <c r="E925" s="32"/>
    </row>
    <row r="926" spans="4:5" s="2" customFormat="1" ht="15.75" customHeight="1">
      <c r="D926" s="41"/>
      <c r="E926" s="32"/>
    </row>
    <row r="927" spans="4:5" s="2" customFormat="1" ht="15.75" customHeight="1">
      <c r="D927" s="41"/>
      <c r="E927" s="32"/>
    </row>
    <row r="928" spans="4:5" s="2" customFormat="1" ht="15.75" customHeight="1">
      <c r="D928" s="41"/>
      <c r="E928" s="32"/>
    </row>
    <row r="929" spans="4:5" s="2" customFormat="1" ht="15.75" customHeight="1">
      <c r="D929" s="41"/>
      <c r="E929" s="32"/>
    </row>
    <row r="930" spans="4:5" s="2" customFormat="1" ht="15.75" customHeight="1">
      <c r="D930" s="41"/>
      <c r="E930" s="32"/>
    </row>
    <row r="931" spans="4:5" s="2" customFormat="1" ht="15.75" customHeight="1">
      <c r="D931" s="41"/>
      <c r="E931" s="32"/>
    </row>
    <row r="932" spans="4:5" s="2" customFormat="1" ht="15.75" customHeight="1">
      <c r="D932" s="41"/>
      <c r="E932" s="32"/>
    </row>
    <row r="933" spans="4:5" s="2" customFormat="1" ht="15.75" customHeight="1">
      <c r="D933" s="41"/>
      <c r="E933" s="32"/>
    </row>
    <row r="934" spans="4:5" s="2" customFormat="1" ht="15.75" customHeight="1">
      <c r="D934" s="41"/>
      <c r="E934" s="32"/>
    </row>
    <row r="935" spans="4:5" s="2" customFormat="1" ht="15.75" customHeight="1">
      <c r="D935" s="41"/>
      <c r="E935" s="32"/>
    </row>
    <row r="936" spans="4:5" s="2" customFormat="1" ht="15.75" customHeight="1">
      <c r="D936" s="41"/>
      <c r="E936" s="32"/>
    </row>
    <row r="937" spans="4:5" s="2" customFormat="1" ht="15.75" customHeight="1">
      <c r="D937" s="41"/>
      <c r="E937" s="32"/>
    </row>
    <row r="938" spans="4:5" s="2" customFormat="1" ht="15.75" customHeight="1">
      <c r="D938" s="41"/>
      <c r="E938" s="32"/>
    </row>
    <row r="939" spans="4:5" s="2" customFormat="1" ht="15.75" customHeight="1">
      <c r="D939" s="41"/>
      <c r="E939" s="32"/>
    </row>
    <row r="940" spans="4:5" s="2" customFormat="1" ht="15.75" customHeight="1">
      <c r="D940" s="41"/>
      <c r="E940" s="32"/>
    </row>
    <row r="941" spans="4:5" s="2" customFormat="1" ht="15.75" customHeight="1">
      <c r="D941" s="41"/>
      <c r="E941" s="32"/>
    </row>
    <row r="942" spans="4:5" s="2" customFormat="1" ht="15.75" customHeight="1">
      <c r="D942" s="41"/>
      <c r="E942" s="32"/>
    </row>
    <row r="943" spans="4:5" s="2" customFormat="1" ht="15.75" customHeight="1">
      <c r="D943" s="41"/>
      <c r="E943" s="32"/>
    </row>
    <row r="944" spans="4:5" s="2" customFormat="1" ht="15.75" customHeight="1">
      <c r="D944" s="41"/>
      <c r="E944" s="32"/>
    </row>
    <row r="945" spans="4:5" s="2" customFormat="1" ht="15.75" customHeight="1">
      <c r="D945" s="41"/>
      <c r="E945" s="32"/>
    </row>
    <row r="946" spans="4:5" s="2" customFormat="1" ht="15.75" customHeight="1">
      <c r="D946" s="41"/>
      <c r="E946" s="32"/>
    </row>
    <row r="947" spans="4:5" s="2" customFormat="1" ht="15.75" customHeight="1">
      <c r="D947" s="41"/>
      <c r="E947" s="32"/>
    </row>
    <row r="948" spans="4:5" s="2" customFormat="1" ht="15.75" customHeight="1">
      <c r="D948" s="41"/>
      <c r="E948" s="32"/>
    </row>
    <row r="949" spans="4:5" s="2" customFormat="1" ht="15.75" customHeight="1">
      <c r="D949" s="41"/>
      <c r="E949" s="32"/>
    </row>
    <row r="950" spans="4:5" s="2" customFormat="1" ht="15.75" customHeight="1">
      <c r="D950" s="41"/>
      <c r="E950" s="32"/>
    </row>
    <row r="951" spans="4:5" s="2" customFormat="1" ht="15.75" customHeight="1">
      <c r="D951" s="41"/>
      <c r="E951" s="32"/>
    </row>
    <row r="952" spans="4:5" s="2" customFormat="1" ht="15.75" customHeight="1">
      <c r="D952" s="41"/>
      <c r="E952" s="32"/>
    </row>
    <row r="953" spans="4:5" s="2" customFormat="1" ht="15.75" customHeight="1">
      <c r="D953" s="41"/>
      <c r="E953" s="32"/>
    </row>
    <row r="954" spans="4:5" s="2" customFormat="1" ht="15.75" customHeight="1">
      <c r="D954" s="41"/>
      <c r="E954" s="32"/>
    </row>
    <row r="955" spans="4:5" s="2" customFormat="1" ht="15.75" customHeight="1">
      <c r="D955" s="41"/>
      <c r="E955" s="32"/>
    </row>
    <row r="956" spans="4:5" s="2" customFormat="1" ht="15.75" customHeight="1">
      <c r="D956" s="41"/>
      <c r="E956" s="32"/>
    </row>
    <row r="957" spans="4:5" s="2" customFormat="1" ht="15.75" customHeight="1">
      <c r="D957" s="41"/>
      <c r="E957" s="32"/>
    </row>
    <row r="958" spans="4:5" s="2" customFormat="1" ht="15.75" customHeight="1">
      <c r="D958" s="41"/>
      <c r="E958" s="32"/>
    </row>
    <row r="959" spans="4:5" s="2" customFormat="1" ht="15.75" customHeight="1">
      <c r="D959" s="41"/>
      <c r="E959" s="32"/>
    </row>
    <row r="960" spans="4:5" s="2" customFormat="1" ht="15.75" customHeight="1">
      <c r="D960" s="41"/>
      <c r="E960" s="32"/>
    </row>
    <row r="961" spans="4:5" s="2" customFormat="1" ht="15.75" customHeight="1">
      <c r="D961" s="41"/>
      <c r="E961" s="32"/>
    </row>
    <row r="962" spans="4:5" s="2" customFormat="1" ht="15.75" customHeight="1">
      <c r="D962" s="41"/>
      <c r="E962" s="32"/>
    </row>
    <row r="963" spans="4:5" s="2" customFormat="1" ht="15.75" customHeight="1">
      <c r="D963" s="41"/>
      <c r="E963" s="32"/>
    </row>
    <row r="964" spans="4:5" s="2" customFormat="1" ht="15.75" customHeight="1">
      <c r="D964" s="41"/>
      <c r="E964" s="32"/>
    </row>
    <row r="965" spans="4:5" s="2" customFormat="1" ht="15.75" customHeight="1">
      <c r="D965" s="41"/>
      <c r="E965" s="32"/>
    </row>
    <row r="966" spans="4:5" s="2" customFormat="1" ht="15.75" customHeight="1">
      <c r="D966" s="41"/>
      <c r="E966" s="32"/>
    </row>
    <row r="967" spans="4:5" s="2" customFormat="1" ht="15.75" customHeight="1">
      <c r="D967" s="41"/>
      <c r="E967" s="32"/>
    </row>
    <row r="968" spans="4:5" s="2" customFormat="1" ht="15.75" customHeight="1">
      <c r="D968" s="41"/>
      <c r="E968" s="32"/>
    </row>
    <row r="969" spans="4:5" s="2" customFormat="1" ht="15.75" customHeight="1">
      <c r="D969" s="41"/>
      <c r="E969" s="32"/>
    </row>
    <row r="970" spans="4:5" s="2" customFormat="1" ht="15.75" customHeight="1">
      <c r="D970" s="41"/>
      <c r="E970" s="32"/>
    </row>
    <row r="971" spans="4:5" s="2" customFormat="1" ht="15.75" customHeight="1">
      <c r="D971" s="41"/>
      <c r="E971" s="32"/>
    </row>
    <row r="972" spans="4:5" s="2" customFormat="1" ht="15.75" customHeight="1">
      <c r="D972" s="41"/>
      <c r="E972" s="32"/>
    </row>
    <row r="973" spans="4:5" s="2" customFormat="1" ht="15.75" customHeight="1">
      <c r="D973" s="41"/>
      <c r="E973" s="32"/>
    </row>
    <row r="974" spans="4:5" s="2" customFormat="1" ht="15.75" customHeight="1">
      <c r="D974" s="41"/>
      <c r="E974" s="32"/>
    </row>
    <row r="975" spans="4:5" s="2" customFormat="1" ht="15.75" customHeight="1">
      <c r="D975" s="41"/>
      <c r="E975" s="32"/>
    </row>
    <row r="976" spans="4:5" s="2" customFormat="1" ht="15.75" customHeight="1">
      <c r="D976" s="41"/>
      <c r="E976" s="32"/>
    </row>
    <row r="977" spans="4:5" s="2" customFormat="1" ht="15.75" customHeight="1">
      <c r="D977" s="41"/>
      <c r="E977" s="32"/>
    </row>
    <row r="978" spans="4:5" s="2" customFormat="1" ht="15.75" customHeight="1">
      <c r="D978" s="41"/>
      <c r="E978" s="32"/>
    </row>
    <row r="979" spans="4:5" s="2" customFormat="1" ht="15.75" customHeight="1">
      <c r="D979" s="41"/>
      <c r="E979" s="32"/>
    </row>
    <row r="980" spans="4:5" s="2" customFormat="1" ht="15.75" customHeight="1">
      <c r="D980" s="41"/>
      <c r="E980" s="32"/>
    </row>
    <row r="981" spans="4:5" s="2" customFormat="1" ht="15.75" customHeight="1">
      <c r="D981" s="41"/>
      <c r="E981" s="32"/>
    </row>
    <row r="982" spans="4:5" s="2" customFormat="1" ht="15.75" customHeight="1">
      <c r="D982" s="41"/>
      <c r="E982" s="32"/>
    </row>
    <row r="983" spans="4:5" s="2" customFormat="1" ht="15.75" customHeight="1">
      <c r="D983" s="41"/>
      <c r="E983" s="32"/>
    </row>
    <row r="984" spans="4:5" s="2" customFormat="1" ht="15.75" customHeight="1">
      <c r="D984" s="41"/>
      <c r="E984" s="32"/>
    </row>
    <row r="985" spans="4:5" s="2" customFormat="1" ht="15.75" customHeight="1">
      <c r="D985" s="41"/>
      <c r="E985" s="32"/>
    </row>
    <row r="986" spans="4:5" s="2" customFormat="1" ht="15.75" customHeight="1">
      <c r="D986" s="41"/>
      <c r="E986" s="32"/>
    </row>
    <row r="987" spans="4:5" s="2" customFormat="1" ht="15.75" customHeight="1">
      <c r="D987" s="41"/>
      <c r="E987" s="32"/>
    </row>
    <row r="988" spans="4:5" s="2" customFormat="1" ht="15.75" customHeight="1">
      <c r="D988" s="41"/>
      <c r="E988" s="32"/>
    </row>
    <row r="989" spans="4:5" s="2" customFormat="1" ht="15.75" customHeight="1">
      <c r="D989" s="41"/>
      <c r="E989" s="32"/>
    </row>
    <row r="990" spans="4:5" s="2" customFormat="1" ht="15.75" customHeight="1">
      <c r="D990" s="41"/>
      <c r="E990" s="32"/>
    </row>
    <row r="991" spans="4:5" s="2" customFormat="1" ht="15.75" customHeight="1">
      <c r="D991" s="41"/>
      <c r="E991" s="32"/>
    </row>
    <row r="992" spans="4:5" s="2" customFormat="1" ht="15.75" customHeight="1">
      <c r="D992" s="41"/>
      <c r="E992" s="32"/>
    </row>
    <row r="993" spans="4:5" s="2" customFormat="1" ht="15.75" customHeight="1">
      <c r="D993" s="41"/>
      <c r="E993" s="32"/>
    </row>
    <row r="994" spans="4:5" s="2" customFormat="1" ht="15.75" customHeight="1">
      <c r="D994" s="41"/>
      <c r="E994" s="32"/>
    </row>
    <row r="995" spans="4:5" s="2" customFormat="1" ht="15.75" customHeight="1">
      <c r="D995" s="41"/>
      <c r="E995" s="32"/>
    </row>
    <row r="996" spans="4:5" s="2" customFormat="1" ht="15.75" customHeight="1">
      <c r="D996" s="41"/>
      <c r="E996" s="32"/>
    </row>
    <row r="997" spans="4:5" s="2" customFormat="1" ht="15.75" customHeight="1">
      <c r="D997" s="41"/>
      <c r="E997" s="32"/>
    </row>
    <row r="998" spans="4:5" s="2" customFormat="1" ht="15.75" customHeight="1">
      <c r="D998" s="41"/>
      <c r="E998" s="32"/>
    </row>
    <row r="999" spans="4:5" s="2" customFormat="1" ht="15.75" customHeight="1">
      <c r="D999" s="41"/>
      <c r="E999" s="32"/>
    </row>
    <row r="1000" spans="4:5" s="2" customFormat="1" ht="15.75" customHeight="1">
      <c r="D1000" s="41"/>
      <c r="E1000" s="32"/>
    </row>
    <row r="1001" spans="4:5" s="2" customFormat="1" ht="15.75" customHeight="1">
      <c r="D1001" s="41"/>
      <c r="E1001" s="32"/>
    </row>
    <row r="1002" spans="4:5" s="2" customFormat="1" ht="15.75" customHeight="1">
      <c r="D1002" s="41"/>
      <c r="E1002" s="32"/>
    </row>
    <row r="1003" spans="4:5" s="2" customFormat="1" ht="15.75" customHeight="1">
      <c r="D1003" s="41"/>
      <c r="E1003" s="32"/>
    </row>
    <row r="1004" spans="4:5" s="2" customFormat="1" ht="15.75" customHeight="1">
      <c r="D1004" s="41"/>
      <c r="E1004" s="32"/>
    </row>
    <row r="1005" spans="4:5" s="2" customFormat="1" ht="15.75" customHeight="1">
      <c r="D1005" s="41"/>
      <c r="E1005" s="32"/>
    </row>
    <row r="1006" spans="4:5" s="2" customFormat="1" ht="15.75" customHeight="1">
      <c r="D1006" s="41"/>
      <c r="E1006" s="32"/>
    </row>
    <row r="1007" spans="4:5" s="2" customFormat="1" ht="15.75" customHeight="1">
      <c r="D1007" s="41"/>
      <c r="E1007" s="32"/>
    </row>
    <row r="1008" spans="4:5" s="2" customFormat="1" ht="15.75" customHeight="1">
      <c r="D1008" s="41"/>
      <c r="E1008" s="32"/>
    </row>
    <row r="1009" spans="4:5" s="2" customFormat="1" ht="15.75" customHeight="1">
      <c r="D1009" s="41"/>
      <c r="E1009" s="32"/>
    </row>
    <row r="1010" spans="4:5" s="2" customFormat="1" ht="15.75" customHeight="1">
      <c r="D1010" s="41"/>
      <c r="E1010" s="32"/>
    </row>
    <row r="1011" spans="4:5" s="2" customFormat="1" ht="15.75" customHeight="1">
      <c r="D1011" s="41"/>
      <c r="E1011" s="32"/>
    </row>
    <row r="1012" spans="4:5" s="2" customFormat="1" ht="15.75" customHeight="1">
      <c r="D1012" s="41"/>
      <c r="E1012" s="32"/>
    </row>
    <row r="1013" spans="4:5" s="2" customFormat="1" ht="15.75" customHeight="1">
      <c r="D1013" s="41"/>
      <c r="E1013" s="32"/>
    </row>
    <row r="1014" spans="4:5" s="2" customFormat="1" ht="15.75" customHeight="1">
      <c r="D1014" s="41"/>
      <c r="E1014" s="32"/>
    </row>
    <row r="1015" spans="4:5" s="2" customFormat="1" ht="15.75" customHeight="1">
      <c r="D1015" s="41"/>
      <c r="E1015" s="32"/>
    </row>
    <row r="1016" spans="4:5" s="2" customFormat="1" ht="15.75" customHeight="1">
      <c r="D1016" s="41"/>
      <c r="E1016" s="32"/>
    </row>
    <row r="1017" spans="4:5" s="2" customFormat="1" ht="15.75" customHeight="1">
      <c r="D1017" s="41"/>
      <c r="E1017" s="32"/>
    </row>
    <row r="1018" spans="4:5" s="2" customFormat="1" ht="15.75" customHeight="1">
      <c r="D1018" s="41"/>
      <c r="E1018" s="32"/>
    </row>
    <row r="1019" spans="4:5" s="2" customFormat="1" ht="15.75" customHeight="1">
      <c r="D1019" s="41"/>
      <c r="E1019" s="32"/>
    </row>
    <row r="1020" spans="4:5" s="2" customFormat="1" ht="15.75" customHeight="1">
      <c r="D1020" s="41"/>
      <c r="E1020" s="32"/>
    </row>
    <row r="1021" spans="4:5" s="2" customFormat="1" ht="15.75" customHeight="1">
      <c r="D1021" s="41"/>
      <c r="E1021" s="32"/>
    </row>
    <row r="1022" spans="4:5" s="2" customFormat="1" ht="15.75" customHeight="1">
      <c r="D1022" s="41"/>
      <c r="E1022" s="32"/>
    </row>
    <row r="1023" spans="4:5" s="2" customFormat="1" ht="15.75" customHeight="1">
      <c r="D1023" s="41"/>
      <c r="E1023" s="32"/>
    </row>
    <row r="1024" spans="4:5" s="2" customFormat="1" ht="15.75" customHeight="1">
      <c r="D1024" s="41"/>
      <c r="E1024" s="32"/>
    </row>
    <row r="1025" spans="4:5" s="2" customFormat="1" ht="15.75" customHeight="1">
      <c r="D1025" s="41"/>
      <c r="E1025" s="32"/>
    </row>
    <row r="1026" spans="4:5" s="2" customFormat="1" ht="15.75" customHeight="1">
      <c r="D1026" s="41"/>
      <c r="E1026" s="32"/>
    </row>
    <row r="1027" spans="4:5" s="2" customFormat="1" ht="15.75" customHeight="1">
      <c r="D1027" s="41"/>
      <c r="E1027" s="32"/>
    </row>
    <row r="1028" spans="4:5" s="2" customFormat="1" ht="15.75" customHeight="1">
      <c r="D1028" s="41"/>
      <c r="E1028" s="32"/>
    </row>
    <row r="1029" spans="4:5" s="2" customFormat="1" ht="15.75" customHeight="1">
      <c r="D1029" s="41"/>
      <c r="E1029" s="32"/>
    </row>
    <row r="1030" spans="4:5" s="2" customFormat="1" ht="15.75" customHeight="1">
      <c r="D1030" s="41"/>
      <c r="E1030" s="32"/>
    </row>
    <row r="1031" spans="4:5" s="2" customFormat="1" ht="15.75" customHeight="1">
      <c r="D1031" s="41"/>
      <c r="E1031" s="32"/>
    </row>
    <row r="1032" spans="4:5" s="2" customFormat="1" ht="15.75" customHeight="1">
      <c r="D1032" s="41"/>
      <c r="E1032" s="32"/>
    </row>
    <row r="1033" spans="4:5" s="2" customFormat="1" ht="15.75" customHeight="1">
      <c r="D1033" s="41"/>
      <c r="E1033" s="32"/>
    </row>
    <row r="1034" spans="4:5" s="2" customFormat="1" ht="15.75" customHeight="1">
      <c r="D1034" s="41"/>
      <c r="E1034" s="32"/>
    </row>
    <row r="1035" spans="4:5" s="2" customFormat="1" ht="15.75" customHeight="1">
      <c r="D1035" s="41"/>
      <c r="E1035" s="32"/>
    </row>
    <row r="1036" spans="4:5" s="2" customFormat="1" ht="15.75" customHeight="1">
      <c r="D1036" s="41"/>
      <c r="E1036" s="32"/>
    </row>
    <row r="1037" spans="4:5" s="2" customFormat="1" ht="15.75" customHeight="1">
      <c r="D1037" s="41"/>
      <c r="E1037" s="32"/>
    </row>
    <row r="1038" spans="4:5" s="2" customFormat="1" ht="15.75" customHeight="1">
      <c r="D1038" s="41"/>
      <c r="E1038" s="32"/>
    </row>
    <row r="1039" spans="4:5" s="2" customFormat="1" ht="15.75" customHeight="1">
      <c r="D1039" s="41"/>
      <c r="E1039" s="32"/>
    </row>
    <row r="1040" spans="4:5" s="2" customFormat="1" ht="15.75" customHeight="1">
      <c r="D1040" s="41"/>
      <c r="E1040" s="32"/>
    </row>
    <row r="1041" spans="4:5" s="2" customFormat="1" ht="15.75" customHeight="1">
      <c r="D1041" s="41"/>
      <c r="E1041" s="32"/>
    </row>
    <row r="1042" spans="4:5" s="2" customFormat="1" ht="15.75" customHeight="1">
      <c r="D1042" s="41"/>
      <c r="E1042" s="32"/>
    </row>
    <row r="1043" spans="4:5" s="2" customFormat="1" ht="15.75" customHeight="1">
      <c r="D1043" s="41"/>
      <c r="E1043" s="32"/>
    </row>
    <row r="1044" spans="4:5" s="2" customFormat="1" ht="15.75" customHeight="1">
      <c r="D1044" s="41"/>
      <c r="E1044" s="32"/>
    </row>
    <row r="1045" spans="4:5" s="2" customFormat="1" ht="15.75" customHeight="1">
      <c r="D1045" s="41"/>
      <c r="E1045" s="32"/>
    </row>
    <row r="1046" spans="4:5" s="2" customFormat="1" ht="15.75" customHeight="1">
      <c r="D1046" s="41"/>
      <c r="E1046" s="32"/>
    </row>
    <row r="1047" spans="4:5" s="2" customFormat="1" ht="15.75" customHeight="1">
      <c r="D1047" s="41"/>
      <c r="E1047" s="32"/>
    </row>
    <row r="1048" spans="4:5" s="2" customFormat="1" ht="15.75" customHeight="1">
      <c r="D1048" s="41"/>
      <c r="E1048" s="32"/>
    </row>
    <row r="1049" spans="4:5" s="2" customFormat="1" ht="15.75" customHeight="1">
      <c r="D1049" s="41"/>
      <c r="E1049" s="32"/>
    </row>
    <row r="1050" spans="4:5" s="2" customFormat="1" ht="15.75" customHeight="1">
      <c r="D1050" s="41"/>
      <c r="E1050" s="32"/>
    </row>
    <row r="1051" spans="4:5" s="2" customFormat="1" ht="15.75" customHeight="1">
      <c r="D1051" s="41"/>
      <c r="E1051" s="32"/>
    </row>
    <row r="1052" spans="4:5" s="2" customFormat="1" ht="15.75" customHeight="1">
      <c r="D1052" s="41"/>
      <c r="E1052" s="32"/>
    </row>
    <row r="1053" spans="4:5" s="2" customFormat="1" ht="15.75" customHeight="1">
      <c r="D1053" s="41"/>
      <c r="E1053" s="32"/>
    </row>
    <row r="1054" spans="4:5" s="2" customFormat="1" ht="15.75" customHeight="1">
      <c r="D1054" s="41"/>
      <c r="E1054" s="32"/>
    </row>
    <row r="1055" spans="4:5" s="2" customFormat="1" ht="15.75" customHeight="1">
      <c r="D1055" s="41"/>
      <c r="E1055" s="32"/>
    </row>
    <row r="1056" spans="4:5" s="2" customFormat="1" ht="15.75" customHeight="1">
      <c r="D1056" s="41"/>
      <c r="E1056" s="32"/>
    </row>
    <row r="1057" spans="4:5" s="2" customFormat="1" ht="15.75" customHeight="1">
      <c r="D1057" s="41"/>
      <c r="E1057" s="32"/>
    </row>
    <row r="1058" spans="4:5" s="2" customFormat="1" ht="15.75" customHeight="1">
      <c r="D1058" s="41"/>
      <c r="E1058" s="32"/>
    </row>
    <row r="1059" spans="4:5" s="2" customFormat="1" ht="15.75" customHeight="1">
      <c r="D1059" s="41"/>
      <c r="E1059" s="32"/>
    </row>
    <row r="1060" spans="4:5" s="2" customFormat="1" ht="15.75" customHeight="1">
      <c r="D1060" s="41"/>
      <c r="E1060" s="32"/>
    </row>
    <row r="1061" spans="4:5" s="2" customFormat="1" ht="15.75" customHeight="1">
      <c r="D1061" s="41"/>
      <c r="E1061" s="32"/>
    </row>
    <row r="1062" spans="4:5" s="2" customFormat="1" ht="15.75" customHeight="1">
      <c r="D1062" s="41"/>
      <c r="E1062" s="32"/>
    </row>
    <row r="1063" spans="4:5" s="2" customFormat="1" ht="15.75" customHeight="1">
      <c r="D1063" s="41"/>
      <c r="E1063" s="32"/>
    </row>
    <row r="1064" spans="4:5" s="2" customFormat="1" ht="15.75" customHeight="1">
      <c r="D1064" s="41"/>
      <c r="E1064" s="32"/>
    </row>
    <row r="1065" spans="4:5" s="2" customFormat="1" ht="15.75" customHeight="1">
      <c r="D1065" s="41"/>
      <c r="E1065" s="32"/>
    </row>
    <row r="1066" spans="4:5" s="2" customFormat="1" ht="15.75" customHeight="1">
      <c r="D1066" s="41"/>
      <c r="E1066" s="32"/>
    </row>
    <row r="1067" spans="4:5" s="2" customFormat="1" ht="15.75" customHeight="1">
      <c r="D1067" s="41"/>
      <c r="E1067" s="32"/>
    </row>
    <row r="1068" spans="4:5" s="2" customFormat="1" ht="15.75" customHeight="1">
      <c r="D1068" s="41"/>
      <c r="E1068" s="32"/>
    </row>
    <row r="1069" spans="4:5" s="2" customFormat="1" ht="15.75" customHeight="1">
      <c r="D1069" s="41"/>
      <c r="E1069" s="32"/>
    </row>
    <row r="1070" spans="4:5" s="2" customFormat="1" ht="15.75" customHeight="1">
      <c r="D1070" s="41"/>
      <c r="E1070" s="32"/>
    </row>
    <row r="1071" spans="4:5" s="2" customFormat="1" ht="15.75" customHeight="1">
      <c r="D1071" s="41"/>
      <c r="E1071" s="32"/>
    </row>
    <row r="1072" spans="4:5" s="2" customFormat="1" ht="15.75" customHeight="1">
      <c r="D1072" s="41"/>
      <c r="E1072" s="32"/>
    </row>
    <row r="1073" spans="4:5" s="2" customFormat="1" ht="15.75" customHeight="1">
      <c r="D1073" s="41"/>
      <c r="E1073" s="32"/>
    </row>
    <row r="1074" spans="4:5" s="2" customFormat="1" ht="15.75" customHeight="1">
      <c r="D1074" s="41"/>
      <c r="E1074" s="32"/>
    </row>
    <row r="1075" spans="4:5" s="2" customFormat="1" ht="15.75" customHeight="1">
      <c r="D1075" s="41"/>
      <c r="E1075" s="32"/>
    </row>
    <row r="1076" spans="4:5" s="2" customFormat="1" ht="15.75" customHeight="1">
      <c r="D1076" s="41"/>
      <c r="E1076" s="32"/>
    </row>
    <row r="1077" spans="4:5" s="2" customFormat="1" ht="15.75" customHeight="1">
      <c r="D1077" s="41"/>
      <c r="E1077" s="32"/>
    </row>
    <row r="1078" spans="4:5" s="2" customFormat="1" ht="15.75" customHeight="1">
      <c r="D1078" s="41"/>
      <c r="E1078" s="32"/>
    </row>
    <row r="1079" spans="4:5" s="2" customFormat="1" ht="15.75" customHeight="1">
      <c r="D1079" s="41"/>
      <c r="E1079" s="32"/>
    </row>
    <row r="1080" spans="4:5" s="2" customFormat="1" ht="15.75" customHeight="1">
      <c r="D1080" s="41"/>
      <c r="E1080" s="32"/>
    </row>
    <row r="1081" spans="4:5" s="2" customFormat="1" ht="15.75" customHeight="1">
      <c r="D1081" s="41"/>
      <c r="E1081" s="32"/>
    </row>
    <row r="1082" spans="4:5" s="2" customFormat="1" ht="15.75" customHeight="1">
      <c r="D1082" s="41"/>
      <c r="E1082" s="32"/>
    </row>
    <row r="1083" spans="4:5" s="2" customFormat="1" ht="15.75" customHeight="1">
      <c r="D1083" s="41"/>
      <c r="E1083" s="32"/>
    </row>
    <row r="1084" spans="4:5" s="2" customFormat="1" ht="15.75" customHeight="1">
      <c r="D1084" s="41"/>
      <c r="E1084" s="32"/>
    </row>
    <row r="1085" spans="4:5" s="2" customFormat="1" ht="15.75" customHeight="1">
      <c r="D1085" s="41"/>
      <c r="E1085" s="32"/>
    </row>
    <row r="1086" spans="4:5" s="2" customFormat="1" ht="15.75" customHeight="1">
      <c r="D1086" s="41"/>
      <c r="E1086" s="32"/>
    </row>
    <row r="1087" spans="4:5" s="2" customFormat="1" ht="15.75" customHeight="1">
      <c r="D1087" s="41"/>
      <c r="E1087" s="32"/>
    </row>
    <row r="1088" spans="4:5" s="2" customFormat="1" ht="15.75" customHeight="1">
      <c r="D1088" s="41"/>
      <c r="E1088" s="32"/>
    </row>
    <row r="1089" spans="4:5" s="2" customFormat="1" ht="15.75" customHeight="1">
      <c r="D1089" s="41"/>
      <c r="E1089" s="32"/>
    </row>
    <row r="1090" spans="4:5" s="2" customFormat="1" ht="15.75" customHeight="1">
      <c r="D1090" s="41"/>
      <c r="E1090" s="32"/>
    </row>
    <row r="1091" spans="4:5" s="2" customFormat="1" ht="15.75" customHeight="1">
      <c r="D1091" s="41"/>
      <c r="E1091" s="32"/>
    </row>
    <row r="1092" spans="4:5" s="2" customFormat="1" ht="15.75" customHeight="1">
      <c r="D1092" s="41"/>
      <c r="E1092" s="32"/>
    </row>
    <row r="1093" spans="4:5" s="2" customFormat="1" ht="15.75" customHeight="1">
      <c r="D1093" s="41"/>
      <c r="E1093" s="32"/>
    </row>
    <row r="1094" spans="4:5" s="2" customFormat="1" ht="15.75" customHeight="1">
      <c r="D1094" s="41"/>
      <c r="E1094" s="32"/>
    </row>
    <row r="1095" spans="4:5" s="2" customFormat="1" ht="15.75" customHeight="1">
      <c r="D1095" s="41"/>
      <c r="E1095" s="32"/>
    </row>
    <row r="1096" spans="4:5" s="2" customFormat="1" ht="15.75" customHeight="1">
      <c r="D1096" s="41"/>
      <c r="E1096" s="32"/>
    </row>
    <row r="1097" spans="4:5" s="2" customFormat="1" ht="15.75" customHeight="1">
      <c r="D1097" s="41"/>
      <c r="E1097" s="32"/>
    </row>
    <row r="1098" spans="4:5" s="2" customFormat="1" ht="15.75" customHeight="1">
      <c r="D1098" s="41"/>
      <c r="E1098" s="32"/>
    </row>
    <row r="1099" spans="4:5" s="2" customFormat="1" ht="15.75" customHeight="1">
      <c r="D1099" s="41"/>
      <c r="E1099" s="32"/>
    </row>
    <row r="1100" spans="4:5" s="2" customFormat="1" ht="15.75" customHeight="1">
      <c r="D1100" s="41"/>
      <c r="E1100" s="32"/>
    </row>
    <row r="1101" spans="4:5" s="2" customFormat="1" ht="15.75" customHeight="1">
      <c r="D1101" s="41"/>
      <c r="E1101" s="32"/>
    </row>
    <row r="1102" spans="4:5" s="2" customFormat="1" ht="15.75" customHeight="1">
      <c r="D1102" s="41"/>
      <c r="E1102" s="32"/>
    </row>
  </sheetData>
  <mergeCells count="16">
    <mergeCell ref="A218:G218"/>
    <mergeCell ref="A219:G219"/>
    <mergeCell ref="A226:G226"/>
    <mergeCell ref="A227:G227"/>
    <mergeCell ref="A9:G9"/>
    <mergeCell ref="A10:G10"/>
    <mergeCell ref="A45:G45"/>
    <mergeCell ref="A46:G46"/>
    <mergeCell ref="A83:G83"/>
    <mergeCell ref="A142:G142"/>
    <mergeCell ref="A143:G143"/>
    <mergeCell ref="A181:G181"/>
    <mergeCell ref="A182:G182"/>
    <mergeCell ref="A84:G84"/>
    <mergeCell ref="A115:G115"/>
    <mergeCell ref="A116:G116"/>
  </mergeCells>
  <conditionalFormatting sqref="A283:F283">
    <cfRule type="cellIs" dxfId="5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23BF3-421B-49C5-B827-DF1886507EC5}">
  <sheetPr>
    <tabColor theme="9" tint="0.39997558519241921"/>
  </sheetPr>
  <dimension ref="A1:Z1080"/>
  <sheetViews>
    <sheetView workbookViewId="0">
      <pane ySplit="1" topLeftCell="A150" activePane="bottomLeft" state="frozen"/>
      <selection pane="bottomLeft" activeCell="E169" sqref="A169:G169"/>
    </sheetView>
  </sheetViews>
  <sheetFormatPr defaultRowHeight="15.6"/>
  <cols>
    <col min="1" max="1" width="29.25" style="2" customWidth="1"/>
    <col min="2" max="2" width="25.25" style="2" customWidth="1"/>
    <col min="3" max="3" width="21.5" style="2" customWidth="1"/>
    <col min="4" max="4" width="15.5" style="2" customWidth="1"/>
    <col min="5" max="5" width="15.375" style="2" customWidth="1"/>
    <col min="6" max="6" width="16.25" style="2" customWidth="1"/>
    <col min="7" max="7" width="23.375" style="2" bestFit="1" customWidth="1"/>
    <col min="8" max="8" width="18.375" style="2" customWidth="1"/>
    <col min="9" max="12" width="9" style="2" customWidth="1"/>
    <col min="13" max="13" width="29.375" style="7" customWidth="1"/>
    <col min="14" max="14" width="23" style="7" customWidth="1"/>
    <col min="15" max="15" width="19.25" style="7" customWidth="1"/>
    <col min="16" max="16" width="14.375" style="8" customWidth="1"/>
    <col min="17" max="17" width="13.75" style="7" customWidth="1"/>
    <col min="18" max="18" width="17.5" style="7" customWidth="1"/>
    <col min="19" max="19" width="25.5" style="2" customWidth="1"/>
    <col min="20" max="20" width="23.25" style="2" customWidth="1"/>
    <col min="21" max="16384" width="9" style="2"/>
  </cols>
  <sheetData>
    <row r="1" spans="1:26">
      <c r="A1" s="1" t="s">
        <v>0</v>
      </c>
      <c r="B1" s="1" t="s">
        <v>1</v>
      </c>
      <c r="C1" s="1" t="s">
        <v>2</v>
      </c>
      <c r="D1" s="13" t="s">
        <v>3</v>
      </c>
      <c r="E1" s="14" t="s">
        <v>4</v>
      </c>
      <c r="F1" s="1" t="s">
        <v>5</v>
      </c>
      <c r="G1" s="3" t="s">
        <v>6</v>
      </c>
      <c r="M1" s="2"/>
      <c r="N1" s="2"/>
      <c r="O1" s="2"/>
      <c r="P1" s="2"/>
      <c r="Q1" s="2"/>
      <c r="R1" s="2"/>
    </row>
    <row r="2" spans="1:26">
      <c r="A2" s="15" t="s">
        <v>7</v>
      </c>
      <c r="B2" s="16"/>
      <c r="C2" s="16"/>
      <c r="D2" s="17"/>
      <c r="E2" s="18"/>
      <c r="F2" s="16"/>
      <c r="G2" s="19"/>
      <c r="H2" s="20"/>
      <c r="I2" s="20"/>
      <c r="J2" s="20"/>
      <c r="K2" s="20"/>
      <c r="L2" s="20"/>
      <c r="M2" s="21"/>
      <c r="N2" s="2"/>
      <c r="O2" s="2"/>
      <c r="P2" s="2"/>
      <c r="Q2" s="2"/>
      <c r="R2" s="2"/>
    </row>
    <row r="3" spans="1:26">
      <c r="A3" s="22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23"/>
      <c r="N3" s="2"/>
      <c r="O3" s="2"/>
      <c r="P3" s="2"/>
      <c r="Q3" s="2"/>
      <c r="R3" s="2"/>
    </row>
    <row r="4" spans="1:26" ht="15.75">
      <c r="A4" s="31">
        <f>SUM(
SUMIFS($E$11:$E$286,$D$11:$D$286,"&gt;="&amp;EOMONTH($A$8,-1)+1,$D$11:$D$286,"&lt;="&amp;EOMONTH($A$8,0),$F$11:$F$286,"kp"),
SUMIFS($E$11:$E$286,$D$11:$D$286,"&gt;="&amp;EOMONTH($A$8,-1)+1,$D$11:$D$286,"&lt;="&amp;EOMONTH($A$8,0),$F$11:$F$286,"kp."),
SUMIFS($E$11:$E$286,$D$11:$D$286,"&gt;="&amp;EOMONTH($A$8,-1)+1,$D$11:$D$286,"&lt;="&amp;EOMONTH($A$8,0),$F$11:$F$286,"bk"),
SUMIFS($E$11:$E$286,$D$11:$D$286,"&gt;="&amp;EOMONTH($A$8,-1)+1,$D$11:$D$286,"&lt;="&amp;EOMONTH($A$8,0),$F$11:$F$286,"bk."),
SUMIFS($E$11:$E$286,$D$11:$D$286,"&gt;="&amp;EOMONTH($A$8,-1)+1,$D$11:$D$286,"&lt;="&amp;EOMONTH($A$8,0),$F$11:$F$286,"mgc")
)</f>
        <v>1368819</v>
      </c>
      <c r="B4" s="14">
        <f>SUM(
SUMIFS($E$11:$E$286,$D$11:$D$286,"&gt;="&amp;EOMONTH(B$8,-1)+1,$D$11:$D$286,"&lt;="&amp;EOMONTH(B$8,0),$F$11:$F$286,"kp"),
SUMIFS($E$11:$E$286,$D$11:$D$286,"&gt;="&amp;EOMONTH(B$8,-1)+1,$D$11:$D$286,"&lt;="&amp;EOMONTH(B$8,0),$F$11:$F$286,"kp."),
SUMIFS($E$11:$E$286,$D$11:$D$286,"&gt;="&amp;EOMONTH(B$8,-1)+1,$D$11:$D$286,"&lt;="&amp;EOMONTH(B$8,0),$F$11:$F$286,"bk"),
SUMIFS($E$11:$E$286,$D$11:$D$286,"&gt;="&amp;EOMONTH(B$8,-1)+1,$D$11:$D$286,"&lt;="&amp;EOMONTH(B$8,0),$F$11:$F$286,"bk."),
SUMIFS($E$11:$E$286,$D$11:$D$286,"&gt;="&amp;EOMONTH(B$8,-1)+1,$D$11:$D$286,"&lt;="&amp;EOMONTH(B$8,0),$F$11:$F$286,"mgc")
)</f>
        <v>1325026</v>
      </c>
      <c r="C4" s="14">
        <f>SUM(
SUMIFS($E$11:$E$286,$D$11:$D$286,"&gt;="&amp;EOMONTH(C$8,-1)+1,$D$11:$D$286,"&lt;="&amp;EOMONTH(C$8,0),$F$11:$F$286,"kp"),
SUMIFS($E$11:$E$286,$D$11:$D$286,"&gt;="&amp;EOMONTH(C$8,-1)+1,$D$11:$D$286,"&lt;="&amp;EOMONTH(C$8,0),$F$11:$F$286,"kp."),
SUMIFS($E$11:$E$286,$D$11:$D$286,"&gt;="&amp;EOMONTH(C$8,-1)+1,$D$11:$D$286,"&lt;="&amp;EOMONTH(C$8,0),$F$11:$F$286,"bk"),
SUMIFS($E$11:$E$286,$D$11:$D$286,"&gt;="&amp;EOMONTH(C$8,-1)+1,$D$11:$D$286,"&lt;="&amp;EOMONTH(C$8,0),$F$11:$F$286,"bk."),
SUMIFS($E$11:$E$286,$D$11:$D$286,"&gt;="&amp;EOMONTH(C$8,-1)+1,$D$11:$D$286,"&lt;="&amp;EOMONTH(C$8,0),$F$11:$F$286,"mgc")
)</f>
        <v>1499935</v>
      </c>
      <c r="D4" s="14">
        <f>SUM(
SUMIFS($E$11:$E$286,$D$11:$D$286,"&gt;="&amp;EOMONTH(D$8,-1)+1,$D$11:$D$286,"&lt;="&amp;EOMONTH(D$8,0),$F$11:$F$286,"kp"),
SUMIFS($E$11:$E$286,$D$11:$D$286,"&gt;="&amp;EOMONTH(D$8,-1)+1,$D$11:$D$286,"&lt;="&amp;EOMONTH(D$8,0),$F$11:$F$286,"kp."),
SUMIFS($E$11:$E$286,$D$11:$D$286,"&gt;="&amp;EOMONTH(D$8,-1)+1,$D$11:$D$286,"&lt;="&amp;EOMONTH(D$8,0),$F$11:$F$286,"bk"),
SUMIFS($E$11:$E$286,$D$11:$D$286,"&gt;="&amp;EOMONTH(D$8,-1)+1,$D$11:$D$286,"&lt;="&amp;EOMONTH(D$8,0),$F$11:$F$286,"bk."),
SUMIFS($E$11:$E$286,$D$11:$D$286,"&gt;="&amp;EOMONTH(D$8,-1)+1,$D$11:$D$286,"&lt;="&amp;EOMONTH(D$8,0),$F$11:$F$286,"mgc")
)</f>
        <v>0</v>
      </c>
      <c r="E4" s="14">
        <f>SUM(
SUMIFS($E$11:$E$286,$D$11:$D$286,"&gt;="&amp;EOMONTH(E$8,-1)+1,$D$11:$D$286,"&lt;="&amp;EOMONTH(E$8,0),$F$11:$F$286,"kp"),
SUMIFS($E$11:$E$286,$D$11:$D$286,"&gt;="&amp;EOMONTH(E$8,-1)+1,$D$11:$D$286,"&lt;="&amp;EOMONTH(E$8,0),$F$11:$F$286,"kp."),
SUMIFS($E$11:$E$286,$D$11:$D$286,"&gt;="&amp;EOMONTH(E$8,-1)+1,$D$11:$D$286,"&lt;="&amp;EOMONTH(E$8,0),$F$11:$F$286,"bk"),
SUMIFS($E$11:$E$286,$D$11:$D$286,"&gt;="&amp;EOMONTH(E$8,-1)+1,$D$11:$D$286,"&lt;="&amp;EOMONTH(E$8,0),$F$11:$F$286,"bk."),
SUMIFS($E$11:$E$286,$D$11:$D$286,"&gt;="&amp;EOMONTH(E$8,-1)+1,$D$11:$D$286,"&lt;="&amp;EOMONTH(E$8,0),$F$11:$F$286,"mgc")
)</f>
        <v>0</v>
      </c>
      <c r="F4" s="14">
        <f>SUM(
SUMIFS($E$11:$E$286,$D$11:$D$286,"&gt;="&amp;EOMONTH(F$8,-1)+1,$D$11:$D$286,"&lt;="&amp;EOMONTH(F$8,0),$F$11:$F$286,"kp"),
SUMIFS($E$11:$E$286,$D$11:$D$286,"&gt;="&amp;EOMONTH(F$8,-1)+1,$D$11:$D$286,"&lt;="&amp;EOMONTH(F$8,0),$F$11:$F$286,"kp."),
SUMIFS($E$11:$E$286,$D$11:$D$286,"&gt;="&amp;EOMONTH(F$8,-1)+1,$D$11:$D$286,"&lt;="&amp;EOMONTH(F$8,0),$F$11:$F$286,"bk"),
SUMIFS($E$11:$E$286,$D$11:$D$286,"&gt;="&amp;EOMONTH(F$8,-1)+1,$D$11:$D$286,"&lt;="&amp;EOMONTH(F$8,0),$F$11:$F$286,"bk."),
SUMIFS($E$11:$E$286,$D$11:$D$286,"&gt;="&amp;EOMONTH(F$8,-1)+1,$D$11:$D$286,"&lt;="&amp;EOMONTH(F$8,0),$F$11:$F$286,"mgc")
)</f>
        <v>0</v>
      </c>
      <c r="G4" s="14">
        <f>SUM(
SUMIFS($E$11:$E$286,$D$11:$D$286,"&gt;="&amp;EOMONTH(G$8,-1)+1,$D$11:$D$286,"&lt;="&amp;EOMONTH(G$8,0),$F$11:$F$286,"kp"),
SUMIFS($E$11:$E$286,$D$11:$D$286,"&gt;="&amp;EOMONTH(G$8,-1)+1,$D$11:$D$286,"&lt;="&amp;EOMONTH(G$8,0),$F$11:$F$286,"kp."),
SUMIFS($E$11:$E$286,$D$11:$D$286,"&gt;="&amp;EOMONTH(G$8,-1)+1,$D$11:$D$286,"&lt;="&amp;EOMONTH(G$8,0),$F$11:$F$286,"bk"),
SUMIFS($E$11:$E$286,$D$11:$D$286,"&gt;="&amp;EOMONTH(G$8,-1)+1,$D$11:$D$286,"&lt;="&amp;EOMONTH(G$8,0),$F$11:$F$286,"bk."),
SUMIFS($E$11:$E$286,$D$11:$D$286,"&gt;="&amp;EOMONTH(G$8,-1)+1,$D$11:$D$286,"&lt;="&amp;EOMONTH(G$8,0),$F$11:$F$286,"mgc")
)</f>
        <v>0</v>
      </c>
      <c r="H4" s="14">
        <f>SUM(
SUMIFS($E$11:$E$286,$D$11:$D$286,"&gt;="&amp;EOMONTH(H$8,-1)+1,$D$11:$D$286,"&lt;="&amp;EOMONTH(H$8,0),$F$11:$F$286,"kp"),
SUMIFS($E$11:$E$286,$D$11:$D$286,"&gt;="&amp;EOMONTH(H$8,-1)+1,$D$11:$D$286,"&lt;="&amp;EOMONTH(H$8,0),$F$11:$F$286,"kp."),
SUMIFS($E$11:$E$286,$D$11:$D$286,"&gt;="&amp;EOMONTH(H$8,-1)+1,$D$11:$D$286,"&lt;="&amp;EOMONTH(H$8,0),$F$11:$F$286,"bk"),
SUMIFS($E$11:$E$286,$D$11:$D$286,"&gt;="&amp;EOMONTH(H$8,-1)+1,$D$11:$D$286,"&lt;="&amp;EOMONTH(H$8,0),$F$11:$F$286,"bk."),
SUMIFS($E$11:$E$286,$D$11:$D$286,"&gt;="&amp;EOMONTH(H$8,-1)+1,$D$11:$D$286,"&lt;="&amp;EOMONTH(H$8,0),$F$11:$F$286,"mgc")
)</f>
        <v>0</v>
      </c>
      <c r="I4" s="14">
        <f>SUM(
SUMIFS($E$11:$E$286,$D$11:$D$286,"&gt;="&amp;EOMONTH(I$8,-1)+1,$D$11:$D$286,"&lt;="&amp;EOMONTH(I$8,0),$F$11:$F$286,"kp"),
SUMIFS($E$11:$E$286,$D$11:$D$286,"&gt;="&amp;EOMONTH(I$8,-1)+1,$D$11:$D$286,"&lt;="&amp;EOMONTH(I$8,0),$F$11:$F$286,"kp."),
SUMIFS($E$11:$E$286,$D$11:$D$286,"&gt;="&amp;EOMONTH(I$8,-1)+1,$D$11:$D$286,"&lt;="&amp;EOMONTH(I$8,0),$F$11:$F$286,"bk"),
SUMIFS($E$11:$E$286,$D$11:$D$286,"&gt;="&amp;EOMONTH(I$8,-1)+1,$D$11:$D$286,"&lt;="&amp;EOMONTH(I$8,0),$F$11:$F$286,"bk."),
SUMIFS($E$11:$E$286,$D$11:$D$286,"&gt;="&amp;EOMONTH(I$8,-1)+1,$D$11:$D$286,"&lt;="&amp;EOMONTH(I$8,0),$F$11:$F$286,"mgc")
)</f>
        <v>0</v>
      </c>
      <c r="J4" s="14">
        <f>SUM(
SUMIFS($E$11:$E$286,$D$11:$D$286,"&gt;="&amp;EOMONTH(J$8,-1)+1,$D$11:$D$286,"&lt;="&amp;EOMONTH(J$8,0),$F$11:$F$286,"kp"),
SUMIFS($E$11:$E$286,$D$11:$D$286,"&gt;="&amp;EOMONTH(J$8,-1)+1,$D$11:$D$286,"&lt;="&amp;EOMONTH(J$8,0),$F$11:$F$286,"kp."),
SUMIFS($E$11:$E$286,$D$11:$D$286,"&gt;="&amp;EOMONTH(J$8,-1)+1,$D$11:$D$286,"&lt;="&amp;EOMONTH(J$8,0),$F$11:$F$286,"bk"),
SUMIFS($E$11:$E$286,$D$11:$D$286,"&gt;="&amp;EOMONTH(J$8,-1)+1,$D$11:$D$286,"&lt;="&amp;EOMONTH(J$8,0),$F$11:$F$286,"bk."),
SUMIFS($E$11:$E$286,$D$11:$D$286,"&gt;="&amp;EOMONTH(J$8,-1)+1,$D$11:$D$286,"&lt;="&amp;EOMONTH(J$8,0),$F$11:$F$286,"mgc")
)</f>
        <v>0</v>
      </c>
      <c r="K4" s="14">
        <f>SUM(
SUMIFS($E$11:$E$286,$D$11:$D$286,"&gt;="&amp;EOMONTH(K$8,-1)+1,$D$11:$D$286,"&lt;="&amp;EOMONTH(K$8,0),$F$11:$F$286,"kp"),
SUMIFS($E$11:$E$286,$D$11:$D$286,"&gt;="&amp;EOMONTH(K$8,-1)+1,$D$11:$D$286,"&lt;="&amp;EOMONTH(K$8,0),$F$11:$F$286,"kp."),
SUMIFS($E$11:$E$286,$D$11:$D$286,"&gt;="&amp;EOMONTH(K$8,-1)+1,$D$11:$D$286,"&lt;="&amp;EOMONTH(K$8,0),$F$11:$F$286,"bk"),
SUMIFS($E$11:$E$286,$D$11:$D$286,"&gt;="&amp;EOMONTH(K$8,-1)+1,$D$11:$D$286,"&lt;="&amp;EOMONTH(K$8,0),$F$11:$F$286,"bk."),
SUMIFS($E$11:$E$286,$D$11:$D$286,"&gt;="&amp;EOMONTH(K$8,-1)+1,$D$11:$D$286,"&lt;="&amp;EOMONTH(K$8,0),$F$11:$F$286,"mgc")
)</f>
        <v>0</v>
      </c>
      <c r="L4" s="14">
        <f>SUM(
SUMIFS($E$11:$E$286,$D$11:$D$286,"&gt;="&amp;EOMONTH(L$8,-1)+1,$D$11:$D$286,"&lt;="&amp;EOMONTH(L$8,0),$F$11:$F$286,"kp"),
SUMIFS($E$11:$E$286,$D$11:$D$286,"&gt;="&amp;EOMONTH(L$8,-1)+1,$D$11:$D$286,"&lt;="&amp;EOMONTH(L$8,0),$F$11:$F$286,"kp."),
SUMIFS($E$11:$E$286,$D$11:$D$286,"&gt;="&amp;EOMONTH(L$8,-1)+1,$D$11:$D$286,"&lt;="&amp;EOMONTH(L$8,0),$F$11:$F$286,"bk"),
SUMIFS($E$11:$E$286,$D$11:$D$286,"&gt;="&amp;EOMONTH(L$8,-1)+1,$D$11:$D$286,"&lt;="&amp;EOMONTH(L$8,0),$F$11:$F$286,"bk."),
SUMIFS($E$11:$E$286,$D$11:$D$286,"&gt;="&amp;EOMONTH(L$8,-1)+1,$D$11:$D$286,"&lt;="&amp;EOMONTH(L$8,0),$F$11:$F$286,"mgc")
)</f>
        <v>0</v>
      </c>
      <c r="M4" s="23"/>
      <c r="N4" s="2"/>
      <c r="O4" s="2"/>
      <c r="P4" s="2"/>
      <c r="Q4" s="2"/>
      <c r="R4" s="2"/>
    </row>
    <row r="5" spans="1:26">
      <c r="A5" s="33">
        <f>SUMIFS(E11:E731,D11:D731,"&gt;=2025.01.01",D11:D731,"&lt;=2025.01.31",A11:A731,"HELIT*",F11:F731,"kp") + SUMIFS(E11:E731,D11:D731,"&gt;=2025.01.01",D11:D731,"&lt;=2025.01.31",A11:A731,"HELIT*",F11:F731,"kp.") + SUMIFS(E11:E731,D11:D731,"&gt;=2025.01.01",D11:D731,"&lt;=2025.01.31",A11:A731,"HELIT*",F11:F731,"bk") + SUMIFS(E11:E731,D11:D731,"&gt;=2025.01.01",D11:D731,"&lt;=2025.01.31",A11:A731,"HELIT*",F11:F731,"bk.") + SUMIFS(E11:E731,D11:D731,"&gt;=2025.01.01",D11:D731,"&lt;=2025.01.31",A11:A731,"HELIT*",F11:F731,"bankkártya")</f>
        <v>0</v>
      </c>
      <c r="B5" s="33">
        <f>SUMIFS(E11:E2225,D11:D2225,"&gt;=2025.02.01",D11:D2225,"&lt;=2025.02.28",A11:A2225,"HELIT*",F11:F2225,"kp") + SUMIFS(E11:E2225,D11:D2225,"&gt;=2025.02.01",D11:D2225,"&lt;=2025.02.28",A11:A2225,"HELIT*",F11:F2225,"kp.") + SUMIFS(E11:E2225,D11:D2225,"&gt;=2025.02.01",D11:D2225,"&lt;=2025.02.28",A11:A2225,"HELIT*",F11:F2225,"bk") + SUMIFS(E11:E2225,D11:D2225,"&gt;=2025.02.01",D11:D2225,"&lt;=2025.02.28",A11:A2225,"HELIT*",F11:F2225,"bk.") + SUMIFS(E11:E2225,D11:D2225,"&gt;=2025.02.01",D11:D2225,"&lt;=2025.02.28",A11:A2225,"HELIT*",F11:F2225,"bankkártya")</f>
        <v>0</v>
      </c>
      <c r="C5" s="34">
        <f>SUMIFS(E11:E2170,D11:D2170,"&gt;=2025.03.01",D11:D2170,"&lt;=2025.03.31",A11:A2170,"HELIT*",F11:F2170,"kp") + SUMIFS(E11:E2170,D11:D2170,"&gt;=2025.03.01",D11:D2170,"&lt;=2025.03.31",A11:A2170,"HELIT*",F11:F2170,"kp.") + SUMIFS(E11:E2170,D11:D2170,"&gt;=2025.03.01",D11:D2170,"&lt;=2025.03.31",A11:A2170,"HELIT*",F11:F2170,"bk") + SUMIFS(E11:E2170,D11:D2170,"&gt;=2025.03.01",D11:D2170,"&lt;=2025.03.31",A11:A2170,"HELIT*",F11:F2170,"bk.") + SUMIFS(E11:E2170,D11:D2170,"&gt;=2025.03.01",D11:D2170,"&lt;=2025.03.31",A11:A2170,"HELIT*",F11:F2170,"bankkártya")</f>
        <v>0</v>
      </c>
      <c r="D5" s="34">
        <f>SUMIFS(E11:E2170,D11:D2170,"&gt;=2025.04.01",D11:D2170,"&lt;=2025.04.30",A11:A2170,"HELIT*",F11:F2170,"kp") + SUMIFS(E11:E2170,D11:D2170,"&gt;=2025.04.01",D11:D2170,"&lt;=2025.04.30",A11:A2170,"HELIT*",F11:F2170,"kp.") + SUMIFS(E11:E2170,D11:D2170,"&gt;=2025.04.01",D11:D2170,"&lt;=2025.04.30",A11:A2170,"HELIT*",F11:F2170,"bk") + SUMIFS(E11:E2170,D11:D2170,"&gt;=2025.04.01",D11:D2170,"&lt;=2025.04.30",A11:A2170,"HELIT*",F11:F2170,"bk.") + SUMIFS(E11:E2170,D11:D2170,"&gt;=2025.04.01",D11:D2170,"&lt;=2025.04.30",A11:A2170,"HELIT*",F11:F2170,"bankkártya")</f>
        <v>0</v>
      </c>
      <c r="E5" s="25"/>
      <c r="F5" s="24"/>
      <c r="G5" s="26"/>
      <c r="H5" s="27"/>
      <c r="I5" s="27"/>
      <c r="J5" s="27"/>
      <c r="K5" s="27"/>
      <c r="L5" s="27"/>
      <c r="M5" s="28"/>
      <c r="N5" s="2"/>
      <c r="O5" s="2"/>
      <c r="P5" s="2"/>
      <c r="Q5" s="2"/>
      <c r="R5" s="2"/>
    </row>
    <row r="6" spans="1:26">
      <c r="A6" s="1" t="s">
        <v>20</v>
      </c>
      <c r="B6" s="1"/>
      <c r="C6" s="1"/>
      <c r="D6" s="13"/>
      <c r="E6" s="14"/>
      <c r="F6" s="1"/>
      <c r="G6" s="3"/>
      <c r="M6" s="2"/>
      <c r="N6" s="2"/>
      <c r="O6" s="2"/>
      <c r="P6" s="2"/>
      <c r="Q6" s="2"/>
      <c r="R6" s="2"/>
    </row>
    <row r="7" spans="1:26" ht="15.75">
      <c r="A7" s="144" cm="1">
        <f t="array" ref="A7">SUM(SUMIFS($E$11:$E$2014,
$D$11:$D$2014,"&gt;="&amp;EOMONTH(A8,-1)+1,
$D$11:$D$2014,"&lt;="&amp;EOMONTH(A8,0),
$F$11:$F$2014,{"kp";"kp."}))</f>
        <v>29128</v>
      </c>
      <c r="B7" s="144" cm="1">
        <f t="array" ref="B7">SUM(SUMIFS($E$11:$E$2014,
$D$11:$D$2014,"&gt;="&amp;EOMONTH(B8,-1)+1,
$D$11:$D$2014,"&lt;="&amp;EOMONTH(B8,0),
$F$11:$F$2014,{"kp";"kp."}))</f>
        <v>11760</v>
      </c>
      <c r="C7" s="144" cm="1">
        <f t="array" ref="C7">SUM(SUMIFS($E$11:$E$2014,
$D$11:$D$2014,"&gt;="&amp;EOMONTH(C8,-1)+1,
$D$11:$D$2014,"&lt;="&amp;EOMONTH(C8,0),
$F$11:$F$2014,{"kp";"kp."}))</f>
        <v>8174</v>
      </c>
      <c r="D7" s="144" cm="1">
        <f t="array" ref="D7">SUM(SUMIFS($E$11:$E$2014,
$D$11:$D$2014,"&gt;="&amp;EOMONTH(D8,-1)+1,
$D$11:$D$2014,"&lt;="&amp;EOMONTH(D8,0),
$F$11:$F$2014,{"kp";"kp."}))</f>
        <v>0</v>
      </c>
      <c r="E7" s="144" cm="1">
        <f t="array" ref="E7">SUM(SUMIFS($E$11:$E$2014,
$D$11:$D$2014,"&gt;="&amp;EOMONTH(E8,-1)+1,
$D$11:$D$2014,"&lt;="&amp;EOMONTH(E8,0),
$F$11:$F$2014,{"kp";"kp."}))</f>
        <v>0</v>
      </c>
      <c r="F7" s="144" cm="1">
        <f t="array" ref="F7">SUM(SUMIFS($E$11:$E$2014,
$D$11:$D$2014,"&gt;="&amp;EOMONTH(F8,-1)+1,
$D$11:$D$2014,"&lt;="&amp;EOMONTH(F8,0),
$F$11:$F$2014,{"kp";"kp."}))</f>
        <v>0</v>
      </c>
      <c r="G7" s="144" cm="1">
        <f t="array" ref="G7">SUM(SUMIFS($E$11:$E$2014,
$D$11:$D$2014,"&gt;="&amp;EOMONTH(G8,-1)+1,
$D$11:$D$2014,"&lt;="&amp;EOMONTH(G8,0),
$F$11:$F$2014,{"kp";"kp."}))</f>
        <v>0</v>
      </c>
      <c r="H7" s="144" cm="1">
        <f t="array" ref="H7">SUM(SUMIFS($E$11:$E$2014,
$D$11:$D$2014,"&gt;="&amp;EOMONTH(H8,-1)+1,
$D$11:$D$2014,"&lt;="&amp;EOMONTH(H8,0),
$F$11:$F$2014,{"kp";"kp."}))</f>
        <v>0</v>
      </c>
      <c r="I7" s="144" cm="1">
        <f t="array" ref="I7">SUM(SUMIFS($E$11:$E$2014,
$D$11:$D$2014,"&gt;="&amp;EOMONTH(I8,-1)+1,
$D$11:$D$2014,"&lt;="&amp;EOMONTH(I8,0),
$F$11:$F$2014,{"kp";"kp."}))</f>
        <v>0</v>
      </c>
      <c r="J7" s="144" cm="1">
        <f t="array" ref="J7">SUM(SUMIFS($E$11:$E$2014,
$D$11:$D$2014,"&gt;="&amp;EOMONTH(J8,-1)+1,
$D$11:$D$2014,"&lt;="&amp;EOMONTH(J8,0),
$F$11:$F$2014,{"kp";"kp."}))</f>
        <v>0</v>
      </c>
      <c r="K7" s="144" cm="1">
        <f t="array" ref="K7">SUM(SUMIFS($E$11:$E$2014,
$D$11:$D$2014,"&gt;="&amp;EOMONTH(K8,-1)+1,
$D$11:$D$2014,"&lt;="&amp;EOMONTH(K8,0),
$F$11:$F$2014,{"kp";"kp."}))</f>
        <v>0</v>
      </c>
      <c r="L7" s="144" cm="1">
        <f t="array" ref="L7">SUM(SUMIFS($E$11:$E$2014,
$D$11:$D$2014,"&gt;="&amp;EOMONTH(L8,-1)+1,
$D$11:$D$2014,"&lt;="&amp;EOMONTH(L8,0),
$F$11:$F$2014,{"kp";"kp."}))</f>
        <v>0</v>
      </c>
      <c r="M7" s="2"/>
      <c r="N7" s="2"/>
      <c r="O7" s="2"/>
      <c r="P7" s="2"/>
      <c r="Q7" s="2"/>
      <c r="R7" s="2"/>
    </row>
    <row r="8" spans="1:26" ht="15.75">
      <c r="A8" s="40">
        <v>46037</v>
      </c>
      <c r="B8" s="40">
        <v>46068</v>
      </c>
      <c r="C8" s="40">
        <v>46096</v>
      </c>
      <c r="D8" s="40">
        <v>46127</v>
      </c>
      <c r="E8" s="40">
        <v>46157</v>
      </c>
      <c r="F8" s="40">
        <v>46188</v>
      </c>
      <c r="G8" s="40">
        <v>46218</v>
      </c>
      <c r="H8" s="40">
        <v>46249</v>
      </c>
      <c r="I8" s="40">
        <v>46280</v>
      </c>
      <c r="J8" s="40">
        <v>46310</v>
      </c>
      <c r="K8" s="40">
        <v>46341</v>
      </c>
      <c r="L8" s="40">
        <v>46371</v>
      </c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spans="1:26" ht="15.6" customHeight="1">
      <c r="A9" s="188" t="s">
        <v>21</v>
      </c>
      <c r="B9" s="188"/>
      <c r="C9" s="188"/>
      <c r="D9" s="188"/>
      <c r="E9" s="188"/>
      <c r="F9" s="188"/>
      <c r="G9" s="188"/>
      <c r="M9" s="2"/>
      <c r="N9" s="2"/>
      <c r="O9" s="2"/>
      <c r="P9" s="2"/>
      <c r="Q9" s="2"/>
      <c r="R9" s="2"/>
    </row>
    <row r="10" spans="1:26" ht="15.6" customHeight="1">
      <c r="A10" s="189" t="s">
        <v>22</v>
      </c>
      <c r="B10" s="189"/>
      <c r="C10" s="189"/>
      <c r="D10" s="189"/>
      <c r="E10" s="189"/>
      <c r="F10" s="189"/>
      <c r="G10" s="189"/>
      <c r="M10" s="2"/>
      <c r="N10" s="2"/>
      <c r="O10" s="2"/>
      <c r="P10" s="2"/>
      <c r="Q10" s="2"/>
      <c r="R10" s="2"/>
    </row>
    <row r="11" spans="1:26" ht="15.6" customHeight="1">
      <c r="A11" s="99" t="s">
        <v>176</v>
      </c>
      <c r="B11" s="84">
        <v>617000692</v>
      </c>
      <c r="C11" s="5"/>
      <c r="D11" s="6">
        <v>46027</v>
      </c>
      <c r="E11" s="10">
        <v>220448</v>
      </c>
      <c r="F11" s="5" t="s">
        <v>177</v>
      </c>
      <c r="G11" s="5"/>
      <c r="M11" s="2"/>
      <c r="N11" s="2"/>
      <c r="O11" s="2"/>
      <c r="P11" s="2"/>
      <c r="Q11" s="2"/>
      <c r="R11" s="2"/>
    </row>
    <row r="12" spans="1:26" ht="15.75" customHeight="1">
      <c r="A12" s="99" t="s">
        <v>176</v>
      </c>
      <c r="B12" s="84">
        <v>617001601</v>
      </c>
      <c r="C12" s="5"/>
      <c r="D12" s="6">
        <v>46028</v>
      </c>
      <c r="E12" s="10">
        <v>65849</v>
      </c>
      <c r="F12" s="5" t="s">
        <v>177</v>
      </c>
      <c r="G12" s="5"/>
      <c r="M12" s="2"/>
      <c r="N12" s="2"/>
      <c r="O12" s="2"/>
      <c r="P12" s="2"/>
      <c r="Q12" s="2"/>
      <c r="R12" s="2"/>
    </row>
    <row r="13" spans="1:26" ht="15.6" customHeight="1">
      <c r="A13" s="99" t="s">
        <v>176</v>
      </c>
      <c r="B13" s="84">
        <v>261800047</v>
      </c>
      <c r="C13" s="5"/>
      <c r="D13" s="6">
        <v>46027</v>
      </c>
      <c r="E13" s="10">
        <v>-15806</v>
      </c>
      <c r="F13" s="5" t="s">
        <v>177</v>
      </c>
      <c r="G13" s="5" t="s">
        <v>178</v>
      </c>
      <c r="M13" s="2"/>
      <c r="N13" s="2"/>
      <c r="O13" s="2"/>
      <c r="P13" s="2"/>
      <c r="Q13" s="2"/>
      <c r="R13" s="2"/>
    </row>
    <row r="14" spans="1:26" ht="15.6" customHeight="1">
      <c r="A14" s="99" t="s">
        <v>176</v>
      </c>
      <c r="B14" s="84">
        <v>617002399</v>
      </c>
      <c r="C14" s="5"/>
      <c r="D14" s="6">
        <v>46029</v>
      </c>
      <c r="E14" s="10">
        <v>150527</v>
      </c>
      <c r="F14" s="5" t="s">
        <v>177</v>
      </c>
      <c r="G14" s="5" t="s">
        <v>179</v>
      </c>
      <c r="M14" s="2"/>
      <c r="N14" s="2"/>
      <c r="O14" s="2"/>
      <c r="P14" s="2"/>
      <c r="Q14" s="2"/>
      <c r="R14" s="2"/>
    </row>
    <row r="15" spans="1:26" ht="15.6" customHeight="1">
      <c r="A15" s="99" t="s">
        <v>176</v>
      </c>
      <c r="B15" s="84">
        <v>617004301</v>
      </c>
      <c r="C15" s="5"/>
      <c r="D15" s="6">
        <v>46034</v>
      </c>
      <c r="E15" s="10">
        <v>203616</v>
      </c>
      <c r="F15" s="5" t="s">
        <v>177</v>
      </c>
      <c r="G15" s="5"/>
      <c r="M15" s="2"/>
      <c r="N15" s="2"/>
      <c r="O15" s="2"/>
      <c r="P15" s="2"/>
      <c r="Q15" s="2"/>
      <c r="R15" s="2"/>
    </row>
    <row r="16" spans="1:26" ht="15.6" customHeight="1">
      <c r="A16" s="99" t="s">
        <v>176</v>
      </c>
      <c r="B16" s="84">
        <v>617005807</v>
      </c>
      <c r="C16" s="5"/>
      <c r="D16" s="6">
        <v>46036</v>
      </c>
      <c r="E16" s="10">
        <v>162211</v>
      </c>
      <c r="F16" s="5" t="s">
        <v>177</v>
      </c>
      <c r="G16" s="5"/>
      <c r="M16" s="2"/>
      <c r="N16" s="2"/>
      <c r="O16" s="2"/>
      <c r="P16" s="2"/>
      <c r="Q16" s="2"/>
      <c r="R16" s="2"/>
    </row>
    <row r="17" spans="1:18" ht="15.6" customHeight="1">
      <c r="A17" s="99" t="s">
        <v>176</v>
      </c>
      <c r="B17" s="84">
        <v>261800341</v>
      </c>
      <c r="C17" s="5"/>
      <c r="D17" s="6">
        <v>46036</v>
      </c>
      <c r="E17" s="10">
        <v>-6396</v>
      </c>
      <c r="F17" s="5" t="s">
        <v>177</v>
      </c>
      <c r="G17" s="5" t="s">
        <v>178</v>
      </c>
      <c r="M17" s="2"/>
      <c r="N17" s="2"/>
      <c r="O17" s="2"/>
      <c r="P17" s="2"/>
      <c r="Q17" s="2"/>
      <c r="R17" s="2"/>
    </row>
    <row r="18" spans="1:18" ht="15.6" customHeight="1">
      <c r="A18" s="99" t="s">
        <v>176</v>
      </c>
      <c r="B18" s="84">
        <v>617008179</v>
      </c>
      <c r="C18" s="5"/>
      <c r="D18" s="6">
        <v>46041</v>
      </c>
      <c r="E18" s="10">
        <v>145380</v>
      </c>
      <c r="F18" s="5" t="s">
        <v>177</v>
      </c>
      <c r="G18" s="5"/>
      <c r="M18" s="2"/>
      <c r="N18" s="2"/>
      <c r="O18" s="2"/>
      <c r="P18" s="2"/>
      <c r="Q18" s="2"/>
      <c r="R18" s="2"/>
    </row>
    <row r="19" spans="1:18" ht="15.6" customHeight="1">
      <c r="A19" s="99" t="s">
        <v>176</v>
      </c>
      <c r="B19" s="84">
        <v>617009437</v>
      </c>
      <c r="C19" s="5"/>
      <c r="D19" s="6">
        <v>46043</v>
      </c>
      <c r="E19" s="10">
        <v>147403</v>
      </c>
      <c r="F19" s="5" t="s">
        <v>177</v>
      </c>
      <c r="G19" s="5"/>
      <c r="M19" s="2"/>
      <c r="N19" s="2"/>
      <c r="O19" s="2"/>
      <c r="P19" s="2"/>
      <c r="Q19" s="2"/>
      <c r="R19" s="2"/>
    </row>
    <row r="20" spans="1:18" ht="15.6" customHeight="1">
      <c r="A20" s="99" t="s">
        <v>176</v>
      </c>
      <c r="B20" s="84">
        <v>617011712</v>
      </c>
      <c r="C20" s="5"/>
      <c r="D20" s="6">
        <v>46048</v>
      </c>
      <c r="E20" s="10">
        <v>109746</v>
      </c>
      <c r="F20" s="5" t="s">
        <v>177</v>
      </c>
      <c r="G20" s="5"/>
      <c r="M20" s="2"/>
      <c r="N20" s="2"/>
      <c r="O20" s="2"/>
      <c r="P20" s="2"/>
      <c r="Q20" s="2"/>
      <c r="R20" s="2"/>
    </row>
    <row r="21" spans="1:18" ht="15.6" customHeight="1">
      <c r="A21" s="99" t="s">
        <v>176</v>
      </c>
      <c r="B21" s="84">
        <v>261800666</v>
      </c>
      <c r="C21" s="5"/>
      <c r="D21" s="6">
        <v>46048</v>
      </c>
      <c r="E21" s="10">
        <v>-10143</v>
      </c>
      <c r="F21" s="5" t="s">
        <v>177</v>
      </c>
      <c r="G21" s="5" t="s">
        <v>178</v>
      </c>
      <c r="M21" s="2"/>
      <c r="N21" s="2"/>
      <c r="O21" s="2"/>
      <c r="P21" s="2"/>
      <c r="Q21" s="2"/>
      <c r="R21" s="2"/>
    </row>
    <row r="22" spans="1:18" ht="15.6" customHeight="1">
      <c r="A22" s="99" t="s">
        <v>176</v>
      </c>
      <c r="B22" s="84">
        <v>617012906</v>
      </c>
      <c r="C22" s="5"/>
      <c r="D22" s="6">
        <v>46050</v>
      </c>
      <c r="E22" s="10">
        <v>166856</v>
      </c>
      <c r="F22" s="5" t="s">
        <v>177</v>
      </c>
      <c r="G22" s="5"/>
      <c r="M22" s="2"/>
      <c r="N22" s="2"/>
      <c r="O22" s="2"/>
      <c r="P22" s="2"/>
      <c r="Q22" s="2"/>
      <c r="R22" s="2"/>
    </row>
    <row r="23" spans="1:18" ht="15.6" customHeight="1">
      <c r="A23" s="99" t="s">
        <v>180</v>
      </c>
      <c r="B23" s="84" t="s">
        <v>181</v>
      </c>
      <c r="C23" s="5"/>
      <c r="D23" s="6">
        <v>46026</v>
      </c>
      <c r="E23" s="10">
        <v>3285</v>
      </c>
      <c r="F23" s="5" t="s">
        <v>182</v>
      </c>
      <c r="G23" s="5" t="s">
        <v>183</v>
      </c>
      <c r="M23" s="2"/>
      <c r="N23" s="2"/>
      <c r="O23" s="2"/>
      <c r="P23" s="2"/>
      <c r="Q23" s="2"/>
      <c r="R23" s="2"/>
    </row>
    <row r="24" spans="1:18" ht="15.6" customHeight="1">
      <c r="A24" s="99" t="s">
        <v>180</v>
      </c>
      <c r="B24" s="84" t="s">
        <v>184</v>
      </c>
      <c r="C24" s="5"/>
      <c r="D24" s="6">
        <v>46033</v>
      </c>
      <c r="E24" s="10">
        <v>12851</v>
      </c>
      <c r="F24" s="5" t="s">
        <v>182</v>
      </c>
      <c r="G24" s="5" t="s">
        <v>185</v>
      </c>
      <c r="M24" s="2"/>
      <c r="N24" s="2"/>
      <c r="O24" s="2"/>
      <c r="P24" s="2"/>
      <c r="Q24" s="2"/>
      <c r="R24" s="2"/>
    </row>
    <row r="25" spans="1:18" ht="15.6" customHeight="1">
      <c r="A25" s="99" t="s">
        <v>180</v>
      </c>
      <c r="B25" s="84" t="s">
        <v>186</v>
      </c>
      <c r="C25" s="5"/>
      <c r="D25" s="6">
        <v>46040</v>
      </c>
      <c r="E25" s="10">
        <v>4545</v>
      </c>
      <c r="F25" s="5" t="s">
        <v>182</v>
      </c>
      <c r="G25" s="5" t="s">
        <v>187</v>
      </c>
      <c r="M25" s="2"/>
      <c r="N25" s="2"/>
      <c r="O25" s="2"/>
      <c r="P25" s="2"/>
      <c r="Q25" s="2"/>
      <c r="R25" s="2"/>
    </row>
    <row r="26" spans="1:18" ht="15.6" customHeight="1">
      <c r="A26" s="99" t="s">
        <v>188</v>
      </c>
      <c r="B26" s="84" t="s">
        <v>189</v>
      </c>
      <c r="C26" s="5"/>
      <c r="D26" s="6">
        <v>46037</v>
      </c>
      <c r="E26" s="10">
        <v>8447</v>
      </c>
      <c r="F26" s="5" t="s">
        <v>182</v>
      </c>
      <c r="G26" s="5" t="s">
        <v>190</v>
      </c>
      <c r="M26" s="2"/>
      <c r="N26" s="2"/>
      <c r="O26" s="2"/>
      <c r="P26" s="2"/>
      <c r="Q26" s="2"/>
      <c r="R26" s="2"/>
    </row>
    <row r="27" spans="1:18" ht="15.6" customHeight="1">
      <c r="A27" s="83"/>
      <c r="B27" s="5"/>
      <c r="C27" s="5"/>
      <c r="D27" s="6"/>
      <c r="E27" s="90">
        <f>SUM(E11:E26)</f>
        <v>1368819</v>
      </c>
      <c r="F27" s="5"/>
      <c r="M27" s="2"/>
      <c r="N27" s="2"/>
      <c r="O27" s="2"/>
      <c r="P27" s="2"/>
      <c r="Q27" s="2"/>
      <c r="R27" s="2"/>
    </row>
    <row r="28" spans="1:18" ht="15.6" customHeight="1">
      <c r="A28" s="188" t="s">
        <v>21</v>
      </c>
      <c r="B28" s="188"/>
      <c r="C28" s="188"/>
      <c r="D28" s="188"/>
      <c r="E28" s="188"/>
      <c r="F28" s="188"/>
      <c r="G28" s="188"/>
      <c r="M28" s="2"/>
      <c r="N28" s="2"/>
      <c r="O28" s="2"/>
      <c r="P28" s="2"/>
      <c r="Q28" s="2"/>
      <c r="R28" s="2"/>
    </row>
    <row r="29" spans="1:18" ht="15.6" customHeight="1">
      <c r="A29" s="189" t="s">
        <v>43</v>
      </c>
      <c r="B29" s="189"/>
      <c r="C29" s="189"/>
      <c r="D29" s="189"/>
      <c r="E29" s="189"/>
      <c r="F29" s="189"/>
      <c r="G29" s="189"/>
      <c r="M29" s="2"/>
      <c r="N29" s="2"/>
      <c r="O29" s="2"/>
      <c r="P29" s="2"/>
      <c r="Q29" s="2"/>
      <c r="R29" s="2"/>
    </row>
    <row r="30" spans="1:18" ht="15.6" customHeight="1">
      <c r="A30" s="99" t="s">
        <v>191</v>
      </c>
      <c r="B30" s="5" t="s">
        <v>192</v>
      </c>
      <c r="C30" s="5"/>
      <c r="D30" s="6">
        <v>46027</v>
      </c>
      <c r="E30" s="10">
        <v>55777</v>
      </c>
      <c r="F30" s="6">
        <v>46035</v>
      </c>
      <c r="G30" s="5" t="s">
        <v>193</v>
      </c>
      <c r="M30" s="2"/>
      <c r="N30" s="2"/>
      <c r="O30" s="2"/>
      <c r="P30" s="2"/>
      <c r="Q30" s="2"/>
      <c r="R30" s="2"/>
    </row>
    <row r="31" spans="1:18" ht="15.6" customHeight="1">
      <c r="A31" s="99" t="s">
        <v>191</v>
      </c>
      <c r="B31" s="5" t="s">
        <v>194</v>
      </c>
      <c r="C31" s="5"/>
      <c r="D31" s="6">
        <v>46034</v>
      </c>
      <c r="E31" s="10">
        <v>53682</v>
      </c>
      <c r="F31" s="6">
        <v>46042</v>
      </c>
      <c r="G31" s="5" t="s">
        <v>193</v>
      </c>
      <c r="M31" s="2"/>
      <c r="N31" s="2"/>
      <c r="O31" s="2"/>
      <c r="P31" s="2"/>
      <c r="Q31" s="2"/>
      <c r="R31" s="2"/>
    </row>
    <row r="32" spans="1:18" ht="15.6" customHeight="1">
      <c r="A32" s="99" t="s">
        <v>191</v>
      </c>
      <c r="B32" s="5" t="s">
        <v>195</v>
      </c>
      <c r="C32" s="5"/>
      <c r="D32" s="6">
        <v>46038</v>
      </c>
      <c r="E32" s="10">
        <v>9271</v>
      </c>
      <c r="F32" s="6">
        <v>46049</v>
      </c>
      <c r="G32" s="5" t="s">
        <v>193</v>
      </c>
      <c r="M32" s="2"/>
      <c r="N32" s="2"/>
      <c r="O32" s="2"/>
      <c r="P32" s="2"/>
      <c r="Q32" s="2"/>
      <c r="R32" s="2"/>
    </row>
    <row r="33" spans="1:18" ht="15.6" customHeight="1">
      <c r="A33" s="99" t="s">
        <v>191</v>
      </c>
      <c r="B33" s="5" t="s">
        <v>196</v>
      </c>
      <c r="C33" s="5"/>
      <c r="D33" s="6">
        <v>46038</v>
      </c>
      <c r="E33" s="10">
        <v>41194</v>
      </c>
      <c r="F33" s="6">
        <v>46049</v>
      </c>
      <c r="G33" s="5" t="s">
        <v>193</v>
      </c>
      <c r="M33" s="2"/>
      <c r="N33" s="2"/>
      <c r="O33" s="2"/>
      <c r="P33" s="2"/>
      <c r="Q33" s="2"/>
      <c r="R33" s="2"/>
    </row>
    <row r="34" spans="1:18" ht="15.6" customHeight="1">
      <c r="A34" s="99" t="s">
        <v>191</v>
      </c>
      <c r="B34" s="5" t="s">
        <v>197</v>
      </c>
      <c r="C34" s="5"/>
      <c r="D34" s="6">
        <v>46048</v>
      </c>
      <c r="E34" s="10">
        <v>49796</v>
      </c>
      <c r="F34" s="6">
        <v>46056</v>
      </c>
      <c r="G34" s="5" t="s">
        <v>193</v>
      </c>
      <c r="M34" s="2"/>
      <c r="N34" s="2"/>
      <c r="O34" s="2"/>
      <c r="P34" s="2"/>
      <c r="Q34" s="2"/>
      <c r="R34" s="2"/>
    </row>
    <row r="35" spans="1:18" ht="28.5" customHeight="1">
      <c r="A35" s="100" t="s">
        <v>198</v>
      </c>
      <c r="B35" s="101" t="s">
        <v>199</v>
      </c>
      <c r="C35" s="102" t="s">
        <v>200</v>
      </c>
      <c r="D35" s="6">
        <v>46033</v>
      </c>
      <c r="E35" s="10">
        <v>110145</v>
      </c>
      <c r="F35" s="6">
        <v>46038</v>
      </c>
      <c r="G35" s="5" t="s">
        <v>193</v>
      </c>
      <c r="M35" s="2"/>
      <c r="N35" s="2"/>
      <c r="O35" s="2"/>
      <c r="P35" s="2"/>
      <c r="Q35" s="2"/>
      <c r="R35" s="2"/>
    </row>
    <row r="36" spans="1:18" ht="15.6" customHeight="1">
      <c r="A36" s="100" t="s">
        <v>198</v>
      </c>
      <c r="B36" s="5" t="s">
        <v>201</v>
      </c>
      <c r="C36" s="5" t="s">
        <v>202</v>
      </c>
      <c r="D36" s="6">
        <v>46040</v>
      </c>
      <c r="E36" s="10">
        <v>71628</v>
      </c>
      <c r="F36" s="6">
        <v>46045</v>
      </c>
      <c r="G36" s="5" t="s">
        <v>193</v>
      </c>
      <c r="M36" s="2"/>
      <c r="N36" s="2"/>
      <c r="O36" s="2"/>
      <c r="P36" s="2"/>
      <c r="Q36" s="2"/>
      <c r="R36" s="2"/>
    </row>
    <row r="37" spans="1:18" ht="15.6" customHeight="1">
      <c r="A37" s="100" t="s">
        <v>198</v>
      </c>
      <c r="B37" s="5" t="s">
        <v>203</v>
      </c>
      <c r="C37" s="5" t="s">
        <v>204</v>
      </c>
      <c r="D37" s="6">
        <v>46048</v>
      </c>
      <c r="E37" s="10">
        <v>71821</v>
      </c>
      <c r="F37" s="6">
        <v>46053</v>
      </c>
      <c r="G37" s="5" t="s">
        <v>193</v>
      </c>
      <c r="M37" s="2"/>
      <c r="N37" s="2"/>
      <c r="O37" s="2"/>
      <c r="P37" s="2"/>
      <c r="Q37" s="2"/>
      <c r="R37" s="2"/>
    </row>
    <row r="38" spans="1:18" ht="15.6" customHeight="1">
      <c r="A38" s="100" t="s">
        <v>198</v>
      </c>
      <c r="B38" s="5" t="s">
        <v>205</v>
      </c>
      <c r="C38" s="43" t="s">
        <v>206</v>
      </c>
      <c r="D38" s="6">
        <v>46052</v>
      </c>
      <c r="E38" s="10">
        <v>36491</v>
      </c>
      <c r="F38" s="6">
        <v>46057</v>
      </c>
      <c r="G38" s="5" t="s">
        <v>193</v>
      </c>
      <c r="M38" s="2"/>
      <c r="N38" s="2"/>
      <c r="O38" s="2"/>
      <c r="P38" s="2"/>
      <c r="Q38" s="2"/>
      <c r="R38" s="2"/>
    </row>
    <row r="39" spans="1:18" ht="15.6" customHeight="1">
      <c r="A39" s="99" t="s">
        <v>207</v>
      </c>
      <c r="B39" s="5">
        <v>610700008</v>
      </c>
      <c r="C39" s="5">
        <v>150303419</v>
      </c>
      <c r="D39" s="6">
        <v>46027</v>
      </c>
      <c r="E39" s="10">
        <v>23994</v>
      </c>
      <c r="F39" s="6">
        <v>46037</v>
      </c>
      <c r="G39" s="5" t="s">
        <v>193</v>
      </c>
      <c r="M39" s="2"/>
      <c r="N39" s="2"/>
      <c r="O39" s="2"/>
      <c r="P39" s="2"/>
      <c r="Q39" s="2"/>
      <c r="R39" s="2"/>
    </row>
    <row r="40" spans="1:18" ht="15.6" customHeight="1">
      <c r="A40" s="99" t="s">
        <v>207</v>
      </c>
      <c r="B40" s="5">
        <v>610700206</v>
      </c>
      <c r="C40" s="5">
        <v>610400358</v>
      </c>
      <c r="D40" s="6">
        <v>46034</v>
      </c>
      <c r="E40" s="10">
        <v>18279</v>
      </c>
      <c r="F40" s="6">
        <v>46044</v>
      </c>
      <c r="G40" s="5" t="s">
        <v>193</v>
      </c>
      <c r="M40" s="2"/>
      <c r="N40" s="2"/>
      <c r="O40" s="2"/>
      <c r="P40" s="2"/>
      <c r="Q40" s="2"/>
      <c r="R40" s="2"/>
    </row>
    <row r="41" spans="1:18" ht="15.6" customHeight="1">
      <c r="A41" s="99" t="s">
        <v>207</v>
      </c>
      <c r="B41" s="5">
        <v>610700396</v>
      </c>
      <c r="C41" s="5">
        <v>610400663</v>
      </c>
      <c r="D41" s="6">
        <v>46041</v>
      </c>
      <c r="E41" s="10">
        <v>38868</v>
      </c>
      <c r="F41" s="6">
        <v>46051</v>
      </c>
      <c r="G41" s="5" t="s">
        <v>193</v>
      </c>
      <c r="M41" s="2"/>
      <c r="N41" s="2"/>
      <c r="O41" s="2"/>
      <c r="P41" s="2"/>
      <c r="Q41" s="2"/>
      <c r="R41" s="2"/>
    </row>
    <row r="42" spans="1:18" ht="15.6" customHeight="1">
      <c r="A42" s="99" t="s">
        <v>207</v>
      </c>
      <c r="B42" s="5">
        <v>610700580</v>
      </c>
      <c r="C42" s="5"/>
      <c r="D42" s="6">
        <v>46048</v>
      </c>
      <c r="E42" s="10">
        <v>21568</v>
      </c>
      <c r="F42" s="6">
        <v>46058</v>
      </c>
      <c r="G42" s="5" t="s">
        <v>193</v>
      </c>
      <c r="M42" s="2"/>
      <c r="N42" s="2"/>
      <c r="O42" s="2"/>
      <c r="P42" s="2"/>
      <c r="Q42" s="2"/>
      <c r="R42" s="2"/>
    </row>
    <row r="43" spans="1:18" ht="15.6" customHeight="1">
      <c r="A43" s="99" t="s">
        <v>208</v>
      </c>
      <c r="B43" s="5" t="s">
        <v>209</v>
      </c>
      <c r="C43" s="5" t="s">
        <v>210</v>
      </c>
      <c r="D43" s="6">
        <v>46029</v>
      </c>
      <c r="E43" s="10">
        <v>79816</v>
      </c>
      <c r="F43" s="6">
        <v>46037</v>
      </c>
      <c r="G43" s="5" t="s">
        <v>193</v>
      </c>
      <c r="M43" s="2"/>
      <c r="N43" s="2"/>
      <c r="O43" s="2"/>
      <c r="P43" s="2"/>
      <c r="Q43" s="2"/>
      <c r="R43" s="2"/>
    </row>
    <row r="44" spans="1:18" ht="15.6" customHeight="1">
      <c r="A44" s="99" t="s">
        <v>208</v>
      </c>
      <c r="B44" s="5" t="s">
        <v>211</v>
      </c>
      <c r="C44" s="5" t="s">
        <v>212</v>
      </c>
      <c r="D44" s="6">
        <v>46036</v>
      </c>
      <c r="E44" s="10">
        <v>58968</v>
      </c>
      <c r="F44" s="6">
        <v>46044</v>
      </c>
      <c r="G44" s="5" t="s">
        <v>193</v>
      </c>
      <c r="M44" s="2"/>
      <c r="N44" s="2"/>
      <c r="O44" s="2"/>
      <c r="P44" s="2"/>
      <c r="Q44" s="2"/>
      <c r="R44" s="2"/>
    </row>
    <row r="45" spans="1:18" ht="15.6" customHeight="1">
      <c r="A45" s="99" t="s">
        <v>208</v>
      </c>
      <c r="B45" s="5" t="s">
        <v>213</v>
      </c>
      <c r="C45" s="5" t="s">
        <v>214</v>
      </c>
      <c r="D45" s="6">
        <v>46043</v>
      </c>
      <c r="E45" s="10">
        <v>73477</v>
      </c>
      <c r="F45" s="6">
        <v>46051</v>
      </c>
      <c r="G45" s="5" t="s">
        <v>193</v>
      </c>
      <c r="M45" s="2"/>
      <c r="N45" s="2"/>
      <c r="O45" s="2"/>
      <c r="P45" s="2"/>
      <c r="Q45" s="2"/>
      <c r="R45" s="2"/>
    </row>
    <row r="46" spans="1:18" ht="15.6" customHeight="1">
      <c r="A46" s="99" t="s">
        <v>215</v>
      </c>
      <c r="B46" s="5">
        <v>1604839658</v>
      </c>
      <c r="C46" s="5">
        <v>8929579260</v>
      </c>
      <c r="D46" s="6">
        <v>46029</v>
      </c>
      <c r="E46" s="10">
        <v>189532</v>
      </c>
      <c r="F46" s="6">
        <v>46043</v>
      </c>
      <c r="G46" s="5" t="s">
        <v>193</v>
      </c>
      <c r="M46" s="2"/>
      <c r="N46" s="2"/>
      <c r="O46" s="2"/>
      <c r="P46" s="2"/>
      <c r="Q46" s="2"/>
      <c r="R46" s="2"/>
    </row>
    <row r="47" spans="1:18" ht="15.6" customHeight="1">
      <c r="A47" s="99" t="s">
        <v>216</v>
      </c>
      <c r="B47" s="5">
        <v>702589428</v>
      </c>
      <c r="C47" s="103" t="s">
        <v>217</v>
      </c>
      <c r="D47" s="6">
        <v>46028</v>
      </c>
      <c r="E47" s="10">
        <v>119697</v>
      </c>
      <c r="F47" s="6">
        <v>46055</v>
      </c>
      <c r="G47" s="5" t="s">
        <v>193</v>
      </c>
      <c r="M47" s="2"/>
      <c r="N47" s="2"/>
      <c r="O47" s="2"/>
      <c r="P47" s="2"/>
      <c r="Q47" s="2"/>
      <c r="R47" s="2"/>
    </row>
    <row r="48" spans="1:18" ht="15.6" customHeight="1">
      <c r="A48" s="99" t="s">
        <v>216</v>
      </c>
      <c r="B48" s="5">
        <v>702592589</v>
      </c>
      <c r="C48" s="5">
        <v>962448285</v>
      </c>
      <c r="D48" s="6">
        <v>46045</v>
      </c>
      <c r="E48" s="10">
        <v>79512</v>
      </c>
      <c r="F48" s="6">
        <v>46069</v>
      </c>
      <c r="G48" s="5" t="s">
        <v>193</v>
      </c>
      <c r="M48" s="2"/>
      <c r="N48" s="2"/>
      <c r="O48" s="2"/>
      <c r="P48" s="2"/>
      <c r="Q48" s="2"/>
      <c r="R48" s="2"/>
    </row>
    <row r="49" spans="1:18" ht="15.6" customHeight="1">
      <c r="A49" s="99" t="s">
        <v>218</v>
      </c>
      <c r="B49" s="5" t="s">
        <v>219</v>
      </c>
      <c r="C49" s="5"/>
      <c r="D49" s="6">
        <v>46034</v>
      </c>
      <c r="E49" s="10">
        <v>81369</v>
      </c>
      <c r="F49" s="6">
        <v>46042</v>
      </c>
      <c r="G49" s="5" t="s">
        <v>193</v>
      </c>
      <c r="M49" s="2"/>
      <c r="N49" s="2"/>
      <c r="O49" s="2"/>
      <c r="P49" s="2"/>
      <c r="Q49" s="2"/>
      <c r="R49" s="2"/>
    </row>
    <row r="50" spans="1:18" ht="15.6" customHeight="1">
      <c r="A50" s="99" t="s">
        <v>220</v>
      </c>
      <c r="B50" s="5" t="s">
        <v>221</v>
      </c>
      <c r="C50" s="5"/>
      <c r="D50" s="6">
        <v>46035</v>
      </c>
      <c r="E50" s="10">
        <v>35535</v>
      </c>
      <c r="F50" s="6">
        <v>46043</v>
      </c>
      <c r="G50" s="5" t="s">
        <v>193</v>
      </c>
      <c r="M50" s="2"/>
      <c r="N50" s="2"/>
      <c r="O50" s="2"/>
      <c r="P50" s="2"/>
      <c r="Q50" s="2"/>
      <c r="R50" s="2"/>
    </row>
    <row r="51" spans="1:18" ht="15.6" customHeight="1">
      <c r="A51" s="99" t="s">
        <v>220</v>
      </c>
      <c r="B51" s="5" t="s">
        <v>222</v>
      </c>
      <c r="C51" s="5"/>
      <c r="D51" s="6">
        <v>46038</v>
      </c>
      <c r="E51" s="10">
        <v>108191</v>
      </c>
      <c r="F51" s="6">
        <v>46046</v>
      </c>
      <c r="G51" s="5" t="s">
        <v>193</v>
      </c>
      <c r="M51" s="2"/>
      <c r="N51" s="2"/>
      <c r="O51" s="2"/>
      <c r="P51" s="2"/>
      <c r="Q51" s="2"/>
      <c r="R51" s="2"/>
    </row>
    <row r="52" spans="1:18" ht="15.6" customHeight="1">
      <c r="A52" s="99" t="s">
        <v>223</v>
      </c>
      <c r="B52" s="5" t="s">
        <v>224</v>
      </c>
      <c r="C52" s="5"/>
      <c r="D52" s="6">
        <v>46036</v>
      </c>
      <c r="E52" s="10">
        <v>63120</v>
      </c>
      <c r="F52" s="6">
        <v>46044</v>
      </c>
      <c r="G52" s="5" t="s">
        <v>193</v>
      </c>
      <c r="M52" s="2"/>
      <c r="N52" s="2"/>
      <c r="O52" s="2"/>
      <c r="P52" s="2"/>
      <c r="Q52" s="2"/>
      <c r="R52" s="2"/>
    </row>
    <row r="53" spans="1:18" ht="15.6" customHeight="1">
      <c r="A53" s="99" t="s">
        <v>225</v>
      </c>
      <c r="B53" s="5" t="s">
        <v>226</v>
      </c>
      <c r="C53" s="5"/>
      <c r="D53" s="6">
        <v>46035</v>
      </c>
      <c r="E53" s="10">
        <v>5715</v>
      </c>
      <c r="F53" s="6">
        <v>46050</v>
      </c>
      <c r="G53" s="5" t="s">
        <v>193</v>
      </c>
      <c r="M53" s="2"/>
      <c r="N53" s="2"/>
      <c r="O53" s="2"/>
      <c r="P53" s="2"/>
      <c r="Q53" s="2"/>
      <c r="R53" s="2"/>
    </row>
    <row r="54" spans="1:18" ht="15.6" customHeight="1">
      <c r="A54" s="99" t="s">
        <v>227</v>
      </c>
      <c r="B54" s="5" t="s">
        <v>228</v>
      </c>
      <c r="C54" s="5"/>
      <c r="D54" s="6">
        <v>46038</v>
      </c>
      <c r="E54" s="10">
        <v>60281</v>
      </c>
      <c r="F54" s="6">
        <v>46046</v>
      </c>
      <c r="G54" s="5" t="s">
        <v>193</v>
      </c>
      <c r="M54" s="2"/>
      <c r="N54" s="2"/>
      <c r="O54" s="2"/>
      <c r="P54" s="2"/>
      <c r="Q54" s="2"/>
      <c r="R54" s="2"/>
    </row>
    <row r="55" spans="1:18" ht="15.6" customHeight="1">
      <c r="A55" s="83"/>
      <c r="D55" s="41"/>
      <c r="E55" s="90">
        <f>SUM(E30:E54)</f>
        <v>1557727</v>
      </c>
      <c r="F55" s="41"/>
      <c r="M55" s="2"/>
      <c r="N55" s="2"/>
      <c r="O55" s="2"/>
      <c r="P55" s="2"/>
      <c r="Q55" s="2"/>
      <c r="R55" s="2"/>
    </row>
    <row r="56" spans="1:18" ht="13.5" customHeight="1">
      <c r="A56" s="188" t="s">
        <v>84</v>
      </c>
      <c r="B56" s="188"/>
      <c r="C56" s="188"/>
      <c r="D56" s="188"/>
      <c r="E56" s="188"/>
      <c r="F56" s="188"/>
      <c r="G56" s="188"/>
      <c r="H56"/>
      <c r="I56"/>
      <c r="J56"/>
      <c r="K56"/>
      <c r="L56"/>
      <c r="M56"/>
      <c r="N56"/>
      <c r="O56"/>
      <c r="P56"/>
      <c r="Q56"/>
      <c r="R56"/>
    </row>
    <row r="57" spans="1:18" ht="15.75" customHeight="1">
      <c r="A57" s="189" t="s">
        <v>22</v>
      </c>
      <c r="B57" s="189"/>
      <c r="C57" s="189"/>
      <c r="D57" s="189"/>
      <c r="E57" s="189"/>
      <c r="F57" s="189"/>
      <c r="G57" s="189"/>
      <c r="H57"/>
      <c r="I57"/>
      <c r="J57"/>
      <c r="K57"/>
      <c r="L57"/>
      <c r="M57"/>
      <c r="N57"/>
      <c r="O57"/>
      <c r="P57"/>
      <c r="Q57"/>
      <c r="R57"/>
    </row>
    <row r="58" spans="1:18" ht="15.6" customHeight="1">
      <c r="A58" s="108" t="s">
        <v>176</v>
      </c>
      <c r="B58" s="84">
        <v>617015254</v>
      </c>
      <c r="C58" s="5"/>
      <c r="D58" s="6">
        <v>46055</v>
      </c>
      <c r="E58" s="10">
        <v>213355</v>
      </c>
      <c r="F58" s="5" t="s">
        <v>177</v>
      </c>
      <c r="G58" s="108"/>
      <c r="H58"/>
      <c r="I58"/>
      <c r="J58"/>
      <c r="K58"/>
      <c r="L58"/>
      <c r="M58"/>
      <c r="N58"/>
      <c r="O58"/>
      <c r="P58"/>
      <c r="Q58"/>
      <c r="R58"/>
    </row>
    <row r="59" spans="1:18" ht="15.6" customHeight="1">
      <c r="A59" s="108" t="s">
        <v>176</v>
      </c>
      <c r="B59" s="84">
        <v>617016687</v>
      </c>
      <c r="C59" s="5"/>
      <c r="D59" s="6">
        <v>46057</v>
      </c>
      <c r="E59" s="10">
        <v>214381</v>
      </c>
      <c r="F59" s="5" t="s">
        <v>177</v>
      </c>
      <c r="G59" s="108"/>
      <c r="H59"/>
      <c r="I59"/>
      <c r="J59"/>
      <c r="K59"/>
      <c r="L59"/>
      <c r="M59"/>
      <c r="N59"/>
      <c r="O59"/>
      <c r="P59"/>
      <c r="Q59"/>
      <c r="R59"/>
    </row>
    <row r="60" spans="1:18" ht="15.6" customHeight="1">
      <c r="A60" s="108" t="s">
        <v>176</v>
      </c>
      <c r="B60" s="84">
        <v>617018912</v>
      </c>
      <c r="C60" s="5"/>
      <c r="D60" s="6">
        <v>46062</v>
      </c>
      <c r="E60" s="10">
        <v>172734</v>
      </c>
      <c r="F60" s="5" t="s">
        <v>177</v>
      </c>
      <c r="G60" s="108"/>
      <c r="H60"/>
      <c r="I60"/>
      <c r="J60"/>
      <c r="K60"/>
      <c r="L60"/>
      <c r="M60"/>
      <c r="N60"/>
      <c r="O60"/>
      <c r="P60"/>
      <c r="Q60"/>
      <c r="R60"/>
    </row>
    <row r="61" spans="1:18" ht="15.6" customHeight="1">
      <c r="A61" s="108" t="s">
        <v>176</v>
      </c>
      <c r="B61" s="84">
        <v>617020465</v>
      </c>
      <c r="C61" s="5"/>
      <c r="D61" s="6">
        <v>46064</v>
      </c>
      <c r="E61" s="10">
        <v>153740</v>
      </c>
      <c r="F61" s="5" t="s">
        <v>177</v>
      </c>
      <c r="G61" s="108"/>
      <c r="H61"/>
      <c r="I61"/>
      <c r="J61"/>
      <c r="K61"/>
      <c r="L61"/>
      <c r="M61"/>
      <c r="N61"/>
      <c r="O61"/>
      <c r="P61"/>
      <c r="Q61"/>
      <c r="R61"/>
    </row>
    <row r="62" spans="1:18" ht="15.6" customHeight="1">
      <c r="A62" s="108" t="s">
        <v>176</v>
      </c>
      <c r="B62" s="84">
        <v>261801290</v>
      </c>
      <c r="C62" s="5"/>
      <c r="D62" s="6">
        <v>46070</v>
      </c>
      <c r="E62" s="10">
        <v>-3420</v>
      </c>
      <c r="F62" s="5"/>
      <c r="G62" s="108" t="s">
        <v>178</v>
      </c>
      <c r="H62"/>
      <c r="I62"/>
      <c r="J62"/>
      <c r="K62"/>
      <c r="L62"/>
      <c r="M62"/>
      <c r="N62"/>
      <c r="O62"/>
      <c r="P62"/>
      <c r="Q62"/>
      <c r="R62"/>
    </row>
    <row r="63" spans="1:18" ht="15.6" customHeight="1">
      <c r="A63" s="108" t="s">
        <v>176</v>
      </c>
      <c r="B63" s="84">
        <v>617022770</v>
      </c>
      <c r="C63" s="5"/>
      <c r="D63" s="6">
        <v>46069</v>
      </c>
      <c r="E63" s="10">
        <v>79035</v>
      </c>
      <c r="F63" s="5" t="s">
        <v>177</v>
      </c>
      <c r="G63" s="108"/>
      <c r="H63"/>
      <c r="I63"/>
      <c r="J63"/>
      <c r="K63"/>
      <c r="L63"/>
      <c r="M63"/>
      <c r="N63"/>
      <c r="O63"/>
      <c r="P63"/>
      <c r="Q63"/>
      <c r="R63"/>
    </row>
    <row r="64" spans="1:18" ht="15.6" customHeight="1">
      <c r="A64" s="108" t="s">
        <v>176</v>
      </c>
      <c r="B64" s="84">
        <v>617024384</v>
      </c>
      <c r="C64" s="5"/>
      <c r="D64" s="6">
        <v>46071</v>
      </c>
      <c r="E64" s="10">
        <v>173810</v>
      </c>
      <c r="F64" s="5" t="s">
        <v>177</v>
      </c>
      <c r="G64" s="108"/>
      <c r="H64"/>
      <c r="I64"/>
      <c r="J64"/>
      <c r="K64"/>
      <c r="L64"/>
      <c r="M64"/>
      <c r="N64"/>
      <c r="O64"/>
      <c r="P64"/>
      <c r="Q64"/>
      <c r="R64"/>
    </row>
    <row r="65" spans="1:18" ht="15.6" customHeight="1">
      <c r="A65" s="108" t="s">
        <v>176</v>
      </c>
      <c r="B65" s="84">
        <v>617025056</v>
      </c>
      <c r="C65" s="5"/>
      <c r="D65" s="6">
        <v>46072</v>
      </c>
      <c r="E65" s="10">
        <v>20996</v>
      </c>
      <c r="F65" s="5" t="s">
        <v>177</v>
      </c>
      <c r="G65" s="108"/>
      <c r="H65"/>
      <c r="I65"/>
      <c r="J65"/>
      <c r="K65"/>
      <c r="L65"/>
      <c r="M65"/>
      <c r="N65"/>
      <c r="O65"/>
      <c r="P65"/>
      <c r="Q65"/>
      <c r="R65"/>
    </row>
    <row r="66" spans="1:18" ht="15.6" customHeight="1">
      <c r="A66" s="108" t="s">
        <v>176</v>
      </c>
      <c r="B66" s="84">
        <v>261801353</v>
      </c>
      <c r="C66" s="5"/>
      <c r="D66" s="6">
        <v>46072</v>
      </c>
      <c r="E66" s="10">
        <v>-4954</v>
      </c>
      <c r="F66" s="5"/>
      <c r="G66" s="108" t="s">
        <v>178</v>
      </c>
      <c r="H66"/>
      <c r="I66"/>
      <c r="J66"/>
      <c r="K66"/>
      <c r="L66"/>
      <c r="M66"/>
      <c r="N66"/>
      <c r="O66"/>
      <c r="P66"/>
      <c r="Q66"/>
      <c r="R66"/>
    </row>
    <row r="67" spans="1:18" ht="15.6" customHeight="1">
      <c r="A67" s="108" t="s">
        <v>176</v>
      </c>
      <c r="B67" s="84">
        <v>617027060</v>
      </c>
      <c r="C67" s="5"/>
      <c r="D67" s="6">
        <v>46076</v>
      </c>
      <c r="E67" s="10">
        <v>157774</v>
      </c>
      <c r="F67" s="5" t="s">
        <v>177</v>
      </c>
      <c r="G67" s="108"/>
      <c r="H67"/>
      <c r="I67"/>
      <c r="J67"/>
      <c r="K67"/>
      <c r="L67"/>
      <c r="M67"/>
      <c r="N67"/>
      <c r="O67"/>
      <c r="P67"/>
      <c r="Q67"/>
      <c r="R67"/>
    </row>
    <row r="68" spans="1:18" ht="15.6" customHeight="1">
      <c r="A68" s="108" t="s">
        <v>176</v>
      </c>
      <c r="B68" s="84">
        <v>617028238</v>
      </c>
      <c r="C68" s="5"/>
      <c r="D68" s="6">
        <v>46078</v>
      </c>
      <c r="E68" s="10">
        <v>120523</v>
      </c>
      <c r="F68" s="5" t="s">
        <v>177</v>
      </c>
      <c r="G68" s="108"/>
      <c r="H68"/>
      <c r="I68"/>
      <c r="J68"/>
      <c r="K68"/>
      <c r="L68"/>
      <c r="M68"/>
      <c r="N68"/>
      <c r="O68"/>
      <c r="P68"/>
      <c r="Q68"/>
      <c r="R68"/>
    </row>
    <row r="69" spans="1:18" s="155" customFormat="1" ht="15.6" customHeight="1">
      <c r="A69" s="108" t="s">
        <v>176</v>
      </c>
      <c r="B69" s="84">
        <v>261801668</v>
      </c>
      <c r="C69" s="5"/>
      <c r="D69" s="6">
        <v>46080</v>
      </c>
      <c r="E69" s="10">
        <v>-10147</v>
      </c>
      <c r="F69" s="5"/>
      <c r="G69" s="108" t="s">
        <v>178</v>
      </c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</row>
    <row r="70" spans="1:18" s="155" customFormat="1" ht="15.6" customHeight="1">
      <c r="A70" s="108" t="s">
        <v>176</v>
      </c>
      <c r="B70" s="84">
        <v>617030047</v>
      </c>
      <c r="C70" s="5"/>
      <c r="D70" s="6">
        <v>46080</v>
      </c>
      <c r="E70" s="10">
        <v>8875</v>
      </c>
      <c r="F70" s="5" t="s">
        <v>177</v>
      </c>
      <c r="G70" s="108" t="s">
        <v>229</v>
      </c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</row>
    <row r="71" spans="1:18" ht="15.6" customHeight="1">
      <c r="A71" s="108" t="s">
        <v>230</v>
      </c>
      <c r="B71" s="84" t="s">
        <v>231</v>
      </c>
      <c r="C71" s="5"/>
      <c r="D71" s="6">
        <v>46055</v>
      </c>
      <c r="E71" s="10">
        <v>8190</v>
      </c>
      <c r="F71" s="5" t="s">
        <v>177</v>
      </c>
      <c r="G71" s="108" t="s">
        <v>232</v>
      </c>
      <c r="H71"/>
      <c r="I71"/>
      <c r="J71"/>
      <c r="K71"/>
      <c r="L71"/>
      <c r="M71"/>
      <c r="N71"/>
      <c r="O71"/>
      <c r="P71"/>
      <c r="Q71"/>
      <c r="R71"/>
    </row>
    <row r="72" spans="1:18" ht="15.6" customHeight="1">
      <c r="A72" s="108" t="s">
        <v>180</v>
      </c>
      <c r="B72" s="84" t="s">
        <v>233</v>
      </c>
      <c r="C72" s="5"/>
      <c r="D72" s="6">
        <v>46064</v>
      </c>
      <c r="E72" s="10">
        <v>3490</v>
      </c>
      <c r="F72" s="5" t="s">
        <v>182</v>
      </c>
      <c r="G72" s="108" t="s">
        <v>234</v>
      </c>
      <c r="H72"/>
      <c r="I72"/>
      <c r="J72"/>
      <c r="K72"/>
      <c r="L72"/>
      <c r="M72"/>
      <c r="N72"/>
      <c r="O72"/>
      <c r="P72"/>
      <c r="Q72"/>
      <c r="R72"/>
    </row>
    <row r="73" spans="1:18" ht="15.6" customHeight="1">
      <c r="A73" s="108" t="s">
        <v>180</v>
      </c>
      <c r="B73" s="84" t="s">
        <v>235</v>
      </c>
      <c r="C73" s="5"/>
      <c r="D73" s="6">
        <v>46077</v>
      </c>
      <c r="E73" s="10">
        <v>1558</v>
      </c>
      <c r="F73" s="5" t="s">
        <v>182</v>
      </c>
      <c r="G73" s="108" t="s">
        <v>236</v>
      </c>
      <c r="H73"/>
      <c r="I73"/>
      <c r="J73"/>
      <c r="K73"/>
      <c r="L73"/>
      <c r="M73"/>
      <c r="N73"/>
      <c r="O73"/>
      <c r="P73"/>
      <c r="Q73"/>
      <c r="R73"/>
    </row>
    <row r="74" spans="1:18" ht="15.6" customHeight="1">
      <c r="A74" s="108" t="s">
        <v>237</v>
      </c>
      <c r="B74" s="84" t="s">
        <v>238</v>
      </c>
      <c r="C74" s="5"/>
      <c r="D74" s="6">
        <v>46071</v>
      </c>
      <c r="E74" s="10">
        <v>6712</v>
      </c>
      <c r="F74" s="5" t="s">
        <v>182</v>
      </c>
      <c r="G74" s="108" t="s">
        <v>239</v>
      </c>
      <c r="H74"/>
      <c r="I74"/>
      <c r="J74"/>
      <c r="K74"/>
      <c r="L74"/>
      <c r="M74"/>
      <c r="N74"/>
      <c r="O74"/>
      <c r="P74"/>
      <c r="Q74"/>
      <c r="R74"/>
    </row>
    <row r="75" spans="1:18" ht="15.6" customHeight="1">
      <c r="A75" s="108" t="s">
        <v>176</v>
      </c>
      <c r="B75" s="84">
        <v>261801668</v>
      </c>
      <c r="C75" s="5"/>
      <c r="D75" s="6">
        <v>46080</v>
      </c>
      <c r="E75" s="10">
        <v>-10147</v>
      </c>
      <c r="F75" s="5" t="s">
        <v>177</v>
      </c>
      <c r="G75" s="108"/>
      <c r="H75"/>
      <c r="I75"/>
      <c r="J75"/>
      <c r="K75"/>
      <c r="L75"/>
      <c r="M75"/>
      <c r="N75"/>
      <c r="O75"/>
      <c r="P75"/>
      <c r="Q75"/>
      <c r="R75"/>
    </row>
    <row r="76" spans="1:18" ht="15.6" customHeight="1">
      <c r="A76" s="108"/>
      <c r="B76" s="108"/>
      <c r="C76" s="108"/>
      <c r="D76" s="109"/>
      <c r="E76" s="90">
        <f>SUM(E58:E75)</f>
        <v>1306505</v>
      </c>
      <c r="F76" s="5"/>
      <c r="G76" s="108"/>
      <c r="H76"/>
      <c r="J76"/>
      <c r="K76"/>
      <c r="L76"/>
      <c r="M76"/>
      <c r="N76"/>
      <c r="O76"/>
      <c r="P76"/>
      <c r="Q76"/>
      <c r="R76"/>
    </row>
    <row r="77" spans="1:18" ht="15.75" customHeight="1">
      <c r="A77" s="188" t="s">
        <v>84</v>
      </c>
      <c r="B77" s="188"/>
      <c r="C77" s="188"/>
      <c r="D77" s="188"/>
      <c r="E77" s="188"/>
      <c r="F77" s="188"/>
      <c r="G77" s="188"/>
      <c r="H77"/>
      <c r="I77"/>
      <c r="J77"/>
      <c r="K77"/>
      <c r="L77"/>
      <c r="M77"/>
      <c r="N77"/>
      <c r="O77"/>
      <c r="P77"/>
      <c r="Q77"/>
      <c r="R77"/>
    </row>
    <row r="78" spans="1:18" ht="15.6" customHeight="1">
      <c r="A78" s="189" t="s">
        <v>43</v>
      </c>
      <c r="B78" s="189"/>
      <c r="C78" s="189"/>
      <c r="D78" s="189"/>
      <c r="E78" s="189"/>
      <c r="F78" s="189"/>
      <c r="G78" s="189"/>
      <c r="H78"/>
      <c r="I78"/>
      <c r="J78"/>
      <c r="K78"/>
      <c r="L78"/>
      <c r="M78"/>
      <c r="N78"/>
      <c r="O78"/>
      <c r="P78"/>
      <c r="Q78"/>
      <c r="R78"/>
    </row>
    <row r="79" spans="1:18" ht="15.6" customHeight="1">
      <c r="A79" s="99" t="s">
        <v>198</v>
      </c>
      <c r="B79" s="5" t="s">
        <v>240</v>
      </c>
      <c r="C79" s="42" t="s">
        <v>241</v>
      </c>
      <c r="D79" s="6">
        <v>46061</v>
      </c>
      <c r="E79" s="10">
        <v>100061</v>
      </c>
      <c r="F79" s="6">
        <v>46066</v>
      </c>
      <c r="G79" s="5" t="s">
        <v>193</v>
      </c>
      <c r="H79" s="5"/>
      <c r="M79" s="2"/>
      <c r="N79" s="2"/>
      <c r="O79" s="2"/>
      <c r="P79" s="2"/>
      <c r="Q79" s="2"/>
      <c r="R79" s="2"/>
    </row>
    <row r="80" spans="1:18" ht="15.6" customHeight="1">
      <c r="A80" s="99" t="s">
        <v>198</v>
      </c>
      <c r="B80" s="5" t="s">
        <v>242</v>
      </c>
      <c r="C80" s="42" t="s">
        <v>243</v>
      </c>
      <c r="D80" s="6">
        <v>46068</v>
      </c>
      <c r="E80" s="10">
        <v>71132</v>
      </c>
      <c r="F80" s="6">
        <v>46073</v>
      </c>
      <c r="G80" s="5" t="s">
        <v>193</v>
      </c>
      <c r="H80" s="5"/>
      <c r="M80" s="2"/>
      <c r="N80" s="2"/>
      <c r="O80" s="2"/>
      <c r="P80" s="2"/>
      <c r="Q80" s="2"/>
      <c r="R80" s="2"/>
    </row>
    <row r="81" spans="1:18" ht="15.6" customHeight="1">
      <c r="A81" s="99" t="s">
        <v>198</v>
      </c>
      <c r="B81" s="5" t="s">
        <v>244</v>
      </c>
      <c r="C81" s="42" t="s">
        <v>245</v>
      </c>
      <c r="D81" s="6">
        <v>46075</v>
      </c>
      <c r="E81" s="10">
        <v>44344</v>
      </c>
      <c r="F81" s="6">
        <v>46080</v>
      </c>
      <c r="G81" s="5" t="s">
        <v>193</v>
      </c>
      <c r="H81" s="5"/>
      <c r="M81" s="2"/>
      <c r="N81" s="2"/>
      <c r="O81" s="2"/>
      <c r="P81" s="2"/>
      <c r="Q81" s="2"/>
      <c r="R81" s="2"/>
    </row>
    <row r="82" spans="1:18" ht="15.6" customHeight="1">
      <c r="A82" s="99" t="s">
        <v>198</v>
      </c>
      <c r="B82" s="5" t="s">
        <v>246</v>
      </c>
      <c r="C82" s="42" t="s">
        <v>247</v>
      </c>
      <c r="D82" s="6">
        <v>46080</v>
      </c>
      <c r="E82" s="10">
        <v>75898</v>
      </c>
      <c r="F82" s="6">
        <v>46085</v>
      </c>
      <c r="G82" s="5" t="s">
        <v>193</v>
      </c>
      <c r="H82" s="5"/>
      <c r="M82" s="2"/>
      <c r="N82" s="2"/>
      <c r="O82" s="2"/>
      <c r="P82" s="2"/>
      <c r="Q82" s="2"/>
      <c r="R82" s="2"/>
    </row>
    <row r="83" spans="1:18" ht="15.6" customHeight="1">
      <c r="A83" s="99" t="s">
        <v>198</v>
      </c>
      <c r="B83" s="5" t="s">
        <v>248</v>
      </c>
      <c r="C83" s="42" t="s">
        <v>249</v>
      </c>
      <c r="D83" s="6">
        <v>46075</v>
      </c>
      <c r="E83" s="10">
        <v>43990</v>
      </c>
      <c r="F83" s="6">
        <v>46085</v>
      </c>
      <c r="G83" s="5" t="s">
        <v>193</v>
      </c>
      <c r="H83" s="5"/>
      <c r="M83" s="2"/>
      <c r="N83" s="2"/>
      <c r="O83" s="2"/>
      <c r="P83" s="2"/>
      <c r="Q83" s="2"/>
      <c r="R83" s="2"/>
    </row>
    <row r="84" spans="1:18" ht="15.6" customHeight="1">
      <c r="A84" s="99" t="s">
        <v>191</v>
      </c>
      <c r="B84" s="5" t="s">
        <v>250</v>
      </c>
      <c r="C84" s="5"/>
      <c r="D84" s="6">
        <v>46055</v>
      </c>
      <c r="E84" s="10">
        <v>4891</v>
      </c>
      <c r="F84" s="6">
        <v>46063</v>
      </c>
      <c r="G84" s="5" t="s">
        <v>193</v>
      </c>
      <c r="H84" s="5"/>
      <c r="M84" s="2"/>
      <c r="N84" s="2"/>
      <c r="O84" s="2"/>
      <c r="P84" s="2"/>
      <c r="Q84" s="2"/>
      <c r="R84" s="2"/>
    </row>
    <row r="85" spans="1:18" ht="15.6" customHeight="1">
      <c r="A85" s="99" t="s">
        <v>191</v>
      </c>
      <c r="B85" s="5" t="s">
        <v>251</v>
      </c>
      <c r="C85" s="5"/>
      <c r="D85" s="6">
        <v>46055</v>
      </c>
      <c r="E85" s="10">
        <v>30634</v>
      </c>
      <c r="F85" s="6">
        <v>46063</v>
      </c>
      <c r="G85" s="5" t="s">
        <v>193</v>
      </c>
      <c r="H85" s="5"/>
      <c r="M85" s="2"/>
      <c r="N85" s="2"/>
      <c r="O85" s="2"/>
      <c r="P85" s="2"/>
      <c r="Q85" s="2"/>
      <c r="R85" s="2"/>
    </row>
    <row r="86" spans="1:18" ht="15.6" customHeight="1">
      <c r="A86" s="99" t="s">
        <v>191</v>
      </c>
      <c r="B86" s="5" t="s">
        <v>252</v>
      </c>
      <c r="C86" s="5"/>
      <c r="D86" s="6">
        <v>46062</v>
      </c>
      <c r="E86" s="10">
        <v>28752</v>
      </c>
      <c r="F86" s="6">
        <v>46070</v>
      </c>
      <c r="G86" s="5" t="s">
        <v>193</v>
      </c>
      <c r="H86" s="5"/>
      <c r="M86" s="2"/>
      <c r="N86" s="2"/>
      <c r="O86" s="2"/>
      <c r="P86" s="2"/>
      <c r="Q86" s="2"/>
      <c r="R86" s="2"/>
    </row>
    <row r="87" spans="1:18" ht="15.6" customHeight="1">
      <c r="A87" s="99" t="s">
        <v>191</v>
      </c>
      <c r="B87" s="5" t="s">
        <v>253</v>
      </c>
      <c r="C87" s="5"/>
      <c r="D87" s="6">
        <v>46062</v>
      </c>
      <c r="E87" s="10">
        <v>4891</v>
      </c>
      <c r="F87" s="6">
        <v>46070</v>
      </c>
      <c r="G87" s="5" t="s">
        <v>193</v>
      </c>
      <c r="H87" s="5"/>
      <c r="M87" s="2"/>
      <c r="N87" s="2"/>
      <c r="O87" s="2"/>
      <c r="P87" s="2"/>
      <c r="Q87" s="2"/>
      <c r="R87" s="2"/>
    </row>
    <row r="88" spans="1:18" ht="15.6" customHeight="1">
      <c r="A88" s="99" t="s">
        <v>191</v>
      </c>
      <c r="B88" s="5" t="s">
        <v>254</v>
      </c>
      <c r="C88" s="5"/>
      <c r="D88" s="6">
        <v>46069</v>
      </c>
      <c r="E88" s="10">
        <v>46216</v>
      </c>
      <c r="F88" s="6">
        <v>46077</v>
      </c>
      <c r="G88" s="5" t="s">
        <v>193</v>
      </c>
      <c r="H88" s="5"/>
      <c r="M88" s="2"/>
      <c r="N88" s="2"/>
      <c r="O88" s="2"/>
      <c r="P88" s="2"/>
      <c r="Q88" s="2"/>
      <c r="R88" s="2"/>
    </row>
    <row r="89" spans="1:18" ht="15.6" customHeight="1">
      <c r="A89" s="99" t="s">
        <v>191</v>
      </c>
      <c r="B89" s="5" t="s">
        <v>255</v>
      </c>
      <c r="C89" s="5"/>
      <c r="D89" s="6">
        <v>46069</v>
      </c>
      <c r="E89" s="10">
        <v>-985</v>
      </c>
      <c r="F89" s="6">
        <v>46077</v>
      </c>
      <c r="G89" s="5" t="s">
        <v>178</v>
      </c>
      <c r="H89" s="5"/>
      <c r="M89" s="2"/>
      <c r="N89" s="2"/>
      <c r="O89" s="2"/>
      <c r="P89" s="2"/>
      <c r="Q89" s="2"/>
      <c r="R89" s="2"/>
    </row>
    <row r="90" spans="1:18" ht="15.6" customHeight="1">
      <c r="A90" s="99" t="s">
        <v>191</v>
      </c>
      <c r="B90" s="5" t="s">
        <v>256</v>
      </c>
      <c r="C90" s="5"/>
      <c r="D90" s="6">
        <v>46076</v>
      </c>
      <c r="E90" s="10">
        <v>4891</v>
      </c>
      <c r="F90" s="6">
        <v>46084</v>
      </c>
      <c r="G90" s="5" t="s">
        <v>193</v>
      </c>
      <c r="H90" s="5"/>
      <c r="M90" s="2"/>
      <c r="N90" s="2"/>
      <c r="O90" s="2"/>
      <c r="P90" s="2"/>
      <c r="Q90" s="2"/>
      <c r="R90" s="2"/>
    </row>
    <row r="91" spans="1:18" ht="15.6" customHeight="1">
      <c r="A91" s="99" t="s">
        <v>191</v>
      </c>
      <c r="B91" s="5" t="s">
        <v>257</v>
      </c>
      <c r="C91" s="5"/>
      <c r="D91" s="6">
        <v>46076</v>
      </c>
      <c r="E91" s="10">
        <v>41148</v>
      </c>
      <c r="F91" s="6">
        <v>46084</v>
      </c>
      <c r="G91" s="5" t="s">
        <v>193</v>
      </c>
      <c r="H91" s="5"/>
      <c r="M91" s="2"/>
      <c r="N91" s="2"/>
      <c r="O91" s="2"/>
      <c r="P91" s="2"/>
      <c r="Q91" s="2"/>
      <c r="R91" s="2"/>
    </row>
    <row r="92" spans="1:18" ht="15.6" customHeight="1">
      <c r="A92" s="99" t="s">
        <v>207</v>
      </c>
      <c r="B92" s="5">
        <v>610700765</v>
      </c>
      <c r="C92" s="5">
        <v>610401269</v>
      </c>
      <c r="D92" s="6">
        <v>46055</v>
      </c>
      <c r="E92" s="10">
        <v>18936</v>
      </c>
      <c r="F92" s="6">
        <v>46065</v>
      </c>
      <c r="G92" s="5" t="s">
        <v>193</v>
      </c>
      <c r="H92" s="5"/>
      <c r="M92" s="2"/>
      <c r="N92" s="2"/>
      <c r="O92" s="2"/>
      <c r="P92" s="2"/>
      <c r="Q92" s="2"/>
      <c r="R92" s="2"/>
    </row>
    <row r="93" spans="1:18" ht="15.6" customHeight="1">
      <c r="A93" s="99" t="s">
        <v>207</v>
      </c>
      <c r="B93" s="5">
        <v>610701048</v>
      </c>
      <c r="C93" s="5"/>
      <c r="D93" s="6">
        <v>46062</v>
      </c>
      <c r="E93" s="10">
        <v>39218</v>
      </c>
      <c r="F93" s="6">
        <v>46072</v>
      </c>
      <c r="G93" s="5" t="s">
        <v>193</v>
      </c>
      <c r="H93" s="5"/>
      <c r="M93" s="2"/>
      <c r="N93" s="2"/>
      <c r="O93" s="2"/>
      <c r="P93" s="2"/>
      <c r="Q93" s="2"/>
      <c r="R93" s="2"/>
    </row>
    <row r="94" spans="1:18" ht="15.6" customHeight="1">
      <c r="A94" s="99" t="s">
        <v>207</v>
      </c>
      <c r="B94" s="5">
        <v>610701248</v>
      </c>
      <c r="C94" s="5">
        <v>610401886</v>
      </c>
      <c r="D94" s="6">
        <v>46069</v>
      </c>
      <c r="E94" s="10">
        <v>26896</v>
      </c>
      <c r="F94" s="6">
        <v>46079</v>
      </c>
      <c r="G94" s="5" t="s">
        <v>193</v>
      </c>
      <c r="H94" s="5"/>
      <c r="M94" s="2"/>
      <c r="N94" s="2"/>
      <c r="O94" s="2"/>
      <c r="P94" s="2"/>
      <c r="Q94" s="2"/>
      <c r="R94" s="2"/>
    </row>
    <row r="95" spans="1:18" ht="15.6" customHeight="1">
      <c r="A95" s="99" t="s">
        <v>207</v>
      </c>
      <c r="B95" s="5">
        <v>610701465</v>
      </c>
      <c r="C95" s="5">
        <v>610402219</v>
      </c>
      <c r="D95" s="6">
        <v>46076</v>
      </c>
      <c r="E95" s="10">
        <v>16942</v>
      </c>
      <c r="F95" s="6">
        <v>46086</v>
      </c>
      <c r="G95" s="5" t="s">
        <v>193</v>
      </c>
      <c r="H95" s="5"/>
      <c r="M95" s="2"/>
      <c r="N95" s="2"/>
      <c r="O95" s="2"/>
      <c r="P95" s="2"/>
      <c r="Q95" s="2"/>
      <c r="R95" s="2"/>
    </row>
    <row r="96" spans="1:18" ht="15.6" customHeight="1">
      <c r="A96" s="99" t="s">
        <v>208</v>
      </c>
      <c r="B96" s="5" t="s">
        <v>258</v>
      </c>
      <c r="C96" s="5" t="s">
        <v>259</v>
      </c>
      <c r="D96" s="6">
        <v>46055</v>
      </c>
      <c r="E96" s="10">
        <v>64927</v>
      </c>
      <c r="F96" s="6">
        <v>46063</v>
      </c>
      <c r="G96" s="5" t="s">
        <v>193</v>
      </c>
      <c r="H96" s="5"/>
      <c r="M96" s="2"/>
      <c r="N96" s="2"/>
      <c r="O96" s="2"/>
      <c r="P96" s="2"/>
      <c r="Q96" s="2"/>
      <c r="R96" s="2"/>
    </row>
    <row r="97" spans="1:18" ht="15.6" customHeight="1">
      <c r="A97" s="99" t="s">
        <v>208</v>
      </c>
      <c r="B97" s="5" t="s">
        <v>260</v>
      </c>
      <c r="C97" s="5" t="s">
        <v>261</v>
      </c>
      <c r="D97" s="6">
        <v>46064</v>
      </c>
      <c r="E97" s="10">
        <v>58968</v>
      </c>
      <c r="F97" s="6">
        <v>46072</v>
      </c>
      <c r="G97" s="5" t="s">
        <v>193</v>
      </c>
      <c r="H97" s="5"/>
      <c r="M97" s="2"/>
      <c r="N97" s="2"/>
      <c r="O97" s="2"/>
      <c r="P97" s="2"/>
      <c r="Q97" s="2"/>
      <c r="R97" s="2"/>
    </row>
    <row r="98" spans="1:18" ht="15.6" customHeight="1">
      <c r="A98" s="99" t="s">
        <v>208</v>
      </c>
      <c r="B98" s="5" t="s">
        <v>262</v>
      </c>
      <c r="C98" s="5" t="s">
        <v>263</v>
      </c>
      <c r="D98" s="6">
        <v>46064</v>
      </c>
      <c r="E98" s="10">
        <v>5959</v>
      </c>
      <c r="F98" s="6">
        <v>46072</v>
      </c>
      <c r="G98" s="5" t="s">
        <v>193</v>
      </c>
      <c r="H98" s="5"/>
      <c r="M98" s="2"/>
      <c r="N98" s="2"/>
      <c r="O98" s="2"/>
      <c r="P98" s="2"/>
      <c r="Q98" s="2"/>
      <c r="R98" s="2"/>
    </row>
    <row r="99" spans="1:18" ht="15.6" customHeight="1">
      <c r="A99" s="99" t="s">
        <v>208</v>
      </c>
      <c r="B99" s="5" t="s">
        <v>264</v>
      </c>
      <c r="C99" s="5" t="s">
        <v>265</v>
      </c>
      <c r="D99" s="6">
        <v>46073</v>
      </c>
      <c r="E99" s="10">
        <v>88855</v>
      </c>
      <c r="F99" s="6">
        <v>46081</v>
      </c>
      <c r="G99" s="5" t="s">
        <v>193</v>
      </c>
      <c r="H99" s="5"/>
      <c r="M99" s="2"/>
      <c r="N99" s="2"/>
      <c r="O99" s="2"/>
      <c r="P99" s="2"/>
      <c r="Q99" s="2"/>
      <c r="R99" s="2"/>
    </row>
    <row r="100" spans="1:18" ht="15.6" customHeight="1">
      <c r="A100" s="99" t="s">
        <v>215</v>
      </c>
      <c r="B100" s="5">
        <v>1604855003</v>
      </c>
      <c r="C100" s="5">
        <v>8929630788</v>
      </c>
      <c r="D100" s="6">
        <v>46058</v>
      </c>
      <c r="E100" s="10">
        <v>140781</v>
      </c>
      <c r="F100" s="6">
        <v>46072</v>
      </c>
      <c r="G100" s="5" t="s">
        <v>193</v>
      </c>
      <c r="H100" s="5"/>
      <c r="M100" s="2"/>
      <c r="N100" s="2"/>
      <c r="O100" s="2"/>
      <c r="P100" s="2"/>
      <c r="Q100" s="2"/>
      <c r="R100" s="2"/>
    </row>
    <row r="101" spans="1:18" ht="15.6" customHeight="1">
      <c r="A101" s="99" t="s">
        <v>216</v>
      </c>
      <c r="B101" s="5">
        <v>962455965</v>
      </c>
      <c r="C101" s="5">
        <v>702599725</v>
      </c>
      <c r="D101" s="6">
        <v>46076</v>
      </c>
      <c r="E101" s="10">
        <v>95848</v>
      </c>
      <c r="F101" s="6">
        <v>46097</v>
      </c>
      <c r="G101" s="5" t="s">
        <v>193</v>
      </c>
      <c r="H101" s="5"/>
      <c r="M101" s="2"/>
      <c r="N101" s="2"/>
      <c r="O101" s="2"/>
      <c r="P101" s="2"/>
      <c r="Q101" s="2"/>
      <c r="R101" s="2"/>
    </row>
    <row r="102" spans="1:18" ht="15.6" customHeight="1">
      <c r="A102" s="99" t="s">
        <v>266</v>
      </c>
      <c r="B102" s="5">
        <v>261016997</v>
      </c>
      <c r="C102" s="5">
        <v>262018053</v>
      </c>
      <c r="D102" s="6">
        <v>46077</v>
      </c>
      <c r="E102" s="10">
        <v>58749</v>
      </c>
      <c r="F102" s="6">
        <v>46092</v>
      </c>
      <c r="G102" s="5" t="s">
        <v>193</v>
      </c>
      <c r="H102" s="5"/>
      <c r="M102" s="2"/>
      <c r="N102" s="2"/>
      <c r="O102" s="2"/>
      <c r="P102" s="2"/>
      <c r="Q102" s="2"/>
      <c r="R102" s="2"/>
    </row>
    <row r="103" spans="1:18" ht="15.6" customHeight="1">
      <c r="A103" s="99" t="s">
        <v>218</v>
      </c>
      <c r="B103" s="5" t="s">
        <v>267</v>
      </c>
      <c r="C103" s="5"/>
      <c r="D103" s="6">
        <v>46055</v>
      </c>
      <c r="E103" s="10">
        <v>110277</v>
      </c>
      <c r="F103" s="6">
        <v>46063</v>
      </c>
      <c r="G103" s="5" t="s">
        <v>193</v>
      </c>
      <c r="H103" s="5"/>
      <c r="M103" s="2"/>
      <c r="N103" s="2"/>
      <c r="O103" s="2"/>
      <c r="P103" s="2"/>
      <c r="Q103" s="2"/>
      <c r="R103" s="2"/>
    </row>
    <row r="104" spans="1:18" ht="15.6" customHeight="1">
      <c r="A104" s="99" t="s">
        <v>218</v>
      </c>
      <c r="B104" s="5" t="s">
        <v>268</v>
      </c>
      <c r="C104" s="5"/>
      <c r="D104" s="6">
        <v>46057</v>
      </c>
      <c r="E104" s="10">
        <v>37950</v>
      </c>
      <c r="F104" s="6">
        <v>46065</v>
      </c>
      <c r="G104" s="5" t="s">
        <v>193</v>
      </c>
      <c r="H104" s="5" t="s">
        <v>269</v>
      </c>
      <c r="M104" s="2"/>
      <c r="N104" s="2"/>
      <c r="O104" s="2"/>
      <c r="P104" s="2"/>
      <c r="Q104" s="2"/>
      <c r="R104" s="2"/>
    </row>
    <row r="105" spans="1:18" ht="15.6" customHeight="1">
      <c r="A105" s="99" t="s">
        <v>218</v>
      </c>
      <c r="B105" s="5" t="s">
        <v>270</v>
      </c>
      <c r="C105" s="5"/>
      <c r="D105" s="6">
        <v>46064</v>
      </c>
      <c r="E105" s="10">
        <v>20130</v>
      </c>
      <c r="F105" s="6">
        <v>46072</v>
      </c>
      <c r="G105" s="5" t="s">
        <v>193</v>
      </c>
      <c r="H105" s="5"/>
      <c r="M105" s="2"/>
      <c r="N105" s="2"/>
      <c r="O105" s="2"/>
      <c r="P105" s="2"/>
      <c r="Q105" s="2"/>
      <c r="R105" s="2"/>
    </row>
    <row r="106" spans="1:18" ht="15.6" customHeight="1">
      <c r="A106" s="99" t="s">
        <v>271</v>
      </c>
      <c r="B106" s="5" t="s">
        <v>272</v>
      </c>
      <c r="C106" s="5"/>
      <c r="D106" s="6">
        <v>46064</v>
      </c>
      <c r="E106" s="10">
        <v>63120</v>
      </c>
      <c r="F106" s="6">
        <v>46072</v>
      </c>
      <c r="G106" s="5" t="s">
        <v>193</v>
      </c>
      <c r="H106" s="5"/>
      <c r="M106" s="2"/>
      <c r="N106" s="2"/>
      <c r="O106" s="2"/>
      <c r="P106" s="2"/>
      <c r="Q106" s="2"/>
      <c r="R106" s="2"/>
    </row>
    <row r="107" spans="1:18" ht="15.6" customHeight="1">
      <c r="A107" s="99" t="s">
        <v>225</v>
      </c>
      <c r="B107" s="5" t="s">
        <v>273</v>
      </c>
      <c r="C107" s="5"/>
      <c r="D107" s="6">
        <v>46062</v>
      </c>
      <c r="E107" s="10">
        <v>5715</v>
      </c>
      <c r="F107" s="6">
        <v>46077</v>
      </c>
      <c r="G107" s="5" t="s">
        <v>193</v>
      </c>
      <c r="H107" s="5"/>
      <c r="M107" s="2"/>
      <c r="N107" s="2"/>
      <c r="O107" s="2"/>
      <c r="P107" s="2"/>
      <c r="Q107" s="2"/>
      <c r="R107" s="2"/>
    </row>
    <row r="108" spans="1:18" ht="15.6" customHeight="1">
      <c r="A108" s="99" t="s">
        <v>274</v>
      </c>
      <c r="B108" s="5" t="s">
        <v>275</v>
      </c>
      <c r="C108" s="5">
        <v>4781220</v>
      </c>
      <c r="D108" s="6">
        <v>46073</v>
      </c>
      <c r="E108" s="10">
        <v>35310</v>
      </c>
      <c r="F108" s="6">
        <v>46103</v>
      </c>
      <c r="G108" s="5" t="s">
        <v>193</v>
      </c>
      <c r="H108" s="42" t="s">
        <v>276</v>
      </c>
      <c r="M108" s="2"/>
      <c r="N108" s="2"/>
      <c r="O108" s="2"/>
      <c r="P108" s="2"/>
      <c r="Q108" s="2"/>
      <c r="R108" s="2"/>
    </row>
    <row r="109" spans="1:18" ht="15.6" customHeight="1">
      <c r="A109" s="99" t="s">
        <v>220</v>
      </c>
      <c r="B109" s="5" t="s">
        <v>277</v>
      </c>
      <c r="C109" s="5"/>
      <c r="D109" s="6">
        <v>46075</v>
      </c>
      <c r="E109" s="10">
        <v>121075</v>
      </c>
      <c r="F109" s="6">
        <v>46083</v>
      </c>
      <c r="G109" s="5" t="s">
        <v>193</v>
      </c>
      <c r="M109" s="2"/>
      <c r="N109" s="2"/>
      <c r="O109" s="2"/>
      <c r="P109" s="2"/>
      <c r="Q109" s="2"/>
      <c r="R109" s="2"/>
    </row>
    <row r="110" spans="1:18" ht="15.6" customHeight="1">
      <c r="A110" s="83"/>
      <c r="E110" s="90">
        <f>SUM(E79:E109)</f>
        <v>1505519</v>
      </c>
      <c r="F110" s="41"/>
      <c r="G110" s="5"/>
      <c r="M110" s="2"/>
      <c r="N110" s="2"/>
      <c r="O110" s="2"/>
      <c r="P110" s="2"/>
      <c r="Q110" s="2"/>
      <c r="R110" s="2"/>
    </row>
    <row r="111" spans="1:18" ht="15.6" customHeight="1">
      <c r="A111" s="188" t="s">
        <v>119</v>
      </c>
      <c r="B111" s="188"/>
      <c r="C111" s="188"/>
      <c r="D111" s="188"/>
      <c r="E111" s="188"/>
      <c r="F111" s="188"/>
      <c r="G111" s="188"/>
      <c r="M111" s="2"/>
      <c r="N111" s="2"/>
      <c r="O111" s="2"/>
      <c r="P111" s="2"/>
      <c r="Q111" s="2"/>
      <c r="R111" s="2"/>
    </row>
    <row r="112" spans="1:18" ht="15.6" customHeight="1">
      <c r="A112" s="189" t="s">
        <v>22</v>
      </c>
      <c r="B112" s="189"/>
      <c r="C112" s="189"/>
      <c r="D112" s="189"/>
      <c r="E112" s="189"/>
      <c r="F112" s="189"/>
      <c r="G112" s="189"/>
      <c r="M112" s="2"/>
      <c r="N112" s="2"/>
      <c r="O112" s="2"/>
      <c r="P112" s="2"/>
      <c r="Q112" s="2"/>
      <c r="R112" s="2"/>
    </row>
    <row r="113" spans="1:18" ht="15.6" customHeight="1">
      <c r="A113" s="108" t="s">
        <v>176</v>
      </c>
      <c r="B113" s="171">
        <v>617030679</v>
      </c>
      <c r="C113" s="168"/>
      <c r="D113" s="169">
        <v>46083</v>
      </c>
      <c r="E113" s="170">
        <v>140968</v>
      </c>
      <c r="F113" s="168" t="s">
        <v>177</v>
      </c>
      <c r="G113" s="168"/>
      <c r="M113" s="2"/>
      <c r="N113" s="2"/>
      <c r="O113" s="2"/>
      <c r="P113" s="2"/>
      <c r="Q113" s="2"/>
      <c r="R113" s="2"/>
    </row>
    <row r="114" spans="1:18" ht="15.6" customHeight="1">
      <c r="A114" s="108" t="s">
        <v>176</v>
      </c>
      <c r="B114" s="171">
        <v>261900058</v>
      </c>
      <c r="C114" s="168"/>
      <c r="D114" s="169">
        <v>46083</v>
      </c>
      <c r="E114" s="170">
        <v>-254</v>
      </c>
      <c r="F114" s="168" t="s">
        <v>177</v>
      </c>
      <c r="G114" s="168" t="s">
        <v>278</v>
      </c>
      <c r="M114" s="2"/>
      <c r="N114" s="2"/>
      <c r="O114" s="2"/>
      <c r="P114" s="2"/>
      <c r="Q114" s="2"/>
      <c r="R114" s="2"/>
    </row>
    <row r="115" spans="1:18" ht="15.6" customHeight="1">
      <c r="A115" s="108" t="s">
        <v>176</v>
      </c>
      <c r="B115" s="171">
        <v>617032131</v>
      </c>
      <c r="C115" s="168"/>
      <c r="D115" s="169">
        <v>46085</v>
      </c>
      <c r="E115" s="170">
        <v>197380</v>
      </c>
      <c r="F115" s="168" t="s">
        <v>177</v>
      </c>
      <c r="G115" s="168"/>
      <c r="M115" s="2"/>
      <c r="N115" s="2"/>
      <c r="O115" s="2"/>
      <c r="P115" s="2"/>
      <c r="Q115" s="2"/>
      <c r="R115" s="2"/>
    </row>
    <row r="116" spans="1:18" ht="15.6" customHeight="1">
      <c r="A116" s="108" t="s">
        <v>176</v>
      </c>
      <c r="B116" s="171">
        <v>617034950</v>
      </c>
      <c r="C116" s="168"/>
      <c r="D116" s="169">
        <v>46090</v>
      </c>
      <c r="E116" s="170">
        <v>171137</v>
      </c>
      <c r="F116" s="168" t="s">
        <v>177</v>
      </c>
      <c r="G116" s="168"/>
      <c r="M116" s="2"/>
      <c r="N116" s="2"/>
      <c r="O116" s="2"/>
      <c r="P116" s="2"/>
      <c r="Q116" s="2"/>
      <c r="R116" s="2"/>
    </row>
    <row r="117" spans="1:18" ht="15.6" customHeight="1">
      <c r="A117" s="108" t="s">
        <v>176</v>
      </c>
      <c r="B117" s="171">
        <v>261801932</v>
      </c>
      <c r="C117" s="168"/>
      <c r="D117" s="169">
        <v>46090</v>
      </c>
      <c r="E117" s="170">
        <v>-19112</v>
      </c>
      <c r="F117" s="168" t="s">
        <v>177</v>
      </c>
      <c r="G117" s="168" t="s">
        <v>178</v>
      </c>
      <c r="M117" s="2"/>
      <c r="N117" s="2"/>
      <c r="O117" s="2"/>
      <c r="P117" s="2"/>
      <c r="Q117" s="2"/>
      <c r="R117" s="2"/>
    </row>
    <row r="118" spans="1:18" ht="15.6" customHeight="1">
      <c r="A118" s="108" t="s">
        <v>176</v>
      </c>
      <c r="B118" s="171">
        <v>617036375</v>
      </c>
      <c r="C118" s="168"/>
      <c r="D118" s="169">
        <v>46092</v>
      </c>
      <c r="E118" s="170">
        <v>190720</v>
      </c>
      <c r="F118" s="168" t="s">
        <v>177</v>
      </c>
      <c r="G118" s="168"/>
      <c r="M118" s="2"/>
      <c r="N118" s="2"/>
      <c r="O118" s="2"/>
      <c r="P118" s="2"/>
      <c r="Q118" s="2"/>
      <c r="R118" s="2"/>
    </row>
    <row r="119" spans="1:18" ht="15.6" customHeight="1">
      <c r="A119" s="108" t="s">
        <v>176</v>
      </c>
      <c r="B119" s="168">
        <v>617038988</v>
      </c>
      <c r="C119" s="168"/>
      <c r="D119" s="169">
        <v>46097</v>
      </c>
      <c r="E119" s="170">
        <v>151890</v>
      </c>
      <c r="F119" s="168" t="s">
        <v>177</v>
      </c>
      <c r="G119" s="168"/>
      <c r="M119" s="2"/>
      <c r="N119" s="2"/>
      <c r="O119" s="2"/>
      <c r="P119" s="2"/>
      <c r="Q119" s="2"/>
      <c r="R119" s="2"/>
    </row>
    <row r="120" spans="1:18" ht="15.6" customHeight="1">
      <c r="A120" s="108" t="s">
        <v>176</v>
      </c>
      <c r="B120" s="171">
        <v>617040308</v>
      </c>
      <c r="C120" s="168"/>
      <c r="D120" s="169">
        <v>46099</v>
      </c>
      <c r="E120" s="170">
        <v>171111</v>
      </c>
      <c r="F120" s="168" t="s">
        <v>177</v>
      </c>
      <c r="G120" s="168"/>
      <c r="M120" s="2"/>
      <c r="N120" s="2"/>
      <c r="O120" s="2"/>
      <c r="P120" s="2"/>
      <c r="Q120" s="2"/>
      <c r="R120" s="2"/>
    </row>
    <row r="121" spans="1:18" ht="15.6" customHeight="1">
      <c r="A121" s="108" t="s">
        <v>176</v>
      </c>
      <c r="B121" s="171">
        <v>617042948</v>
      </c>
      <c r="C121" s="168"/>
      <c r="D121" s="169">
        <v>46104</v>
      </c>
      <c r="E121" s="170">
        <v>174523</v>
      </c>
      <c r="F121" s="168" t="s">
        <v>177</v>
      </c>
      <c r="G121" s="168"/>
      <c r="M121" s="2"/>
      <c r="N121" s="2"/>
      <c r="O121" s="2"/>
      <c r="P121" s="2"/>
      <c r="Q121" s="2"/>
      <c r="R121" s="2"/>
    </row>
    <row r="122" spans="1:18" ht="15.6" customHeight="1">
      <c r="A122" s="108" t="s">
        <v>176</v>
      </c>
      <c r="B122" s="171">
        <v>617044589</v>
      </c>
      <c r="C122" s="168"/>
      <c r="D122" s="169">
        <v>46106</v>
      </c>
      <c r="E122" s="170">
        <v>137007</v>
      </c>
      <c r="F122" s="168" t="s">
        <v>177</v>
      </c>
      <c r="G122" s="168"/>
      <c r="M122" s="2"/>
      <c r="N122" s="2"/>
      <c r="O122" s="2"/>
      <c r="P122" s="2"/>
      <c r="Q122" s="2"/>
      <c r="R122" s="2"/>
    </row>
    <row r="123" spans="1:18" ht="15.6" customHeight="1">
      <c r="A123" s="108" t="s">
        <v>176</v>
      </c>
      <c r="B123" s="171">
        <v>617047048</v>
      </c>
      <c r="C123" s="168"/>
      <c r="D123" s="169">
        <v>46111</v>
      </c>
      <c r="E123" s="170">
        <v>153491</v>
      </c>
      <c r="F123" s="168" t="s">
        <v>177</v>
      </c>
      <c r="G123" s="168"/>
      <c r="M123" s="2"/>
      <c r="N123" s="2"/>
      <c r="O123" s="2"/>
      <c r="P123" s="2"/>
      <c r="Q123" s="2"/>
      <c r="R123" s="2"/>
    </row>
    <row r="124" spans="1:18" ht="15.6" customHeight="1">
      <c r="A124" s="108" t="s">
        <v>180</v>
      </c>
      <c r="B124" s="171" t="s">
        <v>279</v>
      </c>
      <c r="C124" s="168"/>
      <c r="D124" s="169">
        <v>46090</v>
      </c>
      <c r="E124" s="170">
        <v>1018</v>
      </c>
      <c r="F124" s="168" t="s">
        <v>182</v>
      </c>
      <c r="G124" s="168" t="s">
        <v>183</v>
      </c>
      <c r="M124" s="2"/>
      <c r="N124" s="2"/>
      <c r="O124" s="2"/>
      <c r="P124" s="2"/>
      <c r="Q124" s="2"/>
      <c r="R124" s="2"/>
    </row>
    <row r="125" spans="1:18" ht="15.6" customHeight="1">
      <c r="A125" s="108" t="s">
        <v>180</v>
      </c>
      <c r="B125" s="171" t="s">
        <v>280</v>
      </c>
      <c r="C125" s="168"/>
      <c r="D125" s="169">
        <v>46103</v>
      </c>
      <c r="E125" s="170">
        <v>8714</v>
      </c>
      <c r="F125" s="168" t="s">
        <v>182</v>
      </c>
      <c r="G125" s="168" t="s">
        <v>281</v>
      </c>
      <c r="M125" s="2"/>
      <c r="N125" s="2"/>
      <c r="O125" s="2"/>
      <c r="P125" s="2"/>
      <c r="Q125" s="2"/>
      <c r="R125" s="2"/>
    </row>
    <row r="126" spans="1:18" ht="15.6" customHeight="1">
      <c r="A126" s="108" t="s">
        <v>88</v>
      </c>
      <c r="B126" s="171" t="s">
        <v>282</v>
      </c>
      <c r="C126" s="168"/>
      <c r="D126" s="169">
        <v>46082</v>
      </c>
      <c r="E126" s="170">
        <v>-1558</v>
      </c>
      <c r="F126" s="168" t="s">
        <v>29</v>
      </c>
      <c r="G126" s="168"/>
      <c r="M126" s="2"/>
      <c r="N126" s="2"/>
      <c r="O126" s="2"/>
      <c r="P126" s="2"/>
      <c r="Q126" s="2"/>
      <c r="R126" s="2"/>
    </row>
    <row r="127" spans="1:18" ht="15.6" customHeight="1">
      <c r="A127" s="108" t="s">
        <v>283</v>
      </c>
      <c r="B127" s="171" t="s">
        <v>284</v>
      </c>
      <c r="C127" s="168"/>
      <c r="D127" s="169">
        <v>46097</v>
      </c>
      <c r="E127" s="170">
        <v>22900</v>
      </c>
      <c r="F127" s="168" t="s">
        <v>177</v>
      </c>
      <c r="G127" s="168" t="s">
        <v>285</v>
      </c>
      <c r="M127" s="2"/>
      <c r="N127" s="2"/>
      <c r="O127" s="2"/>
      <c r="P127" s="2"/>
      <c r="Q127" s="2"/>
      <c r="R127" s="2"/>
    </row>
    <row r="128" spans="1:18" ht="15.6" customHeight="1">
      <c r="A128"/>
      <c r="B128"/>
      <c r="C128"/>
      <c r="D128" s="162"/>
      <c r="E128" s="90">
        <f>SUM(E113:E127)</f>
        <v>1499935</v>
      </c>
      <c r="G128"/>
      <c r="M128" s="2"/>
      <c r="N128" s="2"/>
      <c r="O128" s="2"/>
      <c r="P128" s="2"/>
      <c r="Q128" s="2"/>
      <c r="R128" s="2"/>
    </row>
    <row r="129" spans="1:18" ht="15.6" customHeight="1">
      <c r="A129" s="188" t="s">
        <v>119</v>
      </c>
      <c r="B129" s="188"/>
      <c r="C129" s="188"/>
      <c r="D129" s="188"/>
      <c r="E129" s="188"/>
      <c r="F129" s="188"/>
      <c r="G129" s="188"/>
      <c r="M129" s="2"/>
      <c r="N129" s="2"/>
      <c r="O129" s="2"/>
      <c r="P129" s="2"/>
      <c r="Q129" s="2"/>
      <c r="R129" s="2"/>
    </row>
    <row r="130" spans="1:18" ht="15.6" customHeight="1">
      <c r="A130" s="189" t="s">
        <v>43</v>
      </c>
      <c r="B130" s="189"/>
      <c r="C130" s="189"/>
      <c r="D130" s="189"/>
      <c r="E130" s="189"/>
      <c r="F130" s="189"/>
      <c r="G130" s="189"/>
      <c r="M130" s="2"/>
      <c r="N130" s="2"/>
      <c r="O130" s="2"/>
      <c r="P130" s="2"/>
      <c r="Q130" s="2"/>
      <c r="R130" s="2"/>
    </row>
    <row r="131" spans="1:18" ht="15.6" customHeight="1">
      <c r="A131" s="99" t="s">
        <v>191</v>
      </c>
      <c r="B131" s="5" t="s">
        <v>286</v>
      </c>
      <c r="C131" s="5"/>
      <c r="D131" s="6">
        <v>46083</v>
      </c>
      <c r="E131" s="10">
        <v>5806</v>
      </c>
      <c r="F131" s="6">
        <v>46091</v>
      </c>
      <c r="G131" s="5" t="s">
        <v>193</v>
      </c>
      <c r="M131" s="2"/>
      <c r="N131" s="2"/>
      <c r="O131" s="2"/>
      <c r="P131" s="2"/>
      <c r="Q131" s="2"/>
      <c r="R131" s="2"/>
    </row>
    <row r="132" spans="1:18" ht="15.6" customHeight="1">
      <c r="A132" s="99" t="s">
        <v>191</v>
      </c>
      <c r="B132" s="5" t="s">
        <v>287</v>
      </c>
      <c r="C132" s="5"/>
      <c r="D132" s="6">
        <v>46083</v>
      </c>
      <c r="E132" s="10">
        <v>34715</v>
      </c>
      <c r="F132" s="6">
        <v>46091</v>
      </c>
      <c r="G132" s="5" t="s">
        <v>193</v>
      </c>
      <c r="M132" s="2"/>
      <c r="N132" s="2"/>
      <c r="O132" s="2"/>
      <c r="P132" s="2"/>
      <c r="Q132" s="2"/>
      <c r="R132" s="2"/>
    </row>
    <row r="133" spans="1:18" ht="15.6" customHeight="1">
      <c r="A133" s="99" t="s">
        <v>191</v>
      </c>
      <c r="B133" s="5" t="s">
        <v>288</v>
      </c>
      <c r="C133" s="5"/>
      <c r="D133" s="6">
        <v>46090</v>
      </c>
      <c r="E133" s="10">
        <v>48746</v>
      </c>
      <c r="F133" s="6">
        <v>46098</v>
      </c>
      <c r="G133" s="5" t="s">
        <v>193</v>
      </c>
      <c r="M133" s="2"/>
      <c r="N133" s="2"/>
      <c r="O133" s="2"/>
      <c r="P133" s="2"/>
      <c r="Q133" s="2"/>
      <c r="R133" s="2"/>
    </row>
    <row r="134" spans="1:18" ht="15.6" customHeight="1">
      <c r="A134" s="99" t="s">
        <v>191</v>
      </c>
      <c r="B134" s="5" t="s">
        <v>289</v>
      </c>
      <c r="C134" s="5"/>
      <c r="D134" s="6">
        <v>46090</v>
      </c>
      <c r="E134" s="10">
        <v>7039</v>
      </c>
      <c r="F134" s="6">
        <v>46098</v>
      </c>
      <c r="G134" s="5" t="s">
        <v>193</v>
      </c>
      <c r="M134" s="2"/>
      <c r="N134" s="2"/>
      <c r="O134" s="2"/>
      <c r="P134" s="2"/>
      <c r="Q134" s="2"/>
      <c r="R134" s="2"/>
    </row>
    <row r="135" spans="1:18" ht="15.6" customHeight="1">
      <c r="A135" s="99" t="s">
        <v>191</v>
      </c>
      <c r="B135" s="5" t="s">
        <v>290</v>
      </c>
      <c r="C135" s="5"/>
      <c r="D135" s="6">
        <v>46097</v>
      </c>
      <c r="E135" s="10">
        <v>51912</v>
      </c>
      <c r="F135" s="6">
        <v>46105</v>
      </c>
      <c r="G135" s="5" t="s">
        <v>193</v>
      </c>
      <c r="M135" s="2"/>
      <c r="N135" s="2"/>
      <c r="O135" s="2"/>
      <c r="P135" s="2"/>
      <c r="Q135" s="2"/>
      <c r="R135" s="2"/>
    </row>
    <row r="136" spans="1:18" ht="15.6" customHeight="1">
      <c r="A136" s="99" t="s">
        <v>191</v>
      </c>
      <c r="B136" s="5" t="s">
        <v>291</v>
      </c>
      <c r="C136" s="5"/>
      <c r="D136" s="6">
        <v>46097</v>
      </c>
      <c r="E136" s="10">
        <v>3977</v>
      </c>
      <c r="F136" s="6">
        <v>46105</v>
      </c>
      <c r="G136" s="5" t="s">
        <v>193</v>
      </c>
      <c r="M136" s="2"/>
      <c r="N136" s="2"/>
      <c r="O136" s="2"/>
      <c r="P136" s="2"/>
      <c r="Q136" s="2"/>
      <c r="R136" s="2"/>
    </row>
    <row r="137" spans="1:18" ht="15.6" customHeight="1">
      <c r="A137" s="99" t="s">
        <v>191</v>
      </c>
      <c r="B137" s="5" t="s">
        <v>292</v>
      </c>
      <c r="C137" s="5"/>
      <c r="D137" s="6">
        <v>46104</v>
      </c>
      <c r="E137" s="10">
        <v>2744</v>
      </c>
      <c r="F137" s="6">
        <v>46112</v>
      </c>
      <c r="G137" s="5" t="s">
        <v>193</v>
      </c>
      <c r="M137" s="2"/>
      <c r="N137" s="2"/>
      <c r="O137" s="2"/>
      <c r="P137" s="2"/>
      <c r="Q137" s="2"/>
      <c r="R137" s="2"/>
    </row>
    <row r="138" spans="1:18" ht="15.6" customHeight="1">
      <c r="A138" s="99" t="s">
        <v>191</v>
      </c>
      <c r="B138" s="5" t="s">
        <v>293</v>
      </c>
      <c r="C138" s="5"/>
      <c r="D138" s="6">
        <v>46104</v>
      </c>
      <c r="E138" s="10">
        <v>41521</v>
      </c>
      <c r="F138" s="6">
        <v>46112</v>
      </c>
      <c r="G138" s="5" t="s">
        <v>193</v>
      </c>
      <c r="M138" s="2"/>
      <c r="N138" s="2"/>
      <c r="O138" s="2"/>
      <c r="P138" s="2"/>
      <c r="Q138" s="2"/>
      <c r="R138" s="2"/>
    </row>
    <row r="139" spans="1:18" ht="15.6" customHeight="1">
      <c r="A139" s="99" t="s">
        <v>191</v>
      </c>
      <c r="B139" s="5" t="s">
        <v>294</v>
      </c>
      <c r="C139" s="5"/>
      <c r="D139" s="6">
        <v>46111</v>
      </c>
      <c r="E139" s="10">
        <v>4891</v>
      </c>
      <c r="F139" s="6">
        <v>46119</v>
      </c>
      <c r="G139" s="5" t="s">
        <v>193</v>
      </c>
      <c r="M139" s="2"/>
      <c r="N139" s="2"/>
      <c r="O139" s="2"/>
      <c r="P139" s="2"/>
      <c r="Q139" s="2"/>
      <c r="R139" s="2"/>
    </row>
    <row r="140" spans="1:18" ht="15.75">
      <c r="A140" s="99" t="s">
        <v>191</v>
      </c>
      <c r="B140" s="5" t="s">
        <v>295</v>
      </c>
      <c r="C140" s="5"/>
      <c r="D140" s="6">
        <v>46111</v>
      </c>
      <c r="E140" s="10">
        <v>35025</v>
      </c>
      <c r="F140" s="6">
        <v>46119</v>
      </c>
      <c r="G140" s="5" t="s">
        <v>193</v>
      </c>
      <c r="M140" s="2"/>
      <c r="N140" s="2"/>
      <c r="O140" s="2"/>
      <c r="P140" s="2"/>
      <c r="Q140" s="2"/>
      <c r="R140" s="2"/>
    </row>
    <row r="141" spans="1:18" ht="15.6" customHeight="1">
      <c r="A141" s="99" t="s">
        <v>296</v>
      </c>
      <c r="B141" s="5" t="s">
        <v>297</v>
      </c>
      <c r="C141" s="5" t="s">
        <v>298</v>
      </c>
      <c r="D141" s="6">
        <v>46089</v>
      </c>
      <c r="E141" s="10">
        <v>60935</v>
      </c>
      <c r="F141" s="6">
        <v>46094</v>
      </c>
      <c r="G141" s="5" t="s">
        <v>193</v>
      </c>
      <c r="M141" s="2"/>
      <c r="N141" s="2"/>
      <c r="O141" s="2"/>
      <c r="P141" s="2"/>
      <c r="Q141" s="2"/>
      <c r="R141" s="2"/>
    </row>
    <row r="142" spans="1:18" ht="15.6" customHeight="1">
      <c r="A142" s="99" t="s">
        <v>296</v>
      </c>
      <c r="B142" s="5" t="s">
        <v>299</v>
      </c>
      <c r="C142" s="5" t="s">
        <v>300</v>
      </c>
      <c r="D142" s="6">
        <v>46096</v>
      </c>
      <c r="E142" s="10">
        <v>56145</v>
      </c>
      <c r="F142" s="6">
        <v>46101</v>
      </c>
      <c r="G142" s="5" t="s">
        <v>193</v>
      </c>
      <c r="M142" s="2"/>
      <c r="N142" s="2"/>
      <c r="O142" s="2"/>
      <c r="P142" s="2"/>
      <c r="Q142" s="2"/>
      <c r="R142" s="2"/>
    </row>
    <row r="143" spans="1:18" ht="15.6" customHeight="1">
      <c r="A143" s="99" t="s">
        <v>296</v>
      </c>
      <c r="B143" s="5" t="s">
        <v>301</v>
      </c>
      <c r="C143" s="5" t="s">
        <v>302</v>
      </c>
      <c r="D143" s="6">
        <v>46103</v>
      </c>
      <c r="E143" s="10">
        <v>70566</v>
      </c>
      <c r="F143" s="6">
        <v>46108</v>
      </c>
      <c r="G143" s="5" t="s">
        <v>193</v>
      </c>
      <c r="M143" s="2"/>
      <c r="N143" s="2"/>
      <c r="O143" s="2"/>
      <c r="P143" s="2"/>
      <c r="Q143" s="2"/>
      <c r="R143" s="2"/>
    </row>
    <row r="144" spans="1:18" ht="15.6" customHeight="1">
      <c r="A144" s="99" t="s">
        <v>296</v>
      </c>
      <c r="B144" s="5" t="s">
        <v>303</v>
      </c>
      <c r="C144" s="5" t="s">
        <v>304</v>
      </c>
      <c r="D144" s="6">
        <v>46110</v>
      </c>
      <c r="E144" s="10">
        <v>69155</v>
      </c>
      <c r="F144" s="6">
        <v>46120</v>
      </c>
      <c r="G144" s="5" t="s">
        <v>193</v>
      </c>
      <c r="M144" s="2"/>
      <c r="N144" s="2"/>
      <c r="O144" s="2"/>
      <c r="P144" s="2"/>
      <c r="Q144" s="2"/>
      <c r="R144" s="2"/>
    </row>
    <row r="145" spans="1:18" ht="15.6" customHeight="1">
      <c r="A145" s="99" t="s">
        <v>296</v>
      </c>
      <c r="B145" s="5" t="s">
        <v>305</v>
      </c>
      <c r="C145" s="5" t="s">
        <v>306</v>
      </c>
      <c r="D145" s="6">
        <v>46112</v>
      </c>
      <c r="E145" s="10">
        <v>21470</v>
      </c>
      <c r="F145" s="6">
        <v>46122</v>
      </c>
      <c r="G145" s="5" t="s">
        <v>193</v>
      </c>
      <c r="M145" s="2"/>
      <c r="N145" s="2"/>
      <c r="O145" s="2"/>
      <c r="P145" s="2"/>
      <c r="Q145" s="2"/>
      <c r="R145" s="2"/>
    </row>
    <row r="146" spans="1:18" ht="16.5" customHeight="1">
      <c r="A146" s="99" t="s">
        <v>207</v>
      </c>
      <c r="B146" s="5">
        <v>610701678</v>
      </c>
      <c r="C146" s="5">
        <v>610402559</v>
      </c>
      <c r="D146" s="6">
        <v>46083</v>
      </c>
      <c r="E146" s="10">
        <v>52345</v>
      </c>
      <c r="F146" s="6">
        <v>46093</v>
      </c>
      <c r="G146" s="5" t="s">
        <v>193</v>
      </c>
      <c r="M146" s="2"/>
      <c r="N146" s="2"/>
      <c r="O146" s="2"/>
      <c r="P146" s="2"/>
      <c r="Q146" s="2"/>
      <c r="R146" s="2"/>
    </row>
    <row r="147" spans="1:18" ht="16.5" customHeight="1">
      <c r="A147" s="99" t="s">
        <v>207</v>
      </c>
      <c r="B147" s="5">
        <v>610701967</v>
      </c>
      <c r="C147" s="5">
        <v>610402895</v>
      </c>
      <c r="D147" s="6">
        <v>46090</v>
      </c>
      <c r="E147" s="10">
        <v>23019</v>
      </c>
      <c r="F147" s="6">
        <v>46100</v>
      </c>
      <c r="G147" s="5" t="s">
        <v>193</v>
      </c>
      <c r="M147" s="2"/>
      <c r="N147" s="2"/>
      <c r="O147" s="2"/>
      <c r="P147" s="2"/>
      <c r="Q147" s="2"/>
      <c r="R147" s="2"/>
    </row>
    <row r="148" spans="1:18" ht="16.5" customHeight="1">
      <c r="A148" s="99" t="s">
        <v>207</v>
      </c>
      <c r="B148" s="5">
        <v>610702201</v>
      </c>
      <c r="C148" s="5">
        <v>610403226</v>
      </c>
      <c r="D148" s="6">
        <v>46097</v>
      </c>
      <c r="E148" s="10">
        <v>15526</v>
      </c>
      <c r="F148" s="6">
        <v>46107</v>
      </c>
      <c r="G148" s="5" t="s">
        <v>193</v>
      </c>
      <c r="M148" s="2"/>
      <c r="N148" s="2"/>
      <c r="O148" s="2"/>
      <c r="P148" s="2"/>
      <c r="Q148" s="2"/>
      <c r="R148" s="2"/>
    </row>
    <row r="149" spans="1:18" ht="16.5" customHeight="1">
      <c r="A149" s="99" t="s">
        <v>207</v>
      </c>
      <c r="B149" s="5">
        <v>610702395</v>
      </c>
      <c r="C149" s="5">
        <v>610403550</v>
      </c>
      <c r="D149" s="6">
        <v>46104</v>
      </c>
      <c r="E149" s="10">
        <v>31858</v>
      </c>
      <c r="F149" s="6">
        <v>46114</v>
      </c>
      <c r="G149" s="5" t="s">
        <v>193</v>
      </c>
      <c r="M149" s="2"/>
      <c r="N149" s="2"/>
      <c r="O149" s="2"/>
      <c r="P149" s="2"/>
      <c r="Q149" s="2"/>
      <c r="R149" s="2"/>
    </row>
    <row r="150" spans="1:18" ht="16.5" customHeight="1">
      <c r="A150" s="99" t="s">
        <v>207</v>
      </c>
      <c r="B150" s="5">
        <v>610702419</v>
      </c>
      <c r="C150" s="5">
        <v>610403601</v>
      </c>
      <c r="D150" s="6">
        <v>46104</v>
      </c>
      <c r="E150" s="10">
        <v>30343</v>
      </c>
      <c r="F150" s="6">
        <v>46114</v>
      </c>
      <c r="G150" s="5" t="s">
        <v>193</v>
      </c>
      <c r="M150" s="2"/>
      <c r="N150" s="2"/>
      <c r="O150" s="2"/>
      <c r="P150" s="2"/>
      <c r="Q150" s="2"/>
      <c r="R150" s="2"/>
    </row>
    <row r="151" spans="1:18" ht="15.6" customHeight="1">
      <c r="A151" s="99" t="s">
        <v>207</v>
      </c>
      <c r="B151" s="5">
        <v>610702484</v>
      </c>
      <c r="C151" s="5">
        <v>610403656</v>
      </c>
      <c r="D151" s="6">
        <v>46106</v>
      </c>
      <c r="E151" s="10">
        <v>13598</v>
      </c>
      <c r="F151" s="6">
        <v>46116</v>
      </c>
      <c r="G151" s="5" t="s">
        <v>193</v>
      </c>
      <c r="M151" s="2"/>
      <c r="N151" s="2"/>
      <c r="O151" s="2"/>
      <c r="P151" s="2"/>
      <c r="Q151" s="2"/>
      <c r="R151" s="2"/>
    </row>
    <row r="152" spans="1:18" ht="15.6" customHeight="1">
      <c r="A152" s="99" t="s">
        <v>207</v>
      </c>
      <c r="B152" s="5">
        <v>610702628</v>
      </c>
      <c r="C152" s="5">
        <v>610403890</v>
      </c>
      <c r="D152" s="6">
        <v>46111</v>
      </c>
      <c r="E152" s="10">
        <v>6716</v>
      </c>
      <c r="F152" s="6">
        <v>46121</v>
      </c>
      <c r="G152" s="5" t="s">
        <v>193</v>
      </c>
      <c r="M152" s="2"/>
      <c r="N152" s="2"/>
      <c r="O152" s="2"/>
      <c r="P152" s="2"/>
      <c r="Q152" s="2"/>
      <c r="R152" s="2"/>
    </row>
    <row r="153" spans="1:18" ht="15.6" customHeight="1">
      <c r="A153" s="99" t="s">
        <v>307</v>
      </c>
      <c r="B153" s="5" t="s">
        <v>308</v>
      </c>
      <c r="C153" s="5" t="s">
        <v>309</v>
      </c>
      <c r="D153" s="6">
        <v>46083</v>
      </c>
      <c r="E153" s="10">
        <v>64927</v>
      </c>
      <c r="F153" s="6">
        <v>46091</v>
      </c>
      <c r="G153" s="5" t="s">
        <v>193</v>
      </c>
      <c r="M153" s="2"/>
      <c r="N153" s="2"/>
      <c r="O153" s="2"/>
      <c r="P153" s="2"/>
      <c r="Q153" s="2"/>
      <c r="R153" s="2"/>
    </row>
    <row r="154" spans="1:18" ht="15.6" customHeight="1">
      <c r="A154" s="99" t="s">
        <v>307</v>
      </c>
      <c r="B154" s="5" t="s">
        <v>310</v>
      </c>
      <c r="C154" s="5" t="s">
        <v>311</v>
      </c>
      <c r="D154" s="6">
        <v>46092</v>
      </c>
      <c r="E154" s="10">
        <v>73477</v>
      </c>
      <c r="F154" s="6">
        <v>46100</v>
      </c>
      <c r="G154" s="5" t="s">
        <v>193</v>
      </c>
      <c r="M154" s="2"/>
      <c r="N154" s="2"/>
      <c r="O154" s="2"/>
      <c r="P154" s="2"/>
      <c r="Q154" s="2"/>
      <c r="R154" s="2"/>
    </row>
    <row r="155" spans="1:18" ht="15.6" customHeight="1">
      <c r="A155" s="99" t="s">
        <v>307</v>
      </c>
      <c r="B155" s="5" t="s">
        <v>312</v>
      </c>
      <c r="C155" s="5" t="s">
        <v>313</v>
      </c>
      <c r="D155" s="6">
        <v>46104</v>
      </c>
      <c r="E155" s="10">
        <v>64927</v>
      </c>
      <c r="F155" s="6">
        <v>46112</v>
      </c>
      <c r="G155" s="5" t="s">
        <v>193</v>
      </c>
      <c r="M155" s="2"/>
      <c r="N155" s="2"/>
      <c r="O155" s="2"/>
      <c r="P155" s="2"/>
      <c r="Q155" s="2"/>
      <c r="R155" s="2"/>
    </row>
    <row r="156" spans="1:18" ht="15.6" customHeight="1">
      <c r="A156" s="99" t="s">
        <v>215</v>
      </c>
      <c r="B156" s="5">
        <v>1604868789</v>
      </c>
      <c r="C156" s="5">
        <v>8929679320</v>
      </c>
      <c r="D156" s="6">
        <v>46083</v>
      </c>
      <c r="E156" s="10">
        <v>103677</v>
      </c>
      <c r="F156" s="6">
        <v>46097</v>
      </c>
      <c r="G156" s="5" t="s">
        <v>193</v>
      </c>
      <c r="M156" s="2"/>
      <c r="N156" s="2"/>
      <c r="O156" s="2"/>
      <c r="P156" s="2"/>
      <c r="Q156" s="2"/>
      <c r="R156" s="2"/>
    </row>
    <row r="157" spans="1:18" ht="15.6" customHeight="1">
      <c r="A157" s="99" t="s">
        <v>215</v>
      </c>
      <c r="B157" s="5">
        <v>1604868790</v>
      </c>
      <c r="C157" s="5">
        <v>8929680778</v>
      </c>
      <c r="D157" s="6">
        <v>46083</v>
      </c>
      <c r="E157" s="10">
        <v>600</v>
      </c>
      <c r="F157" s="6">
        <v>46097</v>
      </c>
      <c r="G157" s="5" t="s">
        <v>193</v>
      </c>
      <c r="M157" s="2"/>
      <c r="N157" s="2"/>
      <c r="O157" s="2"/>
      <c r="P157" s="2"/>
      <c r="Q157" s="2"/>
      <c r="R157" s="2"/>
    </row>
    <row r="158" spans="1:18" ht="15.6" customHeight="1">
      <c r="A158" s="99" t="s">
        <v>215</v>
      </c>
      <c r="B158" s="5">
        <v>1604875075</v>
      </c>
      <c r="C158" s="5">
        <v>8929699442</v>
      </c>
      <c r="D158" s="6">
        <v>46092</v>
      </c>
      <c r="E158" s="10">
        <v>124890</v>
      </c>
      <c r="F158" s="6">
        <v>46106</v>
      </c>
      <c r="G158" s="5" t="s">
        <v>193</v>
      </c>
      <c r="M158" s="2"/>
      <c r="N158" s="2"/>
      <c r="O158" s="2"/>
      <c r="P158" s="2"/>
      <c r="Q158" s="2"/>
      <c r="R158" s="2"/>
    </row>
    <row r="159" spans="1:18" ht="15.6" customHeight="1">
      <c r="A159" s="99" t="s">
        <v>314</v>
      </c>
      <c r="B159" s="5" t="s">
        <v>315</v>
      </c>
      <c r="C159" s="5"/>
      <c r="D159" s="6">
        <v>46083</v>
      </c>
      <c r="E159" s="10">
        <v>99797</v>
      </c>
      <c r="F159" s="6">
        <v>46091</v>
      </c>
      <c r="G159" s="5" t="s">
        <v>193</v>
      </c>
      <c r="M159" s="2"/>
      <c r="N159" s="2"/>
      <c r="O159" s="2"/>
      <c r="P159" s="2"/>
      <c r="Q159" s="2"/>
      <c r="R159" s="2"/>
    </row>
    <row r="160" spans="1:18" ht="15.6" customHeight="1">
      <c r="A160" s="99" t="s">
        <v>314</v>
      </c>
      <c r="B160" s="5" t="s">
        <v>316</v>
      </c>
      <c r="C160" s="5"/>
      <c r="D160" s="6">
        <v>46101</v>
      </c>
      <c r="E160" s="10">
        <v>149348</v>
      </c>
      <c r="F160" s="6">
        <v>46109</v>
      </c>
      <c r="G160" s="5" t="s">
        <v>193</v>
      </c>
      <c r="M160" s="2"/>
      <c r="N160" s="2"/>
      <c r="O160" s="2"/>
      <c r="P160" s="2"/>
      <c r="Q160" s="2"/>
      <c r="R160" s="2"/>
    </row>
    <row r="161" spans="1:18" ht="15.6" customHeight="1">
      <c r="A161" s="99" t="s">
        <v>314</v>
      </c>
      <c r="B161" s="5" t="s">
        <v>317</v>
      </c>
      <c r="C161" s="5"/>
      <c r="D161" s="6">
        <v>46101</v>
      </c>
      <c r="E161" s="10">
        <v>11484</v>
      </c>
      <c r="F161" s="6">
        <v>46114</v>
      </c>
      <c r="G161" s="5" t="s">
        <v>193</v>
      </c>
      <c r="H161" s="2" t="s">
        <v>318</v>
      </c>
      <c r="M161" s="2"/>
      <c r="N161" s="2"/>
      <c r="O161" s="2"/>
      <c r="P161" s="2"/>
      <c r="Q161" s="2"/>
      <c r="R161" s="2"/>
    </row>
    <row r="162" spans="1:18" ht="15.6" customHeight="1">
      <c r="A162" s="99" t="s">
        <v>216</v>
      </c>
      <c r="B162" s="5">
        <v>702608571</v>
      </c>
      <c r="C162" s="5">
        <v>962464979</v>
      </c>
      <c r="D162" s="6">
        <v>46105</v>
      </c>
      <c r="E162" s="10">
        <v>87736</v>
      </c>
      <c r="F162" s="6">
        <v>46127</v>
      </c>
      <c r="G162" s="5" t="s">
        <v>193</v>
      </c>
      <c r="M162" s="2"/>
      <c r="N162" s="2"/>
      <c r="O162" s="2"/>
      <c r="P162" s="2"/>
      <c r="Q162" s="2"/>
      <c r="R162" s="2"/>
    </row>
    <row r="163" spans="1:18" ht="15.6" customHeight="1">
      <c r="A163" s="99" t="s">
        <v>319</v>
      </c>
      <c r="B163" s="5" t="s">
        <v>320</v>
      </c>
      <c r="C163" s="5"/>
      <c r="D163" s="6">
        <v>46087</v>
      </c>
      <c r="E163" s="10">
        <v>5715</v>
      </c>
      <c r="F163" s="6">
        <v>46102</v>
      </c>
      <c r="G163" s="5" t="s">
        <v>193</v>
      </c>
      <c r="M163" s="2"/>
      <c r="N163" s="2"/>
      <c r="O163" s="2"/>
      <c r="P163" s="2"/>
      <c r="Q163" s="2"/>
      <c r="R163" s="2"/>
    </row>
    <row r="164" spans="1:18" ht="15.6" customHeight="1">
      <c r="A164" s="99" t="s">
        <v>271</v>
      </c>
      <c r="B164" s="5" t="s">
        <v>321</v>
      </c>
      <c r="C164" s="5"/>
      <c r="D164" s="6">
        <v>46092</v>
      </c>
      <c r="E164" s="10">
        <v>63120</v>
      </c>
      <c r="F164" s="6">
        <v>46100</v>
      </c>
      <c r="G164" s="5" t="s">
        <v>193</v>
      </c>
      <c r="M164" s="2"/>
      <c r="N164" s="2"/>
      <c r="O164" s="2"/>
      <c r="P164" s="2"/>
      <c r="Q164" s="2"/>
      <c r="R164" s="2"/>
    </row>
    <row r="165" spans="1:18" ht="15.6" customHeight="1">
      <c r="A165" s="99" t="s">
        <v>227</v>
      </c>
      <c r="B165" s="5" t="s">
        <v>322</v>
      </c>
      <c r="C165" s="5"/>
      <c r="D165" s="6">
        <v>46091</v>
      </c>
      <c r="E165" s="10">
        <v>47950</v>
      </c>
      <c r="F165" s="6">
        <v>46099</v>
      </c>
      <c r="G165" s="5" t="s">
        <v>193</v>
      </c>
      <c r="M165" s="2"/>
      <c r="N165" s="2"/>
      <c r="O165" s="2"/>
      <c r="P165" s="2"/>
      <c r="Q165" s="2"/>
      <c r="R165" s="2"/>
    </row>
    <row r="166" spans="1:18" ht="15.6" customHeight="1">
      <c r="A166" s="99" t="s">
        <v>220</v>
      </c>
      <c r="B166" s="5" t="s">
        <v>323</v>
      </c>
      <c r="C166" s="5"/>
      <c r="D166" s="6">
        <v>46111</v>
      </c>
      <c r="E166" s="10">
        <v>86246</v>
      </c>
      <c r="F166" s="6">
        <v>46119</v>
      </c>
      <c r="G166" s="5" t="s">
        <v>193</v>
      </c>
      <c r="M166" s="2"/>
      <c r="N166" s="2"/>
      <c r="O166" s="2"/>
      <c r="P166" s="2"/>
      <c r="Q166" s="2"/>
      <c r="R166" s="2"/>
    </row>
    <row r="167" spans="1:18" ht="15.6" customHeight="1">
      <c r="A167" s="99" t="s">
        <v>324</v>
      </c>
      <c r="B167" s="5">
        <v>261031063</v>
      </c>
      <c r="C167" s="5">
        <v>262033929</v>
      </c>
      <c r="D167" s="6">
        <v>46112</v>
      </c>
      <c r="E167" s="10">
        <v>47109</v>
      </c>
      <c r="F167" s="6">
        <v>46127</v>
      </c>
      <c r="G167" s="5" t="s">
        <v>193</v>
      </c>
      <c r="M167" s="2"/>
      <c r="N167" s="2"/>
      <c r="O167" s="2"/>
      <c r="P167" s="2"/>
      <c r="Q167" s="2"/>
      <c r="R167" s="2"/>
    </row>
    <row r="168" spans="1:18" ht="15.6" customHeight="1">
      <c r="A168" s="5"/>
      <c r="B168" s="5"/>
      <c r="C168" s="5"/>
      <c r="D168" s="6"/>
      <c r="E168" s="90">
        <f>SUM(E131:E167)</f>
        <v>1719055</v>
      </c>
      <c r="F168" s="6"/>
      <c r="G168" s="5"/>
      <c r="M168" s="2"/>
      <c r="N168" s="2"/>
      <c r="O168" s="2"/>
      <c r="P168" s="2"/>
      <c r="Q168" s="2"/>
      <c r="R168" s="2"/>
    </row>
    <row r="169" spans="1:18" ht="15.6" customHeight="1">
      <c r="A169" s="188" t="s">
        <v>170</v>
      </c>
      <c r="B169" s="188"/>
      <c r="C169" s="188"/>
      <c r="D169" s="188"/>
      <c r="E169" s="188"/>
      <c r="F169" s="188"/>
      <c r="G169" s="188"/>
      <c r="H169"/>
      <c r="I169"/>
      <c r="J169"/>
      <c r="K169"/>
      <c r="L169"/>
      <c r="M169"/>
      <c r="N169"/>
      <c r="O169"/>
      <c r="P169"/>
      <c r="Q169"/>
      <c r="R169"/>
    </row>
    <row r="170" spans="1:18" ht="15.6" customHeight="1">
      <c r="A170" s="189" t="s">
        <v>22</v>
      </c>
      <c r="B170" s="189"/>
      <c r="C170" s="189"/>
      <c r="D170" s="189"/>
      <c r="E170" s="189"/>
      <c r="F170" s="189"/>
      <c r="G170" s="189"/>
      <c r="H170"/>
      <c r="I170"/>
      <c r="J170"/>
      <c r="K170"/>
      <c r="L170"/>
      <c r="M170"/>
      <c r="N170"/>
      <c r="O170"/>
      <c r="P170"/>
      <c r="Q170"/>
      <c r="R170"/>
    </row>
    <row r="171" spans="1:18" ht="15.6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1:18" ht="15.6" customHeight="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1:18" ht="15.6" customHeight="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1:18" ht="15.6" customHeight="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1:18" ht="15.6" customHeight="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1:18" ht="15.6" customHeight="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1:18" ht="15.6" customHeight="1">
      <c r="A177" s="188" t="s">
        <v>170</v>
      </c>
      <c r="B177" s="188"/>
      <c r="C177" s="188"/>
      <c r="D177" s="188"/>
      <c r="E177" s="188"/>
      <c r="F177" s="188"/>
      <c r="G177" s="188"/>
      <c r="H177"/>
      <c r="I177"/>
      <c r="J177"/>
      <c r="K177"/>
      <c r="L177"/>
      <c r="M177"/>
      <c r="N177"/>
      <c r="O177"/>
      <c r="P177"/>
      <c r="Q177"/>
      <c r="R177"/>
    </row>
    <row r="178" spans="1:18" ht="15.6" customHeight="1">
      <c r="A178" s="189" t="s">
        <v>43</v>
      </c>
      <c r="B178" s="189"/>
      <c r="C178" s="189"/>
      <c r="D178" s="189"/>
      <c r="E178" s="189"/>
      <c r="F178" s="189"/>
      <c r="G178" s="189"/>
      <c r="H178"/>
      <c r="I178"/>
      <c r="J178"/>
      <c r="K178"/>
      <c r="L178"/>
      <c r="M178"/>
      <c r="N178"/>
      <c r="O178"/>
      <c r="P178"/>
      <c r="Q178"/>
      <c r="R178"/>
    </row>
    <row r="179" spans="1:18" ht="15.6" customHeight="1">
      <c r="D179" s="41"/>
      <c r="E179" s="32"/>
      <c r="F179" s="41"/>
      <c r="M179" s="2"/>
      <c r="N179" s="2"/>
      <c r="O179" s="2"/>
      <c r="P179" s="2"/>
      <c r="Q179" s="2"/>
      <c r="R179" s="2"/>
    </row>
    <row r="180" spans="1:18" ht="15.6" customHeight="1">
      <c r="D180" s="41"/>
      <c r="E180" s="32"/>
      <c r="M180" s="2"/>
      <c r="N180" s="2"/>
      <c r="O180" s="2"/>
      <c r="P180" s="2"/>
      <c r="Q180" s="2"/>
      <c r="R180" s="2"/>
    </row>
    <row r="181" spans="1:18" ht="15.6" customHeight="1">
      <c r="D181" s="41"/>
      <c r="E181" s="32"/>
      <c r="M181" s="2"/>
      <c r="N181" s="2"/>
      <c r="O181" s="2"/>
      <c r="P181" s="2"/>
      <c r="Q181" s="2"/>
      <c r="R181" s="2"/>
    </row>
    <row r="182" spans="1:18" ht="15.6" customHeight="1">
      <c r="D182" s="41"/>
      <c r="E182" s="32"/>
      <c r="K182" s="2" t="s">
        <v>325</v>
      </c>
      <c r="M182" s="2"/>
      <c r="N182" s="2"/>
      <c r="O182" s="2"/>
      <c r="P182" s="2"/>
      <c r="Q182" s="2"/>
      <c r="R182" s="2"/>
    </row>
    <row r="183" spans="1:18" ht="15.6" customHeight="1">
      <c r="D183" s="41"/>
      <c r="E183" s="32"/>
      <c r="M183" s="2"/>
      <c r="N183" s="2"/>
      <c r="O183" s="2"/>
      <c r="P183" s="2"/>
      <c r="Q183" s="2"/>
      <c r="R183" s="2"/>
    </row>
    <row r="184" spans="1:18" ht="15.6" customHeight="1">
      <c r="D184" s="41"/>
      <c r="E184" s="32"/>
      <c r="M184" s="2"/>
      <c r="N184" s="2"/>
      <c r="O184" s="2"/>
      <c r="P184" s="2"/>
      <c r="Q184" s="2"/>
      <c r="R184" s="2"/>
    </row>
    <row r="185" spans="1:18" ht="15.6" customHeight="1">
      <c r="D185" s="41"/>
      <c r="E185" s="32"/>
      <c r="M185" s="2"/>
      <c r="N185" s="2"/>
      <c r="O185" s="2"/>
      <c r="P185" s="2"/>
      <c r="Q185" s="2"/>
      <c r="R185" s="2"/>
    </row>
    <row r="186" spans="1:18" ht="15.6" customHeight="1">
      <c r="D186" s="41"/>
      <c r="E186" s="32"/>
      <c r="M186" s="2"/>
      <c r="N186" s="2"/>
      <c r="O186" s="2"/>
      <c r="P186" s="2"/>
      <c r="Q186" s="2"/>
      <c r="R186" s="2"/>
    </row>
    <row r="187" spans="1:18" ht="15.6" customHeight="1">
      <c r="D187" s="41"/>
      <c r="E187" s="32"/>
      <c r="M187" s="2"/>
      <c r="N187" s="2"/>
      <c r="O187" s="2"/>
      <c r="P187" s="2"/>
      <c r="Q187" s="2"/>
      <c r="R187" s="2"/>
    </row>
    <row r="188" spans="1:18" ht="15.6" customHeight="1">
      <c r="D188" s="41"/>
      <c r="E188" s="32"/>
      <c r="M188" s="2"/>
      <c r="N188" s="2"/>
      <c r="O188" s="2"/>
      <c r="P188" s="2"/>
      <c r="Q188" s="2"/>
      <c r="R188" s="2"/>
    </row>
    <row r="189" spans="1:18" ht="15.6" customHeight="1">
      <c r="D189" s="41"/>
      <c r="E189" s="32"/>
      <c r="M189" s="2"/>
      <c r="N189" s="2"/>
      <c r="O189" s="2"/>
      <c r="P189" s="2"/>
      <c r="Q189" s="2"/>
      <c r="R189" s="2"/>
    </row>
    <row r="190" spans="1:18" ht="15.6" customHeight="1">
      <c r="D190" s="41"/>
      <c r="E190" s="32"/>
      <c r="M190" s="2"/>
      <c r="N190" s="2"/>
      <c r="O190" s="2"/>
      <c r="P190" s="2"/>
      <c r="Q190" s="2"/>
      <c r="R190" s="2"/>
    </row>
    <row r="191" spans="1:18" ht="15.6" customHeight="1">
      <c r="D191" s="41"/>
      <c r="E191" s="32"/>
      <c r="M191" s="2"/>
      <c r="N191" s="2"/>
      <c r="O191" s="2"/>
      <c r="P191" s="2"/>
      <c r="Q191" s="2"/>
      <c r="R191" s="2"/>
    </row>
    <row r="192" spans="1:18" ht="15.6" customHeight="1">
      <c r="D192" s="41"/>
      <c r="E192" s="32"/>
      <c r="M192" s="2"/>
      <c r="N192" s="2"/>
      <c r="O192" s="2"/>
      <c r="P192" s="2"/>
      <c r="Q192" s="2"/>
      <c r="R192" s="2"/>
    </row>
    <row r="193" spans="4:18" ht="15.6" customHeight="1">
      <c r="D193" s="41"/>
      <c r="E193" s="32"/>
      <c r="M193" s="2"/>
      <c r="N193" s="2"/>
      <c r="O193" s="2"/>
      <c r="P193" s="2"/>
      <c r="Q193" s="2"/>
      <c r="R193" s="2"/>
    </row>
    <row r="194" spans="4:18" ht="15.6" customHeight="1">
      <c r="D194" s="41"/>
      <c r="E194" s="32"/>
      <c r="M194" s="2"/>
      <c r="N194" s="2"/>
      <c r="O194" s="2"/>
      <c r="P194" s="2"/>
      <c r="Q194" s="2"/>
      <c r="R194" s="2"/>
    </row>
    <row r="195" spans="4:18" ht="15.6" customHeight="1">
      <c r="D195" s="41"/>
      <c r="E195" s="32"/>
      <c r="M195" s="2"/>
      <c r="N195" s="2"/>
      <c r="O195" s="2"/>
      <c r="P195" s="2"/>
      <c r="Q195" s="2"/>
      <c r="R195" s="2"/>
    </row>
    <row r="196" spans="4:18" ht="21.6" customHeight="1">
      <c r="D196" s="41"/>
      <c r="E196" s="32"/>
      <c r="M196" s="2"/>
      <c r="N196" s="2"/>
      <c r="O196" s="2"/>
      <c r="P196" s="2"/>
      <c r="Q196" s="2"/>
      <c r="R196" s="2"/>
    </row>
    <row r="197" spans="4:18" ht="15.6" customHeight="1">
      <c r="D197" s="41"/>
      <c r="E197" s="32"/>
      <c r="M197" s="2"/>
      <c r="N197" s="2"/>
      <c r="O197" s="2"/>
      <c r="P197" s="2"/>
      <c r="Q197" s="2"/>
      <c r="R197" s="2"/>
    </row>
    <row r="198" spans="4:18" ht="21.6" customHeight="1">
      <c r="D198" s="41"/>
      <c r="E198" s="32"/>
      <c r="M198" s="2"/>
      <c r="N198" s="2"/>
      <c r="O198" s="2"/>
      <c r="P198" s="2"/>
      <c r="Q198" s="2"/>
      <c r="R198" s="2"/>
    </row>
    <row r="199" spans="4:18" ht="21.6" customHeight="1">
      <c r="E199" s="32"/>
      <c r="M199" s="2"/>
      <c r="N199" s="2"/>
      <c r="O199" s="2"/>
      <c r="P199" s="2"/>
      <c r="Q199" s="2"/>
      <c r="R199" s="2"/>
    </row>
    <row r="200" spans="4:18" ht="15.6" customHeight="1">
      <c r="E200" s="32"/>
      <c r="M200" s="2"/>
      <c r="N200" s="2"/>
      <c r="O200" s="2"/>
      <c r="P200" s="2"/>
      <c r="Q200" s="2"/>
      <c r="R200" s="2"/>
    </row>
    <row r="201" spans="4:18" ht="15.6" customHeight="1">
      <c r="E201" s="32"/>
      <c r="M201" s="2"/>
      <c r="N201" s="2"/>
      <c r="O201" s="2"/>
      <c r="P201" s="2"/>
      <c r="Q201" s="2"/>
      <c r="R201" s="2"/>
    </row>
    <row r="202" spans="4:18" ht="15.6" customHeight="1">
      <c r="E202" s="32"/>
      <c r="M202" s="2"/>
      <c r="N202" s="2"/>
      <c r="O202" s="2"/>
      <c r="P202" s="2"/>
      <c r="Q202" s="2"/>
      <c r="R202" s="2"/>
    </row>
    <row r="203" spans="4:18" ht="15.6" customHeight="1">
      <c r="E203" s="32"/>
      <c r="M203" s="2"/>
      <c r="N203" s="2"/>
      <c r="O203" s="2"/>
      <c r="P203" s="2"/>
      <c r="Q203" s="2"/>
      <c r="R203" s="2"/>
    </row>
    <row r="204" spans="4:18" ht="15.6" customHeight="1">
      <c r="E204" s="32"/>
      <c r="M204" s="2"/>
      <c r="N204" s="2"/>
      <c r="O204" s="2"/>
      <c r="P204" s="2"/>
      <c r="Q204" s="2"/>
      <c r="R204" s="2"/>
    </row>
    <row r="205" spans="4:18" ht="15.6" customHeight="1">
      <c r="E205" s="32"/>
      <c r="M205" s="2"/>
      <c r="N205" s="2"/>
      <c r="O205" s="2"/>
      <c r="P205" s="2"/>
      <c r="Q205" s="2"/>
      <c r="R205" s="2"/>
    </row>
    <row r="206" spans="4:18" ht="15.6" customHeight="1">
      <c r="E206" s="32"/>
      <c r="M206" s="2"/>
      <c r="N206" s="2"/>
      <c r="O206" s="2"/>
      <c r="P206" s="2"/>
      <c r="Q206" s="2"/>
      <c r="R206" s="2"/>
    </row>
    <row r="207" spans="4:18" ht="18" customHeight="1">
      <c r="E207" s="32"/>
      <c r="M207" s="2"/>
      <c r="N207" s="2"/>
      <c r="O207" s="2"/>
      <c r="P207" s="2"/>
      <c r="Q207" s="2"/>
      <c r="R207" s="2"/>
    </row>
    <row r="208" spans="4:18" ht="18" customHeight="1">
      <c r="E208" s="32"/>
      <c r="M208" s="2"/>
      <c r="N208" s="2"/>
      <c r="O208" s="2"/>
      <c r="P208" s="2"/>
      <c r="Q208" s="2"/>
      <c r="R208" s="2"/>
    </row>
    <row r="209" spans="5:18" ht="15.6" customHeight="1">
      <c r="E209" s="32"/>
      <c r="M209" s="2"/>
      <c r="N209" s="2"/>
      <c r="O209" s="2"/>
      <c r="P209" s="2"/>
      <c r="Q209" s="2"/>
      <c r="R209" s="2"/>
    </row>
    <row r="210" spans="5:18" ht="15.6" customHeight="1">
      <c r="E210" s="32"/>
      <c r="M210" s="2"/>
      <c r="N210" s="2"/>
      <c r="O210" s="2"/>
      <c r="P210" s="2"/>
      <c r="Q210" s="2"/>
      <c r="R210" s="2"/>
    </row>
    <row r="211" spans="5:18" ht="15.6" customHeight="1">
      <c r="E211" s="32"/>
      <c r="M211" s="2"/>
      <c r="N211" s="2"/>
      <c r="O211" s="2"/>
      <c r="P211" s="2"/>
      <c r="Q211" s="2"/>
      <c r="R211" s="2"/>
    </row>
    <row r="212" spans="5:18" ht="15.6" customHeight="1">
      <c r="E212" s="32"/>
      <c r="M212" s="2"/>
      <c r="N212" s="2"/>
      <c r="O212" s="2"/>
      <c r="P212" s="2"/>
      <c r="Q212" s="2"/>
      <c r="R212" s="2"/>
    </row>
    <row r="213" spans="5:18" ht="15.6" customHeight="1">
      <c r="E213" s="32"/>
      <c r="M213" s="2"/>
      <c r="N213" s="2"/>
      <c r="O213" s="2"/>
      <c r="P213" s="2"/>
      <c r="Q213" s="2"/>
      <c r="R213" s="2"/>
    </row>
    <row r="214" spans="5:18" ht="15.6" customHeight="1">
      <c r="E214" s="32"/>
      <c r="M214" s="2"/>
      <c r="N214" s="2"/>
      <c r="O214" s="2"/>
      <c r="P214" s="2"/>
      <c r="Q214" s="2"/>
      <c r="R214" s="2"/>
    </row>
    <row r="215" spans="5:18" ht="15.6" customHeight="1">
      <c r="E215" s="32"/>
      <c r="M215" s="2"/>
      <c r="N215" s="2"/>
      <c r="O215" s="2"/>
      <c r="P215" s="2"/>
      <c r="Q215" s="2"/>
      <c r="R215" s="2"/>
    </row>
    <row r="216" spans="5:18" ht="15.6" customHeight="1">
      <c r="E216" s="32"/>
      <c r="M216" s="2"/>
      <c r="N216" s="2"/>
      <c r="O216" s="2"/>
      <c r="P216" s="2"/>
      <c r="Q216" s="2"/>
      <c r="R216" s="2"/>
    </row>
    <row r="217" spans="5:18" ht="15.6" customHeight="1">
      <c r="E217" s="32"/>
      <c r="M217" s="2"/>
      <c r="N217" s="2"/>
      <c r="O217" s="2"/>
      <c r="P217" s="2"/>
      <c r="Q217" s="2"/>
      <c r="R217" s="2"/>
    </row>
    <row r="218" spans="5:18" ht="15.6" customHeight="1">
      <c r="E218" s="32"/>
      <c r="M218" s="2"/>
      <c r="N218" s="2"/>
      <c r="O218" s="2"/>
      <c r="P218" s="2"/>
      <c r="Q218" s="2"/>
      <c r="R218" s="2"/>
    </row>
    <row r="219" spans="5:18" ht="15.6" customHeight="1">
      <c r="E219" s="32"/>
      <c r="M219" s="2"/>
      <c r="N219" s="2"/>
      <c r="O219" s="2"/>
      <c r="P219" s="2"/>
      <c r="Q219" s="2"/>
      <c r="R219" s="2"/>
    </row>
    <row r="220" spans="5:18" ht="15.6" customHeight="1">
      <c r="E220" s="32"/>
      <c r="M220" s="2"/>
      <c r="N220" s="2"/>
      <c r="O220" s="2"/>
      <c r="P220" s="2"/>
      <c r="Q220" s="2"/>
      <c r="R220" s="2"/>
    </row>
    <row r="221" spans="5:18" ht="15.6" customHeight="1">
      <c r="E221" s="32"/>
      <c r="M221" s="2"/>
      <c r="N221" s="2"/>
      <c r="O221" s="2"/>
      <c r="P221" s="2"/>
      <c r="Q221" s="2"/>
      <c r="R221" s="2"/>
    </row>
    <row r="222" spans="5:18" ht="15.6" customHeight="1">
      <c r="E222" s="32"/>
      <c r="M222" s="2"/>
      <c r="N222" s="2"/>
      <c r="O222" s="2"/>
      <c r="P222" s="2"/>
      <c r="Q222" s="2"/>
      <c r="R222" s="2"/>
    </row>
    <row r="223" spans="5:18" ht="15.6" customHeight="1">
      <c r="E223" s="32"/>
      <c r="M223" s="2"/>
      <c r="N223" s="2"/>
      <c r="O223" s="2"/>
      <c r="P223" s="2"/>
      <c r="Q223" s="2"/>
      <c r="R223" s="2"/>
    </row>
    <row r="224" spans="5:18" ht="15.6" customHeight="1">
      <c r="E224" s="32"/>
      <c r="M224" s="2"/>
      <c r="N224" s="2"/>
      <c r="O224" s="2"/>
      <c r="P224" s="2"/>
      <c r="Q224" s="2"/>
      <c r="R224" s="2"/>
    </row>
    <row r="225" spans="5:18" ht="15.6" customHeight="1">
      <c r="E225" s="32"/>
      <c r="M225" s="2"/>
      <c r="N225" s="2"/>
      <c r="O225" s="2"/>
      <c r="P225" s="2"/>
      <c r="Q225" s="2"/>
      <c r="R225" s="2"/>
    </row>
    <row r="226" spans="5:18" ht="15.6" customHeight="1">
      <c r="E226" s="32"/>
      <c r="M226" s="2"/>
      <c r="N226" s="2"/>
      <c r="O226" s="2"/>
      <c r="P226" s="2"/>
      <c r="Q226" s="2"/>
      <c r="R226" s="2"/>
    </row>
    <row r="227" spans="5:18" ht="15.6" customHeight="1">
      <c r="E227" s="32"/>
      <c r="M227" s="2"/>
      <c r="N227" s="2"/>
      <c r="O227" s="2"/>
      <c r="P227" s="2"/>
      <c r="Q227" s="2"/>
      <c r="R227" s="2"/>
    </row>
    <row r="228" spans="5:18" ht="15.6" customHeight="1">
      <c r="E228" s="32"/>
      <c r="M228" s="2"/>
      <c r="N228" s="2"/>
      <c r="O228" s="2"/>
      <c r="P228" s="2"/>
      <c r="Q228" s="2"/>
      <c r="R228" s="2"/>
    </row>
    <row r="229" spans="5:18" ht="15.6" customHeight="1">
      <c r="E229" s="32"/>
      <c r="M229" s="2"/>
      <c r="N229" s="2"/>
      <c r="O229" s="2"/>
      <c r="P229" s="2"/>
      <c r="Q229" s="2"/>
      <c r="R229" s="2"/>
    </row>
    <row r="230" spans="5:18" ht="15.6" customHeight="1">
      <c r="E230" s="32"/>
      <c r="M230" s="2"/>
      <c r="N230" s="2"/>
      <c r="O230" s="2"/>
      <c r="P230" s="2"/>
      <c r="Q230" s="2"/>
      <c r="R230" s="2"/>
    </row>
    <row r="231" spans="5:18" ht="15.6" customHeight="1">
      <c r="E231" s="32"/>
      <c r="M231" s="2"/>
      <c r="N231" s="2"/>
      <c r="O231" s="2"/>
      <c r="P231" s="2"/>
      <c r="Q231" s="2"/>
      <c r="R231" s="2"/>
    </row>
    <row r="232" spans="5:18" ht="15.6" customHeight="1">
      <c r="E232" s="32"/>
      <c r="M232" s="2"/>
      <c r="N232" s="2"/>
      <c r="O232" s="2"/>
      <c r="P232" s="2"/>
      <c r="Q232" s="2"/>
      <c r="R232" s="2"/>
    </row>
    <row r="233" spans="5:18" ht="15.6" customHeight="1">
      <c r="E233" s="32"/>
      <c r="M233" s="2"/>
      <c r="N233" s="2"/>
      <c r="O233" s="2"/>
      <c r="P233" s="2"/>
      <c r="Q233" s="2"/>
      <c r="R233" s="2"/>
    </row>
    <row r="234" spans="5:18" ht="15.6" customHeight="1">
      <c r="E234" s="32"/>
      <c r="M234" s="2"/>
      <c r="N234" s="2"/>
      <c r="O234" s="2"/>
      <c r="P234" s="2"/>
      <c r="Q234" s="2"/>
      <c r="R234" s="2"/>
    </row>
    <row r="235" spans="5:18" ht="15.6" customHeight="1">
      <c r="E235" s="32"/>
      <c r="M235" s="2"/>
      <c r="N235" s="2"/>
      <c r="O235" s="2"/>
      <c r="P235" s="2"/>
      <c r="Q235" s="2"/>
      <c r="R235" s="2"/>
    </row>
    <row r="236" spans="5:18" ht="15.6" customHeight="1">
      <c r="E236" s="32"/>
      <c r="M236" s="2"/>
      <c r="N236" s="2"/>
      <c r="O236" s="2"/>
      <c r="P236" s="2"/>
      <c r="Q236" s="2"/>
      <c r="R236" s="2"/>
    </row>
    <row r="237" spans="5:18" ht="15.6" customHeight="1">
      <c r="E237" s="32"/>
      <c r="M237" s="2"/>
      <c r="N237" s="2"/>
      <c r="O237" s="2"/>
      <c r="P237" s="2"/>
      <c r="Q237" s="2"/>
      <c r="R237" s="2"/>
    </row>
    <row r="238" spans="5:18" ht="15.6" customHeight="1">
      <c r="E238" s="32"/>
      <c r="M238" s="2"/>
      <c r="N238" s="2"/>
      <c r="O238" s="2"/>
      <c r="P238" s="2"/>
      <c r="Q238" s="2"/>
      <c r="R238" s="2"/>
    </row>
    <row r="239" spans="5:18" ht="15.6" customHeight="1">
      <c r="E239" s="32"/>
      <c r="M239" s="2"/>
      <c r="N239" s="2"/>
      <c r="O239" s="2"/>
      <c r="P239" s="2"/>
      <c r="Q239" s="2"/>
      <c r="R239" s="2"/>
    </row>
    <row r="240" spans="5:18" ht="15.6" customHeight="1">
      <c r="E240" s="32"/>
      <c r="M240" s="2"/>
      <c r="N240" s="2"/>
      <c r="O240" s="2"/>
      <c r="P240" s="2"/>
      <c r="Q240" s="2"/>
      <c r="R240" s="2"/>
    </row>
    <row r="241" spans="5:18" ht="15.6" customHeight="1">
      <c r="E241" s="32"/>
      <c r="M241" s="2"/>
      <c r="N241" s="2"/>
      <c r="O241" s="2"/>
      <c r="P241" s="2"/>
      <c r="Q241" s="2"/>
      <c r="R241" s="2"/>
    </row>
    <row r="242" spans="5:18" ht="15.6" customHeight="1">
      <c r="E242" s="32"/>
      <c r="M242" s="2"/>
      <c r="N242" s="2"/>
      <c r="O242" s="2"/>
      <c r="P242" s="2"/>
      <c r="Q242" s="2"/>
      <c r="R242" s="2"/>
    </row>
    <row r="243" spans="5:18" ht="15.6" customHeight="1">
      <c r="E243" s="32"/>
      <c r="M243" s="2"/>
      <c r="N243" s="2"/>
      <c r="O243" s="2"/>
      <c r="P243" s="2"/>
      <c r="Q243" s="2"/>
      <c r="R243" s="2"/>
    </row>
    <row r="244" spans="5:18" ht="15.6" customHeight="1">
      <c r="E244" s="32"/>
      <c r="M244" s="2"/>
      <c r="N244" s="2"/>
      <c r="O244" s="2"/>
      <c r="P244" s="2"/>
      <c r="Q244" s="2"/>
      <c r="R244" s="2"/>
    </row>
    <row r="245" spans="5:18" ht="15.6" customHeight="1">
      <c r="E245" s="32"/>
      <c r="M245" s="2"/>
      <c r="N245" s="2"/>
      <c r="O245" s="2"/>
      <c r="P245" s="2"/>
      <c r="Q245" s="2"/>
      <c r="R245" s="2"/>
    </row>
    <row r="246" spans="5:18" ht="15.6" customHeight="1">
      <c r="E246" s="32"/>
      <c r="M246" s="2"/>
      <c r="N246" s="2"/>
      <c r="O246" s="2"/>
      <c r="P246" s="2"/>
      <c r="Q246" s="2"/>
      <c r="R246" s="2"/>
    </row>
    <row r="247" spans="5:18" ht="15.6" customHeight="1">
      <c r="E247" s="32"/>
      <c r="M247" s="2"/>
      <c r="N247" s="2"/>
      <c r="O247" s="2"/>
      <c r="P247" s="2"/>
      <c r="Q247" s="2"/>
      <c r="R247" s="2"/>
    </row>
    <row r="248" spans="5:18" ht="15.6" customHeight="1">
      <c r="E248" s="32"/>
      <c r="M248" s="2"/>
      <c r="N248" s="2"/>
      <c r="O248" s="2"/>
      <c r="P248" s="2"/>
      <c r="Q248" s="2"/>
      <c r="R248" s="2"/>
    </row>
    <row r="249" spans="5:18" ht="15.6" customHeight="1">
      <c r="E249" s="32"/>
      <c r="M249" s="2"/>
      <c r="N249" s="2"/>
      <c r="O249" s="2"/>
      <c r="P249" s="2"/>
      <c r="Q249" s="2"/>
      <c r="R249" s="2"/>
    </row>
    <row r="250" spans="5:18" ht="15.6" customHeight="1">
      <c r="E250" s="32"/>
      <c r="M250" s="2"/>
      <c r="N250" s="2"/>
      <c r="O250" s="2"/>
      <c r="P250" s="2"/>
      <c r="Q250" s="2"/>
      <c r="R250" s="2"/>
    </row>
    <row r="251" spans="5:18" ht="15.6" customHeight="1">
      <c r="E251" s="32"/>
      <c r="M251" s="2"/>
      <c r="N251" s="2"/>
      <c r="O251" s="2"/>
      <c r="P251" s="2"/>
      <c r="Q251" s="2"/>
      <c r="R251" s="2"/>
    </row>
    <row r="252" spans="5:18" ht="27.6" customHeight="1">
      <c r="E252" s="32"/>
      <c r="M252" s="2"/>
      <c r="N252" s="2"/>
      <c r="O252" s="2"/>
      <c r="P252" s="2"/>
      <c r="Q252" s="2"/>
      <c r="R252" s="2"/>
    </row>
    <row r="253" spans="5:18" ht="15.6" customHeight="1">
      <c r="M253" s="2"/>
      <c r="N253" s="2"/>
      <c r="O253" s="2"/>
      <c r="P253" s="2"/>
      <c r="Q253" s="2"/>
      <c r="R253" s="2"/>
    </row>
    <row r="254" spans="5:18" ht="15.6" customHeight="1">
      <c r="M254" s="2"/>
      <c r="N254" s="2"/>
      <c r="O254" s="2"/>
      <c r="P254" s="2"/>
      <c r="Q254" s="2"/>
      <c r="R254" s="2"/>
    </row>
    <row r="255" spans="5:18" ht="15.6" customHeight="1">
      <c r="M255" s="2"/>
      <c r="N255" s="2"/>
      <c r="O255" s="2"/>
      <c r="P255" s="2"/>
      <c r="Q255" s="2"/>
      <c r="R255" s="2"/>
    </row>
    <row r="256" spans="5:18" ht="15.6" customHeight="1">
      <c r="M256" s="2"/>
      <c r="N256" s="2"/>
      <c r="O256" s="2"/>
      <c r="P256" s="2"/>
      <c r="Q256" s="2"/>
      <c r="R256" s="2"/>
    </row>
    <row r="257" s="2" customFormat="1" ht="15.6" customHeight="1"/>
    <row r="258" s="2" customFormat="1" ht="15.6" customHeight="1"/>
    <row r="259" s="2" customFormat="1" ht="15.6" customHeight="1"/>
    <row r="260" s="2" customFormat="1" ht="15.6" customHeight="1"/>
    <row r="261" s="2" customFormat="1" ht="15.6" customHeight="1"/>
    <row r="262" s="2" customFormat="1" ht="15.6" customHeight="1"/>
    <row r="263" s="2" customFormat="1" ht="15.6" customHeight="1"/>
    <row r="264" s="2" customFormat="1" ht="15.6" customHeight="1"/>
    <row r="265" s="2" customFormat="1" ht="15.6" customHeight="1"/>
    <row r="266" s="2" customFormat="1" ht="15.6" customHeight="1"/>
    <row r="267" s="2" customFormat="1" ht="15.6" customHeight="1"/>
    <row r="268" s="2" customFormat="1" ht="15.6" customHeight="1"/>
    <row r="269" s="2" customFormat="1" ht="15.6" customHeight="1"/>
    <row r="270" s="2" customFormat="1" ht="15.6" customHeight="1"/>
    <row r="271" s="2" customFormat="1" ht="15.6" customHeight="1"/>
    <row r="272" s="2" customFormat="1" ht="15.6" customHeight="1"/>
    <row r="273" s="2" customFormat="1" ht="15.6" customHeight="1"/>
    <row r="274" s="2" customFormat="1" ht="15.6" customHeight="1"/>
    <row r="275" s="2" customFormat="1" ht="15.6" customHeight="1"/>
    <row r="276" s="2" customFormat="1" ht="15.6" customHeight="1"/>
    <row r="277" s="2" customFormat="1" ht="15.6" customHeight="1"/>
    <row r="278" s="2" customFormat="1" ht="15.6" customHeight="1"/>
    <row r="279" s="2" customFormat="1" ht="15.6" customHeight="1"/>
    <row r="280" s="2" customFormat="1" ht="15.6" customHeight="1"/>
    <row r="281" s="2" customFormat="1" ht="15.6" customHeight="1"/>
    <row r="282" s="2" customFormat="1" ht="15.6" customHeight="1"/>
    <row r="283" s="2" customFormat="1" ht="15.6" customHeight="1"/>
    <row r="284" s="2" customFormat="1" ht="15.6" customHeight="1"/>
    <row r="285" s="2" customFormat="1" ht="15.6" customHeight="1"/>
    <row r="286" s="2" customFormat="1" ht="15.6" customHeight="1"/>
    <row r="287" s="2" customFormat="1" ht="15.6" customHeight="1"/>
    <row r="288" s="2" customFormat="1" ht="15.6" customHeight="1"/>
    <row r="289" s="2" customFormat="1" ht="15.6" customHeight="1"/>
    <row r="290" s="2" customFormat="1" ht="15.6" customHeight="1"/>
    <row r="291" s="2" customFormat="1" ht="15.6" customHeight="1"/>
    <row r="292" s="2" customFormat="1" ht="15.6" customHeight="1"/>
    <row r="293" s="2" customFormat="1" ht="15.6" customHeight="1"/>
    <row r="294" s="2" customFormat="1" ht="15.6" customHeight="1"/>
    <row r="295" s="2" customFormat="1" ht="15.75"/>
    <row r="296" s="2" customFormat="1" ht="15.6" customHeight="1"/>
    <row r="297" s="2" customFormat="1" ht="15.6" customHeight="1"/>
    <row r="298" s="2" customFormat="1" ht="15.6" customHeight="1"/>
    <row r="299" s="2" customFormat="1" ht="15.6" customHeight="1"/>
    <row r="300" s="2" customFormat="1" ht="15.6" customHeight="1"/>
    <row r="301" s="2" customFormat="1" ht="15.6" customHeight="1"/>
    <row r="302" s="2" customFormat="1" ht="15.6" customHeight="1"/>
    <row r="303" s="2" customFormat="1" ht="15.6" customHeight="1"/>
    <row r="304" s="2" customFormat="1" ht="21.6" customHeight="1"/>
    <row r="305" s="2" customFormat="1" ht="15.6" customHeight="1"/>
    <row r="306" s="2" customFormat="1" ht="15.6" customHeight="1"/>
    <row r="307" s="2" customFormat="1" ht="15.6" customHeight="1"/>
    <row r="308" s="2" customFormat="1" ht="15.6" customHeight="1"/>
    <row r="309" s="2" customFormat="1" ht="15.6" customHeight="1"/>
    <row r="310" s="2" customFormat="1" ht="15.6" customHeight="1"/>
    <row r="311" s="2" customFormat="1" ht="15.6" customHeight="1"/>
    <row r="312" s="2" customFormat="1" ht="15.6" customHeight="1"/>
    <row r="313" s="2" customFormat="1" ht="15.6" customHeight="1"/>
    <row r="314" s="2" customFormat="1" ht="15.6" customHeight="1"/>
    <row r="315" s="2" customFormat="1" ht="15.6" customHeight="1"/>
    <row r="316" s="2" customFormat="1" ht="15.6" customHeight="1"/>
    <row r="317" s="2" customFormat="1" ht="15.6" customHeight="1"/>
    <row r="318" s="2" customFormat="1" ht="15.6" customHeight="1"/>
    <row r="319" s="2" customFormat="1" ht="15.6" customHeight="1"/>
    <row r="320" s="2" customFormat="1" ht="15.6" customHeight="1"/>
    <row r="321" spans="8:18" ht="15.6" customHeight="1">
      <c r="M321" s="2"/>
      <c r="N321" s="2"/>
      <c r="O321" s="2"/>
      <c r="P321" s="2"/>
      <c r="Q321" s="2"/>
      <c r="R321" s="2"/>
    </row>
    <row r="322" spans="8:18" ht="15.6" customHeight="1">
      <c r="M322" s="2"/>
      <c r="N322" s="2"/>
      <c r="O322" s="2"/>
      <c r="P322" s="2"/>
      <c r="Q322" s="2"/>
      <c r="R322" s="2"/>
    </row>
    <row r="323" spans="8:18" ht="15.6" customHeight="1">
      <c r="M323" s="2"/>
      <c r="N323" s="2"/>
      <c r="O323" s="2"/>
      <c r="P323" s="2"/>
      <c r="Q323" s="2"/>
      <c r="R323" s="2"/>
    </row>
    <row r="324" spans="8:18" ht="15.6" customHeight="1">
      <c r="H324" s="4"/>
      <c r="M324" s="2"/>
      <c r="N324" s="2"/>
      <c r="O324" s="2"/>
      <c r="P324" s="2"/>
      <c r="Q324" s="2"/>
      <c r="R324" s="2"/>
    </row>
    <row r="325" spans="8:18" ht="15.6" customHeight="1">
      <c r="H325" s="4"/>
      <c r="M325" s="2"/>
      <c r="N325" s="2"/>
      <c r="O325" s="2"/>
      <c r="P325" s="2"/>
      <c r="Q325" s="2"/>
      <c r="R325" s="2"/>
    </row>
    <row r="326" spans="8:18" ht="15.6" customHeight="1">
      <c r="H326" s="4"/>
      <c r="M326" s="2"/>
      <c r="N326" s="2"/>
      <c r="O326" s="2"/>
      <c r="P326" s="2"/>
      <c r="Q326" s="2"/>
      <c r="R326" s="2"/>
    </row>
    <row r="327" spans="8:18" ht="15.6" customHeight="1">
      <c r="H327" s="4"/>
      <c r="M327" s="2"/>
      <c r="N327" s="2"/>
      <c r="O327" s="2"/>
      <c r="P327" s="2"/>
      <c r="Q327" s="2"/>
      <c r="R327" s="2"/>
    </row>
    <row r="328" spans="8:18" ht="15.6" customHeight="1">
      <c r="M328" s="2"/>
      <c r="N328" s="2"/>
      <c r="O328" s="2"/>
      <c r="P328" s="2"/>
      <c r="Q328" s="2"/>
      <c r="R328" s="2"/>
    </row>
    <row r="329" spans="8:18" ht="15.6" customHeight="1">
      <c r="M329" s="2"/>
      <c r="N329" s="2"/>
      <c r="O329" s="2"/>
      <c r="P329" s="2"/>
      <c r="Q329" s="2"/>
      <c r="R329" s="2"/>
    </row>
    <row r="330" spans="8:18" ht="15.6" customHeight="1">
      <c r="M330" s="2"/>
      <c r="N330" s="2"/>
      <c r="O330" s="2"/>
      <c r="P330" s="2"/>
      <c r="Q330" s="2"/>
      <c r="R330" s="2"/>
    </row>
    <row r="331" spans="8:18" ht="15.6" customHeight="1">
      <c r="M331" s="2"/>
      <c r="N331" s="2"/>
      <c r="O331" s="2"/>
      <c r="P331" s="2"/>
      <c r="Q331" s="2"/>
      <c r="R331" s="2"/>
    </row>
    <row r="332" spans="8:18" ht="15.6" customHeight="1">
      <c r="M332" s="2"/>
      <c r="N332" s="2"/>
      <c r="O332" s="2"/>
      <c r="P332" s="2"/>
      <c r="Q332" s="2"/>
      <c r="R332" s="2"/>
    </row>
    <row r="333" spans="8:18" ht="15.6" customHeight="1">
      <c r="M333" s="2"/>
      <c r="N333" s="2"/>
      <c r="O333" s="2"/>
      <c r="P333" s="2"/>
      <c r="Q333" s="2"/>
      <c r="R333" s="2"/>
    </row>
    <row r="334" spans="8:18" ht="15.6" customHeight="1">
      <c r="M334" s="2"/>
      <c r="N334" s="2"/>
      <c r="O334" s="2"/>
      <c r="P334" s="2"/>
      <c r="Q334" s="2"/>
      <c r="R334" s="2"/>
    </row>
    <row r="335" spans="8:18" ht="15.6" customHeight="1">
      <c r="M335" s="2"/>
      <c r="N335" s="2"/>
      <c r="O335" s="2"/>
      <c r="P335" s="2"/>
      <c r="Q335" s="2"/>
      <c r="R335" s="2"/>
    </row>
    <row r="336" spans="8:18" ht="15.6" customHeight="1">
      <c r="M336" s="2"/>
      <c r="N336" s="2"/>
      <c r="O336" s="2"/>
      <c r="P336" s="2"/>
      <c r="Q336" s="2"/>
      <c r="R336" s="2"/>
    </row>
    <row r="337" s="2" customFormat="1" ht="15.75"/>
    <row r="338" s="2" customFormat="1" ht="15.75"/>
    <row r="339" s="2" customFormat="1" ht="15.75"/>
    <row r="340" s="2" customFormat="1" ht="15.75"/>
    <row r="341" s="2" customFormat="1" ht="15.75"/>
    <row r="342" s="2" customFormat="1" ht="15.75"/>
    <row r="343" s="2" customFormat="1" ht="15.75"/>
    <row r="344" s="2" customFormat="1" ht="15.75"/>
    <row r="345" s="2" customFormat="1" ht="15.75"/>
    <row r="346" s="2" customFormat="1" ht="15.75"/>
    <row r="347" s="2" customFormat="1" ht="15.75"/>
    <row r="348" s="2" customFormat="1" ht="15.75"/>
    <row r="349" s="2" customFormat="1" ht="15.75"/>
    <row r="350" s="2" customFormat="1" ht="15.75"/>
    <row r="351" s="2" customFormat="1" ht="15.75"/>
    <row r="352" s="2" customFormat="1" ht="15.75"/>
    <row r="353" s="2" customFormat="1" ht="15.75"/>
    <row r="354" s="2" customFormat="1" ht="15.75"/>
    <row r="355" s="2" customFormat="1" ht="15.75"/>
    <row r="356" s="2" customFormat="1" ht="15.75"/>
    <row r="357" s="2" customFormat="1" ht="15.6" customHeight="1"/>
    <row r="358" s="2" customFormat="1" ht="15.6" customHeight="1"/>
    <row r="359" s="2" customFormat="1" ht="15.6" customHeight="1"/>
    <row r="360" s="2" customFormat="1" ht="15.6" customHeight="1"/>
    <row r="361" s="2" customFormat="1" ht="15.6" customHeight="1"/>
    <row r="362" s="2" customFormat="1" ht="15.6" customHeight="1"/>
    <row r="363" s="2" customFormat="1" ht="15.6" customHeight="1"/>
    <row r="364" s="2" customFormat="1" ht="15.6" customHeight="1"/>
    <row r="365" s="2" customFormat="1" ht="15.75"/>
    <row r="366" s="2" customFormat="1" ht="15.75"/>
    <row r="367" s="2" customFormat="1" ht="15.75"/>
    <row r="368" s="2" customFormat="1" ht="15.75"/>
    <row r="369" spans="8:18" ht="15.75">
      <c r="M369" s="2"/>
      <c r="N369" s="2"/>
      <c r="O369" s="2"/>
      <c r="P369" s="2"/>
      <c r="Q369" s="2"/>
      <c r="R369" s="2"/>
    </row>
    <row r="370" spans="8:18" ht="15.75">
      <c r="M370" s="2"/>
      <c r="N370" s="2"/>
      <c r="O370" s="2"/>
      <c r="P370" s="2"/>
      <c r="Q370" s="2"/>
      <c r="R370" s="2"/>
    </row>
    <row r="371" spans="8:18" ht="15.6" customHeight="1">
      <c r="M371" s="2"/>
      <c r="N371" s="2"/>
      <c r="O371" s="2"/>
      <c r="P371" s="2"/>
      <c r="Q371" s="2"/>
      <c r="R371" s="2"/>
    </row>
    <row r="372" spans="8:18" ht="15.6" customHeight="1">
      <c r="M372" s="2"/>
      <c r="N372" s="2"/>
      <c r="O372" s="2"/>
      <c r="P372" s="2"/>
      <c r="Q372" s="2"/>
      <c r="R372" s="2"/>
    </row>
    <row r="373" spans="8:18" ht="15.75">
      <c r="M373" s="2"/>
      <c r="N373" s="2"/>
      <c r="O373" s="2"/>
      <c r="P373" s="2"/>
      <c r="Q373" s="2"/>
      <c r="R373" s="2"/>
    </row>
    <row r="374" spans="8:18" ht="15.75">
      <c r="M374" s="2"/>
      <c r="N374" s="2"/>
      <c r="O374" s="2"/>
      <c r="P374" s="2"/>
      <c r="Q374" s="2"/>
      <c r="R374" s="2"/>
    </row>
    <row r="375" spans="8:18" ht="15.75">
      <c r="M375" s="2"/>
      <c r="N375" s="2"/>
      <c r="O375" s="2"/>
      <c r="P375" s="2"/>
      <c r="Q375" s="2"/>
      <c r="R375" s="2"/>
    </row>
    <row r="376" spans="8:18" ht="15.6" customHeight="1">
      <c r="M376" s="2"/>
      <c r="N376" s="2"/>
      <c r="O376" s="2"/>
      <c r="P376" s="2"/>
      <c r="Q376" s="2"/>
      <c r="R376" s="2"/>
    </row>
    <row r="377" spans="8:18" ht="15.6" customHeight="1">
      <c r="M377" s="2"/>
      <c r="N377" s="2"/>
      <c r="O377" s="2"/>
      <c r="P377" s="2"/>
      <c r="Q377" s="2"/>
      <c r="R377" s="2"/>
    </row>
    <row r="378" spans="8:18" ht="15.6" customHeight="1">
      <c r="M378" s="2"/>
      <c r="N378" s="2"/>
      <c r="O378" s="2"/>
      <c r="P378" s="2"/>
      <c r="Q378" s="2"/>
      <c r="R378" s="2"/>
    </row>
    <row r="379" spans="8:18" ht="15.6" customHeight="1">
      <c r="M379" s="2"/>
      <c r="N379" s="2"/>
      <c r="O379" s="2"/>
      <c r="P379" s="2"/>
      <c r="Q379" s="2"/>
      <c r="R379" s="2"/>
    </row>
    <row r="380" spans="8:18" ht="15.6" customHeight="1">
      <c r="M380" s="2"/>
      <c r="N380" s="2"/>
      <c r="O380" s="2"/>
      <c r="P380" s="2"/>
      <c r="Q380" s="2"/>
      <c r="R380" s="2"/>
    </row>
    <row r="381" spans="8:18" ht="15.6" customHeight="1">
      <c r="M381" s="2"/>
      <c r="N381" s="2"/>
      <c r="O381" s="2"/>
      <c r="P381" s="2"/>
      <c r="Q381" s="2"/>
      <c r="R381" s="2"/>
    </row>
    <row r="382" spans="8:18" ht="15.6" customHeight="1">
      <c r="H382" s="4"/>
      <c r="M382" s="2"/>
      <c r="N382" s="2"/>
      <c r="O382" s="2"/>
      <c r="P382" s="2"/>
      <c r="Q382" s="2"/>
      <c r="R382" s="2"/>
    </row>
    <row r="383" spans="8:18" ht="15.75">
      <c r="H383" s="4"/>
      <c r="M383" s="2"/>
      <c r="N383" s="2"/>
      <c r="O383" s="2"/>
      <c r="P383" s="2"/>
      <c r="Q383" s="2"/>
      <c r="R383" s="2"/>
    </row>
    <row r="384" spans="8:18" ht="15.6" customHeight="1">
      <c r="H384" s="32"/>
      <c r="M384" s="2"/>
      <c r="N384" s="2"/>
      <c r="O384" s="2"/>
      <c r="P384" s="2"/>
      <c r="Q384" s="2"/>
      <c r="R384" s="2"/>
    </row>
    <row r="385" s="2" customFormat="1" ht="15.6" customHeight="1"/>
    <row r="386" s="2" customFormat="1" ht="15.75"/>
    <row r="387" s="2" customFormat="1" ht="15.75"/>
    <row r="388" s="2" customFormat="1" ht="15.75"/>
    <row r="389" s="2" customFormat="1" ht="15.75"/>
    <row r="390" s="2" customFormat="1" ht="15.6" customHeight="1"/>
    <row r="391" s="2" customFormat="1" ht="15.6" customHeight="1"/>
    <row r="392" s="2" customFormat="1" ht="15.6" customHeight="1"/>
    <row r="393" s="2" customFormat="1" ht="15.6" customHeight="1"/>
    <row r="394" s="2" customFormat="1" ht="15.75"/>
    <row r="395" s="2" customFormat="1" ht="15.75"/>
    <row r="396" s="2" customFormat="1" ht="15.6" customHeight="1"/>
    <row r="397" s="2" customFormat="1" ht="15.75"/>
    <row r="398" s="2" customFormat="1" ht="15.75"/>
    <row r="399" s="2" customFormat="1" ht="15.75"/>
    <row r="400" s="2" customFormat="1" ht="15.75"/>
    <row r="401" s="2" customFormat="1" ht="15.75"/>
    <row r="402" s="2" customFormat="1" ht="15.75"/>
    <row r="403" s="2" customFormat="1" ht="15.75"/>
    <row r="404" s="2" customFormat="1" ht="15.75"/>
    <row r="405" s="2" customFormat="1" ht="15.75"/>
    <row r="406" s="2" customFormat="1" ht="15.75"/>
    <row r="407" s="2" customFormat="1" ht="15.75"/>
    <row r="408" s="2" customFormat="1" ht="15.75"/>
    <row r="409" s="2" customFormat="1" ht="15.75"/>
    <row r="410" s="2" customFormat="1" ht="15.75"/>
    <row r="411" s="2" customFormat="1" ht="15.75"/>
    <row r="412" s="2" customFormat="1" ht="15.75"/>
    <row r="413" s="2" customFormat="1" ht="15.75"/>
    <row r="414" s="2" customFormat="1" ht="15.75"/>
    <row r="415" s="2" customFormat="1" ht="15.75"/>
    <row r="416" s="2" customFormat="1" ht="15.75"/>
    <row r="417" spans="8:18" ht="15.75">
      <c r="M417" s="2"/>
      <c r="N417" s="2"/>
      <c r="O417" s="2"/>
      <c r="P417" s="2"/>
      <c r="Q417" s="2"/>
      <c r="R417" s="2"/>
    </row>
    <row r="418" spans="8:18" ht="15.75">
      <c r="M418" s="2"/>
      <c r="N418" s="2"/>
      <c r="O418" s="2"/>
      <c r="P418" s="2"/>
      <c r="Q418" s="2"/>
      <c r="R418" s="2"/>
    </row>
    <row r="419" spans="8:18" ht="15.75">
      <c r="M419" s="2"/>
      <c r="N419" s="2"/>
      <c r="O419" s="2"/>
      <c r="P419" s="2"/>
      <c r="Q419" s="2"/>
      <c r="R419" s="2"/>
    </row>
    <row r="420" spans="8:18" ht="15.75">
      <c r="M420" s="2"/>
      <c r="N420" s="2"/>
      <c r="O420" s="2"/>
      <c r="P420" s="2"/>
      <c r="Q420" s="2"/>
      <c r="R420" s="2"/>
    </row>
    <row r="421" spans="8:18" ht="15.75">
      <c r="M421" s="2"/>
      <c r="N421" s="2"/>
      <c r="O421" s="2"/>
      <c r="P421" s="2"/>
      <c r="Q421" s="2"/>
      <c r="R421" s="2"/>
    </row>
    <row r="422" spans="8:18" ht="15.75">
      <c r="M422" s="2"/>
      <c r="N422" s="2"/>
      <c r="O422" s="2"/>
      <c r="P422" s="2"/>
      <c r="Q422" s="2"/>
      <c r="R422" s="2"/>
    </row>
    <row r="423" spans="8:18" ht="15.75">
      <c r="H423" s="42" t="s">
        <v>326</v>
      </c>
      <c r="M423" s="2"/>
      <c r="N423" s="2"/>
      <c r="O423" s="2"/>
      <c r="P423" s="2"/>
      <c r="Q423" s="2"/>
      <c r="R423" s="2"/>
    </row>
    <row r="424" spans="8:18" ht="15.6" customHeight="1">
      <c r="M424" s="2"/>
      <c r="N424" s="2"/>
      <c r="O424" s="2"/>
      <c r="P424" s="2"/>
      <c r="Q424" s="2"/>
      <c r="R424" s="2"/>
    </row>
    <row r="425" spans="8:18" ht="15.6" customHeight="1">
      <c r="M425" s="2"/>
      <c r="N425" s="2"/>
      <c r="O425" s="2"/>
      <c r="P425" s="2"/>
      <c r="Q425" s="2"/>
      <c r="R425" s="2"/>
    </row>
    <row r="426" spans="8:18" ht="15.6" customHeight="1">
      <c r="M426" s="2"/>
      <c r="N426" s="2"/>
      <c r="O426" s="2"/>
      <c r="P426" s="2"/>
      <c r="Q426" s="2"/>
      <c r="R426" s="2"/>
    </row>
    <row r="427" spans="8:18" ht="15.6" customHeight="1">
      <c r="M427" s="2"/>
      <c r="N427" s="2"/>
      <c r="O427" s="2"/>
      <c r="P427" s="2"/>
      <c r="Q427" s="2"/>
      <c r="R427" s="2"/>
    </row>
    <row r="428" spans="8:18" ht="15.6" customHeight="1">
      <c r="M428" s="2"/>
      <c r="N428" s="2"/>
      <c r="O428" s="2"/>
      <c r="P428" s="2"/>
      <c r="Q428" s="2"/>
      <c r="R428" s="2"/>
    </row>
    <row r="429" spans="8:18" ht="15.6" customHeight="1">
      <c r="M429" s="2"/>
      <c r="N429" s="2"/>
      <c r="O429" s="2"/>
      <c r="P429" s="2"/>
      <c r="Q429" s="2"/>
      <c r="R429" s="2"/>
    </row>
    <row r="430" spans="8:18" ht="15.6" customHeight="1">
      <c r="M430" s="2"/>
      <c r="N430" s="2"/>
      <c r="O430" s="2"/>
      <c r="P430" s="2"/>
      <c r="Q430" s="2"/>
      <c r="R430" s="2"/>
    </row>
    <row r="431" spans="8:18" ht="15.6" customHeight="1">
      <c r="M431" s="2"/>
      <c r="N431" s="2"/>
      <c r="O431" s="2"/>
      <c r="P431" s="2"/>
      <c r="Q431" s="2"/>
      <c r="R431" s="2"/>
    </row>
    <row r="432" spans="8:18" ht="15.6" customHeight="1">
      <c r="H432" s="4"/>
      <c r="M432" s="2"/>
      <c r="N432" s="2"/>
      <c r="O432" s="2"/>
      <c r="P432" s="2"/>
      <c r="Q432" s="2"/>
      <c r="R432" s="2"/>
    </row>
    <row r="433" spans="8:18" ht="15.6" customHeight="1">
      <c r="H433" s="4"/>
      <c r="M433" s="2"/>
      <c r="N433" s="2"/>
      <c r="O433" s="2"/>
      <c r="P433" s="2"/>
      <c r="Q433" s="2"/>
      <c r="R433" s="2"/>
    </row>
    <row r="434" spans="8:18" ht="15.6" customHeight="1">
      <c r="M434" s="2"/>
      <c r="N434" s="2"/>
      <c r="O434" s="2"/>
      <c r="P434" s="2"/>
      <c r="Q434" s="2"/>
      <c r="R434" s="2"/>
    </row>
    <row r="435" spans="8:18" ht="15.6" customHeight="1">
      <c r="M435" s="2"/>
      <c r="N435" s="2"/>
      <c r="O435" s="2"/>
      <c r="P435" s="2"/>
      <c r="Q435" s="2"/>
      <c r="R435" s="2"/>
    </row>
    <row r="436" spans="8:18" ht="15.75">
      <c r="M436" s="2"/>
      <c r="N436" s="2"/>
      <c r="O436" s="2"/>
      <c r="P436" s="2"/>
      <c r="Q436" s="2"/>
      <c r="R436" s="2"/>
    </row>
    <row r="437" spans="8:18" ht="15.6" customHeight="1">
      <c r="M437" s="2"/>
      <c r="N437" s="2"/>
      <c r="O437" s="2"/>
      <c r="P437" s="2"/>
      <c r="Q437" s="2"/>
      <c r="R437" s="2"/>
    </row>
    <row r="438" spans="8:18" ht="15.6" customHeight="1">
      <c r="M438" s="2"/>
      <c r="N438" s="2"/>
      <c r="O438" s="2"/>
      <c r="P438" s="2"/>
      <c r="Q438" s="2"/>
      <c r="R438" s="2"/>
    </row>
    <row r="439" spans="8:18" ht="15.6" customHeight="1">
      <c r="M439" s="2"/>
      <c r="N439" s="2"/>
      <c r="O439" s="2"/>
      <c r="P439" s="2"/>
      <c r="Q439" s="2"/>
      <c r="R439" s="2"/>
    </row>
    <row r="440" spans="8:18" ht="15.6" customHeight="1">
      <c r="M440" s="2"/>
      <c r="N440" s="2"/>
      <c r="O440" s="2"/>
      <c r="P440" s="2"/>
      <c r="Q440" s="2"/>
      <c r="R440" s="2"/>
    </row>
    <row r="441" spans="8:18" ht="15.6" customHeight="1">
      <c r="M441" s="2"/>
      <c r="N441" s="2"/>
      <c r="O441" s="2"/>
      <c r="P441" s="2"/>
      <c r="Q441" s="2"/>
      <c r="R441" s="2"/>
    </row>
    <row r="442" spans="8:18" ht="15.6" customHeight="1">
      <c r="M442" s="2"/>
      <c r="N442" s="2"/>
      <c r="O442" s="2"/>
      <c r="P442" s="2"/>
      <c r="Q442" s="2"/>
      <c r="R442" s="2"/>
    </row>
    <row r="443" spans="8:18" ht="15.6" customHeight="1">
      <c r="M443" s="2"/>
      <c r="N443" s="2"/>
      <c r="O443" s="2"/>
      <c r="P443" s="2"/>
      <c r="Q443" s="2"/>
      <c r="R443" s="2"/>
    </row>
    <row r="444" spans="8:18" ht="15.6" customHeight="1">
      <c r="M444" s="2"/>
      <c r="N444" s="2"/>
      <c r="O444" s="2"/>
      <c r="P444" s="2"/>
      <c r="Q444" s="2"/>
      <c r="R444" s="2"/>
    </row>
    <row r="445" spans="8:18" ht="15.6" customHeight="1">
      <c r="M445" s="2"/>
      <c r="N445" s="2"/>
      <c r="O445" s="2"/>
      <c r="P445" s="2"/>
      <c r="Q445" s="2"/>
      <c r="R445" s="2"/>
    </row>
    <row r="446" spans="8:18" ht="15.6" customHeight="1">
      <c r="M446" s="2"/>
      <c r="N446" s="2"/>
      <c r="O446" s="2"/>
      <c r="P446" s="2"/>
      <c r="Q446" s="2"/>
      <c r="R446" s="2"/>
    </row>
    <row r="447" spans="8:18" ht="15.6" customHeight="1">
      <c r="M447" s="2"/>
      <c r="N447" s="2"/>
      <c r="O447" s="2"/>
      <c r="P447" s="2"/>
      <c r="Q447" s="2"/>
      <c r="R447" s="2"/>
    </row>
    <row r="448" spans="8:18" ht="15.6" customHeight="1">
      <c r="M448" s="2"/>
      <c r="N448" s="2"/>
      <c r="O448" s="2"/>
      <c r="P448" s="2"/>
      <c r="Q448" s="2"/>
      <c r="R448" s="2"/>
    </row>
    <row r="449" s="2" customFormat="1" ht="15.6" customHeight="1"/>
    <row r="450" s="2" customFormat="1" ht="15.6" customHeight="1"/>
    <row r="451" s="2" customFormat="1" ht="15.6" customHeight="1"/>
    <row r="452" s="2" customFormat="1" ht="15.6" customHeight="1"/>
    <row r="453" s="2" customFormat="1" ht="15.6" customHeight="1"/>
    <row r="454" s="2" customFormat="1" ht="15.6" customHeight="1"/>
    <row r="455" s="2" customFormat="1" ht="15.6" customHeight="1"/>
    <row r="456" s="2" customFormat="1" ht="15.6" customHeight="1"/>
    <row r="457" s="2" customFormat="1" ht="15.6" customHeight="1"/>
    <row r="458" s="2" customFormat="1" ht="15.6" customHeight="1"/>
    <row r="459" s="2" customFormat="1" ht="15.6" customHeight="1"/>
    <row r="460" s="2" customFormat="1" ht="15.6" customHeight="1"/>
    <row r="461" s="2" customFormat="1" ht="15.6" customHeight="1"/>
    <row r="462" s="2" customFormat="1" ht="19.5" customHeight="1"/>
    <row r="463" s="2" customFormat="1" ht="15.6" customHeight="1"/>
    <row r="464" s="2" customFormat="1" ht="15.6" customHeight="1"/>
    <row r="465" s="2" customFormat="1" ht="15.6" customHeight="1"/>
    <row r="466" s="2" customFormat="1" ht="15.6" customHeight="1"/>
    <row r="467" s="2" customFormat="1" ht="15.6" customHeight="1"/>
    <row r="468" s="2" customFormat="1" ht="15.6" customHeight="1"/>
    <row r="469" s="2" customFormat="1" ht="15.75"/>
    <row r="470" s="2" customFormat="1" ht="15.75"/>
    <row r="471" s="2" customFormat="1" ht="15.75"/>
    <row r="472" s="2" customFormat="1" ht="15.75"/>
    <row r="473" s="2" customFormat="1" ht="15.75"/>
    <row r="474" s="2" customFormat="1" ht="15.75"/>
    <row r="475" s="2" customFormat="1" ht="15.75"/>
    <row r="476" s="2" customFormat="1" ht="15.75"/>
    <row r="477" s="2" customFormat="1" ht="15.75"/>
    <row r="478" s="2" customFormat="1" ht="15.75"/>
    <row r="479" s="2" customFormat="1" ht="15.75"/>
    <row r="480" s="2" customFormat="1" ht="15.75"/>
    <row r="481" spans="8:18" ht="15.75">
      <c r="M481" s="2"/>
      <c r="N481" s="2"/>
      <c r="O481" s="2"/>
      <c r="P481" s="2"/>
      <c r="Q481" s="2"/>
      <c r="R481" s="2"/>
    </row>
    <row r="482" spans="8:18" ht="15.75">
      <c r="M482" s="2"/>
      <c r="N482" s="2"/>
      <c r="O482" s="2"/>
      <c r="P482" s="2"/>
      <c r="Q482" s="2"/>
      <c r="R482" s="2"/>
    </row>
    <row r="483" spans="8:18" ht="15.75">
      <c r="H483" s="39"/>
      <c r="M483" s="2"/>
      <c r="N483" s="2"/>
      <c r="O483" s="2"/>
      <c r="P483" s="2"/>
      <c r="Q483" s="2"/>
      <c r="R483" s="2"/>
    </row>
    <row r="484" spans="8:18" ht="15.75">
      <c r="M484" s="2"/>
      <c r="N484" s="2"/>
      <c r="O484" s="2"/>
      <c r="P484" s="2"/>
      <c r="Q484" s="2"/>
      <c r="R484" s="2"/>
    </row>
    <row r="485" spans="8:18" ht="15.75">
      <c r="M485" s="2"/>
      <c r="N485" s="2"/>
      <c r="O485" s="2"/>
      <c r="P485" s="2"/>
      <c r="Q485" s="2"/>
      <c r="R485" s="2"/>
    </row>
    <row r="486" spans="8:18" ht="15.75">
      <c r="M486" s="2"/>
      <c r="N486" s="2"/>
      <c r="O486" s="2"/>
      <c r="P486" s="2"/>
      <c r="Q486" s="2"/>
      <c r="R486" s="2"/>
    </row>
    <row r="487" spans="8:18" ht="15.75">
      <c r="M487" s="2"/>
      <c r="N487" s="2"/>
      <c r="O487" s="2"/>
      <c r="P487" s="2"/>
      <c r="Q487" s="2"/>
      <c r="R487" s="2"/>
    </row>
    <row r="488" spans="8:18" ht="15.75">
      <c r="M488" s="2"/>
      <c r="N488" s="2"/>
      <c r="O488" s="2"/>
      <c r="P488" s="2"/>
      <c r="Q488" s="2"/>
      <c r="R488" s="2"/>
    </row>
    <row r="489" spans="8:18" ht="15.75">
      <c r="M489" s="2"/>
      <c r="N489" s="2"/>
      <c r="O489" s="2"/>
      <c r="P489" s="2"/>
      <c r="Q489" s="2"/>
      <c r="R489" s="2"/>
    </row>
    <row r="490" spans="8:18" ht="15.75">
      <c r="M490" s="2"/>
      <c r="N490" s="2"/>
      <c r="O490" s="2"/>
      <c r="P490" s="2"/>
      <c r="Q490" s="2"/>
      <c r="R490" s="2"/>
    </row>
    <row r="491" spans="8:18" ht="15.75">
      <c r="M491" s="2"/>
      <c r="N491" s="2"/>
      <c r="O491" s="2"/>
      <c r="P491" s="2"/>
      <c r="Q491" s="2"/>
      <c r="R491" s="2"/>
    </row>
    <row r="492" spans="8:18" ht="15.75">
      <c r="M492" s="2"/>
      <c r="N492" s="2"/>
      <c r="O492" s="2"/>
      <c r="P492" s="2"/>
      <c r="Q492" s="2"/>
      <c r="R492" s="2"/>
    </row>
    <row r="493" spans="8:18" ht="15.75">
      <c r="M493" s="2"/>
      <c r="N493" s="2"/>
      <c r="O493" s="2"/>
      <c r="P493" s="2"/>
      <c r="Q493" s="2"/>
      <c r="R493" s="2"/>
    </row>
    <row r="494" spans="8:18" ht="15.75">
      <c r="M494" s="2"/>
      <c r="N494" s="2"/>
      <c r="O494" s="2"/>
      <c r="P494" s="2"/>
      <c r="Q494" s="2"/>
      <c r="R494" s="2"/>
    </row>
    <row r="495" spans="8:18" ht="15.75">
      <c r="M495" s="2"/>
      <c r="N495" s="2"/>
      <c r="O495" s="2"/>
      <c r="P495" s="2"/>
      <c r="Q495" s="2"/>
      <c r="R495" s="2"/>
    </row>
    <row r="496" spans="8:18" ht="15.75">
      <c r="M496" s="2"/>
      <c r="N496" s="2"/>
      <c r="O496" s="2"/>
      <c r="P496" s="2"/>
      <c r="Q496" s="2"/>
      <c r="R496" s="2"/>
    </row>
    <row r="497" s="2" customFormat="1" ht="15.75"/>
    <row r="498" s="2" customFormat="1" ht="15.75"/>
    <row r="499" s="2" customFormat="1" ht="15.75"/>
    <row r="500" s="2" customFormat="1" ht="15.75"/>
    <row r="501" s="2" customFormat="1" ht="15.75"/>
    <row r="502" s="2" customFormat="1" ht="15.75"/>
    <row r="503" s="2" customFormat="1" ht="15.75"/>
    <row r="504" s="2" customFormat="1" ht="15.75"/>
    <row r="505" s="2" customFormat="1" ht="15.75"/>
    <row r="506" s="2" customFormat="1" ht="15.75"/>
    <row r="507" s="2" customFormat="1" ht="15.75"/>
    <row r="508" s="2" customFormat="1" ht="15.75"/>
    <row r="509" s="2" customFormat="1" ht="15.75"/>
    <row r="510" s="2" customFormat="1" ht="15.75"/>
    <row r="511" s="2" customFormat="1" ht="15.75"/>
    <row r="512" s="2" customFormat="1" ht="15.75"/>
    <row r="513" spans="8:18" ht="15.75">
      <c r="M513" s="2"/>
      <c r="N513" s="2"/>
      <c r="O513" s="2"/>
      <c r="P513" s="2"/>
      <c r="Q513" s="2"/>
      <c r="R513" s="2"/>
    </row>
    <row r="514" spans="8:18" ht="15.75">
      <c r="M514" s="2"/>
      <c r="N514" s="2"/>
      <c r="O514" s="2"/>
      <c r="P514" s="2"/>
      <c r="Q514" s="2"/>
      <c r="R514" s="2"/>
    </row>
    <row r="515" spans="8:18" ht="15.75">
      <c r="M515" s="2"/>
      <c r="N515" s="2"/>
      <c r="O515" s="2"/>
      <c r="P515" s="2"/>
      <c r="Q515" s="2"/>
      <c r="R515" s="2"/>
    </row>
    <row r="516" spans="8:18" ht="15.75">
      <c r="H516" s="43" t="s">
        <v>327</v>
      </c>
      <c r="M516" s="2"/>
      <c r="N516" s="2"/>
      <c r="O516" s="2"/>
      <c r="P516" s="2"/>
      <c r="Q516" s="2"/>
      <c r="R516" s="2"/>
    </row>
    <row r="517" spans="8:18" ht="15.75">
      <c r="M517" s="2"/>
      <c r="N517" s="2"/>
      <c r="O517" s="2"/>
      <c r="P517" s="2"/>
      <c r="Q517" s="2"/>
      <c r="R517" s="2"/>
    </row>
    <row r="518" spans="8:18" ht="15.75">
      <c r="M518" s="2"/>
      <c r="N518" s="2"/>
      <c r="O518" s="2"/>
      <c r="P518" s="2"/>
      <c r="Q518" s="2"/>
      <c r="R518" s="2"/>
    </row>
    <row r="519" spans="8:18" ht="15.75">
      <c r="M519" s="2"/>
      <c r="N519" s="2"/>
      <c r="O519" s="2"/>
      <c r="P519" s="2"/>
      <c r="Q519" s="2"/>
      <c r="R519" s="2"/>
    </row>
    <row r="520" spans="8:18" ht="15.75">
      <c r="M520" s="2"/>
      <c r="N520" s="2"/>
      <c r="O520" s="2"/>
      <c r="P520" s="2"/>
      <c r="Q520" s="2"/>
      <c r="R520" s="2"/>
    </row>
    <row r="521" spans="8:18" ht="15.75">
      <c r="M521" s="2"/>
      <c r="N521" s="2"/>
      <c r="O521" s="2"/>
      <c r="P521" s="2"/>
      <c r="Q521" s="2"/>
      <c r="R521" s="2"/>
    </row>
    <row r="522" spans="8:18" ht="15.75">
      <c r="M522" s="2"/>
      <c r="N522" s="2"/>
      <c r="O522" s="2"/>
      <c r="P522" s="2"/>
      <c r="Q522" s="2"/>
      <c r="R522" s="2"/>
    </row>
    <row r="523" spans="8:18" ht="15.75">
      <c r="M523" s="2"/>
      <c r="N523" s="2"/>
      <c r="O523" s="2"/>
      <c r="P523" s="2"/>
      <c r="Q523" s="2"/>
      <c r="R523" s="2"/>
    </row>
    <row r="524" spans="8:18" ht="15.75">
      <c r="M524" s="2"/>
      <c r="N524" s="2"/>
      <c r="O524" s="2"/>
      <c r="P524" s="2"/>
      <c r="Q524" s="2"/>
      <c r="R524" s="2"/>
    </row>
    <row r="525" spans="8:18" ht="15.75">
      <c r="M525" s="2"/>
      <c r="N525" s="2"/>
      <c r="O525" s="2"/>
      <c r="P525" s="2"/>
      <c r="Q525" s="2"/>
      <c r="R525" s="2"/>
    </row>
    <row r="526" spans="8:18" ht="15.75">
      <c r="M526" s="2"/>
      <c r="N526" s="2"/>
      <c r="O526" s="2"/>
      <c r="P526" s="2"/>
      <c r="Q526" s="2"/>
      <c r="R526" s="2"/>
    </row>
    <row r="527" spans="8:18" ht="15.75">
      <c r="M527" s="2"/>
      <c r="N527" s="2"/>
      <c r="O527" s="2"/>
      <c r="P527" s="2"/>
      <c r="Q527" s="2"/>
      <c r="R527" s="2"/>
    </row>
    <row r="528" spans="8:18" ht="15.75">
      <c r="M528" s="2"/>
      <c r="N528" s="2"/>
      <c r="O528" s="2"/>
      <c r="P528" s="2"/>
      <c r="Q528" s="2"/>
      <c r="R528" s="2"/>
    </row>
    <row r="529" s="2" customFormat="1" ht="15.75"/>
    <row r="530" s="2" customFormat="1" ht="15.75"/>
    <row r="531" s="2" customFormat="1" ht="15.75"/>
    <row r="532" s="2" customFormat="1" ht="15.75"/>
    <row r="533" s="2" customFormat="1" ht="15.75"/>
    <row r="534" s="2" customFormat="1" ht="15.75"/>
    <row r="535" s="2" customFormat="1" ht="15.75"/>
    <row r="536" s="2" customFormat="1" ht="15.75"/>
    <row r="537" s="2" customFormat="1" ht="15.75"/>
    <row r="538" s="2" customFormat="1" ht="15.75"/>
    <row r="539" s="2" customFormat="1" ht="15.75"/>
    <row r="540" s="2" customFormat="1" ht="15.75"/>
    <row r="541" s="2" customFormat="1" ht="15.75"/>
    <row r="542" s="2" customFormat="1" ht="15.75"/>
    <row r="543" s="2" customFormat="1" ht="15.75"/>
    <row r="544" s="2" customFormat="1" ht="15.75"/>
    <row r="545" spans="8:18" ht="15.75">
      <c r="M545" s="2"/>
      <c r="N545" s="2"/>
      <c r="O545" s="2"/>
      <c r="P545" s="2"/>
      <c r="Q545" s="2"/>
      <c r="R545" s="2"/>
    </row>
    <row r="546" spans="8:18" ht="15.75">
      <c r="M546" s="2"/>
      <c r="N546" s="2"/>
      <c r="O546" s="2"/>
      <c r="P546" s="2"/>
      <c r="Q546" s="2"/>
      <c r="R546" s="2"/>
    </row>
    <row r="547" spans="8:18" ht="15.75">
      <c r="M547" s="2"/>
      <c r="N547" s="2"/>
      <c r="O547" s="2"/>
      <c r="P547" s="2"/>
      <c r="Q547" s="2"/>
      <c r="R547" s="2"/>
    </row>
    <row r="548" spans="8:18" ht="15.75">
      <c r="M548" s="2"/>
      <c r="N548" s="2"/>
      <c r="O548" s="2"/>
      <c r="P548" s="2"/>
      <c r="Q548" s="2"/>
      <c r="R548" s="2"/>
    </row>
    <row r="549" spans="8:18" ht="15.75">
      <c r="M549" s="2"/>
      <c r="N549" s="2"/>
      <c r="O549" s="2"/>
      <c r="P549" s="2"/>
      <c r="Q549" s="2"/>
      <c r="R549" s="2"/>
    </row>
    <row r="550" spans="8:18" ht="15.75">
      <c r="M550" s="2"/>
      <c r="N550" s="2"/>
      <c r="O550" s="2"/>
      <c r="P550" s="2"/>
      <c r="Q550" s="2"/>
      <c r="R550" s="2"/>
    </row>
    <row r="551" spans="8:18" ht="15.75">
      <c r="M551" s="2"/>
      <c r="N551" s="2"/>
      <c r="O551" s="2"/>
      <c r="P551" s="2"/>
      <c r="Q551" s="2"/>
      <c r="R551" s="2"/>
    </row>
    <row r="552" spans="8:18" ht="15.75">
      <c r="M552" s="2"/>
      <c r="N552" s="2"/>
      <c r="O552" s="2"/>
      <c r="P552" s="2"/>
      <c r="Q552" s="2"/>
      <c r="R552" s="2"/>
    </row>
    <row r="553" spans="8:18" ht="15.75">
      <c r="M553" s="2"/>
      <c r="N553" s="2"/>
      <c r="O553" s="2"/>
      <c r="P553" s="2"/>
      <c r="Q553" s="2"/>
      <c r="R553" s="2"/>
    </row>
    <row r="554" spans="8:18" ht="15.75">
      <c r="M554" s="2"/>
      <c r="N554" s="2"/>
      <c r="O554" s="2"/>
      <c r="P554" s="2"/>
      <c r="Q554" s="2"/>
      <c r="R554" s="2"/>
    </row>
    <row r="555" spans="8:18" ht="15.75">
      <c r="M555" s="2"/>
      <c r="N555" s="2"/>
      <c r="O555" s="2"/>
      <c r="P555" s="2"/>
      <c r="Q555" s="2"/>
      <c r="R555" s="2"/>
    </row>
    <row r="556" spans="8:18" ht="15.75">
      <c r="M556" s="2"/>
      <c r="N556" s="2"/>
      <c r="O556" s="2"/>
      <c r="P556" s="2"/>
      <c r="Q556" s="2"/>
      <c r="R556" s="2"/>
    </row>
    <row r="557" spans="8:18" ht="15.75">
      <c r="H557" s="44" t="s">
        <v>328</v>
      </c>
      <c r="M557" s="2"/>
      <c r="N557" s="2"/>
      <c r="O557" s="2"/>
      <c r="P557" s="2"/>
      <c r="Q557" s="2"/>
      <c r="R557" s="2"/>
    </row>
    <row r="558" spans="8:18" ht="15.75">
      <c r="M558" s="2"/>
      <c r="N558" s="2"/>
      <c r="O558" s="2"/>
      <c r="P558" s="2"/>
      <c r="Q558" s="2"/>
      <c r="R558" s="2"/>
    </row>
    <row r="559" spans="8:18" ht="15.75">
      <c r="M559" s="2"/>
      <c r="N559" s="2"/>
      <c r="O559" s="2"/>
      <c r="P559" s="2"/>
      <c r="Q559" s="2"/>
      <c r="R559" s="2"/>
    </row>
    <row r="560" spans="8:18" ht="15.75">
      <c r="M560" s="2"/>
      <c r="N560" s="2"/>
      <c r="O560" s="2"/>
      <c r="P560" s="2"/>
      <c r="Q560" s="2"/>
      <c r="R560" s="2"/>
    </row>
    <row r="561" spans="8:18" ht="15.75">
      <c r="M561" s="2"/>
      <c r="N561" s="2"/>
      <c r="O561" s="2"/>
      <c r="P561" s="2"/>
      <c r="Q561" s="2"/>
      <c r="R561" s="2"/>
    </row>
    <row r="562" spans="8:18" ht="15.75">
      <c r="M562" s="2"/>
      <c r="N562" s="2"/>
      <c r="O562" s="2"/>
      <c r="P562" s="2"/>
      <c r="Q562" s="2"/>
      <c r="R562" s="2"/>
    </row>
    <row r="563" spans="8:18" ht="15.75">
      <c r="M563" s="2"/>
      <c r="N563" s="2"/>
      <c r="O563" s="2"/>
      <c r="P563" s="2"/>
      <c r="Q563" s="2"/>
      <c r="R563" s="2"/>
    </row>
    <row r="564" spans="8:18" ht="15.75">
      <c r="M564" s="2"/>
      <c r="N564" s="2"/>
      <c r="O564" s="2"/>
      <c r="P564" s="2"/>
      <c r="Q564" s="2"/>
      <c r="R564" s="2"/>
    </row>
    <row r="565" spans="8:18" ht="15.75">
      <c r="M565" s="2"/>
      <c r="N565" s="2"/>
      <c r="O565" s="2"/>
      <c r="P565" s="2"/>
      <c r="Q565" s="2"/>
      <c r="R565" s="2"/>
    </row>
    <row r="566" spans="8:18" ht="15.75">
      <c r="M566" s="2"/>
      <c r="N566" s="2"/>
      <c r="O566" s="2"/>
      <c r="P566" s="2"/>
      <c r="Q566" s="2"/>
      <c r="R566" s="2"/>
    </row>
    <row r="567" spans="8:18" ht="15.75">
      <c r="M567" s="2"/>
      <c r="N567" s="2"/>
      <c r="O567" s="2"/>
      <c r="P567" s="2"/>
      <c r="Q567" s="2"/>
      <c r="R567" s="2"/>
    </row>
    <row r="568" spans="8:18" ht="15.75">
      <c r="M568" s="2"/>
      <c r="N568" s="2"/>
      <c r="O568" s="2"/>
      <c r="P568" s="2"/>
      <c r="Q568" s="2"/>
      <c r="R568" s="2"/>
    </row>
    <row r="569" spans="8:18" ht="15.75">
      <c r="M569" s="2"/>
      <c r="N569" s="2"/>
      <c r="O569" s="2"/>
      <c r="P569" s="2"/>
      <c r="Q569" s="2"/>
      <c r="R569" s="2"/>
    </row>
    <row r="570" spans="8:18" ht="15.75">
      <c r="M570" s="2"/>
      <c r="N570" s="2"/>
      <c r="O570" s="2"/>
      <c r="P570" s="2"/>
      <c r="Q570" s="2"/>
      <c r="R570" s="2"/>
    </row>
    <row r="571" spans="8:18" ht="15.75">
      <c r="M571" s="2"/>
      <c r="N571" s="2"/>
      <c r="O571" s="2"/>
      <c r="P571" s="2"/>
      <c r="Q571" s="2"/>
      <c r="R571" s="2"/>
    </row>
    <row r="572" spans="8:18" ht="15.75">
      <c r="M572" s="2"/>
      <c r="N572" s="2"/>
      <c r="O572" s="2"/>
      <c r="P572" s="2"/>
      <c r="Q572" s="2"/>
      <c r="R572" s="2"/>
    </row>
    <row r="573" spans="8:18" ht="15.75">
      <c r="H573" s="44" t="s">
        <v>329</v>
      </c>
      <c r="M573" s="2"/>
      <c r="N573" s="2"/>
      <c r="O573" s="2"/>
      <c r="P573" s="2"/>
      <c r="Q573" s="2"/>
      <c r="R573" s="2"/>
    </row>
    <row r="574" spans="8:18" ht="15.75">
      <c r="H574" s="44" t="s">
        <v>330</v>
      </c>
      <c r="M574" s="2"/>
      <c r="N574" s="2"/>
      <c r="O574" s="2"/>
      <c r="P574" s="2"/>
      <c r="Q574" s="2"/>
      <c r="R574" s="2"/>
    </row>
    <row r="575" spans="8:18" ht="15.75">
      <c r="M575" s="2"/>
      <c r="N575" s="2"/>
      <c r="O575" s="2"/>
      <c r="P575" s="2"/>
      <c r="Q575" s="2"/>
      <c r="R575" s="2"/>
    </row>
    <row r="576" spans="8:18" ht="15.75">
      <c r="M576" s="2"/>
      <c r="N576" s="2"/>
      <c r="O576" s="2"/>
      <c r="P576" s="2"/>
      <c r="Q576" s="2"/>
      <c r="R576" s="2"/>
    </row>
    <row r="577" spans="8:18" ht="15.75">
      <c r="M577" s="2"/>
      <c r="N577" s="2"/>
      <c r="O577" s="2"/>
      <c r="P577" s="2"/>
      <c r="Q577" s="2"/>
      <c r="R577" s="2"/>
    </row>
    <row r="578" spans="8:18" ht="15.75">
      <c r="M578" s="2"/>
      <c r="N578" s="2"/>
      <c r="O578" s="2"/>
      <c r="P578" s="2"/>
      <c r="Q578" s="2"/>
      <c r="R578" s="2"/>
    </row>
    <row r="579" spans="8:18" ht="15.75">
      <c r="M579" s="2"/>
      <c r="N579" s="2"/>
      <c r="O579" s="2"/>
      <c r="P579" s="2"/>
      <c r="Q579" s="2"/>
      <c r="R579" s="2"/>
    </row>
    <row r="580" spans="8:18" ht="15.75">
      <c r="M580" s="2"/>
      <c r="N580" s="2"/>
      <c r="O580" s="2"/>
      <c r="P580" s="2"/>
      <c r="Q580" s="2"/>
      <c r="R580" s="2"/>
    </row>
    <row r="581" spans="8:18" ht="15.75">
      <c r="M581" s="2"/>
      <c r="N581" s="2"/>
      <c r="O581" s="2"/>
      <c r="P581" s="2"/>
      <c r="Q581" s="2"/>
      <c r="R581" s="2"/>
    </row>
    <row r="582" spans="8:18" ht="15.75">
      <c r="M582" s="2"/>
      <c r="N582" s="2"/>
      <c r="O582" s="2"/>
      <c r="P582" s="2"/>
      <c r="Q582" s="2"/>
      <c r="R582" s="2"/>
    </row>
    <row r="583" spans="8:18" ht="15.75">
      <c r="M583" s="2"/>
      <c r="N583" s="2"/>
      <c r="O583" s="2"/>
      <c r="P583" s="2"/>
      <c r="Q583" s="2"/>
      <c r="R583" s="2"/>
    </row>
    <row r="584" spans="8:18" ht="15.75">
      <c r="M584" s="2"/>
      <c r="N584" s="2"/>
      <c r="O584" s="2"/>
      <c r="P584" s="2"/>
      <c r="Q584" s="2"/>
      <c r="R584" s="2"/>
    </row>
    <row r="585" spans="8:18" ht="15.75">
      <c r="H585" s="44" t="s">
        <v>331</v>
      </c>
      <c r="M585" s="2"/>
      <c r="N585" s="2"/>
      <c r="O585" s="2"/>
      <c r="P585" s="2"/>
      <c r="Q585" s="2"/>
      <c r="R585" s="2"/>
    </row>
    <row r="586" spans="8:18" ht="15.75">
      <c r="M586" s="2"/>
      <c r="N586" s="2"/>
      <c r="O586" s="2"/>
      <c r="P586" s="2"/>
      <c r="Q586" s="2"/>
      <c r="R586" s="2"/>
    </row>
    <row r="587" spans="8:18" ht="15.75">
      <c r="M587" s="2"/>
      <c r="N587" s="2"/>
      <c r="O587" s="2"/>
      <c r="P587" s="2"/>
      <c r="Q587" s="2"/>
      <c r="R587" s="2"/>
    </row>
    <row r="588" spans="8:18" ht="15.75">
      <c r="M588" s="2"/>
      <c r="N588" s="2"/>
      <c r="O588" s="2"/>
      <c r="P588" s="2"/>
      <c r="Q588" s="2"/>
      <c r="R588" s="2"/>
    </row>
    <row r="589" spans="8:18" ht="15.75">
      <c r="M589" s="2"/>
      <c r="N589" s="2"/>
      <c r="O589" s="2"/>
      <c r="P589" s="2"/>
      <c r="Q589" s="2"/>
      <c r="R589" s="2"/>
    </row>
    <row r="590" spans="8:18" ht="15.75">
      <c r="M590" s="2"/>
      <c r="N590" s="2"/>
      <c r="O590" s="2"/>
      <c r="P590" s="2"/>
      <c r="Q590" s="2"/>
      <c r="R590" s="2"/>
    </row>
    <row r="591" spans="8:18" ht="15.75">
      <c r="M591" s="2"/>
      <c r="N591" s="2"/>
      <c r="O591" s="2"/>
      <c r="P591" s="2"/>
      <c r="Q591" s="2"/>
      <c r="R591" s="2"/>
    </row>
    <row r="592" spans="8:18" ht="15.75">
      <c r="M592" s="2"/>
      <c r="N592" s="2"/>
      <c r="O592" s="2"/>
      <c r="P592" s="2"/>
      <c r="Q592" s="2"/>
      <c r="R592" s="2"/>
    </row>
    <row r="593" s="2" customFormat="1" ht="15.75"/>
    <row r="594" s="2" customFormat="1" ht="15.75"/>
    <row r="595" s="2" customFormat="1" ht="15.75"/>
    <row r="596" s="2" customFormat="1" ht="15.75"/>
    <row r="597" s="2" customFormat="1" ht="15.75"/>
    <row r="598" s="2" customFormat="1" ht="15.75"/>
    <row r="599" s="2" customFormat="1" ht="15.75"/>
    <row r="600" s="2" customFormat="1" ht="15.75"/>
    <row r="601" s="2" customFormat="1" ht="15.75"/>
    <row r="602" s="2" customFormat="1" ht="15.75"/>
    <row r="603" s="2" customFormat="1" ht="15.75"/>
    <row r="604" s="2" customFormat="1" ht="15.75"/>
    <row r="605" s="2" customFormat="1" ht="15.75"/>
    <row r="606" s="2" customFormat="1" ht="15.75"/>
    <row r="607" s="2" customFormat="1" ht="15.75"/>
    <row r="608" s="2" customFormat="1" ht="15.75"/>
    <row r="609" s="2" customFormat="1" ht="15.75"/>
    <row r="610" s="2" customFormat="1" ht="15.75"/>
    <row r="611" s="2" customFormat="1" ht="15.75"/>
    <row r="612" s="2" customFormat="1" ht="15.75"/>
    <row r="613" s="2" customFormat="1" ht="15.75"/>
    <row r="614" s="2" customFormat="1" ht="15.75"/>
    <row r="615" s="2" customFormat="1" ht="15.75"/>
    <row r="616" s="2" customFormat="1" ht="15.75"/>
    <row r="617" s="2" customFormat="1" ht="15.75"/>
    <row r="618" s="2" customFormat="1" ht="15.75"/>
    <row r="619" s="2" customFormat="1" ht="15.75"/>
    <row r="620" s="2" customFormat="1" ht="15.75"/>
    <row r="621" s="2" customFormat="1" ht="15.75"/>
    <row r="622" s="2" customFormat="1" ht="15.75"/>
    <row r="623" s="2" customFormat="1" ht="15.75"/>
    <row r="624" s="2" customFormat="1" ht="15.75"/>
    <row r="625" spans="8:18" ht="15.75">
      <c r="M625" s="2"/>
      <c r="N625" s="2"/>
      <c r="O625" s="2"/>
      <c r="P625" s="2"/>
      <c r="Q625" s="2"/>
      <c r="R625" s="2"/>
    </row>
    <row r="626" spans="8:18" ht="15.75">
      <c r="M626" s="2"/>
      <c r="N626" s="2"/>
      <c r="O626" s="2"/>
      <c r="P626" s="2"/>
      <c r="Q626" s="2"/>
      <c r="R626" s="2"/>
    </row>
    <row r="627" spans="8:18" ht="15.75">
      <c r="M627" s="2"/>
      <c r="N627" s="2"/>
      <c r="O627" s="2"/>
      <c r="P627" s="2"/>
      <c r="Q627" s="2"/>
      <c r="R627" s="2"/>
    </row>
    <row r="628" spans="8:18" ht="15.75">
      <c r="M628" s="2"/>
      <c r="N628" s="2"/>
      <c r="O628" s="2"/>
      <c r="P628" s="2"/>
      <c r="Q628" s="2"/>
      <c r="R628" s="2"/>
    </row>
    <row r="629" spans="8:18" ht="15.75">
      <c r="H629" s="44" t="s">
        <v>332</v>
      </c>
      <c r="M629" s="2"/>
      <c r="N629" s="2"/>
      <c r="O629" s="2"/>
      <c r="P629" s="2"/>
      <c r="Q629" s="2"/>
      <c r="R629" s="2"/>
    </row>
    <row r="630" spans="8:18" ht="15.75">
      <c r="M630" s="2"/>
      <c r="N630" s="2"/>
      <c r="O630" s="2"/>
      <c r="P630" s="2"/>
      <c r="Q630" s="2"/>
      <c r="R630" s="2"/>
    </row>
    <row r="631" spans="8:18" ht="15.75">
      <c r="M631" s="2"/>
      <c r="N631" s="2"/>
      <c r="O631" s="2"/>
      <c r="P631" s="2"/>
      <c r="Q631" s="2"/>
      <c r="R631" s="2"/>
    </row>
    <row r="632" spans="8:18" ht="15.75">
      <c r="M632" s="2"/>
      <c r="N632" s="2"/>
      <c r="O632" s="2"/>
      <c r="P632" s="2"/>
      <c r="Q632" s="2"/>
      <c r="R632" s="2"/>
    </row>
    <row r="633" spans="8:18" ht="15.75">
      <c r="M633" s="2"/>
      <c r="N633" s="2"/>
      <c r="O633" s="2"/>
      <c r="P633" s="2"/>
      <c r="Q633" s="2"/>
      <c r="R633" s="2"/>
    </row>
    <row r="634" spans="8:18" ht="15.75">
      <c r="M634" s="2"/>
      <c r="N634" s="2"/>
      <c r="O634" s="2"/>
      <c r="P634" s="2"/>
      <c r="Q634" s="2"/>
      <c r="R634" s="2"/>
    </row>
    <row r="635" spans="8:18" ht="15.75">
      <c r="M635" s="2"/>
      <c r="N635" s="2"/>
      <c r="O635" s="2"/>
      <c r="P635" s="2"/>
      <c r="Q635" s="2"/>
      <c r="R635" s="2"/>
    </row>
    <row r="636" spans="8:18" ht="15.75">
      <c r="M636" s="2"/>
      <c r="N636" s="2"/>
      <c r="O636" s="2"/>
      <c r="P636" s="2"/>
      <c r="Q636" s="2"/>
      <c r="R636" s="2"/>
    </row>
    <row r="637" spans="8:18" ht="15.75">
      <c r="M637" s="2"/>
      <c r="N637" s="2"/>
      <c r="O637" s="2"/>
      <c r="P637" s="2"/>
      <c r="Q637" s="2"/>
      <c r="R637" s="2"/>
    </row>
    <row r="638" spans="8:18" ht="15.75">
      <c r="M638" s="2"/>
      <c r="N638" s="2"/>
      <c r="O638" s="2"/>
      <c r="P638" s="2"/>
      <c r="Q638" s="2"/>
      <c r="R638" s="2"/>
    </row>
    <row r="639" spans="8:18" ht="15.75">
      <c r="M639" s="2"/>
      <c r="N639" s="2"/>
      <c r="O639" s="2"/>
      <c r="P639" s="2"/>
      <c r="Q639" s="2"/>
      <c r="R639" s="2"/>
    </row>
    <row r="640" spans="8:18" ht="15.75">
      <c r="M640" s="2"/>
      <c r="N640" s="2"/>
      <c r="O640" s="2"/>
      <c r="P640" s="2"/>
      <c r="Q640" s="2"/>
      <c r="R640" s="2"/>
    </row>
    <row r="641" s="2" customFormat="1" ht="15.75"/>
    <row r="642" s="2" customFormat="1" ht="15.75"/>
    <row r="643" s="2" customFormat="1" ht="15.75"/>
    <row r="644" s="2" customFormat="1" ht="15.75"/>
    <row r="645" s="2" customFormat="1" ht="15.75"/>
    <row r="646" s="2" customFormat="1" ht="15.75"/>
    <row r="647" s="2" customFormat="1" ht="15.75"/>
    <row r="648" s="2" customFormat="1" ht="15.75"/>
    <row r="649" s="2" customFormat="1" ht="15.75"/>
    <row r="650" s="2" customFormat="1" ht="15.75"/>
    <row r="651" s="2" customFormat="1" ht="15.75"/>
    <row r="652" s="2" customFormat="1" ht="15.75"/>
    <row r="653" s="2" customFormat="1" ht="15.75"/>
    <row r="654" s="2" customFormat="1" ht="15.75"/>
    <row r="655" s="2" customFormat="1" ht="15.75"/>
    <row r="656" s="2" customFormat="1" ht="15.75"/>
    <row r="657" s="2" customFormat="1" ht="15.75"/>
    <row r="658" s="2" customFormat="1" ht="15.75"/>
    <row r="659" s="2" customFormat="1" ht="15.75"/>
    <row r="660" s="2" customFormat="1" ht="15.75"/>
    <row r="661" s="2" customFormat="1" ht="15.75"/>
    <row r="662" s="2" customFormat="1" ht="15.75"/>
    <row r="663" s="2" customFormat="1" ht="15.75"/>
    <row r="664" s="2" customFormat="1" ht="15.75"/>
    <row r="665" s="2" customFormat="1" ht="15.75"/>
    <row r="666" s="2" customFormat="1" ht="15.75"/>
    <row r="667" s="2" customFormat="1" ht="15.75"/>
    <row r="668" s="2" customFormat="1" ht="15.75"/>
    <row r="669" s="2" customFormat="1" ht="15.75"/>
    <row r="670" s="2" customFormat="1" ht="15.75"/>
    <row r="671" s="2" customFormat="1" ht="15.75"/>
    <row r="672" s="2" customFormat="1" ht="15.75"/>
    <row r="673" s="2" customFormat="1" ht="15.75"/>
    <row r="674" s="2" customFormat="1" ht="15.75"/>
    <row r="675" s="2" customFormat="1" ht="15.75"/>
    <row r="676" s="2" customFormat="1" ht="15.75"/>
    <row r="677" s="2" customFormat="1" ht="15.75"/>
    <row r="678" s="2" customFormat="1" ht="15.75"/>
    <row r="679" s="2" customFormat="1" ht="15.75"/>
    <row r="680" s="2" customFormat="1" ht="15.75"/>
    <row r="681" s="2" customFormat="1" ht="15.75"/>
    <row r="682" s="2" customFormat="1" ht="15.75"/>
    <row r="683" s="2" customFormat="1" ht="15.75"/>
    <row r="684" s="2" customFormat="1" ht="15.75"/>
    <row r="685" s="2" customFormat="1" ht="15.75"/>
    <row r="686" s="2" customFormat="1" ht="15.75"/>
    <row r="687" s="2" customFormat="1" ht="15.75"/>
    <row r="688" s="2" customFormat="1" ht="15.75"/>
    <row r="689" s="2" customFormat="1" ht="15.75"/>
    <row r="690" s="2" customFormat="1" ht="15.75"/>
    <row r="691" s="2" customFormat="1" ht="15.75"/>
    <row r="692" s="2" customFormat="1" ht="15.75"/>
    <row r="693" s="2" customFormat="1" ht="15.75"/>
    <row r="694" s="2" customFormat="1" ht="15.75"/>
    <row r="695" s="2" customFormat="1" ht="15.75"/>
    <row r="696" s="2" customFormat="1" ht="15.75"/>
    <row r="697" s="2" customFormat="1" ht="15.75"/>
    <row r="698" s="2" customFormat="1" ht="15.75"/>
    <row r="699" s="2" customFormat="1" ht="15.75"/>
    <row r="700" s="2" customFormat="1" ht="15.75"/>
    <row r="701" s="2" customFormat="1" ht="15.75"/>
    <row r="702" s="2" customFormat="1" ht="15.75"/>
    <row r="703" s="2" customFormat="1" ht="15.75"/>
    <row r="704" s="2" customFormat="1" ht="15.75"/>
    <row r="705" s="2" customFormat="1" ht="15.75"/>
    <row r="706" s="2" customFormat="1" ht="15.75"/>
    <row r="707" s="2" customFormat="1" ht="15.75"/>
    <row r="708" s="2" customFormat="1" ht="15.75"/>
    <row r="709" s="2" customFormat="1" ht="15.75"/>
    <row r="710" s="2" customFormat="1" ht="15.75"/>
    <row r="711" s="2" customFormat="1" ht="15.75"/>
    <row r="712" s="2" customFormat="1" ht="15.75"/>
    <row r="713" s="2" customFormat="1" ht="15.75"/>
    <row r="714" s="2" customFormat="1" ht="15.75"/>
    <row r="715" s="2" customFormat="1" ht="15.75"/>
    <row r="716" s="2" customFormat="1" ht="15.75"/>
    <row r="717" s="2" customFormat="1" ht="15.75"/>
    <row r="718" s="2" customFormat="1" ht="15.75"/>
    <row r="719" s="2" customFormat="1" ht="15.75"/>
    <row r="720" s="2" customFormat="1" ht="15.75"/>
    <row r="721" s="2" customFormat="1" ht="15.75"/>
    <row r="722" s="2" customFormat="1" ht="15.75"/>
    <row r="723" s="2" customFormat="1" ht="15.75"/>
    <row r="724" s="2" customFormat="1" ht="15.75"/>
    <row r="725" s="2" customFormat="1" ht="15.75"/>
    <row r="726" s="2" customFormat="1" ht="15.75"/>
    <row r="727" s="2" customFormat="1" ht="15.75"/>
    <row r="728" s="2" customFormat="1" ht="15.75"/>
    <row r="729" s="2" customFormat="1" ht="15.75"/>
    <row r="730" s="2" customFormat="1" ht="15.75"/>
    <row r="731" s="2" customFormat="1" ht="15.75"/>
    <row r="732" s="2" customFormat="1" ht="15.75"/>
    <row r="733" s="2" customFormat="1" ht="15.75"/>
    <row r="734" s="2" customFormat="1" ht="15.75"/>
    <row r="735" s="2" customFormat="1" ht="15.75"/>
    <row r="736" s="2" customFormat="1" ht="15.75"/>
    <row r="737" s="2" customFormat="1" ht="15.75"/>
    <row r="738" s="2" customFormat="1" ht="15.75"/>
    <row r="739" s="2" customFormat="1" ht="15.75"/>
    <row r="740" s="2" customFormat="1" ht="15.75"/>
    <row r="741" s="2" customFormat="1" ht="15.75"/>
    <row r="742" s="2" customFormat="1" ht="15.75"/>
    <row r="743" s="2" customFormat="1" ht="15.75"/>
    <row r="744" s="2" customFormat="1" ht="15.75"/>
    <row r="745" s="2" customFormat="1" ht="15.75"/>
    <row r="746" s="2" customFormat="1" ht="15.75"/>
    <row r="747" s="2" customFormat="1" ht="15.75"/>
    <row r="748" s="2" customFormat="1" ht="15.75"/>
    <row r="749" s="2" customFormat="1" ht="15.75"/>
    <row r="750" s="2" customFormat="1" ht="15.75"/>
    <row r="751" s="2" customFormat="1" ht="15.75"/>
    <row r="752" s="2" customFormat="1" ht="15.75"/>
    <row r="753" spans="13:18" ht="15.75">
      <c r="M753" s="2"/>
      <c r="N753" s="2"/>
      <c r="O753" s="2"/>
      <c r="P753" s="2"/>
      <c r="Q753" s="2"/>
      <c r="R753" s="2"/>
    </row>
    <row r="754" spans="13:18" ht="15.75"/>
    <row r="755" spans="13:18" ht="15.75"/>
    <row r="756" spans="13:18" ht="15.75"/>
    <row r="757" spans="13:18" ht="15.75"/>
    <row r="758" spans="13:18" ht="15.75"/>
    <row r="759" spans="13:18" ht="15.75"/>
    <row r="760" spans="13:18" ht="15.75"/>
    <row r="761" spans="13:18" ht="15.75"/>
    <row r="762" spans="13:18" ht="15.75"/>
    <row r="763" spans="13:18" ht="15.75"/>
    <row r="764" spans="13:18" ht="15.75"/>
    <row r="765" spans="13:18" ht="15.75"/>
    <row r="766" spans="13:18" ht="15.75"/>
    <row r="767" spans="13:18" ht="15.75"/>
    <row r="768" spans="13:18" ht="15.75"/>
    <row r="769" ht="15.75"/>
    <row r="770" ht="15.75"/>
    <row r="771" ht="15.75"/>
    <row r="772" ht="15.75"/>
    <row r="773" ht="15.75"/>
    <row r="774" ht="15.75"/>
    <row r="775" ht="15.75"/>
    <row r="776" ht="15.6" customHeight="1"/>
    <row r="777" ht="15.6" customHeight="1"/>
    <row r="778" ht="15.6" customHeight="1"/>
    <row r="779" ht="15.6" customHeight="1"/>
    <row r="780" ht="15.6" customHeight="1"/>
    <row r="781" ht="15.6" customHeight="1"/>
    <row r="782" ht="15.6" customHeight="1"/>
    <row r="783" ht="15.6" customHeight="1"/>
    <row r="784" ht="15.6" customHeight="1"/>
    <row r="785" ht="15.6" customHeight="1"/>
    <row r="786" ht="15.6" customHeight="1"/>
    <row r="787" ht="15.6" customHeight="1"/>
    <row r="788" ht="15.6" customHeight="1"/>
    <row r="789" ht="15.6" customHeight="1"/>
    <row r="790" ht="15.6" customHeight="1"/>
    <row r="791" ht="15.6" customHeight="1"/>
    <row r="792" ht="15.6" customHeight="1"/>
    <row r="793" ht="15.6" customHeight="1"/>
    <row r="794" ht="15.6" customHeight="1"/>
    <row r="795" ht="15.6" customHeight="1"/>
    <row r="796" ht="15.6" customHeight="1"/>
    <row r="797" ht="15.6" customHeight="1"/>
    <row r="798" ht="15.6" customHeight="1"/>
    <row r="799" ht="15.6" customHeight="1"/>
    <row r="800" ht="15.6" customHeight="1"/>
    <row r="801" ht="15.6" customHeight="1"/>
    <row r="802" ht="15.6" customHeight="1"/>
    <row r="803" ht="15.6" customHeight="1"/>
    <row r="804" ht="15.6" customHeight="1"/>
    <row r="805" ht="15.6" customHeight="1"/>
    <row r="806" ht="15.6" customHeight="1"/>
    <row r="807" ht="15.6" customHeight="1"/>
    <row r="808" ht="15.6" customHeight="1"/>
    <row r="809" ht="15.6" customHeight="1"/>
    <row r="810" ht="15.6" customHeight="1"/>
    <row r="811" ht="15.6" customHeight="1"/>
    <row r="812" ht="15.6" customHeight="1"/>
    <row r="813" ht="15.6" customHeight="1"/>
    <row r="814" ht="15.6" customHeight="1"/>
    <row r="815" ht="15.6" customHeight="1"/>
    <row r="816" ht="15.6" customHeight="1"/>
    <row r="817" ht="15.6" customHeight="1"/>
    <row r="818" ht="15.6" customHeight="1"/>
    <row r="819" ht="15.6" customHeight="1"/>
    <row r="820" ht="15.6" customHeight="1"/>
    <row r="821" ht="15.6" customHeight="1"/>
    <row r="822" ht="15.6" customHeight="1"/>
    <row r="823" ht="15.6" customHeight="1"/>
    <row r="824" ht="15.6" customHeight="1"/>
    <row r="825" ht="15.6" customHeight="1"/>
    <row r="826" ht="15.6" customHeight="1"/>
    <row r="827" ht="15.6" customHeight="1"/>
    <row r="828" ht="15.6" customHeight="1"/>
    <row r="829" ht="15.6" customHeight="1"/>
    <row r="830" ht="15.6" customHeight="1"/>
    <row r="831" ht="15.6" customHeight="1"/>
    <row r="832" ht="15.6" customHeight="1"/>
    <row r="833" ht="15.6" customHeight="1"/>
    <row r="834" ht="15.6" customHeight="1"/>
    <row r="835" ht="15.6" customHeight="1"/>
    <row r="836" ht="15.6" customHeight="1"/>
    <row r="837" ht="15.6" customHeight="1"/>
    <row r="838" ht="15.6" customHeight="1"/>
    <row r="839" ht="15.6" customHeight="1"/>
    <row r="840" ht="15.6" customHeight="1"/>
    <row r="841" ht="15.6" customHeight="1"/>
    <row r="842" ht="15.6" customHeight="1"/>
    <row r="843" ht="15.6" customHeight="1"/>
    <row r="844" ht="15.6" customHeight="1"/>
    <row r="845" ht="15.6" customHeight="1"/>
    <row r="846" ht="15.6" customHeight="1"/>
    <row r="847" ht="15.6" customHeight="1"/>
    <row r="848" ht="15.6" customHeight="1"/>
    <row r="849" ht="15.6" customHeight="1"/>
    <row r="850" ht="15.6" customHeight="1"/>
    <row r="851" ht="15.6" customHeight="1"/>
    <row r="852" ht="15.6" customHeight="1"/>
    <row r="853" ht="15.6" customHeight="1"/>
    <row r="854" ht="15.6" customHeight="1"/>
    <row r="855" ht="15.6" customHeight="1"/>
    <row r="856" ht="15.6" customHeight="1"/>
    <row r="857" ht="15.6" customHeight="1"/>
    <row r="858" ht="15.6" customHeight="1"/>
    <row r="859" ht="15.6" customHeight="1"/>
    <row r="860" ht="15.6" customHeight="1"/>
    <row r="861" ht="15.6" customHeight="1"/>
    <row r="862" ht="15.6" customHeight="1"/>
    <row r="863" ht="15.6" customHeight="1"/>
    <row r="864" ht="15.6" customHeight="1"/>
    <row r="865" ht="15.6" customHeight="1"/>
    <row r="866" ht="15.6" customHeight="1"/>
    <row r="867" ht="15.6" customHeight="1"/>
    <row r="868" ht="15.6" customHeight="1"/>
    <row r="869" ht="15.6" customHeight="1"/>
    <row r="870" ht="15.6" customHeight="1"/>
    <row r="871" ht="15.6" customHeight="1"/>
    <row r="872" ht="15.6" customHeight="1"/>
    <row r="873" ht="15.6" customHeight="1"/>
    <row r="874" ht="15.6" customHeight="1"/>
    <row r="875" ht="15.6" customHeight="1"/>
    <row r="876" ht="15.6" customHeight="1"/>
    <row r="877" ht="15.6" customHeight="1"/>
    <row r="878" ht="15.6" customHeight="1"/>
    <row r="879" ht="15.6" customHeight="1"/>
    <row r="880" ht="15.6" customHeight="1"/>
    <row r="881" ht="15.6" customHeight="1"/>
    <row r="882" ht="15.6" customHeight="1"/>
    <row r="883" ht="15.6" customHeight="1"/>
    <row r="884" ht="15.6" customHeight="1"/>
    <row r="885" ht="15.6" customHeight="1"/>
    <row r="886" ht="15.6" customHeight="1"/>
    <row r="887" ht="15.6" customHeight="1"/>
    <row r="888" ht="15.6" customHeight="1"/>
    <row r="889" ht="15.6" customHeight="1"/>
    <row r="890" ht="15.6" customHeight="1"/>
    <row r="891" ht="15.6" customHeight="1"/>
    <row r="892" ht="15.6" customHeight="1"/>
    <row r="893" ht="15.6" customHeight="1"/>
    <row r="894" ht="15.6" customHeight="1"/>
    <row r="895" ht="15.6" customHeight="1"/>
    <row r="896" ht="15.6" customHeight="1"/>
    <row r="897" ht="15.6" customHeight="1"/>
    <row r="898" ht="15.6" customHeight="1"/>
    <row r="899" ht="15.6" customHeight="1"/>
    <row r="900" ht="15.6" customHeight="1"/>
    <row r="901" ht="15.6" customHeight="1"/>
    <row r="902" ht="15.6" customHeight="1"/>
    <row r="903" ht="15.6" customHeight="1"/>
    <row r="904" ht="15.6" customHeight="1"/>
    <row r="905" ht="15.6" customHeight="1"/>
    <row r="906" ht="15.6" customHeight="1"/>
    <row r="907" ht="15.6" customHeight="1"/>
    <row r="908" ht="15.6" customHeight="1"/>
    <row r="909" ht="15.6" customHeight="1"/>
    <row r="910" ht="15.6" customHeight="1"/>
    <row r="911" ht="15.6" customHeight="1"/>
    <row r="912" ht="15.6" customHeight="1"/>
    <row r="913" ht="15.6" customHeight="1"/>
    <row r="914" ht="15.6" customHeight="1"/>
    <row r="915" ht="15.6" customHeight="1"/>
    <row r="916" ht="15.6" customHeight="1"/>
    <row r="917" ht="15.6" customHeight="1"/>
    <row r="918" ht="15.6" customHeight="1"/>
    <row r="919" ht="15.6" customHeight="1"/>
    <row r="920" ht="15.6" customHeight="1"/>
    <row r="921" ht="15.6" customHeight="1"/>
    <row r="922" ht="15.6" customHeight="1"/>
    <row r="923" ht="15.6" customHeight="1"/>
    <row r="924" ht="15.6" customHeight="1"/>
    <row r="925" ht="15.6" customHeight="1"/>
    <row r="926" ht="15.6" customHeight="1"/>
    <row r="927" ht="15.6" customHeight="1"/>
    <row r="928" ht="15.6" customHeight="1"/>
    <row r="929" ht="15.6" customHeight="1"/>
    <row r="930" ht="15.6" customHeight="1"/>
    <row r="931" ht="15.6" customHeight="1"/>
    <row r="932" ht="15.6" customHeight="1"/>
    <row r="933" ht="15.6" customHeight="1"/>
    <row r="934" ht="15.6" customHeight="1"/>
    <row r="935" ht="15.6" customHeight="1"/>
    <row r="936" ht="15.6" customHeight="1"/>
    <row r="937" ht="15.6" customHeight="1"/>
    <row r="938" ht="15.6" customHeight="1"/>
    <row r="939" ht="15.6" customHeight="1"/>
    <row r="940" ht="15.6" customHeight="1"/>
    <row r="941" ht="15.6" customHeight="1"/>
    <row r="942" ht="15.6" customHeight="1"/>
    <row r="943" ht="15.6" customHeight="1"/>
    <row r="944" ht="15.6" customHeight="1"/>
    <row r="945" ht="15.6" customHeight="1"/>
    <row r="946" ht="15.6" customHeight="1"/>
    <row r="947" ht="15.6" customHeight="1"/>
    <row r="948" ht="15.6" customHeight="1"/>
    <row r="949" ht="15.6" customHeight="1"/>
    <row r="950" ht="15.6" customHeight="1"/>
    <row r="951" ht="15.6" customHeight="1"/>
    <row r="952" ht="15.6" customHeight="1"/>
    <row r="953" ht="15.6" customHeight="1"/>
    <row r="954" ht="15.6" customHeight="1"/>
    <row r="955" ht="15.6" customHeight="1"/>
    <row r="956" ht="15.6" customHeight="1"/>
    <row r="957" ht="15.6" customHeight="1"/>
    <row r="958" ht="15.6" customHeight="1"/>
    <row r="959" ht="15.6" customHeight="1"/>
    <row r="960" ht="15.6" customHeight="1"/>
    <row r="961" ht="15.6" customHeight="1"/>
    <row r="962" ht="15.6" customHeight="1"/>
    <row r="963" ht="15.6" customHeight="1"/>
    <row r="964" ht="15.6" customHeight="1"/>
    <row r="965" ht="15.6" customHeight="1"/>
    <row r="966" ht="15.6" customHeight="1"/>
    <row r="967" ht="15.6" customHeight="1"/>
    <row r="968" ht="15.6" customHeight="1"/>
    <row r="969" ht="15.6" customHeight="1"/>
    <row r="970" ht="15.6" customHeight="1"/>
    <row r="971" ht="15.6" customHeight="1"/>
    <row r="972" ht="15.6" customHeight="1"/>
    <row r="973" ht="15.6" customHeight="1"/>
    <row r="974" ht="15.6" customHeight="1"/>
    <row r="975" ht="15.6" customHeight="1"/>
    <row r="976" ht="15.6" customHeight="1"/>
    <row r="977" ht="15.6" customHeight="1"/>
    <row r="978" ht="15.6" customHeight="1"/>
    <row r="979" ht="15.6" customHeight="1"/>
    <row r="980" ht="15.6" customHeight="1"/>
    <row r="981" ht="15.6" customHeight="1"/>
    <row r="982" ht="15.6" customHeight="1"/>
    <row r="983" ht="15.6" customHeight="1"/>
    <row r="984" ht="15.6" customHeight="1"/>
    <row r="985" ht="15.6" customHeight="1"/>
    <row r="986" ht="15.6" customHeight="1"/>
    <row r="987" ht="15.6" customHeight="1"/>
    <row r="988" ht="15.6" customHeight="1"/>
    <row r="989" ht="15.6" customHeight="1"/>
    <row r="990" ht="15.6" customHeight="1"/>
    <row r="991" ht="15.6" customHeight="1"/>
    <row r="992" ht="15.6" customHeight="1"/>
    <row r="993" ht="15.6" customHeight="1"/>
    <row r="994" ht="15.6" customHeight="1"/>
    <row r="995" ht="15.6" customHeight="1"/>
    <row r="996" ht="15.6" customHeight="1"/>
    <row r="997" ht="15.6" customHeight="1"/>
    <row r="998" ht="15.6" customHeight="1"/>
    <row r="999" ht="15.6" customHeight="1"/>
    <row r="1000" ht="15.6" customHeight="1"/>
    <row r="1001" ht="15.6" customHeight="1"/>
    <row r="1002" ht="15.6" customHeight="1"/>
    <row r="1003" ht="15.6" customHeight="1"/>
    <row r="1004" ht="15.6" customHeight="1"/>
    <row r="1005" ht="15.6" customHeight="1"/>
    <row r="1006" ht="15.6" customHeight="1"/>
    <row r="1007" ht="15.6" customHeight="1"/>
    <row r="1008" ht="15.6" customHeight="1"/>
    <row r="1009" ht="15.6" customHeight="1"/>
    <row r="1010" ht="15.6" customHeight="1"/>
    <row r="1011" ht="15.6" customHeight="1"/>
    <row r="1012" ht="15.6" customHeight="1"/>
    <row r="1013" ht="15.6" customHeight="1"/>
    <row r="1014" ht="15.6" customHeight="1"/>
    <row r="1015" ht="15.6" customHeight="1"/>
    <row r="1016" ht="15.6" customHeight="1"/>
    <row r="1017" ht="15.6" customHeight="1"/>
    <row r="1018" ht="15.6" customHeight="1"/>
    <row r="1019" ht="15.6" customHeight="1"/>
    <row r="1020" ht="15.6" customHeight="1"/>
    <row r="1021" ht="15.6" customHeight="1"/>
    <row r="1022" ht="15.6" customHeight="1"/>
    <row r="1023" ht="15.6" customHeight="1"/>
    <row r="1024" ht="15.6" customHeight="1"/>
    <row r="1025" ht="15.6" customHeight="1"/>
    <row r="1026" ht="15.6" customHeight="1"/>
    <row r="1027" ht="15.6" customHeight="1"/>
    <row r="1028" ht="15.6" customHeight="1"/>
    <row r="1029" ht="15.6" customHeight="1"/>
    <row r="1030" ht="15.6" customHeight="1"/>
    <row r="1031" ht="15.6" customHeight="1"/>
    <row r="1032" ht="15.6" customHeight="1"/>
    <row r="1033" ht="15.6" customHeight="1"/>
    <row r="1034" ht="15.6" customHeight="1"/>
    <row r="1035" ht="15.6" customHeight="1"/>
    <row r="1036" ht="15.6" customHeight="1"/>
    <row r="1037" ht="15.6" customHeight="1"/>
    <row r="1038" ht="15.6" customHeight="1"/>
    <row r="1039" ht="15.6" customHeight="1"/>
    <row r="1040" ht="15.6" customHeight="1"/>
    <row r="1041" ht="15.6" customHeight="1"/>
    <row r="1042" ht="15.6" customHeight="1"/>
    <row r="1043" ht="15.6" customHeight="1"/>
    <row r="1044" ht="15.6" customHeight="1"/>
    <row r="1045" ht="15.6" customHeight="1"/>
    <row r="1046" ht="15.6" customHeight="1"/>
    <row r="1047" ht="15.6" customHeight="1"/>
    <row r="1048" ht="15.6" customHeight="1"/>
    <row r="1049" ht="15.6" customHeight="1"/>
    <row r="1050" ht="15.6" customHeight="1"/>
    <row r="1051" ht="15.6" customHeight="1"/>
    <row r="1052" ht="15.6" customHeight="1"/>
    <row r="1053" ht="15.6" customHeight="1"/>
    <row r="1054" ht="15.6" customHeight="1"/>
    <row r="1055" ht="15.6" customHeight="1"/>
    <row r="1056" ht="15.6" customHeight="1"/>
    <row r="1057" ht="15.6" customHeight="1"/>
    <row r="1058" ht="15.6" customHeight="1"/>
    <row r="1059" ht="15.6" customHeight="1"/>
    <row r="1060" ht="15.6" customHeight="1"/>
    <row r="1061" ht="15.6" customHeight="1"/>
    <row r="1062" ht="15.6" customHeight="1"/>
    <row r="1063" ht="15.6" customHeight="1"/>
    <row r="1064" ht="15.6" customHeight="1"/>
    <row r="1065" ht="15.6" customHeight="1"/>
    <row r="1066" ht="15.6" customHeight="1"/>
    <row r="1067" ht="15.6" customHeight="1"/>
    <row r="1068" ht="15.6" customHeight="1"/>
    <row r="1069" ht="15.6" customHeight="1"/>
    <row r="1070" ht="15.6" customHeight="1"/>
    <row r="1071" ht="15.6" customHeight="1"/>
    <row r="1072" ht="15.6" customHeight="1"/>
    <row r="1073" ht="15.6" customHeight="1"/>
    <row r="1074" ht="15.6" customHeight="1"/>
    <row r="1075" ht="15.6" customHeight="1"/>
    <row r="1076" ht="15.6" customHeight="1"/>
    <row r="1077" ht="15.75"/>
    <row r="1078" ht="15.75"/>
    <row r="1080" ht="15.75"/>
  </sheetData>
  <mergeCells count="16">
    <mergeCell ref="A169:G169"/>
    <mergeCell ref="A170:G170"/>
    <mergeCell ref="A177:G177"/>
    <mergeCell ref="A178:G178"/>
    <mergeCell ref="A9:G9"/>
    <mergeCell ref="A10:G10"/>
    <mergeCell ref="A28:G28"/>
    <mergeCell ref="A29:G29"/>
    <mergeCell ref="A56:G56"/>
    <mergeCell ref="A111:G111"/>
    <mergeCell ref="A112:G112"/>
    <mergeCell ref="A129:G129"/>
    <mergeCell ref="A130:G130"/>
    <mergeCell ref="A57:G57"/>
    <mergeCell ref="A77:G77"/>
    <mergeCell ref="A78:G78"/>
  </mergeCells>
  <conditionalFormatting sqref="A170:C170 A171:A188 F170">
    <cfRule type="cellIs" dxfId="4" priority="1" operator="equal">
      <formula>0</formula>
    </cfRule>
  </conditionalFormatting>
  <pageMargins left="0.25" right="0.25" top="0.75" bottom="0.75" header="0.3" footer="0.3"/>
  <pageSetup paperSize="9" scale="60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0D5C-A854-4EF3-A593-8BC3A940502C}">
  <sheetPr>
    <tabColor theme="9" tint="0.59999389629810485"/>
  </sheetPr>
  <dimension ref="A1:Z564"/>
  <sheetViews>
    <sheetView workbookViewId="0">
      <pane ySplit="1" topLeftCell="A91" activePane="bottomLeft" state="frozen"/>
      <selection pane="bottomLeft" activeCell="E107" sqref="A107:G107"/>
    </sheetView>
  </sheetViews>
  <sheetFormatPr defaultColWidth="9" defaultRowHeight="14.45"/>
  <cols>
    <col min="1" max="1" width="30.625" style="7" customWidth="1"/>
    <col min="2" max="2" width="25.875" style="7" customWidth="1"/>
    <col min="3" max="3" width="18.25" style="7" customWidth="1"/>
    <col min="4" max="4" width="18.375" style="7" customWidth="1"/>
    <col min="5" max="5" width="16.375" style="7" customWidth="1"/>
    <col min="6" max="6" width="14" style="7" customWidth="1"/>
    <col min="7" max="7" width="17.125" style="7" customWidth="1"/>
    <col min="8" max="12" width="9" style="7" customWidth="1"/>
    <col min="13" max="13" width="31" style="7" customWidth="1"/>
    <col min="14" max="14" width="22.125" style="7" customWidth="1"/>
    <col min="15" max="15" width="15.875" style="7" customWidth="1"/>
    <col min="16" max="16" width="14.375" style="7" customWidth="1"/>
    <col min="17" max="17" width="13.75" style="9" customWidth="1"/>
    <col min="18" max="18" width="17.5" style="11" customWidth="1"/>
    <col min="19" max="19" width="17.5" style="7" customWidth="1"/>
    <col min="20" max="20" width="10.375" style="7" bestFit="1" customWidth="1"/>
    <col min="21" max="16384" width="9" style="7"/>
  </cols>
  <sheetData>
    <row r="1" spans="1:26" ht="15.6">
      <c r="A1" s="1" t="s">
        <v>0</v>
      </c>
      <c r="B1" s="1" t="s">
        <v>1</v>
      </c>
      <c r="C1" s="1" t="s">
        <v>2</v>
      </c>
      <c r="D1" s="13" t="s">
        <v>3</v>
      </c>
      <c r="E1" s="14" t="s">
        <v>4</v>
      </c>
      <c r="F1" s="1" t="s">
        <v>5</v>
      </c>
      <c r="G1" s="3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>
      <c r="A2" s="15" t="s">
        <v>7</v>
      </c>
      <c r="B2" s="16"/>
      <c r="C2" s="16"/>
      <c r="D2" s="17"/>
      <c r="E2" s="18"/>
      <c r="F2" s="16"/>
      <c r="G2" s="19"/>
      <c r="H2" s="20"/>
      <c r="I2" s="20"/>
      <c r="J2" s="20"/>
      <c r="K2" s="20"/>
      <c r="L2" s="20"/>
      <c r="M2" s="2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>
      <c r="A3" s="22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2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>
      <c r="A4" s="31">
        <f>SUM(
SUMIFS($E$11:$E$272,$D$11:$D$272,"&gt;="&amp;EOMONTH($A$8,-1)+1,$D$11:$D$272,"&lt;="&amp;EOMONTH($A$8,0),$F$11:$F$272,"kp"),
SUMIFS($E$11:$E$272,$D$11:$D$272,"&gt;="&amp;EOMONTH($A$8,-1)+1,$D$11:$D$272,"&lt;="&amp;EOMONTH($A$8,0),$F$11:$F$272,"kp."),
SUMIFS($E$11:$E$272,$D$11:$D$272,"&gt;="&amp;EOMONTH($A$8,-1)+1,$D$11:$D$272,"&lt;="&amp;EOMONTH($A$8,0),$F$11:$F$272,"bk"),
SUMIFS($E$11:$E$272,$D$11:$D$272,"&gt;="&amp;EOMONTH($A$8,-1)+1,$D$11:$D$272,"&lt;="&amp;EOMONTH($A$8,0),$F$11:$F$272,"bk."),
SUMIFS($E$11:$E$272,$D$11:$D$272,"&gt;="&amp;EOMONTH($A$8,-1)+1,$D$11:$D$272,"&lt;="&amp;EOMONTH($A$8,0),$F$11:$F$272,"mgc")
)</f>
        <v>761029</v>
      </c>
      <c r="B4" s="14">
        <f>SUM(
SUMIFS($E$11:$E$272,$D$11:$D$272,"&gt;="&amp;EOMONTH(B$8,-1)+1,$D$11:$D$272,"&lt;="&amp;EOMONTH(B$8,0),$F$11:$F$272,"kp"),
SUMIFS($E$11:$E$272,$D$11:$D$272,"&gt;="&amp;EOMONTH(B$8,-1)+1,$D$11:$D$272,"&lt;="&amp;EOMONTH(B$8,0),$F$11:$F$272,"kp."),
SUMIFS($E$11:$E$272,$D$11:$D$272,"&gt;="&amp;EOMONTH(B$8,-1)+1,$D$11:$D$272,"&lt;="&amp;EOMONTH(B$8,0),$F$11:$F$272,"bk"),
SUMIFS($E$11:$E$272,$D$11:$D$272,"&gt;="&amp;EOMONTH(B$8,-1)+1,$D$11:$D$272,"&lt;="&amp;EOMONTH(B$8,0),$F$11:$F$272,"bk."),
SUMIFS($E$11:$E$272,$D$11:$D$272,"&gt;="&amp;EOMONTH(B$8,-1)+1,$D$11:$D$272,"&lt;="&amp;EOMONTH(B$8,0),$F$11:$F$272,"mgc")
)</f>
        <v>510491</v>
      </c>
      <c r="C4" s="14">
        <f>SUM(
SUMIFS($E$11:$E$272,$D$11:$D$272,"&gt;="&amp;EOMONTH(C$8,-1)+1,$D$11:$D$272,"&lt;="&amp;EOMONTH(C$8,0),$F$11:$F$272,"kp"),
SUMIFS($E$11:$E$272,$D$11:$D$272,"&gt;="&amp;EOMONTH(C$8,-1)+1,$D$11:$D$272,"&lt;="&amp;EOMONTH(C$8,0),$F$11:$F$272,"kp."),
SUMIFS($E$11:$E$272,$D$11:$D$272,"&gt;="&amp;EOMONTH(C$8,-1)+1,$D$11:$D$272,"&lt;="&amp;EOMONTH(C$8,0),$F$11:$F$272,"bk"),
SUMIFS($E$11:$E$272,$D$11:$D$272,"&gt;="&amp;EOMONTH(C$8,-1)+1,$D$11:$D$272,"&lt;="&amp;EOMONTH(C$8,0),$F$11:$F$272,"bk."),
SUMIFS($E$11:$E$272,$D$11:$D$272,"&gt;="&amp;EOMONTH(C$8,-1)+1,$D$11:$D$272,"&lt;="&amp;EOMONTH(C$8,0),$F$11:$F$272,"mgc")
)</f>
        <v>777520</v>
      </c>
      <c r="D4" s="14">
        <f>SUM(
SUMIFS($E$11:$E$272,$D$11:$D$272,"&gt;="&amp;EOMONTH(D$8,-1)+1,$D$11:$D$272,"&lt;="&amp;EOMONTH(D$8,0),$F$11:$F$272,"kp"),
SUMIFS($E$11:$E$272,$D$11:$D$272,"&gt;="&amp;EOMONTH(D$8,-1)+1,$D$11:$D$272,"&lt;="&amp;EOMONTH(D$8,0),$F$11:$F$272,"kp."),
SUMIFS($E$11:$E$272,$D$11:$D$272,"&gt;="&amp;EOMONTH(D$8,-1)+1,$D$11:$D$272,"&lt;="&amp;EOMONTH(D$8,0),$F$11:$F$272,"bk"),
SUMIFS($E$11:$E$272,$D$11:$D$272,"&gt;="&amp;EOMONTH(D$8,-1)+1,$D$11:$D$272,"&lt;="&amp;EOMONTH(D$8,0),$F$11:$F$272,"bk."),
SUMIFS($E$11:$E$272,$D$11:$D$272,"&gt;="&amp;EOMONTH(D$8,-1)+1,$D$11:$D$272,"&lt;="&amp;EOMONTH(D$8,0),$F$11:$F$272,"mgc")
)</f>
        <v>0</v>
      </c>
      <c r="E4" s="14">
        <f>SUM(
SUMIFS($E$11:$E$272,$D$11:$D$272,"&gt;="&amp;EOMONTH(E$8,-1)+1,$D$11:$D$272,"&lt;="&amp;EOMONTH(E$8,0),$F$11:$F$272,"kp"),
SUMIFS($E$11:$E$272,$D$11:$D$272,"&gt;="&amp;EOMONTH(E$8,-1)+1,$D$11:$D$272,"&lt;="&amp;EOMONTH(E$8,0),$F$11:$F$272,"kp."),
SUMIFS($E$11:$E$272,$D$11:$D$272,"&gt;="&amp;EOMONTH(E$8,-1)+1,$D$11:$D$272,"&lt;="&amp;EOMONTH(E$8,0),$F$11:$F$272,"bk"),
SUMIFS($E$11:$E$272,$D$11:$D$272,"&gt;="&amp;EOMONTH(E$8,-1)+1,$D$11:$D$272,"&lt;="&amp;EOMONTH(E$8,0),$F$11:$F$272,"bk."),
SUMIFS($E$11:$E$272,$D$11:$D$272,"&gt;="&amp;EOMONTH(E$8,-1)+1,$D$11:$D$272,"&lt;="&amp;EOMONTH(E$8,0),$F$11:$F$272,"mgc")
)</f>
        <v>0</v>
      </c>
      <c r="F4" s="14">
        <f>SUM(
SUMIFS($E$11:$E$272,$D$11:$D$272,"&gt;="&amp;EOMONTH(F$8,-1)+1,$D$11:$D$272,"&lt;="&amp;EOMONTH(F$8,0),$F$11:$F$272,"kp"),
SUMIFS($E$11:$E$272,$D$11:$D$272,"&gt;="&amp;EOMONTH(F$8,-1)+1,$D$11:$D$272,"&lt;="&amp;EOMONTH(F$8,0),$F$11:$F$272,"kp."),
SUMIFS($E$11:$E$272,$D$11:$D$272,"&gt;="&amp;EOMONTH(F$8,-1)+1,$D$11:$D$272,"&lt;="&amp;EOMONTH(F$8,0),$F$11:$F$272,"bk"),
SUMIFS($E$11:$E$272,$D$11:$D$272,"&gt;="&amp;EOMONTH(F$8,-1)+1,$D$11:$D$272,"&lt;="&amp;EOMONTH(F$8,0),$F$11:$F$272,"bk."),
SUMIFS($E$11:$E$272,$D$11:$D$272,"&gt;="&amp;EOMONTH(F$8,-1)+1,$D$11:$D$272,"&lt;="&amp;EOMONTH(F$8,0),$F$11:$F$272,"mgc")
)</f>
        <v>0</v>
      </c>
      <c r="G4" s="14">
        <f>SUM(
SUMIFS($E$11:$E$272,$D$11:$D$272,"&gt;="&amp;EOMONTH(G$8,-1)+1,$D$11:$D$272,"&lt;="&amp;EOMONTH(G$8,0),$F$11:$F$272,"kp"),
SUMIFS($E$11:$E$272,$D$11:$D$272,"&gt;="&amp;EOMONTH(G$8,-1)+1,$D$11:$D$272,"&lt;="&amp;EOMONTH(G$8,0),$F$11:$F$272,"kp."),
SUMIFS($E$11:$E$272,$D$11:$D$272,"&gt;="&amp;EOMONTH(G$8,-1)+1,$D$11:$D$272,"&lt;="&amp;EOMONTH(G$8,0),$F$11:$F$272,"bk"),
SUMIFS($E$11:$E$272,$D$11:$D$272,"&gt;="&amp;EOMONTH(G$8,-1)+1,$D$11:$D$272,"&lt;="&amp;EOMONTH(G$8,0),$F$11:$F$272,"bk."),
SUMIFS($E$11:$E$272,$D$11:$D$272,"&gt;="&amp;EOMONTH(G$8,-1)+1,$D$11:$D$272,"&lt;="&amp;EOMONTH(G$8,0),$F$11:$F$272,"mgc")
)</f>
        <v>0</v>
      </c>
      <c r="H4" s="14">
        <f>SUM(
SUMIFS($E$11:$E$272,$D$11:$D$272,"&gt;="&amp;EOMONTH(H$8,-1)+1,$D$11:$D$272,"&lt;="&amp;EOMONTH(H$8,0),$F$11:$F$272,"kp"),
SUMIFS($E$11:$E$272,$D$11:$D$272,"&gt;="&amp;EOMONTH(H$8,-1)+1,$D$11:$D$272,"&lt;="&amp;EOMONTH(H$8,0),$F$11:$F$272,"kp."),
SUMIFS($E$11:$E$272,$D$11:$D$272,"&gt;="&amp;EOMONTH(H$8,-1)+1,$D$11:$D$272,"&lt;="&amp;EOMONTH(H$8,0),$F$11:$F$272,"bk"),
SUMIFS($E$11:$E$272,$D$11:$D$272,"&gt;="&amp;EOMONTH(H$8,-1)+1,$D$11:$D$272,"&lt;="&amp;EOMONTH(H$8,0),$F$11:$F$272,"bk."),
SUMIFS($E$11:$E$272,$D$11:$D$272,"&gt;="&amp;EOMONTH(H$8,-1)+1,$D$11:$D$272,"&lt;="&amp;EOMONTH(H$8,0),$F$11:$F$272,"mgc")
)</f>
        <v>0</v>
      </c>
      <c r="I4" s="14">
        <f>SUM(
SUMIFS($E$11:$E$272,$D$11:$D$272,"&gt;="&amp;EOMONTH(I$8,-1)+1,$D$11:$D$272,"&lt;="&amp;EOMONTH(I$8,0),$F$11:$F$272,"kp"),
SUMIFS($E$11:$E$272,$D$11:$D$272,"&gt;="&amp;EOMONTH(I$8,-1)+1,$D$11:$D$272,"&lt;="&amp;EOMONTH(I$8,0),$F$11:$F$272,"kp."),
SUMIFS($E$11:$E$272,$D$11:$D$272,"&gt;="&amp;EOMONTH(I$8,-1)+1,$D$11:$D$272,"&lt;="&amp;EOMONTH(I$8,0),$F$11:$F$272,"bk"),
SUMIFS($E$11:$E$272,$D$11:$D$272,"&gt;="&amp;EOMONTH(I$8,-1)+1,$D$11:$D$272,"&lt;="&amp;EOMONTH(I$8,0),$F$11:$F$272,"bk."),
SUMIFS($E$11:$E$272,$D$11:$D$272,"&gt;="&amp;EOMONTH(I$8,-1)+1,$D$11:$D$272,"&lt;="&amp;EOMONTH(I$8,0),$F$11:$F$272,"mgc")
)</f>
        <v>0</v>
      </c>
      <c r="J4" s="14">
        <f>SUM(
SUMIFS($E$11:$E$272,$D$11:$D$272,"&gt;="&amp;EOMONTH(J$8,-1)+1,$D$11:$D$272,"&lt;="&amp;EOMONTH(J$8,0),$F$11:$F$272,"kp"),
SUMIFS($E$11:$E$272,$D$11:$D$272,"&gt;="&amp;EOMONTH(J$8,-1)+1,$D$11:$D$272,"&lt;="&amp;EOMONTH(J$8,0),$F$11:$F$272,"kp."),
SUMIFS($E$11:$E$272,$D$11:$D$272,"&gt;="&amp;EOMONTH(J$8,-1)+1,$D$11:$D$272,"&lt;="&amp;EOMONTH(J$8,0),$F$11:$F$272,"bk"),
SUMIFS($E$11:$E$272,$D$11:$D$272,"&gt;="&amp;EOMONTH(J$8,-1)+1,$D$11:$D$272,"&lt;="&amp;EOMONTH(J$8,0),$F$11:$F$272,"bk."),
SUMIFS($E$11:$E$272,$D$11:$D$272,"&gt;="&amp;EOMONTH(J$8,-1)+1,$D$11:$D$272,"&lt;="&amp;EOMONTH(J$8,0),$F$11:$F$272,"mgc")
)</f>
        <v>0</v>
      </c>
      <c r="K4" s="14">
        <f>SUM(
SUMIFS($E$11:$E$272,$D$11:$D$272,"&gt;="&amp;EOMONTH(K$8,-1)+1,$D$11:$D$272,"&lt;="&amp;EOMONTH(K$8,0),$F$11:$F$272,"kp"),
SUMIFS($E$11:$E$272,$D$11:$D$272,"&gt;="&amp;EOMONTH(K$8,-1)+1,$D$11:$D$272,"&lt;="&amp;EOMONTH(K$8,0),$F$11:$F$272,"kp."),
SUMIFS($E$11:$E$272,$D$11:$D$272,"&gt;="&amp;EOMONTH(K$8,-1)+1,$D$11:$D$272,"&lt;="&amp;EOMONTH(K$8,0),$F$11:$F$272,"bk"),
SUMIFS($E$11:$E$272,$D$11:$D$272,"&gt;="&amp;EOMONTH(K$8,-1)+1,$D$11:$D$272,"&lt;="&amp;EOMONTH(K$8,0),$F$11:$F$272,"bk."),
SUMIFS($E$11:$E$272,$D$11:$D$272,"&gt;="&amp;EOMONTH(K$8,-1)+1,$D$11:$D$272,"&lt;="&amp;EOMONTH(K$8,0),$F$11:$F$272,"mgc")
)</f>
        <v>0</v>
      </c>
      <c r="L4" s="14">
        <f>SUM(
SUMIFS($E$11:$E$272,$D$11:$D$272,"&gt;="&amp;EOMONTH(L$8,-1)+1,$D$11:$D$272,"&lt;="&amp;EOMONTH(L$8,0),$F$11:$F$272,"kp"),
SUMIFS($E$11:$E$272,$D$11:$D$272,"&gt;="&amp;EOMONTH(L$8,-1)+1,$D$11:$D$272,"&lt;="&amp;EOMONTH(L$8,0),$F$11:$F$272,"kp."),
SUMIFS($E$11:$E$272,$D$11:$D$272,"&gt;="&amp;EOMONTH(L$8,-1)+1,$D$11:$D$272,"&lt;="&amp;EOMONTH(L$8,0),$F$11:$F$272,"bk"),
SUMIFS($E$11:$E$272,$D$11:$D$272,"&gt;="&amp;EOMONTH(L$8,-1)+1,$D$11:$D$272,"&lt;="&amp;EOMONTH(L$8,0),$F$11:$F$272,"bk."),
SUMIFS($E$11:$E$272,$D$11:$D$272,"&gt;="&amp;EOMONTH(L$8,-1)+1,$D$11:$D$272,"&lt;="&amp;EOMONTH(L$8,0),$F$11:$F$272,"mgc")
)</f>
        <v>0</v>
      </c>
      <c r="M4" s="2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>
      <c r="A5" s="33">
        <f>SUMIFS(E9:E164,D9:D164,"&gt;=2025.01.01",D9:D164,"&lt;=2025.01.31",A9:A164,"HELIT*",F9:F164,"kp") + SUMIFS(E9:E164,D9:D164,"&gt;=2025.01.01",D9:D164,"&lt;=2025.01.31",A9:A164,"HELIT*",F9:F164,"kp.") + SUMIFS(E9:E164,D9:D164,"&gt;=2025.01.01",D9:D164,"&lt;=2025.01.31",A9:A164,"HELIT*",F9:F164,"bk") + SUMIFS(E9:E164,D9:D164,"&gt;=2025.01.01",D9:D164,"&lt;=2025.01.31",A9:A164,"HELIT*",F9:F164,"bk.") + SUMIFS(E9:E164,D9:D164,"&gt;=2025.01.01",D9:D164,"&lt;=2025.01.31",A9:A164,"HELIT*",F9:F164,"bankkártya")</f>
        <v>0</v>
      </c>
      <c r="B5" s="34">
        <f>SUMIFS(E9:E1664,D9:D1664,"&gt;=2025.02.01",D9:D1664,"&lt;=2025.02.28",A9:A1664,"HELIT*",F9:F1664,"kp") + SUMIFS(E9:E1664,D9:D1664,"&gt;=2025.02.01",D9:D1664,"&lt;=2025.02.28",A9:A1664,"HELIT*",F9:F1664,"kp.") + SUMIFS(E9:E1664,D9:D1664,"&gt;=2025.02.01",D9:D1664,"&lt;=2025.02.28",A9:A1664,"HELIT*",F9:F1664,"bk") + SUMIFS(E9:E1664,D9:D1664,"&gt;=2025.02.01",D9:D1664,"&lt;=2025.02.28",A9:A1664,"HELIT*",F9:F1664,"bk.") + SUMIFS(E9:E1664,D9:D1664,"&gt;=2025.02.01",D9:D1664,"&lt;=2025.02.28",A9:A1664,"HELIT*",F9:F1664,"bankkártya")</f>
        <v>0</v>
      </c>
      <c r="C5" s="34">
        <f>SUMIFS(E9:E1675,D9:D1675,"&gt;=2025.03.01",D9:D1675,"&lt;=2025.03.31",A9:A1675,"HELIT*",F9:F1675,"kp") + SUMIFS(E9:E1675,D9:D1675,"&gt;=2025.03.01",D9:D1675,"&lt;=2025.03.31",A9:A1675,"HELIT*",F9:F1675,"kp.") + SUMIFS(E9:E1675,D9:D1675,"&gt;=2025.03.01",D9:D1675,"&lt;=2025.03.31",A9:A1675,"HELIT*",F9:F1675,"bk") + SUMIFS(E9:E1675,D9:D1675,"&gt;=2025.03.01",D9:D1675,"&lt;=2025.03.31",A9:A1675,"HELIT*",F9:F1675,"bk.") + SUMIFS(E9:E1675,D9:D1675,"&gt;=2025.03.01",D9:D1675,"&lt;=2025.03.31",A9:A1675,"HELIT*",F9:F1675,"bankkártya")</f>
        <v>0</v>
      </c>
      <c r="D5" s="34">
        <f>SUMIFS(E9:E1675,D9:D1675,"&gt;=2025.04.01",D9:D1675,"&lt;=2025.04.30",A9:A1675,"HELIT*",F9:F1675,"kp") + SUMIFS(E9:E1675,D9:D1675,"&gt;=2025.04.01",D9:D1675,"&lt;=2025.04.30",A9:A1675,"HELIT*",F9:F1675,"kp.") + SUMIFS(E9:E1675,D9:D1675,"&gt;=2025.04.01",D9:D1675,"&lt;=2025.04.30",A9:A1675,"HELIT*",F9:F1675,"bk") + SUMIFS(E9:E1675,D9:D1675,"&gt;=2025.04.01",D9:D1675,"&lt;=2025.04.30",A9:A1675,"HELIT*",F9:F1675,"bk.") + SUMIFS(E9:E1675,D9:D1675,"&gt;=2025.04.01",D9:D1675,"&lt;=2025.04.30",A9:A1675,"HELIT*",F9:F1675,"bankkártya")</f>
        <v>0</v>
      </c>
      <c r="E5" s="35"/>
      <c r="F5" s="34"/>
      <c r="G5" s="36"/>
      <c r="H5" s="37"/>
      <c r="I5" s="37"/>
      <c r="J5" s="37"/>
      <c r="K5" s="37"/>
      <c r="L5" s="37"/>
      <c r="M5" s="2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>
      <c r="A6" s="1" t="s">
        <v>20</v>
      </c>
      <c r="B6" s="1"/>
      <c r="C6" s="1"/>
      <c r="D6" s="13"/>
      <c r="E6" s="14"/>
      <c r="F6" s="1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144" cm="1">
        <f t="array" ref="A7">SUM(SUMIFS($E$11:$E$2003,
$D$11:$D$2003,"&gt;="&amp;EOMONTH(A8,-1)+1,
$D$11:$D$2003,"&lt;="&amp;EOMONTH(A8,0),
$F$11:$F$2003,{"kp";"kp."}))</f>
        <v>36371</v>
      </c>
      <c r="B7" s="144" cm="1">
        <f t="array" ref="B7">SUM(SUMIFS($E$11:$E$2003,
$D$11:$D$2003,"&gt;="&amp;EOMONTH(B8,-1)+1,
$D$11:$D$2003,"&lt;="&amp;EOMONTH(B8,0),
$F$11:$F$2003,{"kp";"kp."}))</f>
        <v>130204</v>
      </c>
      <c r="C7" s="144" cm="1">
        <f t="array" ref="C7">SUM(SUMIFS($E$11:$E$2003,
$D$11:$D$2003,"&gt;="&amp;EOMONTH(C8,-1)+1,
$D$11:$D$2003,"&lt;="&amp;EOMONTH(C8,0),
$F$11:$F$2003,{"kp";"kp."}))</f>
        <v>45283</v>
      </c>
      <c r="D7" s="144" cm="1">
        <f t="array" ref="D7">SUM(SUMIFS($E$11:$E$2003,
$D$11:$D$2003,"&gt;="&amp;EOMONTH(D8,-1)+1,
$D$11:$D$2003,"&lt;="&amp;EOMONTH(D8,0),
$F$11:$F$2003,{"kp";"kp."}))</f>
        <v>0</v>
      </c>
      <c r="E7" s="144" cm="1">
        <f t="array" ref="E7">SUM(SUMIFS($E$11:$E$2003,
$D$11:$D$2003,"&gt;="&amp;EOMONTH(E8,-1)+1,
$D$11:$D$2003,"&lt;="&amp;EOMONTH(E8,0),
$F$11:$F$2003,{"kp";"kp."}))</f>
        <v>0</v>
      </c>
      <c r="F7" s="144" cm="1">
        <f t="array" ref="F7">SUM(SUMIFS($E$11:$E$2003,
$D$11:$D$2003,"&gt;="&amp;EOMONTH(F8,-1)+1,
$D$11:$D$2003,"&lt;="&amp;EOMONTH(F8,0),
$F$11:$F$2003,{"kp";"kp."}))</f>
        <v>0</v>
      </c>
      <c r="G7" s="144" cm="1">
        <f t="array" ref="G7">SUM(SUMIFS($E$11:$E$2003,
$D$11:$D$2003,"&gt;="&amp;EOMONTH(G8,-1)+1,
$D$11:$D$2003,"&lt;="&amp;EOMONTH(G8,0),
$F$11:$F$2003,{"kp";"kp."}))</f>
        <v>0</v>
      </c>
      <c r="H7" s="144" cm="1">
        <f t="array" ref="H7">SUM(SUMIFS($E$11:$E$2003,
$D$11:$D$2003,"&gt;="&amp;EOMONTH(H8,-1)+1,
$D$11:$D$2003,"&lt;="&amp;EOMONTH(H8,0),
$F$11:$F$2003,{"kp";"kp."}))</f>
        <v>0</v>
      </c>
      <c r="I7" s="144" cm="1">
        <f t="array" ref="I7">SUM(SUMIFS($E$11:$E$2003,
$D$11:$D$2003,"&gt;="&amp;EOMONTH(I8,-1)+1,
$D$11:$D$2003,"&lt;="&amp;EOMONTH(I8,0),
$F$11:$F$2003,{"kp";"kp."}))</f>
        <v>0</v>
      </c>
      <c r="J7" s="144" cm="1">
        <f t="array" ref="J7">SUM(SUMIFS($E$11:$E$2003,
$D$11:$D$2003,"&gt;="&amp;EOMONTH(J8,-1)+1,
$D$11:$D$2003,"&lt;="&amp;EOMONTH(J8,0),
$F$11:$F$2003,{"kp";"kp."}))</f>
        <v>0</v>
      </c>
      <c r="K7" s="144" cm="1">
        <f t="array" ref="K7">SUM(SUMIFS($E$11:$E$2003,
$D$11:$D$2003,"&gt;="&amp;EOMONTH(K8,-1)+1,
$D$11:$D$2003,"&lt;="&amp;EOMONTH(K8,0),
$F$11:$F$2003,{"kp";"kp."}))</f>
        <v>0</v>
      </c>
      <c r="L7" s="144" cm="1">
        <f t="array" ref="L7">SUM(SUMIFS($E$11:$E$2003,
$D$11:$D$2003,"&gt;="&amp;EOMONTH(L8,-1)+1,
$D$11:$D$2003,"&lt;="&amp;EOMONTH(L8,0),
$F$11:$F$2003,{"kp";"kp."}))</f>
        <v>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40">
        <v>46037</v>
      </c>
      <c r="B8" s="40">
        <v>46068</v>
      </c>
      <c r="C8" s="40">
        <v>46096</v>
      </c>
      <c r="D8" s="40">
        <v>46127</v>
      </c>
      <c r="E8" s="40">
        <v>46157</v>
      </c>
      <c r="F8" s="40">
        <v>46188</v>
      </c>
      <c r="G8" s="40">
        <v>46218</v>
      </c>
      <c r="H8" s="40">
        <v>46249</v>
      </c>
      <c r="I8" s="40">
        <v>46280</v>
      </c>
      <c r="J8" s="40">
        <v>46310</v>
      </c>
      <c r="K8" s="40">
        <v>46341</v>
      </c>
      <c r="L8" s="40">
        <v>46371</v>
      </c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spans="1:26" ht="15.75">
      <c r="A9" s="188" t="s">
        <v>21</v>
      </c>
      <c r="B9" s="188"/>
      <c r="C9" s="188"/>
      <c r="D9" s="188"/>
      <c r="E9" s="188"/>
      <c r="F9" s="188"/>
      <c r="G9" s="18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189" t="s">
        <v>22</v>
      </c>
      <c r="B10" s="189"/>
      <c r="C10" s="189"/>
      <c r="D10" s="189"/>
      <c r="E10" s="189"/>
      <c r="F10" s="189"/>
      <c r="G10" s="18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>
      <c r="A11" s="2" t="s">
        <v>88</v>
      </c>
      <c r="B11" s="84" t="s">
        <v>333</v>
      </c>
      <c r="C11" s="5"/>
      <c r="D11" s="6">
        <v>46027</v>
      </c>
      <c r="E11" s="10">
        <v>4872</v>
      </c>
      <c r="F11" s="5" t="s">
        <v>29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>
      <c r="A12" s="2" t="s">
        <v>23</v>
      </c>
      <c r="B12" s="84">
        <v>617000724</v>
      </c>
      <c r="C12" s="5"/>
      <c r="D12" s="6">
        <v>46027</v>
      </c>
      <c r="E12" s="10">
        <v>79030</v>
      </c>
      <c r="F12" s="5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>
      <c r="A13" s="2" t="s">
        <v>23</v>
      </c>
      <c r="B13" s="84">
        <v>617002520</v>
      </c>
      <c r="C13" s="5"/>
      <c r="D13" s="6">
        <v>46028</v>
      </c>
      <c r="E13" s="10">
        <v>133680</v>
      </c>
      <c r="F13" s="5" t="s">
        <v>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>
      <c r="A14" s="2" t="s">
        <v>23</v>
      </c>
      <c r="B14" s="84">
        <v>617003720</v>
      </c>
      <c r="C14" s="5"/>
      <c r="D14" s="6">
        <v>46031</v>
      </c>
      <c r="E14" s="10">
        <v>60005</v>
      </c>
      <c r="F14" s="5" t="s">
        <v>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>
      <c r="A15" s="2" t="s">
        <v>88</v>
      </c>
      <c r="B15" s="84" t="s">
        <v>334</v>
      </c>
      <c r="C15" s="5"/>
      <c r="D15" s="6">
        <v>46031</v>
      </c>
      <c r="E15" s="10">
        <v>3840</v>
      </c>
      <c r="F15" s="5" t="s">
        <v>29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>
      <c r="A16" s="2" t="s">
        <v>335</v>
      </c>
      <c r="B16" s="84" t="s">
        <v>336</v>
      </c>
      <c r="C16" s="5"/>
      <c r="D16" s="6">
        <v>46035</v>
      </c>
      <c r="E16" s="10">
        <v>2995</v>
      </c>
      <c r="F16" s="5" t="s">
        <v>24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>
      <c r="A17" s="2" t="s">
        <v>23</v>
      </c>
      <c r="B17" s="84">
        <v>617005989</v>
      </c>
      <c r="C17" s="5"/>
      <c r="D17" s="6">
        <v>46036</v>
      </c>
      <c r="E17" s="10">
        <v>96631</v>
      </c>
      <c r="F17" s="5" t="s">
        <v>24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>
      <c r="A18" s="2" t="s">
        <v>88</v>
      </c>
      <c r="B18" s="84" t="s">
        <v>337</v>
      </c>
      <c r="C18" s="5"/>
      <c r="D18" s="6">
        <v>46036</v>
      </c>
      <c r="E18" s="10">
        <v>9059</v>
      </c>
      <c r="F18" s="5" t="s">
        <v>29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>
      <c r="A19" s="2" t="s">
        <v>88</v>
      </c>
      <c r="B19" s="84" t="s">
        <v>338</v>
      </c>
      <c r="C19" s="5"/>
      <c r="D19" s="6">
        <v>46037</v>
      </c>
      <c r="E19" s="10">
        <v>3826</v>
      </c>
      <c r="F19" s="5" t="s">
        <v>29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>
      <c r="A20" s="2" t="s">
        <v>23</v>
      </c>
      <c r="B20" s="84">
        <v>617007932</v>
      </c>
      <c r="C20" s="5"/>
      <c r="D20" s="6">
        <v>46041</v>
      </c>
      <c r="E20" s="10">
        <v>96805</v>
      </c>
      <c r="F20" s="5" t="s">
        <v>24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>
      <c r="A21" s="2" t="s">
        <v>23</v>
      </c>
      <c r="B21" s="84">
        <v>617008895</v>
      </c>
      <c r="C21" s="5"/>
      <c r="D21" s="6">
        <v>46042</v>
      </c>
      <c r="E21" s="10">
        <v>54515</v>
      </c>
      <c r="F21" s="5" t="s">
        <v>24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>
      <c r="A22" s="5" t="s">
        <v>88</v>
      </c>
      <c r="B22" s="84" t="s">
        <v>339</v>
      </c>
      <c r="C22" s="5"/>
      <c r="D22" s="6">
        <v>46043</v>
      </c>
      <c r="E22" s="10">
        <v>4023</v>
      </c>
      <c r="F22" s="5" t="s">
        <v>29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>
      <c r="A23" s="5" t="s">
        <v>23</v>
      </c>
      <c r="B23" s="84">
        <v>617010761</v>
      </c>
      <c r="C23" s="5"/>
      <c r="D23" s="6">
        <v>46045</v>
      </c>
      <c r="E23" s="10">
        <v>156267</v>
      </c>
      <c r="F23" s="5" t="s">
        <v>24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>
      <c r="A24" s="5" t="s">
        <v>88</v>
      </c>
      <c r="B24" s="84" t="s">
        <v>340</v>
      </c>
      <c r="C24" s="5"/>
      <c r="D24" s="6">
        <v>46048</v>
      </c>
      <c r="E24" s="10">
        <v>2080</v>
      </c>
      <c r="F24" s="5" t="s">
        <v>29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>
      <c r="A25" s="5" t="s">
        <v>23</v>
      </c>
      <c r="B25" s="84">
        <v>617013328</v>
      </c>
      <c r="C25" s="5"/>
      <c r="D25" s="6">
        <v>46051</v>
      </c>
      <c r="E25" s="10">
        <v>44730</v>
      </c>
      <c r="F25" s="5" t="s">
        <v>24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>
      <c r="A26" s="5" t="s">
        <v>88</v>
      </c>
      <c r="B26" s="84" t="s">
        <v>341</v>
      </c>
      <c r="C26" s="5"/>
      <c r="D26" s="6">
        <v>46050</v>
      </c>
      <c r="E26" s="10">
        <v>8671</v>
      </c>
      <c r="F26" s="5" t="s">
        <v>29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>
      <c r="A27" s="2"/>
      <c r="B27" s="2"/>
      <c r="C27" s="2"/>
      <c r="D27" s="41"/>
      <c r="E27" s="91">
        <f>SUM(E11:E26)</f>
        <v>761029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>
      <c r="A28" s="188" t="s">
        <v>21</v>
      </c>
      <c r="B28" s="188"/>
      <c r="C28" s="188"/>
      <c r="D28" s="188"/>
      <c r="E28" s="188"/>
      <c r="F28" s="188"/>
      <c r="G28" s="18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>
      <c r="A29" s="189" t="s">
        <v>43</v>
      </c>
      <c r="B29" s="189"/>
      <c r="C29" s="189"/>
      <c r="D29" s="189"/>
      <c r="E29" s="189"/>
      <c r="F29" s="189"/>
      <c r="G29" s="18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>
      <c r="A30" s="5" t="s">
        <v>342</v>
      </c>
      <c r="B30" s="5" t="s">
        <v>343</v>
      </c>
      <c r="C30" s="5"/>
      <c r="D30" s="6">
        <v>46027</v>
      </c>
      <c r="E30" s="10">
        <v>71507</v>
      </c>
      <c r="F30" s="6" t="s">
        <v>344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>
      <c r="A31" s="5" t="s">
        <v>345</v>
      </c>
      <c r="B31" s="5" t="s">
        <v>346</v>
      </c>
      <c r="C31" s="5"/>
      <c r="D31" s="6">
        <v>46033</v>
      </c>
      <c r="E31" s="10">
        <v>63403</v>
      </c>
      <c r="F31" s="6">
        <v>46038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>
      <c r="A32" s="5" t="s">
        <v>50</v>
      </c>
      <c r="B32" s="5" t="s">
        <v>347</v>
      </c>
      <c r="C32" s="5"/>
      <c r="D32" s="6">
        <v>46034</v>
      </c>
      <c r="E32" s="10">
        <v>47340</v>
      </c>
      <c r="F32" s="6">
        <v>46042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>
      <c r="A33" s="5" t="s">
        <v>348</v>
      </c>
      <c r="B33" s="5" t="s">
        <v>349</v>
      </c>
      <c r="C33" s="5"/>
      <c r="D33" s="6">
        <v>46035</v>
      </c>
      <c r="E33" s="10">
        <v>94508</v>
      </c>
      <c r="F33" s="6">
        <v>46043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>
      <c r="A34" s="5" t="s">
        <v>147</v>
      </c>
      <c r="B34" s="5" t="s">
        <v>350</v>
      </c>
      <c r="C34" s="5"/>
      <c r="D34" s="6">
        <v>46035</v>
      </c>
      <c r="E34" s="10">
        <v>21050</v>
      </c>
      <c r="F34" s="6">
        <v>46050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>
      <c r="A35" s="5" t="s">
        <v>72</v>
      </c>
      <c r="B35" s="5" t="s">
        <v>351</v>
      </c>
      <c r="C35" s="5"/>
      <c r="D35" s="6">
        <v>46036</v>
      </c>
      <c r="E35" s="10">
        <v>103947</v>
      </c>
      <c r="F35" s="6">
        <v>46044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>
      <c r="A36" s="5" t="s">
        <v>342</v>
      </c>
      <c r="B36" s="5" t="s">
        <v>352</v>
      </c>
      <c r="C36" s="5"/>
      <c r="D36" s="6">
        <v>46038</v>
      </c>
      <c r="E36" s="10">
        <v>30126</v>
      </c>
      <c r="F36" s="6">
        <v>46049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>
      <c r="A37" s="5" t="s">
        <v>345</v>
      </c>
      <c r="B37" s="5" t="s">
        <v>353</v>
      </c>
      <c r="C37" s="5"/>
      <c r="D37" s="6">
        <v>46040</v>
      </c>
      <c r="E37" s="10">
        <v>51654</v>
      </c>
      <c r="F37" s="6">
        <v>46045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>
      <c r="A38" s="5" t="s">
        <v>354</v>
      </c>
      <c r="B38" s="5" t="s">
        <v>355</v>
      </c>
      <c r="C38" s="5"/>
      <c r="D38" s="6">
        <v>46045</v>
      </c>
      <c r="E38" s="10">
        <v>196878</v>
      </c>
      <c r="F38" s="6">
        <v>46053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>
      <c r="A39" s="5" t="s">
        <v>342</v>
      </c>
      <c r="B39" s="5" t="s">
        <v>356</v>
      </c>
      <c r="C39" s="5"/>
      <c r="D39" s="6">
        <v>46045</v>
      </c>
      <c r="E39" s="10">
        <v>74990</v>
      </c>
      <c r="F39" s="6">
        <v>46056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>
      <c r="A40" s="5" t="s">
        <v>345</v>
      </c>
      <c r="B40" s="5" t="s">
        <v>357</v>
      </c>
      <c r="C40" s="5"/>
      <c r="D40" s="6">
        <v>46048</v>
      </c>
      <c r="E40" s="10">
        <v>63134</v>
      </c>
      <c r="F40" s="6">
        <v>46053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>
      <c r="A41" s="5"/>
      <c r="B41" s="5"/>
      <c r="C41" s="5"/>
      <c r="D41" s="6"/>
      <c r="E41" s="90">
        <f>SUM(E30:E40)</f>
        <v>818537</v>
      </c>
      <c r="F41" s="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>
      <c r="A42" s="188" t="s">
        <v>84</v>
      </c>
      <c r="B42" s="188"/>
      <c r="C42" s="188"/>
      <c r="D42" s="188"/>
      <c r="E42" s="188"/>
      <c r="F42" s="188"/>
      <c r="G42" s="188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15.75">
      <c r="A43" s="189" t="s">
        <v>22</v>
      </c>
      <c r="B43" s="189"/>
      <c r="C43" s="189"/>
      <c r="D43" s="189"/>
      <c r="E43" s="189"/>
      <c r="F43" s="189"/>
      <c r="G43" s="189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15.75">
      <c r="A44" s="5" t="s">
        <v>88</v>
      </c>
      <c r="B44" s="84" t="s">
        <v>358</v>
      </c>
      <c r="C44" s="108"/>
      <c r="D44" s="6">
        <v>46055</v>
      </c>
      <c r="E44" s="10">
        <v>8433</v>
      </c>
      <c r="F44" s="5" t="s">
        <v>29</v>
      </c>
      <c r="G44" s="108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15.75">
      <c r="A45" s="5" t="s">
        <v>23</v>
      </c>
      <c r="B45" s="84">
        <v>617014903</v>
      </c>
      <c r="C45" s="108"/>
      <c r="D45" s="6">
        <v>46055</v>
      </c>
      <c r="E45" s="10">
        <v>93937</v>
      </c>
      <c r="F45" s="5" t="s">
        <v>29</v>
      </c>
      <c r="G45" s="108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15.75">
      <c r="A46" s="5" t="s">
        <v>88</v>
      </c>
      <c r="B46" s="84" t="s">
        <v>359</v>
      </c>
      <c r="C46" s="108"/>
      <c r="D46" s="6">
        <v>46059</v>
      </c>
      <c r="E46" s="10">
        <v>4023</v>
      </c>
      <c r="F46" s="5" t="s">
        <v>29</v>
      </c>
      <c r="G46" s="108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ht="15.75">
      <c r="A47" s="5" t="s">
        <v>23</v>
      </c>
      <c r="B47" s="84">
        <v>617020825</v>
      </c>
      <c r="C47" s="108"/>
      <c r="D47" s="6">
        <v>46065</v>
      </c>
      <c r="E47" s="10">
        <v>82118</v>
      </c>
      <c r="F47" s="5" t="s">
        <v>24</v>
      </c>
      <c r="G47" s="108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ht="15.75">
      <c r="A48" s="5" t="s">
        <v>360</v>
      </c>
      <c r="B48" s="84" t="s">
        <v>361</v>
      </c>
      <c r="C48" s="108"/>
      <c r="D48" s="6">
        <v>46062</v>
      </c>
      <c r="E48" s="10">
        <v>8990</v>
      </c>
      <c r="F48" s="5" t="s">
        <v>24</v>
      </c>
      <c r="G48" s="108" t="s">
        <v>362</v>
      </c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ht="15.75">
      <c r="A49" s="2" t="s">
        <v>23</v>
      </c>
      <c r="B49" s="147">
        <v>617022694</v>
      </c>
      <c r="C49"/>
      <c r="D49" s="6">
        <v>46069</v>
      </c>
      <c r="E49" s="10">
        <v>67798</v>
      </c>
      <c r="F49" s="2" t="s">
        <v>24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ht="15.75">
      <c r="A50" s="5" t="s">
        <v>88</v>
      </c>
      <c r="B50" s="84" t="s">
        <v>363</v>
      </c>
      <c r="C50" s="108"/>
      <c r="D50" s="6">
        <v>46064</v>
      </c>
      <c r="E50" s="10">
        <v>5499</v>
      </c>
      <c r="F50" s="5" t="s">
        <v>29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ht="15.75">
      <c r="A51" s="5" t="s">
        <v>88</v>
      </c>
      <c r="B51" s="84" t="s">
        <v>364</v>
      </c>
      <c r="C51" s="108"/>
      <c r="D51" s="6">
        <v>46070</v>
      </c>
      <c r="E51" s="10">
        <v>10746</v>
      </c>
      <c r="F51" s="5" t="s">
        <v>29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ht="15.75">
      <c r="A52" s="5" t="s">
        <v>335</v>
      </c>
      <c r="B52" s="84" t="s">
        <v>365</v>
      </c>
      <c r="C52" s="108"/>
      <c r="D52" s="6">
        <v>46070</v>
      </c>
      <c r="E52" s="10">
        <v>2151</v>
      </c>
      <c r="F52" s="5" t="s">
        <v>29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ht="15.75">
      <c r="A53" s="5" t="s">
        <v>366</v>
      </c>
      <c r="B53" s="84" t="s">
        <v>367</v>
      </c>
      <c r="C53" s="108"/>
      <c r="D53" s="6">
        <v>46071</v>
      </c>
      <c r="E53" s="10">
        <v>6000</v>
      </c>
      <c r="F53" s="5" t="s">
        <v>24</v>
      </c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ht="15.75">
      <c r="A54" s="5" t="s">
        <v>23</v>
      </c>
      <c r="B54" s="84">
        <v>617026625</v>
      </c>
      <c r="C54" s="108"/>
      <c r="D54" s="6">
        <v>46076</v>
      </c>
      <c r="E54" s="10">
        <v>54613</v>
      </c>
      <c r="F54" s="5" t="s">
        <v>24</v>
      </c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ht="15.75">
      <c r="A55" s="5" t="s">
        <v>23</v>
      </c>
      <c r="B55" s="84">
        <v>261801455</v>
      </c>
      <c r="C55" s="108"/>
      <c r="D55" s="6">
        <v>46076</v>
      </c>
      <c r="E55" s="10">
        <v>-9140</v>
      </c>
      <c r="F55" s="5"/>
      <c r="G55" t="s">
        <v>368</v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ht="15.75">
      <c r="A56" s="5" t="s">
        <v>23</v>
      </c>
      <c r="B56" s="84">
        <v>617028104</v>
      </c>
      <c r="C56" s="108"/>
      <c r="D56" s="6">
        <v>46078</v>
      </c>
      <c r="E56" s="10">
        <v>79985</v>
      </c>
      <c r="F56" s="5" t="s">
        <v>24</v>
      </c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ht="15.75">
      <c r="A57" s="5" t="s">
        <v>88</v>
      </c>
      <c r="B57" s="84" t="s">
        <v>369</v>
      </c>
      <c r="C57" s="108"/>
      <c r="D57" s="6">
        <v>46078</v>
      </c>
      <c r="E57" s="10">
        <v>5415</v>
      </c>
      <c r="F57" s="5" t="s">
        <v>29</v>
      </c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ht="15.75">
      <c r="A58" s="5" t="s">
        <v>23</v>
      </c>
      <c r="B58" s="84">
        <v>617017071</v>
      </c>
      <c r="C58" s="108"/>
      <c r="D58" s="6">
        <v>46058</v>
      </c>
      <c r="E58" s="10">
        <v>91692</v>
      </c>
      <c r="F58" s="5" t="s">
        <v>24</v>
      </c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ht="15.75">
      <c r="A59" s="5" t="s">
        <v>23</v>
      </c>
      <c r="B59" s="84">
        <v>261800753</v>
      </c>
      <c r="C59" s="108"/>
      <c r="D59" s="6">
        <v>46054</v>
      </c>
      <c r="E59" s="10">
        <v>-10909</v>
      </c>
      <c r="F59" s="5" t="s">
        <v>24</v>
      </c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ht="15.75">
      <c r="A60" s="2"/>
      <c r="B60" s="2"/>
      <c r="C60"/>
      <c r="D60" s="6"/>
      <c r="E60" s="90">
        <f>SUM(E44:E59)</f>
        <v>501351</v>
      </c>
      <c r="F60" s="2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ht="15.75">
      <c r="A61" s="188" t="s">
        <v>84</v>
      </c>
      <c r="B61" s="188"/>
      <c r="C61" s="188"/>
      <c r="D61" s="188"/>
      <c r="E61" s="188"/>
      <c r="F61" s="188"/>
      <c r="G61" s="188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ht="15.75">
      <c r="A62" s="189" t="s">
        <v>43</v>
      </c>
      <c r="B62" s="189"/>
      <c r="C62" s="189"/>
      <c r="D62" s="189"/>
      <c r="E62" s="189"/>
      <c r="F62" s="189"/>
      <c r="G62" s="189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ht="15.75">
      <c r="A63" s="5" t="s">
        <v>370</v>
      </c>
      <c r="B63" s="5" t="s">
        <v>371</v>
      </c>
      <c r="C63" s="5"/>
      <c r="D63" s="6">
        <v>46057</v>
      </c>
      <c r="E63" s="10">
        <v>51981</v>
      </c>
      <c r="F63" s="6">
        <v>46057</v>
      </c>
      <c r="G63" s="5" t="s">
        <v>193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>
      <c r="A64" s="5" t="s">
        <v>72</v>
      </c>
      <c r="B64" s="5" t="s">
        <v>372</v>
      </c>
      <c r="C64" s="5"/>
      <c r="D64" s="6">
        <v>46054</v>
      </c>
      <c r="E64" s="10">
        <v>121945</v>
      </c>
      <c r="F64" s="6"/>
      <c r="G64" s="5" t="s">
        <v>193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>
      <c r="A65" s="5" t="s">
        <v>45</v>
      </c>
      <c r="B65" s="5">
        <v>962451529</v>
      </c>
      <c r="C65" s="5"/>
      <c r="D65" s="6">
        <v>46057</v>
      </c>
      <c r="E65" s="10">
        <v>124305</v>
      </c>
      <c r="F65" s="6"/>
      <c r="G65" s="5" t="s">
        <v>193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>
      <c r="A66" s="5" t="s">
        <v>370</v>
      </c>
      <c r="B66" s="5" t="s">
        <v>373</v>
      </c>
      <c r="C66" s="5"/>
      <c r="D66" s="6">
        <v>46061</v>
      </c>
      <c r="E66" s="10">
        <v>9333</v>
      </c>
      <c r="F66" s="6"/>
      <c r="G66" s="5" t="s">
        <v>193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>
      <c r="A67" s="5" t="s">
        <v>342</v>
      </c>
      <c r="B67" s="5" t="s">
        <v>374</v>
      </c>
      <c r="C67" s="5"/>
      <c r="D67" s="6">
        <v>46059</v>
      </c>
      <c r="E67" s="10">
        <v>53854</v>
      </c>
      <c r="F67" s="6">
        <v>46070</v>
      </c>
      <c r="G67" s="5" t="s">
        <v>193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>
      <c r="A68" s="106" t="s">
        <v>147</v>
      </c>
      <c r="B68" s="106" t="s">
        <v>375</v>
      </c>
      <c r="C68" s="106"/>
      <c r="D68" s="107">
        <v>46062</v>
      </c>
      <c r="E68" s="10">
        <v>5715</v>
      </c>
      <c r="F68" s="6">
        <v>46077</v>
      </c>
      <c r="G68" s="5" t="s">
        <v>193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>
      <c r="A69" s="5" t="s">
        <v>370</v>
      </c>
      <c r="B69" s="106" t="s">
        <v>376</v>
      </c>
      <c r="C69" s="106"/>
      <c r="D69" s="107">
        <v>46068</v>
      </c>
      <c r="E69" s="10">
        <v>26132</v>
      </c>
      <c r="F69" s="6">
        <v>46073</v>
      </c>
      <c r="G69" s="5" t="s">
        <v>193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>
      <c r="A70" s="5" t="s">
        <v>50</v>
      </c>
      <c r="B70" s="5" t="s">
        <v>377</v>
      </c>
      <c r="C70" s="5"/>
      <c r="D70" s="6">
        <v>46066</v>
      </c>
      <c r="E70" s="10">
        <v>47340</v>
      </c>
      <c r="F70" s="6">
        <v>46074</v>
      </c>
      <c r="G70" s="5" t="s">
        <v>193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>
      <c r="A71" s="5" t="s">
        <v>354</v>
      </c>
      <c r="B71" s="5" t="s">
        <v>378</v>
      </c>
      <c r="C71" s="5"/>
      <c r="D71" s="6">
        <v>46069</v>
      </c>
      <c r="E71" s="10">
        <v>137957</v>
      </c>
      <c r="F71" s="6">
        <v>46077</v>
      </c>
      <c r="G71" s="5" t="s">
        <v>193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>
      <c r="A72" s="5" t="s">
        <v>342</v>
      </c>
      <c r="B72" s="5" t="s">
        <v>379</v>
      </c>
      <c r="C72" s="5"/>
      <c r="D72" s="6">
        <v>46066</v>
      </c>
      <c r="E72" s="10">
        <v>40018</v>
      </c>
      <c r="F72" s="6">
        <v>46077</v>
      </c>
      <c r="G72" s="5" t="s">
        <v>193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>
      <c r="A73" s="5" t="s">
        <v>72</v>
      </c>
      <c r="B73" s="5" t="s">
        <v>380</v>
      </c>
      <c r="C73" s="5"/>
      <c r="D73" s="6">
        <v>46070</v>
      </c>
      <c r="E73" s="10">
        <v>181129</v>
      </c>
      <c r="F73" s="6">
        <v>46078</v>
      </c>
      <c r="G73" s="5" t="s">
        <v>193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>
      <c r="A74" s="5" t="s">
        <v>370</v>
      </c>
      <c r="B74" s="5" t="s">
        <v>381</v>
      </c>
      <c r="C74" s="5"/>
      <c r="D74" s="6">
        <v>46075</v>
      </c>
      <c r="E74" s="10">
        <v>47351</v>
      </c>
      <c r="F74" s="6">
        <v>46080</v>
      </c>
      <c r="G74" s="2" t="s">
        <v>193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>
      <c r="A75" s="5"/>
      <c r="B75" s="5"/>
      <c r="C75" s="5"/>
      <c r="D75" s="6"/>
      <c r="E75" s="90">
        <f>SUM(E63:E74)</f>
        <v>847060</v>
      </c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>
      <c r="A76" s="188" t="s">
        <v>119</v>
      </c>
      <c r="B76" s="188"/>
      <c r="C76" s="188"/>
      <c r="D76" s="188"/>
      <c r="E76" s="188"/>
      <c r="F76" s="188"/>
      <c r="G76" s="18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>
      <c r="A77" s="189" t="s">
        <v>22</v>
      </c>
      <c r="B77" s="189"/>
      <c r="C77" s="189"/>
      <c r="D77" s="189"/>
      <c r="E77" s="189"/>
      <c r="F77" s="189"/>
      <c r="G77" s="18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>
      <c r="A78" s="5" t="s">
        <v>23</v>
      </c>
      <c r="B78" s="84">
        <v>6170030434</v>
      </c>
      <c r="C78" s="108"/>
      <c r="D78" s="6">
        <v>46083</v>
      </c>
      <c r="E78" s="161">
        <v>117638</v>
      </c>
      <c r="F78" s="5" t="s">
        <v>24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>
      <c r="A79" s="5" t="s">
        <v>88</v>
      </c>
      <c r="B79" s="84" t="s">
        <v>382</v>
      </c>
      <c r="C79" s="108"/>
      <c r="D79" s="6">
        <v>46084</v>
      </c>
      <c r="E79" s="161">
        <v>9500</v>
      </c>
      <c r="F79" s="5" t="s">
        <v>29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>
      <c r="A80" s="5" t="s">
        <v>23</v>
      </c>
      <c r="B80" s="84">
        <v>617032579</v>
      </c>
      <c r="C80" s="108"/>
      <c r="D80" s="6">
        <v>46086</v>
      </c>
      <c r="E80" s="161">
        <v>90773</v>
      </c>
      <c r="F80" s="5" t="s">
        <v>24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>
      <c r="A81" s="5" t="s">
        <v>88</v>
      </c>
      <c r="B81" s="84" t="s">
        <v>383</v>
      </c>
      <c r="C81" s="108"/>
      <c r="D81" s="6">
        <v>46090</v>
      </c>
      <c r="E81" s="161">
        <v>6747</v>
      </c>
      <c r="F81" s="5" t="s">
        <v>29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>
      <c r="A82" s="5" t="s">
        <v>23</v>
      </c>
      <c r="B82" s="84">
        <v>617036330</v>
      </c>
      <c r="C82" s="108"/>
      <c r="D82" s="6">
        <v>46092</v>
      </c>
      <c r="E82" s="161">
        <v>123233</v>
      </c>
      <c r="F82" s="5" t="s">
        <v>24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>
      <c r="A83" s="5" t="s">
        <v>23</v>
      </c>
      <c r="B83" s="84">
        <v>617041445</v>
      </c>
      <c r="C83" s="108"/>
      <c r="D83" s="6">
        <v>46101</v>
      </c>
      <c r="E83" s="181">
        <v>135066</v>
      </c>
      <c r="F83" s="5" t="s">
        <v>24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>
      <c r="A84" s="5" t="s">
        <v>23</v>
      </c>
      <c r="B84" s="84">
        <v>617038583</v>
      </c>
      <c r="C84" s="108"/>
      <c r="D84" s="6">
        <v>46097</v>
      </c>
      <c r="E84" s="181">
        <v>148139</v>
      </c>
      <c r="F84" s="5" t="s">
        <v>24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>
      <c r="A85" s="5" t="s">
        <v>88</v>
      </c>
      <c r="B85" s="84" t="s">
        <v>384</v>
      </c>
      <c r="C85" s="108"/>
      <c r="D85" s="6">
        <v>46094</v>
      </c>
      <c r="E85" s="181">
        <v>10799</v>
      </c>
      <c r="F85" s="5" t="s">
        <v>24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>
      <c r="A86" s="5" t="s">
        <v>88</v>
      </c>
      <c r="B86" s="84" t="s">
        <v>385</v>
      </c>
      <c r="C86" s="108"/>
      <c r="D86" s="6">
        <v>46097</v>
      </c>
      <c r="E86" s="181">
        <v>8243</v>
      </c>
      <c r="F86" s="5" t="s">
        <v>24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>
      <c r="A87" s="5" t="s">
        <v>88</v>
      </c>
      <c r="B87" s="84" t="s">
        <v>386</v>
      </c>
      <c r="C87" s="108"/>
      <c r="D87" s="6">
        <v>46104</v>
      </c>
      <c r="E87" s="181">
        <v>8046</v>
      </c>
      <c r="F87" s="5" t="s">
        <v>29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>
      <c r="A88" s="5" t="s">
        <v>23</v>
      </c>
      <c r="B88" s="84">
        <v>617044281</v>
      </c>
      <c r="C88" s="108"/>
      <c r="D88" s="6">
        <v>46106</v>
      </c>
      <c r="E88" s="181">
        <v>98346</v>
      </c>
      <c r="F88" s="5" t="s">
        <v>24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>
      <c r="A89" s="5" t="s">
        <v>88</v>
      </c>
      <c r="B89" s="84" t="s">
        <v>387</v>
      </c>
      <c r="C89" s="108"/>
      <c r="D89" s="6">
        <v>46106</v>
      </c>
      <c r="E89" s="181">
        <v>11902</v>
      </c>
      <c r="F89" s="5" t="s">
        <v>29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>
      <c r="A90" s="5" t="s">
        <v>88</v>
      </c>
      <c r="B90" s="84" t="s">
        <v>388</v>
      </c>
      <c r="C90" s="108"/>
      <c r="D90" s="6">
        <v>46111</v>
      </c>
      <c r="E90" s="181">
        <v>9088</v>
      </c>
      <c r="F90" s="5" t="s">
        <v>29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>
      <c r="A91" s="2"/>
      <c r="B91" s="2"/>
      <c r="C91"/>
      <c r="D91" s="41"/>
      <c r="E91" s="182">
        <f>SUM(E78:E90)</f>
        <v>777520</v>
      </c>
      <c r="F9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>
      <c r="A92" s="188" t="s">
        <v>119</v>
      </c>
      <c r="B92" s="188"/>
      <c r="C92" s="188"/>
      <c r="D92" s="188"/>
      <c r="E92" s="188"/>
      <c r="F92" s="188"/>
      <c r="G92" s="18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>
      <c r="A93" s="189" t="s">
        <v>43</v>
      </c>
      <c r="B93" s="189"/>
      <c r="C93" s="189"/>
      <c r="D93" s="189"/>
      <c r="E93" s="189"/>
      <c r="F93" s="189"/>
      <c r="G93" s="189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>
      <c r="A94" s="5" t="s">
        <v>342</v>
      </c>
      <c r="B94" s="5" t="s">
        <v>389</v>
      </c>
      <c r="C94" s="5"/>
      <c r="D94" s="6">
        <v>46082</v>
      </c>
      <c r="E94" s="10">
        <v>64688</v>
      </c>
      <c r="F94" s="6">
        <v>46091</v>
      </c>
      <c r="G94" s="2" t="s">
        <v>193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>
      <c r="A95" s="5" t="s">
        <v>72</v>
      </c>
      <c r="B95" s="5" t="s">
        <v>390</v>
      </c>
      <c r="C95" s="5"/>
      <c r="D95" s="6">
        <v>46085</v>
      </c>
      <c r="E95" s="10">
        <v>103930</v>
      </c>
      <c r="F95" s="6">
        <v>46093</v>
      </c>
      <c r="G95" s="2" t="s">
        <v>193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>
      <c r="A96" s="5" t="s">
        <v>45</v>
      </c>
      <c r="B96" s="5">
        <v>702604029</v>
      </c>
      <c r="C96" s="5"/>
      <c r="D96" s="6">
        <v>46090</v>
      </c>
      <c r="E96" s="10">
        <v>69040</v>
      </c>
      <c r="F96" s="6">
        <v>46113</v>
      </c>
      <c r="G96" s="2" t="s">
        <v>193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>
      <c r="A97" s="5" t="s">
        <v>354</v>
      </c>
      <c r="B97" s="5" t="s">
        <v>391</v>
      </c>
      <c r="C97" s="5"/>
      <c r="D97" s="6">
        <v>46105</v>
      </c>
      <c r="E97" s="10">
        <v>101709</v>
      </c>
      <c r="F97" s="6">
        <v>46113</v>
      </c>
      <c r="G97" s="2" t="s">
        <v>193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>
      <c r="A98" s="5" t="s">
        <v>370</v>
      </c>
      <c r="B98" s="5" t="s">
        <v>392</v>
      </c>
      <c r="C98" s="5"/>
      <c r="D98" s="6">
        <v>46104</v>
      </c>
      <c r="E98" s="10">
        <v>8989</v>
      </c>
      <c r="F98" s="6">
        <v>46108</v>
      </c>
      <c r="G98" s="2" t="s">
        <v>193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>
      <c r="A99" s="5" t="s">
        <v>370</v>
      </c>
      <c r="B99" s="5" t="s">
        <v>393</v>
      </c>
      <c r="C99" s="5"/>
      <c r="D99" s="6">
        <v>46096</v>
      </c>
      <c r="E99" s="10">
        <v>81540</v>
      </c>
      <c r="F99" s="6">
        <v>46101</v>
      </c>
      <c r="G99" s="2" t="s">
        <v>193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>
      <c r="A100" s="5" t="s">
        <v>342</v>
      </c>
      <c r="B100" s="5" t="s">
        <v>394</v>
      </c>
      <c r="C100" s="5"/>
      <c r="D100" s="6">
        <v>46094</v>
      </c>
      <c r="E100" s="10">
        <v>70309</v>
      </c>
      <c r="F100" s="6">
        <v>46105</v>
      </c>
      <c r="G100" s="2" t="s">
        <v>193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>
      <c r="A101" s="5" t="s">
        <v>72</v>
      </c>
      <c r="B101" s="5" t="s">
        <v>395</v>
      </c>
      <c r="C101" s="5"/>
      <c r="D101" s="6">
        <v>46098</v>
      </c>
      <c r="E101" s="10">
        <v>101498</v>
      </c>
      <c r="F101" s="6">
        <v>46106</v>
      </c>
      <c r="G101" s="2" t="s">
        <v>193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>
      <c r="A102" s="5" t="s">
        <v>50</v>
      </c>
      <c r="B102" s="5" t="s">
        <v>396</v>
      </c>
      <c r="C102" s="5"/>
      <c r="D102" s="6">
        <v>46104</v>
      </c>
      <c r="E102" s="10">
        <v>47340</v>
      </c>
      <c r="F102" s="6">
        <v>46112</v>
      </c>
      <c r="G102" s="2" t="s">
        <v>193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>
      <c r="A103" s="5" t="s">
        <v>342</v>
      </c>
      <c r="B103" s="5" t="s">
        <v>397</v>
      </c>
      <c r="C103" s="5"/>
      <c r="D103" s="6">
        <v>46111</v>
      </c>
      <c r="E103" s="10">
        <v>55889</v>
      </c>
      <c r="F103" s="6">
        <v>46119</v>
      </c>
      <c r="G103" s="2" t="s">
        <v>193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>
      <c r="A104" s="5" t="s">
        <v>370</v>
      </c>
      <c r="B104" s="5" t="s">
        <v>398</v>
      </c>
      <c r="C104" s="5"/>
      <c r="D104" s="6">
        <v>46110</v>
      </c>
      <c r="E104" s="10">
        <v>62990</v>
      </c>
      <c r="F104" s="6">
        <v>46120</v>
      </c>
      <c r="G104" s="2" t="s">
        <v>193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>
      <c r="A105" s="5" t="s">
        <v>72</v>
      </c>
      <c r="B105" s="5" t="s">
        <v>399</v>
      </c>
      <c r="C105" s="5"/>
      <c r="D105" s="6">
        <v>46111</v>
      </c>
      <c r="E105" s="10">
        <v>128635</v>
      </c>
      <c r="F105" s="6">
        <v>46119</v>
      </c>
      <c r="G105" s="2" t="s">
        <v>193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>
      <c r="A106" s="5"/>
      <c r="B106" s="5"/>
      <c r="C106" s="5"/>
      <c r="D106" s="6"/>
      <c r="E106" s="90">
        <f>SUM(E94:E105)</f>
        <v>896557</v>
      </c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>
      <c r="A107" s="188" t="s">
        <v>170</v>
      </c>
      <c r="B107" s="188"/>
      <c r="C107" s="188"/>
      <c r="D107" s="188"/>
      <c r="E107" s="188"/>
      <c r="F107" s="188"/>
      <c r="G107" s="188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ht="15.75">
      <c r="A108" s="189" t="s">
        <v>22</v>
      </c>
      <c r="B108" s="189"/>
      <c r="C108" s="189"/>
      <c r="D108" s="189"/>
      <c r="E108" s="189"/>
      <c r="F108" s="189"/>
      <c r="G108" s="189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15.7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15.7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15.7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15.7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ht="15.7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ht="15.7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ht="15.75">
      <c r="A115" s="188" t="s">
        <v>170</v>
      </c>
      <c r="B115" s="188"/>
      <c r="C115" s="188"/>
      <c r="D115" s="188"/>
      <c r="E115" s="188"/>
      <c r="F115" s="188"/>
      <c r="G115" s="188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ht="15.75">
      <c r="A116" s="189" t="s">
        <v>43</v>
      </c>
      <c r="B116" s="189"/>
      <c r="C116" s="189"/>
      <c r="D116" s="189"/>
      <c r="E116" s="189"/>
      <c r="F116" s="189"/>
      <c r="G116" s="189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ht="15.75">
      <c r="A117" s="190"/>
      <c r="B117" s="190"/>
      <c r="C117" s="190"/>
      <c r="D117" s="190"/>
      <c r="E117" s="190"/>
      <c r="F117" s="190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>
      <c r="A118" s="190"/>
      <c r="B118" s="190"/>
      <c r="C118" s="190"/>
      <c r="D118" s="190"/>
      <c r="E118" s="190"/>
      <c r="F118" s="190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>
      <c r="A119" s="5"/>
      <c r="B119" s="5"/>
      <c r="C119" s="5"/>
      <c r="D119" s="6"/>
      <c r="E119" s="10"/>
      <c r="F119" s="30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>
      <c r="A120" s="5"/>
      <c r="B120" s="5"/>
      <c r="C120" s="5"/>
      <c r="D120" s="6"/>
      <c r="E120" s="10"/>
      <c r="F120" s="30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>
      <c r="A121" s="5"/>
      <c r="B121" s="5"/>
      <c r="C121" s="5"/>
      <c r="D121" s="6"/>
      <c r="E121" s="10"/>
      <c r="F121" s="30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>
      <c r="A122" s="5"/>
      <c r="B122" s="5"/>
      <c r="C122" s="5"/>
      <c r="D122" s="6"/>
      <c r="E122" s="10"/>
      <c r="F122" s="30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>
      <c r="A123" s="5"/>
      <c r="B123" s="5"/>
      <c r="C123" s="5"/>
      <c r="D123" s="6"/>
      <c r="E123" s="10"/>
      <c r="F123" s="30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>
      <c r="A124" s="5"/>
      <c r="B124" s="5"/>
      <c r="C124" s="5"/>
      <c r="D124" s="6"/>
      <c r="E124" s="10"/>
      <c r="F124" s="30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>
      <c r="A125" s="5"/>
      <c r="B125" s="5"/>
      <c r="C125" s="5"/>
      <c r="D125" s="6"/>
      <c r="E125" s="10"/>
      <c r="F125" s="30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>
      <c r="A126" s="5"/>
      <c r="B126" s="5"/>
      <c r="C126" s="5"/>
      <c r="D126" s="6"/>
      <c r="E126" s="10"/>
      <c r="F126" s="30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>
      <c r="A127" s="5"/>
      <c r="B127" s="5"/>
      <c r="C127" s="5"/>
      <c r="D127" s="6"/>
      <c r="E127" s="10"/>
      <c r="F127" s="30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>
      <c r="A128" s="5"/>
      <c r="B128" s="5"/>
      <c r="C128" s="5"/>
      <c r="D128" s="6"/>
      <c r="E128" s="10"/>
      <c r="F128" s="30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>
      <c r="A129" s="5"/>
      <c r="B129" s="5"/>
      <c r="C129" s="5"/>
      <c r="D129" s="6"/>
      <c r="E129" s="10"/>
      <c r="F129" s="30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>
      <c r="A130" s="5"/>
      <c r="B130" s="5"/>
      <c r="C130" s="5"/>
      <c r="D130" s="6"/>
      <c r="E130" s="10"/>
      <c r="F130" s="30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>
      <c r="A131" s="5"/>
      <c r="B131" s="5"/>
      <c r="C131" s="5"/>
      <c r="D131" s="6"/>
      <c r="E131" s="10"/>
      <c r="F131" s="30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>
      <c r="A132" s="5"/>
      <c r="B132" s="5"/>
      <c r="C132" s="5"/>
      <c r="D132" s="6"/>
      <c r="E132" s="10"/>
      <c r="F132" s="30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>
      <c r="A133" s="5"/>
      <c r="B133" s="5"/>
      <c r="C133" s="5"/>
      <c r="D133" s="6"/>
      <c r="E133" s="10"/>
      <c r="F133" s="30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>
      <c r="A134" s="5"/>
      <c r="B134" s="5"/>
      <c r="C134" s="5"/>
      <c r="D134" s="6"/>
      <c r="E134" s="10"/>
      <c r="F134" s="30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>
      <c r="A135" s="5"/>
      <c r="B135" s="5"/>
      <c r="C135" s="5"/>
      <c r="D135" s="6"/>
      <c r="E135" s="10"/>
      <c r="F135" s="30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>
      <c r="A136" s="5"/>
      <c r="B136" s="5"/>
      <c r="C136" s="5"/>
      <c r="D136" s="6"/>
      <c r="E136" s="10"/>
      <c r="F136" s="30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>
      <c r="A137" s="5"/>
      <c r="B137" s="5"/>
      <c r="C137" s="5"/>
      <c r="D137" s="6"/>
      <c r="E137" s="10"/>
      <c r="F137" s="30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>
      <c r="A138" s="5"/>
      <c r="B138" s="5"/>
      <c r="C138" s="5"/>
      <c r="D138" s="6"/>
      <c r="E138" s="10"/>
      <c r="F138" s="30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>
      <c r="A139" s="5"/>
      <c r="B139" s="5"/>
      <c r="C139" s="5"/>
      <c r="D139" s="6"/>
      <c r="E139" s="10"/>
      <c r="F139" s="30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>
      <c r="A140" s="5"/>
      <c r="B140" s="5"/>
      <c r="C140" s="5"/>
      <c r="D140" s="6"/>
      <c r="E140" s="10"/>
      <c r="F140" s="30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>
      <c r="A141" s="5"/>
      <c r="B141" s="5"/>
      <c r="C141" s="5"/>
      <c r="D141" s="6"/>
      <c r="E141" s="10"/>
      <c r="F141" s="30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>
      <c r="A142" s="5"/>
      <c r="B142" s="5"/>
      <c r="C142" s="5"/>
      <c r="D142" s="6"/>
      <c r="E142" s="10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>
      <c r="A143" s="5"/>
      <c r="B143" s="5"/>
      <c r="C143" s="5"/>
      <c r="D143" s="6"/>
      <c r="E143" s="10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>
      <c r="A144" s="5"/>
      <c r="B144" s="5"/>
      <c r="C144" s="5"/>
      <c r="D144" s="6"/>
      <c r="E144" s="10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>
      <c r="A145" s="5"/>
      <c r="B145" s="5"/>
      <c r="C145" s="5"/>
      <c r="D145" s="6"/>
      <c r="E145" s="10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>
      <c r="A146" s="5"/>
      <c r="B146" s="5"/>
      <c r="C146" s="5"/>
      <c r="D146" s="6"/>
      <c r="E146" s="10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>
      <c r="A147" s="5"/>
      <c r="B147" s="5"/>
      <c r="C147" s="5"/>
      <c r="D147" s="6"/>
      <c r="E147" s="10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>
      <c r="A148" s="5"/>
      <c r="B148" s="5"/>
      <c r="C148" s="5"/>
      <c r="D148" s="6"/>
      <c r="E148" s="10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>
      <c r="A149" s="5"/>
      <c r="B149" s="5"/>
      <c r="C149" s="5"/>
      <c r="D149" s="6"/>
      <c r="E149" s="10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>
      <c r="A150" s="5"/>
      <c r="B150" s="5"/>
      <c r="C150" s="5"/>
      <c r="D150" s="6"/>
      <c r="E150" s="10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>
      <c r="A151" s="5"/>
      <c r="B151" s="5"/>
      <c r="C151" s="5"/>
      <c r="D151" s="6"/>
      <c r="E151" s="10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>
      <c r="A152" s="5"/>
      <c r="B152" s="5"/>
      <c r="C152" s="5"/>
      <c r="D152" s="6"/>
      <c r="E152" s="10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>
      <c r="A153" s="5"/>
      <c r="B153" s="5"/>
      <c r="C153" s="5"/>
      <c r="D153" s="6"/>
      <c r="E153" s="10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>
      <c r="A154" s="5"/>
      <c r="B154" s="5"/>
      <c r="C154" s="5"/>
      <c r="D154" s="6"/>
      <c r="E154" s="10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>
      <c r="A155" s="5"/>
      <c r="B155" s="5"/>
      <c r="C155" s="5"/>
      <c r="D155" s="6"/>
      <c r="E155" s="10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>
      <c r="A156" s="5"/>
      <c r="B156" s="5"/>
      <c r="C156" s="5"/>
      <c r="D156" s="6"/>
      <c r="E156" s="10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>
      <c r="A157" s="5"/>
      <c r="B157" s="5"/>
      <c r="C157" s="5"/>
      <c r="D157" s="6"/>
      <c r="E157" s="10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>
      <c r="A158" s="5"/>
      <c r="B158" s="5"/>
      <c r="C158" s="5"/>
      <c r="D158" s="6"/>
      <c r="E158" s="10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>
      <c r="A159" s="5"/>
      <c r="B159" s="5"/>
      <c r="C159" s="5"/>
      <c r="D159" s="6"/>
      <c r="E159" s="10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>
      <c r="A160" s="5"/>
      <c r="B160" s="5"/>
      <c r="C160" s="5"/>
      <c r="D160" s="6"/>
      <c r="E160" s="10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>
      <c r="A161" s="5"/>
      <c r="B161" s="5"/>
      <c r="C161" s="5"/>
      <c r="D161" s="6"/>
      <c r="E161" s="10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>
      <c r="A162" s="5"/>
      <c r="B162" s="5"/>
      <c r="C162" s="5"/>
      <c r="D162" s="6"/>
      <c r="E162" s="10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>
      <c r="A163" s="5"/>
      <c r="B163" s="5"/>
      <c r="C163" s="5"/>
      <c r="D163" s="6"/>
      <c r="E163" s="10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>
      <c r="A164" s="5"/>
      <c r="B164" s="5"/>
      <c r="C164" s="5"/>
      <c r="D164" s="6"/>
      <c r="E164" s="10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>
      <c r="A165" s="5"/>
      <c r="B165" s="5"/>
      <c r="C165" s="5"/>
      <c r="D165" s="6"/>
      <c r="E165" s="10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>
      <c r="A166" s="5"/>
      <c r="B166" s="5"/>
      <c r="C166" s="5"/>
      <c r="D166" s="6"/>
      <c r="E166" s="10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>
      <c r="A167" s="5"/>
      <c r="B167" s="5"/>
      <c r="C167" s="5"/>
      <c r="D167" s="6"/>
      <c r="E167" s="10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>
      <c r="A168" s="5"/>
      <c r="B168" s="5"/>
      <c r="C168" s="5"/>
      <c r="D168" s="6"/>
      <c r="E168" s="10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>
      <c r="A169" s="5"/>
      <c r="B169" s="5"/>
      <c r="C169" s="5"/>
      <c r="D169" s="6"/>
      <c r="E169" s="10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>
      <c r="A170" s="5"/>
      <c r="B170" s="5"/>
      <c r="C170" s="5"/>
      <c r="D170" s="6"/>
      <c r="E170" s="10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>
      <c r="A171" s="5"/>
      <c r="B171" s="5"/>
      <c r="C171" s="5"/>
      <c r="D171" s="6"/>
      <c r="E171" s="10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>
      <c r="A172" s="5"/>
      <c r="B172" s="5"/>
      <c r="C172" s="5"/>
      <c r="D172" s="6"/>
      <c r="E172" s="10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>
      <c r="A173" s="5"/>
      <c r="B173" s="5"/>
      <c r="C173" s="5"/>
      <c r="D173" s="6"/>
      <c r="E173" s="10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>
      <c r="A174" s="5"/>
      <c r="B174" s="5"/>
      <c r="C174" s="5"/>
      <c r="D174" s="6"/>
      <c r="E174" s="10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>
      <c r="A175" s="5"/>
      <c r="B175" s="5"/>
      <c r="C175" s="5"/>
      <c r="D175" s="6"/>
      <c r="E175" s="10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>
      <c r="A176" s="5"/>
      <c r="B176" s="5"/>
      <c r="C176" s="5"/>
      <c r="D176" s="6"/>
      <c r="E176" s="10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>
      <c r="A177" s="5"/>
      <c r="B177" s="5"/>
      <c r="C177" s="5"/>
      <c r="D177" s="6"/>
      <c r="E177" s="10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>
      <c r="A178" s="5"/>
      <c r="B178" s="5"/>
      <c r="C178" s="5"/>
      <c r="D178" s="6"/>
      <c r="E178" s="10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>
      <c r="A179" s="5"/>
      <c r="B179" s="5"/>
      <c r="C179" s="5"/>
      <c r="D179" s="6"/>
      <c r="E179" s="10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>
      <c r="A180" s="5"/>
      <c r="B180" s="5"/>
      <c r="C180" s="5"/>
      <c r="D180" s="6"/>
      <c r="E180" s="10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>
      <c r="A181" s="5"/>
      <c r="B181" s="5"/>
      <c r="C181" s="5"/>
      <c r="D181" s="6"/>
      <c r="E181" s="10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>
      <c r="A182" s="5"/>
      <c r="B182" s="5"/>
      <c r="C182" s="5"/>
      <c r="D182" s="6"/>
      <c r="E182" s="10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>
      <c r="A183" s="5"/>
      <c r="B183" s="5"/>
      <c r="C183" s="5"/>
      <c r="D183" s="6"/>
      <c r="E183" s="10"/>
      <c r="F183" s="5"/>
      <c r="G183" s="2"/>
    </row>
    <row r="184" spans="1:26" ht="15.75">
      <c r="A184" s="5"/>
      <c r="B184" s="5"/>
      <c r="C184" s="5"/>
      <c r="D184" s="6"/>
      <c r="E184" s="10"/>
      <c r="F184" s="5"/>
      <c r="G184" s="2"/>
    </row>
    <row r="185" spans="1:26" ht="15.75">
      <c r="A185" s="5"/>
      <c r="B185" s="5"/>
      <c r="C185" s="5"/>
      <c r="D185" s="6"/>
      <c r="E185" s="10"/>
      <c r="F185" s="5"/>
      <c r="G185" s="2"/>
    </row>
    <row r="186" spans="1:26" ht="15.75">
      <c r="A186" s="5"/>
      <c r="B186" s="5"/>
      <c r="C186" s="5"/>
      <c r="D186" s="6"/>
      <c r="E186" s="10"/>
      <c r="F186" s="5"/>
      <c r="G186" s="2"/>
    </row>
    <row r="187" spans="1:26" ht="15"/>
    <row r="188" spans="1:26" ht="15"/>
    <row r="189" spans="1:26" ht="15"/>
    <row r="190" spans="1:26" ht="15"/>
    <row r="191" spans="1:26" ht="15"/>
    <row r="192" spans="1:26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</sheetData>
  <mergeCells count="18">
    <mergeCell ref="A118:F118"/>
    <mergeCell ref="A117:F117"/>
    <mergeCell ref="A42:G42"/>
    <mergeCell ref="A43:G43"/>
    <mergeCell ref="A61:G61"/>
    <mergeCell ref="A62:G62"/>
    <mergeCell ref="A76:G76"/>
    <mergeCell ref="A77:G77"/>
    <mergeCell ref="A92:G92"/>
    <mergeCell ref="A93:G93"/>
    <mergeCell ref="A107:G107"/>
    <mergeCell ref="A108:G108"/>
    <mergeCell ref="A115:G115"/>
    <mergeCell ref="A116:G116"/>
    <mergeCell ref="A9:G9"/>
    <mergeCell ref="A10:G10"/>
    <mergeCell ref="A28:G28"/>
    <mergeCell ref="A29:G29"/>
  </mergeCells>
  <conditionalFormatting sqref="A63:F63 F64:F70">
    <cfRule type="cellIs" dxfId="3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94D5-27CC-4C60-8098-59FFA0038DEE}">
  <sheetPr>
    <tabColor theme="9" tint="0.39997558519241921"/>
    <pageSetUpPr fitToPage="1"/>
  </sheetPr>
  <dimension ref="A1:Z1173"/>
  <sheetViews>
    <sheetView workbookViewId="0">
      <pane ySplit="1" topLeftCell="A393" activePane="bottomLeft" state="frozen"/>
      <selection pane="bottomLeft" activeCell="E392" sqref="A392:G392"/>
    </sheetView>
  </sheetViews>
  <sheetFormatPr defaultColWidth="9" defaultRowHeight="15"/>
  <cols>
    <col min="1" max="1" width="29.125" style="49" customWidth="1"/>
    <col min="2" max="2" width="25.5" style="49" customWidth="1"/>
    <col min="3" max="3" width="16.875" style="49" customWidth="1"/>
    <col min="4" max="4" width="14.5" style="79" customWidth="1"/>
    <col min="5" max="5" width="14.125" style="82" customWidth="1"/>
    <col min="6" max="6" width="17.5" style="79" customWidth="1"/>
    <col min="7" max="7" width="32.25" style="49" customWidth="1"/>
    <col min="8" max="8" width="18.5" style="49" customWidth="1"/>
    <col min="9" max="12" width="9" style="49" customWidth="1"/>
    <col min="13" max="13" width="29.75" style="49" customWidth="1"/>
    <col min="14" max="15" width="23" style="49" customWidth="1"/>
    <col min="16" max="16" width="14.375" style="79" customWidth="1"/>
    <col min="17" max="17" width="13.75" style="49" customWidth="1"/>
    <col min="18" max="18" width="17.5" style="49" customWidth="1"/>
    <col min="19" max="19" width="26.625" style="49" customWidth="1"/>
    <col min="20" max="16384" width="9" style="49"/>
  </cols>
  <sheetData>
    <row r="1" spans="1:26" ht="15.75">
      <c r="A1" s="45" t="s">
        <v>0</v>
      </c>
      <c r="B1" s="45" t="s">
        <v>1</v>
      </c>
      <c r="C1" s="45" t="s">
        <v>2</v>
      </c>
      <c r="D1" s="46" t="s">
        <v>3</v>
      </c>
      <c r="E1" s="58" t="s">
        <v>4</v>
      </c>
      <c r="F1" s="46" t="s">
        <v>5</v>
      </c>
      <c r="G1" s="47" t="s">
        <v>6</v>
      </c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5.75">
      <c r="A2" s="50" t="s">
        <v>7</v>
      </c>
      <c r="B2" s="51"/>
      <c r="C2" s="51"/>
      <c r="D2" s="52"/>
      <c r="E2" s="53"/>
      <c r="F2" s="52"/>
      <c r="G2" s="54"/>
      <c r="H2" s="55"/>
      <c r="I2" s="55"/>
      <c r="J2" s="55"/>
      <c r="K2" s="55"/>
      <c r="L2" s="55"/>
      <c r="M2" s="56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spans="1:26" ht="15.75">
      <c r="A3" s="57" t="s">
        <v>8</v>
      </c>
      <c r="B3" s="45" t="s">
        <v>9</v>
      </c>
      <c r="C3" s="45" t="s">
        <v>10</v>
      </c>
      <c r="D3" s="46" t="s">
        <v>11</v>
      </c>
      <c r="E3" s="58" t="s">
        <v>12</v>
      </c>
      <c r="F3" s="46" t="s">
        <v>13</v>
      </c>
      <c r="G3" s="45" t="s">
        <v>14</v>
      </c>
      <c r="H3" s="45" t="s">
        <v>15</v>
      </c>
      <c r="I3" s="45" t="s">
        <v>16</v>
      </c>
      <c r="J3" s="45" t="s">
        <v>17</v>
      </c>
      <c r="K3" s="45" t="s">
        <v>18</v>
      </c>
      <c r="L3" s="45" t="s">
        <v>19</v>
      </c>
      <c r="M3" s="59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spans="1:26" ht="15.75">
      <c r="A4" s="31">
        <f>SUM(
SUMIFS($E$11:$E$258,$D$11:$D$258,"&gt;="&amp;EOMONTH($A$8,-1)+1,$D$11:$D$258,"&lt;="&amp;EOMONTH($A$8,0),$F$11:$F$258,"kp"),
SUMIFS($E$11:$E$258,$D$11:$D$258,"&gt;="&amp;EOMONTH($A$8,-1)+1,$D$11:$D$258,"&lt;="&amp;EOMONTH($A$8,0),$F$11:$F$258,"kp."),
SUMIFS($E$11:$E$258,$D$11:$D$258,"&gt;="&amp;EOMONTH($A$8,-1)+1,$D$11:$D$258,"&lt;="&amp;EOMONTH($A$8,0),$F$11:$F$258,"bk"),
SUMIFS($E$11:$E$258,$D$11:$D$258,"&gt;="&amp;EOMONTH($A$8,-1)+1,$D$11:$D$258,"&lt;="&amp;EOMONTH($A$8,0),$F$11:$F$258,"bk."),
SUMIFS($E$11:$E$258,$D$11:$D$258,"&gt;="&amp;EOMONTH($A$8,-1)+1,$D$11:$D$258,"&lt;="&amp;EOMONTH($A$8,0),$F$11:$F$258,"mgc")
)</f>
        <v>97864</v>
      </c>
      <c r="B4" s="14">
        <f>SUM(
SUMIFS($E$11:$E$258,$D$11:$D$258,"&gt;="&amp;EOMONTH(B$8,-1)+1,$D$11:$D$258,"&lt;="&amp;EOMONTH(B$8,0),$F$11:$F$258,"kp"),
SUMIFS($E$11:$E$258,$D$11:$D$258,"&gt;="&amp;EOMONTH(B$8,-1)+1,$D$11:$D$258,"&lt;="&amp;EOMONTH(B$8,0),$F$11:$F$258,"kp."),
SUMIFS($E$11:$E$258,$D$11:$D$258,"&gt;="&amp;EOMONTH(B$8,-1)+1,$D$11:$D$258,"&lt;="&amp;EOMONTH(B$8,0),$F$11:$F$258,"bk"),
SUMIFS($E$11:$E$258,$D$11:$D$258,"&gt;="&amp;EOMONTH(B$8,-1)+1,$D$11:$D$258,"&lt;="&amp;EOMONTH(B$8,0),$F$11:$F$258,"bk."),
SUMIFS($E$11:$E$258,$D$11:$D$258,"&gt;="&amp;EOMONTH(B$8,-1)+1,$D$11:$D$258,"&lt;="&amp;EOMONTH(B$8,0),$F$11:$F$258,"mgc")
)</f>
        <v>8031189</v>
      </c>
      <c r="C4" s="14">
        <f>SUM(
SUMIFS($E$11:$E$258,$D$11:$D$258,"&gt;="&amp;EOMONTH(C$8,-1)+1,$D$11:$D$258,"&lt;="&amp;EOMONTH(C$8,0),$F$11:$F$258,"kp"),
SUMIFS($E$11:$E$258,$D$11:$D$258,"&gt;="&amp;EOMONTH(C$8,-1)+1,$D$11:$D$258,"&lt;="&amp;EOMONTH(C$8,0),$F$11:$F$258,"kp."),
SUMIFS($E$11:$E$258,$D$11:$D$258,"&gt;="&amp;EOMONTH(C$8,-1)+1,$D$11:$D$258,"&lt;="&amp;EOMONTH(C$8,0),$F$11:$F$258,"bk"),
SUMIFS($E$11:$E$258,$D$11:$D$258,"&gt;="&amp;EOMONTH(C$8,-1)+1,$D$11:$D$258,"&lt;="&amp;EOMONTH(C$8,0),$F$11:$F$258,"bk."),
SUMIFS($E$11:$E$258,$D$11:$D$258,"&gt;="&amp;EOMONTH(C$8,-1)+1,$D$11:$D$258,"&lt;="&amp;EOMONTH(C$8,0),$F$11:$F$258,"mgc")
)</f>
        <v>0</v>
      </c>
      <c r="D4" s="14">
        <f t="shared" ref="D4:L4" si="0">SUM(
SUMIFS($E$11:$E$258,$D$11:$D$258,"&gt;="&amp;EOMONTH(D$8,-1)+1,$D$11:$D$258,"&lt;="&amp;EOMONTH(D$8,0),$F$11:$F$258,"kp"),
SUMIFS($E$11:$E$258,$D$11:$D$258,"&gt;="&amp;EOMONTH(D$8,-1)+1,$D$11:$D$258,"&lt;="&amp;EOMONTH(D$8,0),$F$11:$F$258,"kp."),
SUMIFS($E$11:$E$258,$D$11:$D$258,"&gt;="&amp;EOMONTH(D$8,-1)+1,$D$11:$D$258,"&lt;="&amp;EOMONTH(D$8,0),$F$11:$F$258,"bk"),
SUMIFS($E$11:$E$258,$D$11:$D$258,"&gt;="&amp;EOMONTH(D$8,-1)+1,$D$11:$D$258,"&lt;="&amp;EOMONTH(D$8,0),$F$11:$F$258,"bk."),
SUMIFS($E$11:$E$258,$D$11:$D$258,"&gt;="&amp;EOMONTH(D$8,-1)+1,$D$11:$D$258,"&lt;="&amp;EOMONTH(D$8,0),$F$11:$F$258,"mgc")
)</f>
        <v>0</v>
      </c>
      <c r="E4" s="14">
        <f t="shared" si="0"/>
        <v>0</v>
      </c>
      <c r="F4" s="14">
        <f t="shared" si="0"/>
        <v>0</v>
      </c>
      <c r="G4" s="14">
        <f t="shared" si="0"/>
        <v>0</v>
      </c>
      <c r="H4" s="14">
        <f t="shared" si="0"/>
        <v>0</v>
      </c>
      <c r="I4" s="14">
        <f t="shared" si="0"/>
        <v>0</v>
      </c>
      <c r="J4" s="14">
        <f t="shared" si="0"/>
        <v>0</v>
      </c>
      <c r="K4" s="14">
        <f t="shared" si="0"/>
        <v>0</v>
      </c>
      <c r="L4" s="14">
        <f t="shared" si="0"/>
        <v>0</v>
      </c>
      <c r="M4" s="2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>
      <c r="A5" s="61">
        <f>SUMIFS(E11:E804,D11:D804,"&gt;=2025.01.01",D11:D804,"&lt;=2025.01.31",A11:A804,"HELIT*",F11:F804,"kp") + SUMIFS(E11:E804,D11:D804,"&gt;=2025.01.01",D11:D804,"&lt;=2025.01.31",A11:A804,"HELIT*",F11:F804,"kp.") + SUMIFS(E11:E804,D11:D804,"&gt;=2025.01.01",D11:D804,"&lt;=2025.01.31",A11:A804,"HELIT*",F11:F804,"bk") + SUMIFS(E11:E804,D11:D804,"&gt;=2025.01.01",D11:D804,"&lt;=2025.01.31",A11:A804,"HELIT*",F11:F804,"bk.") + SUMIFS(E11:E804,D11:D804,"&gt;=2025.01.01",D11:D804,"&lt;=2025.01.31",A11:A804,"HELIT*",F11:F804,"bankkártya")</f>
        <v>0</v>
      </c>
      <c r="B5" s="62">
        <f>SUMIFS(E11:E2039,D11:D2039,"&gt;=2025.02.01",D11:D2039,"&lt;=2025.02.28",A11:A2039,"HELIT*",F11:F2039,"kp") + SUMIFS(E11:E2039,D11:D2039,"&gt;=2025.02.01",D11:D2039,"&lt;=2025.02.28",A11:A2039,"HELIT*",F11:F2039,"kp.") + SUMIFS(E11:E2039,D11:D2039,"&gt;=2025.02.01",D11:D2039,"&lt;=2025.02.28",A11:A2039,"HELIT*",F11:F2039,"bk") + SUMIFS(E11:E2039,D11:D2039,"&gt;=2025.02.01",D11:D2039,"&lt;=2025.02.28",A11:A2039,"HELIT*",F11:F2039,"bk.") + SUMIFS(E11:E2039,D11:D2039,"&gt;=2025.02.01",D11:D2039,"&lt;=2025.02.28",A11:A2039,"HELIT*",F11:F2039,"bankkártya")</f>
        <v>0</v>
      </c>
      <c r="C5" s="62">
        <f>SUMIFS(E11:E1903,D11:D1903,"&gt;=2025.03.01",D11:D1903,"&lt;=2025.03.31",A11:A1903,"HELIT*",F11:F1903,"kp") + SUMIFS(E11:E1903,D11:D1903,"&gt;=2025.03.01",D11:D1903,"&lt;=2025.03.31",A11:A1903,"HELIT*",F11:F1903,"kp.") + SUMIFS(E11:E1903,D11:D1903,"&gt;=2025.03.01",D11:D1903,"&lt;=2025.03.31",A11:A1903,"HELIT*",F11:F1903,"bk") + SUMIFS(E11:E1903,D11:D1903,"&gt;=2025.03.01",D11:D1903,"&lt;=2025.03.31",A11:A1903,"HELIT*",F11:F1903,"bk.") + SUMIFS(E11:E1903,D11:D1903,"&gt;=2025.03.01",D11:D1903,"&lt;=2025.03.31",A11:A1903,"HELIT*",F11:F1903,"bankkártya")</f>
        <v>0</v>
      </c>
      <c r="D5" s="63">
        <f>SUMIFS(E11:E1903,D11:D1903,"&gt;=2025.04.01",D11:D1903,"&lt;=2025.04.30",A11:A1903,"HELIT*",F11:F1903,"kp") + SUMIFS(E11:E1903,D11:D1903,"&gt;=2025.04.01",D11:D1903,"&lt;=2025.04.30",A11:A1903,"HELIT*",F11:F1903,"kp.") + SUMIFS(E11:E1903,D11:D1903,"&gt;=2025.04.01",D11:D1903,"&lt;=2025.04.30",A11:A1903,"HELIT*",F11:F1903,"bk") + SUMIFS(E11:E1903,D11:D1903,"&gt;=2025.04.01",D11:D1903,"&lt;=2025.04.30",A11:A1903,"HELIT*",F11:F1903,"bk.") + SUMIFS(E11:E1903,D11:D1903,"&gt;=2025.04.01",D11:D1903,"&lt;=2025.04.30",A11:A1903,"HELIT*",F11:F1903,"bankkártya")</f>
        <v>0</v>
      </c>
      <c r="E5" s="64"/>
      <c r="F5" s="65"/>
      <c r="G5" s="66"/>
      <c r="H5" s="67"/>
      <c r="I5" s="67"/>
      <c r="J5" s="67"/>
      <c r="K5" s="67"/>
      <c r="L5" s="67"/>
      <c r="M5" s="6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spans="1:26" ht="15.75">
      <c r="A6" s="45" t="s">
        <v>20</v>
      </c>
      <c r="B6" s="45"/>
      <c r="C6" s="45"/>
      <c r="D6" s="46"/>
      <c r="E6" s="58"/>
      <c r="F6" s="46"/>
      <c r="G6" s="47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5.75">
      <c r="A7" s="144" cm="1">
        <f t="array" ref="A7">SUM(SUMIFS($E$11:$E$1999,
$D$11:$D$1999,"&gt;="&amp;EOMONTH(A8,-1)+1,
$D$11:$D$1999,"&lt;="&amp;EOMONTH(A8,0),
$F$11:$F$1999,{"kp";"kp."}))</f>
        <v>41043</v>
      </c>
      <c r="B7" s="144" cm="1">
        <f t="array" ref="B7">SUM(SUMIFS($E$11:$E$1999,
$D$11:$D$1999,"&gt;="&amp;EOMONTH(B8,-1)+1,
$D$11:$D$1999,"&lt;="&amp;EOMONTH(B8,0),
$F$11:$F$1999,{"kp";"kp."}))</f>
        <v>24913</v>
      </c>
      <c r="C7" s="144" cm="1">
        <f t="array" ref="C7">SUM(SUMIFS($E$11:$E$1999,
$D$11:$D$1999,"&gt;="&amp;EOMONTH(C8,-1)+1,
$D$11:$D$1999,"&lt;="&amp;EOMONTH(C8,0),
$F$11:$F$1999,{"kp";"kp."}))</f>
        <v>17260</v>
      </c>
      <c r="D7" s="144" cm="1">
        <f t="array" ref="D7">SUM(SUMIFS($E$11:$E$1999,
$D$11:$D$1999,"&gt;="&amp;EOMONTH(D8,-1)+1,
$D$11:$D$1999,"&lt;="&amp;EOMONTH(D8,0),
$F$11:$F$1999,{"kp";"kp."}))</f>
        <v>0</v>
      </c>
      <c r="E7" s="144" cm="1">
        <f t="array" ref="E7">SUM(SUMIFS($E$11:$E$1999,
$D$11:$D$1999,"&gt;="&amp;EOMONTH(E8,-1)+1,
$D$11:$D$1999,"&lt;="&amp;EOMONTH(E8,0),
$F$11:$F$1999,{"kp";"kp."}))</f>
        <v>0</v>
      </c>
      <c r="F7" s="144" cm="1">
        <f t="array" ref="F7">SUM(SUMIFS($E$11:$E$1999,
$D$11:$D$1999,"&gt;="&amp;EOMONTH(F8,-1)+1,
$D$11:$D$1999,"&lt;="&amp;EOMONTH(F8,0),
$F$11:$F$1999,{"kp";"kp."}))</f>
        <v>0</v>
      </c>
      <c r="G7" s="144" cm="1">
        <f t="array" ref="G7">SUM(SUMIFS($E$11:$E$1999,
$D$11:$D$1999,"&gt;="&amp;EOMONTH(G8,-1)+1,
$D$11:$D$1999,"&lt;="&amp;EOMONTH(G8,0),
$F$11:$F$1999,{"kp";"kp."}))</f>
        <v>0</v>
      </c>
      <c r="H7" s="144" cm="1">
        <f t="array" ref="H7">SUM(SUMIFS($E$11:$E$1999,
$D$11:$D$1999,"&gt;="&amp;EOMONTH(H8,-1)+1,
$D$11:$D$1999,"&lt;="&amp;EOMONTH(H8,0),
$F$11:$F$1999,{"kp";"kp."}))</f>
        <v>0</v>
      </c>
      <c r="I7" s="144" cm="1">
        <f t="array" ref="I7">SUM(SUMIFS($E$11:$E$1999,
$D$11:$D$1999,"&gt;="&amp;EOMONTH(I8,-1)+1,
$D$11:$D$1999,"&lt;="&amp;EOMONTH(I8,0),
$F$11:$F$1999,{"kp";"kp."}))</f>
        <v>0</v>
      </c>
      <c r="J7" s="144" cm="1">
        <f t="array" ref="J7">SUM(SUMIFS($E$11:$E$1999,
$D$11:$D$1999,"&gt;="&amp;EOMONTH(J8,-1)+1,
$D$11:$D$1999,"&lt;="&amp;EOMONTH(J8,0),
$F$11:$F$1999,{"kp";"kp."}))</f>
        <v>0</v>
      </c>
      <c r="K7" s="144" cm="1">
        <f t="array" ref="K7">SUM(SUMIFS($E$11:$E$1999,
$D$11:$D$1999,"&gt;="&amp;EOMONTH(K8,-1)+1,
$D$11:$D$1999,"&lt;="&amp;EOMONTH(K8,0),
$F$11:$F$1999,{"kp";"kp."}))</f>
        <v>0</v>
      </c>
      <c r="L7" s="144" cm="1">
        <f t="array" ref="L7">SUM(SUMIFS($E$11:$E$1999,
$D$11:$D$1999,"&gt;="&amp;EOMONTH(L8,-1)+1,
$D$11:$D$1999,"&lt;="&amp;EOMONTH(L8,0),
$F$11:$F$1999,{"kp";"kp."}))</f>
        <v>0</v>
      </c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spans="1:26" ht="15.75">
      <c r="A8" s="40">
        <v>46037</v>
      </c>
      <c r="B8" s="40">
        <v>46068</v>
      </c>
      <c r="C8" s="40">
        <v>46096</v>
      </c>
      <c r="D8" s="40">
        <v>46127</v>
      </c>
      <c r="E8" s="40">
        <v>46157</v>
      </c>
      <c r="F8" s="40">
        <v>46188</v>
      </c>
      <c r="G8" s="40">
        <v>46218</v>
      </c>
      <c r="H8" s="40">
        <v>46249</v>
      </c>
      <c r="I8" s="40">
        <v>46280</v>
      </c>
      <c r="J8" s="40">
        <v>46310</v>
      </c>
      <c r="K8" s="40">
        <v>46341</v>
      </c>
      <c r="L8" s="40">
        <v>46371</v>
      </c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spans="1:26" ht="15.75">
      <c r="A9" s="191" t="s">
        <v>21</v>
      </c>
      <c r="B9" s="191"/>
      <c r="C9" s="191"/>
      <c r="D9" s="191"/>
      <c r="E9" s="191"/>
      <c r="F9" s="191"/>
      <c r="G9" s="191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spans="1:26" ht="15.75">
      <c r="A10" s="192" t="s">
        <v>22</v>
      </c>
      <c r="B10" s="192"/>
      <c r="C10" s="192"/>
      <c r="D10" s="192"/>
      <c r="E10" s="192"/>
      <c r="F10" s="192"/>
      <c r="G10" s="192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spans="1:26" ht="15.75">
      <c r="A11" s="49" t="s">
        <v>400</v>
      </c>
      <c r="B11" s="88" t="s">
        <v>401</v>
      </c>
      <c r="D11" s="79">
        <v>46036</v>
      </c>
      <c r="E11" s="82">
        <v>12259</v>
      </c>
      <c r="F11" s="49" t="s">
        <v>29</v>
      </c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 ht="15.75">
      <c r="A12" s="49" t="s">
        <v>402</v>
      </c>
      <c r="B12" s="88" t="s">
        <v>403</v>
      </c>
      <c r="D12" s="79">
        <v>46039</v>
      </c>
      <c r="E12" s="82">
        <v>11630</v>
      </c>
      <c r="F12" s="49" t="s">
        <v>29</v>
      </c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 ht="15.75">
      <c r="A13" s="49" t="s">
        <v>404</v>
      </c>
      <c r="B13" s="88" t="s">
        <v>405</v>
      </c>
      <c r="D13" s="79">
        <v>46039</v>
      </c>
      <c r="E13" s="82">
        <v>8000</v>
      </c>
      <c r="F13" s="49" t="s">
        <v>29</v>
      </c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ht="15.75">
      <c r="A14" s="49" t="s">
        <v>406</v>
      </c>
      <c r="B14" s="88" t="s">
        <v>407</v>
      </c>
      <c r="D14" s="79">
        <v>46043</v>
      </c>
      <c r="E14" s="82">
        <v>31238</v>
      </c>
      <c r="F14" s="49" t="s">
        <v>24</v>
      </c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spans="1:26" ht="15.75">
      <c r="A15" s="49" t="s">
        <v>408</v>
      </c>
      <c r="B15" s="88" t="s">
        <v>409</v>
      </c>
      <c r="D15" s="79">
        <v>46048</v>
      </c>
      <c r="E15" s="82">
        <v>32918</v>
      </c>
      <c r="F15" s="49" t="s">
        <v>24</v>
      </c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5.75">
      <c r="A16" s="49" t="s">
        <v>400</v>
      </c>
      <c r="B16" s="88" t="s">
        <v>410</v>
      </c>
      <c r="D16" s="79">
        <v>46027</v>
      </c>
      <c r="E16" s="82">
        <v>14761</v>
      </c>
      <c r="F16" s="49" t="s">
        <v>24</v>
      </c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5.75">
      <c r="A17" s="49" t="s">
        <v>411</v>
      </c>
      <c r="B17" s="88" t="s">
        <v>412</v>
      </c>
      <c r="D17" s="79">
        <v>46049</v>
      </c>
      <c r="E17" s="82">
        <v>9154</v>
      </c>
      <c r="F17" s="49" t="s">
        <v>29</v>
      </c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spans="1:26" ht="15.75">
      <c r="A18" s="49" t="s">
        <v>23</v>
      </c>
      <c r="B18" s="88">
        <v>261800811</v>
      </c>
      <c r="D18" s="79">
        <v>46052</v>
      </c>
      <c r="E18" s="82">
        <v>-22096</v>
      </c>
      <c r="F18" s="49" t="s">
        <v>24</v>
      </c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spans="1:26" ht="15.75">
      <c r="E19" s="92">
        <f>SUM(E11:E18)</f>
        <v>97864</v>
      </c>
      <c r="F19" s="49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spans="1:26" ht="15.75">
      <c r="A20" s="191" t="s">
        <v>21</v>
      </c>
      <c r="B20" s="191"/>
      <c r="C20" s="191"/>
      <c r="D20" s="191"/>
      <c r="E20" s="191"/>
      <c r="F20" s="191"/>
      <c r="G20" s="191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spans="1:26" ht="15.75">
      <c r="A21" s="192" t="s">
        <v>43</v>
      </c>
      <c r="B21" s="192"/>
      <c r="C21" s="192"/>
      <c r="D21" s="192"/>
      <c r="E21" s="192"/>
      <c r="F21" s="192"/>
      <c r="G21" s="192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spans="1:26" ht="15.75">
      <c r="A22" s="49" t="s">
        <v>413</v>
      </c>
      <c r="B22" s="49" t="s">
        <v>414</v>
      </c>
      <c r="D22" s="79">
        <v>46034</v>
      </c>
      <c r="E22" s="82">
        <v>306879</v>
      </c>
      <c r="F22" s="49" t="s">
        <v>415</v>
      </c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6" ht="15.75">
      <c r="A23" s="49" t="s">
        <v>413</v>
      </c>
      <c r="B23" s="49" t="s">
        <v>416</v>
      </c>
      <c r="D23" s="79">
        <v>46048</v>
      </c>
      <c r="E23" s="82">
        <v>376936</v>
      </c>
      <c r="F23" s="93">
        <v>46056</v>
      </c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6" ht="15.75">
      <c r="A24" s="49" t="s">
        <v>417</v>
      </c>
      <c r="B24" s="49">
        <v>1604839661</v>
      </c>
      <c r="C24" s="49">
        <v>89229579061</v>
      </c>
      <c r="D24" s="79">
        <v>46029</v>
      </c>
      <c r="E24" s="82">
        <v>420443</v>
      </c>
      <c r="F24" s="93">
        <v>46043</v>
      </c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6" ht="15.75">
      <c r="A25" s="49" t="s">
        <v>417</v>
      </c>
      <c r="B25" s="49">
        <v>1604846151</v>
      </c>
      <c r="C25" s="49">
        <v>8929603648</v>
      </c>
      <c r="D25" s="79">
        <v>46043</v>
      </c>
      <c r="E25" s="82">
        <v>261630</v>
      </c>
      <c r="F25" s="93">
        <v>46057</v>
      </c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15.75">
      <c r="A26" s="49" t="s">
        <v>418</v>
      </c>
      <c r="B26" s="49" t="s">
        <v>419</v>
      </c>
      <c r="D26" s="79">
        <v>46035</v>
      </c>
      <c r="E26" s="82">
        <v>41974</v>
      </c>
      <c r="F26" s="93">
        <v>46050</v>
      </c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6" ht="15.75">
      <c r="A27" s="49" t="s">
        <v>420</v>
      </c>
      <c r="B27" s="49" t="s">
        <v>421</v>
      </c>
      <c r="D27" s="79">
        <v>46029</v>
      </c>
      <c r="E27" s="82">
        <v>78900</v>
      </c>
      <c r="F27" s="93">
        <v>46037</v>
      </c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6" ht="15.75">
      <c r="A28" s="49" t="s">
        <v>420</v>
      </c>
      <c r="B28" s="49" t="s">
        <v>422</v>
      </c>
      <c r="D28" s="79">
        <v>46036</v>
      </c>
      <c r="E28" s="82">
        <v>77000</v>
      </c>
      <c r="F28" s="93">
        <v>46044</v>
      </c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6" ht="15.75">
      <c r="A29" s="49" t="s">
        <v>420</v>
      </c>
      <c r="B29" s="49" t="s">
        <v>423</v>
      </c>
      <c r="D29" s="79">
        <v>46043</v>
      </c>
      <c r="E29" s="82">
        <v>96580</v>
      </c>
      <c r="F29" s="93">
        <v>46051</v>
      </c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6" ht="15.75">
      <c r="A30" s="49" t="s">
        <v>420</v>
      </c>
      <c r="B30" s="49" t="s">
        <v>424</v>
      </c>
      <c r="D30" s="79">
        <v>46050</v>
      </c>
      <c r="E30" s="82">
        <v>94680</v>
      </c>
      <c r="F30" s="93">
        <v>46058</v>
      </c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6" ht="15.75">
      <c r="A31" s="49" t="s">
        <v>425</v>
      </c>
      <c r="B31" s="49">
        <v>617000673</v>
      </c>
      <c r="D31" s="79">
        <v>46027</v>
      </c>
      <c r="E31" s="82">
        <v>511804</v>
      </c>
      <c r="F31" s="93">
        <v>46041</v>
      </c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 ht="15.75">
      <c r="A32" s="49" t="s">
        <v>425</v>
      </c>
      <c r="B32" s="49">
        <v>617001374</v>
      </c>
      <c r="D32" s="79">
        <v>46028</v>
      </c>
      <c r="E32" s="82">
        <v>625680</v>
      </c>
      <c r="F32" s="93">
        <v>46042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5.75">
      <c r="A33" s="87" t="s">
        <v>425</v>
      </c>
      <c r="B33" s="87">
        <v>261800482</v>
      </c>
      <c r="C33" s="87"/>
      <c r="D33" s="94">
        <v>46041</v>
      </c>
      <c r="E33" s="95">
        <v>-10782</v>
      </c>
      <c r="F33" s="96">
        <v>46041</v>
      </c>
      <c r="G33" s="87" t="s">
        <v>97</v>
      </c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5.75">
      <c r="A34" s="49" t="s">
        <v>425</v>
      </c>
      <c r="B34" s="49">
        <v>617002171</v>
      </c>
      <c r="D34" s="79">
        <v>46029</v>
      </c>
      <c r="E34" s="82">
        <v>360778</v>
      </c>
      <c r="F34" s="93">
        <v>46043</v>
      </c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5.75">
      <c r="A35" s="49" t="s">
        <v>425</v>
      </c>
      <c r="B35" s="49">
        <v>617002736</v>
      </c>
      <c r="D35" s="79">
        <v>46030</v>
      </c>
      <c r="E35" s="82">
        <v>396883</v>
      </c>
      <c r="F35" s="93">
        <v>46044</v>
      </c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5.75">
      <c r="A36" s="49" t="s">
        <v>425</v>
      </c>
      <c r="B36" s="49">
        <v>617003279</v>
      </c>
      <c r="D36" s="79">
        <v>46031</v>
      </c>
      <c r="E36" s="82">
        <v>428926</v>
      </c>
      <c r="F36" s="93">
        <v>46045</v>
      </c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5.75">
      <c r="A37" s="49" t="s">
        <v>425</v>
      </c>
      <c r="B37" s="49">
        <v>617003952</v>
      </c>
      <c r="D37" s="79">
        <v>46032</v>
      </c>
      <c r="E37" s="82">
        <v>660833</v>
      </c>
      <c r="F37" s="93">
        <v>46046</v>
      </c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5.75">
      <c r="A38" s="49" t="s">
        <v>425</v>
      </c>
      <c r="B38" s="49">
        <v>617004953</v>
      </c>
      <c r="D38" s="79">
        <v>46035</v>
      </c>
      <c r="E38" s="82">
        <v>512985</v>
      </c>
      <c r="F38" s="93">
        <v>46049</v>
      </c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5.75">
      <c r="A39" s="49" t="s">
        <v>425</v>
      </c>
      <c r="B39" s="49">
        <v>617005671</v>
      </c>
      <c r="D39" s="79">
        <v>46036</v>
      </c>
      <c r="E39" s="82">
        <v>521737</v>
      </c>
      <c r="F39" s="93">
        <v>46050</v>
      </c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5.75">
      <c r="A40" s="49" t="s">
        <v>425</v>
      </c>
      <c r="B40" s="49">
        <v>617006217</v>
      </c>
      <c r="D40" s="79">
        <v>46037</v>
      </c>
      <c r="E40" s="82">
        <v>328047</v>
      </c>
      <c r="F40" s="93">
        <v>46051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5.75">
      <c r="A41" s="49" t="s">
        <v>425</v>
      </c>
      <c r="B41" s="49">
        <v>617007093</v>
      </c>
      <c r="D41" s="79">
        <v>46038</v>
      </c>
      <c r="E41" s="82">
        <v>310981</v>
      </c>
      <c r="F41" s="93">
        <v>46052</v>
      </c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5.75">
      <c r="A42" s="49" t="s">
        <v>425</v>
      </c>
      <c r="B42" s="49">
        <v>617007758</v>
      </c>
      <c r="D42" s="79">
        <v>46041</v>
      </c>
      <c r="E42" s="82">
        <v>355269</v>
      </c>
      <c r="F42" s="93">
        <v>46055</v>
      </c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5.75">
      <c r="A43" s="49" t="s">
        <v>425</v>
      </c>
      <c r="B43" s="49">
        <v>617008450</v>
      </c>
      <c r="D43" s="79">
        <v>46042</v>
      </c>
      <c r="E43" s="82">
        <v>364405</v>
      </c>
      <c r="F43" s="93">
        <v>46056</v>
      </c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5.75">
      <c r="A44" s="49" t="s">
        <v>425</v>
      </c>
      <c r="B44" s="49">
        <v>617009286</v>
      </c>
      <c r="D44" s="79">
        <v>46043</v>
      </c>
      <c r="E44" s="82">
        <v>448908</v>
      </c>
      <c r="F44" s="93">
        <v>46057</v>
      </c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5.75">
      <c r="A45" s="49" t="s">
        <v>425</v>
      </c>
      <c r="B45" s="49">
        <v>617009821</v>
      </c>
      <c r="D45" s="79">
        <v>46044</v>
      </c>
      <c r="E45" s="82">
        <v>438154</v>
      </c>
      <c r="F45" s="93">
        <v>46058</v>
      </c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5.75">
      <c r="A46" s="49" t="s">
        <v>425</v>
      </c>
      <c r="B46" s="49">
        <v>617010346</v>
      </c>
      <c r="D46" s="79">
        <v>46045</v>
      </c>
      <c r="E46" s="82">
        <v>486577</v>
      </c>
      <c r="F46" s="93">
        <v>46059</v>
      </c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5.75">
      <c r="A47" s="49" t="s">
        <v>425</v>
      </c>
      <c r="B47" s="49">
        <v>617011346</v>
      </c>
      <c r="D47" s="79">
        <v>46048</v>
      </c>
      <c r="E47" s="82">
        <v>431986</v>
      </c>
      <c r="F47" s="93">
        <v>46062</v>
      </c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5.75">
      <c r="A48" s="49" t="s">
        <v>425</v>
      </c>
      <c r="B48" s="49">
        <v>617012050</v>
      </c>
      <c r="D48" s="79">
        <v>46049</v>
      </c>
      <c r="E48" s="82">
        <v>396359</v>
      </c>
      <c r="F48" s="93">
        <v>46063</v>
      </c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.75">
      <c r="A49" s="49" t="s">
        <v>425</v>
      </c>
      <c r="B49" s="49">
        <v>617012801</v>
      </c>
      <c r="D49" s="79">
        <v>46050</v>
      </c>
      <c r="E49" s="82">
        <v>399335</v>
      </c>
      <c r="F49" s="93">
        <v>46064</v>
      </c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5.75">
      <c r="A50" s="49" t="s">
        <v>425</v>
      </c>
      <c r="B50" s="49">
        <v>617013331</v>
      </c>
      <c r="D50" s="79">
        <v>46051</v>
      </c>
      <c r="E50" s="82">
        <v>472465</v>
      </c>
      <c r="F50" s="93">
        <v>46065</v>
      </c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.75">
      <c r="A51" s="49" t="s">
        <v>425</v>
      </c>
      <c r="B51" s="49">
        <v>617013931</v>
      </c>
      <c r="D51" s="79">
        <v>46052</v>
      </c>
      <c r="E51" s="82">
        <v>315497</v>
      </c>
      <c r="F51" s="93">
        <v>46066</v>
      </c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>
      <c r="A52" s="87" t="s">
        <v>425</v>
      </c>
      <c r="B52" s="87">
        <v>261800811</v>
      </c>
      <c r="C52" s="87"/>
      <c r="D52" s="94">
        <v>46052</v>
      </c>
      <c r="E52" s="95">
        <v>-22096</v>
      </c>
      <c r="F52" s="96">
        <v>46052</v>
      </c>
      <c r="G52" s="87" t="s">
        <v>426</v>
      </c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>
      <c r="A53" s="49" t="s">
        <v>427</v>
      </c>
      <c r="C53" s="49" t="s">
        <v>428</v>
      </c>
      <c r="D53" s="79">
        <v>46027</v>
      </c>
      <c r="E53" s="82">
        <v>0</v>
      </c>
      <c r="F53" s="49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>
      <c r="A54" s="49" t="s">
        <v>427</v>
      </c>
      <c r="C54" s="49" t="s">
        <v>429</v>
      </c>
      <c r="D54" s="79">
        <v>46028</v>
      </c>
      <c r="E54" s="82">
        <v>0</v>
      </c>
      <c r="F54" s="49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>
      <c r="A55" s="49" t="s">
        <v>427</v>
      </c>
      <c r="C55" s="49" t="s">
        <v>430</v>
      </c>
      <c r="D55" s="79">
        <v>46029</v>
      </c>
      <c r="E55" s="82">
        <v>0</v>
      </c>
      <c r="F55" s="49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>
      <c r="A56" s="49" t="s">
        <v>427</v>
      </c>
      <c r="C56" s="49" t="s">
        <v>431</v>
      </c>
      <c r="D56" s="79">
        <v>46030</v>
      </c>
      <c r="E56" s="82">
        <v>0</v>
      </c>
      <c r="F56" s="49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>
      <c r="A57" s="49" t="s">
        <v>427</v>
      </c>
      <c r="C57" s="49" t="s">
        <v>432</v>
      </c>
      <c r="D57" s="79">
        <v>46031</v>
      </c>
      <c r="E57" s="82">
        <v>0</v>
      </c>
      <c r="F57" s="49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>
      <c r="A58" s="49" t="s">
        <v>427</v>
      </c>
      <c r="C58" s="49" t="s">
        <v>433</v>
      </c>
      <c r="D58" s="79">
        <v>46032</v>
      </c>
      <c r="E58" s="82">
        <v>0</v>
      </c>
      <c r="F58" s="49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 customHeight="1">
      <c r="A59" s="87" t="s">
        <v>427</v>
      </c>
      <c r="B59" s="87" t="s">
        <v>434</v>
      </c>
      <c r="C59" s="87"/>
      <c r="D59" s="94"/>
      <c r="E59" s="97">
        <v>572677</v>
      </c>
      <c r="F59" s="96">
        <v>46038</v>
      </c>
      <c r="G59" s="89" t="s">
        <v>435</v>
      </c>
      <c r="H59" s="7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>
      <c r="A60" s="49" t="s">
        <v>427</v>
      </c>
      <c r="C60" s="49" t="s">
        <v>436</v>
      </c>
      <c r="D60" s="79">
        <v>46034</v>
      </c>
      <c r="E60" s="82">
        <v>0</v>
      </c>
      <c r="F60" s="49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>
      <c r="A61" s="49" t="s">
        <v>427</v>
      </c>
      <c r="C61" s="49" t="s">
        <v>437</v>
      </c>
      <c r="D61" s="79">
        <v>46035</v>
      </c>
      <c r="E61" s="82">
        <v>0</v>
      </c>
      <c r="F61" s="49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>
      <c r="A62" s="49" t="s">
        <v>427</v>
      </c>
      <c r="C62" s="49" t="s">
        <v>438</v>
      </c>
      <c r="D62" s="79">
        <v>46036</v>
      </c>
      <c r="E62" s="82">
        <v>0</v>
      </c>
      <c r="F62" s="49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>
      <c r="A63" s="49" t="s">
        <v>427</v>
      </c>
      <c r="C63" s="49" t="s">
        <v>439</v>
      </c>
      <c r="D63" s="79">
        <v>46037</v>
      </c>
      <c r="E63" s="82">
        <v>0</v>
      </c>
      <c r="F63" s="49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>
      <c r="A64" s="49" t="s">
        <v>427</v>
      </c>
      <c r="C64" s="49" t="s">
        <v>440</v>
      </c>
      <c r="D64" s="79">
        <v>46038</v>
      </c>
      <c r="E64" s="82">
        <v>0</v>
      </c>
      <c r="F64" s="49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>
      <c r="A65" s="87" t="s">
        <v>427</v>
      </c>
      <c r="B65" s="87" t="s">
        <v>441</v>
      </c>
      <c r="C65" s="87"/>
      <c r="D65" s="94"/>
      <c r="E65" s="97">
        <v>556720</v>
      </c>
      <c r="F65" s="96">
        <v>46045</v>
      </c>
      <c r="G65" s="89" t="s">
        <v>442</v>
      </c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>
      <c r="A66" s="49" t="s">
        <v>427</v>
      </c>
      <c r="C66" s="49" t="s">
        <v>443</v>
      </c>
      <c r="D66" s="79">
        <v>46041</v>
      </c>
      <c r="E66" s="82">
        <v>0</v>
      </c>
      <c r="F66" s="49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>
      <c r="A67" s="49" t="s">
        <v>427</v>
      </c>
      <c r="C67" s="49" t="s">
        <v>444</v>
      </c>
      <c r="D67" s="79">
        <v>46042</v>
      </c>
      <c r="E67" s="82">
        <v>0</v>
      </c>
      <c r="F67" s="49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>
      <c r="A68" s="49" t="s">
        <v>427</v>
      </c>
      <c r="C68" s="49" t="s">
        <v>445</v>
      </c>
      <c r="D68" s="79">
        <v>46043</v>
      </c>
      <c r="E68" s="82">
        <v>0</v>
      </c>
      <c r="F68" s="49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>
      <c r="A69" s="49" t="s">
        <v>427</v>
      </c>
      <c r="C69" s="49" t="s">
        <v>446</v>
      </c>
      <c r="D69" s="79">
        <v>46044</v>
      </c>
      <c r="E69" s="82">
        <v>0</v>
      </c>
      <c r="F69" s="49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>
      <c r="A70" s="49" t="s">
        <v>427</v>
      </c>
      <c r="C70" s="49" t="s">
        <v>447</v>
      </c>
      <c r="D70" s="79">
        <v>46045</v>
      </c>
      <c r="E70" s="82">
        <v>0</v>
      </c>
      <c r="F70" s="49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>
      <c r="A71" s="49" t="s">
        <v>427</v>
      </c>
      <c r="C71" s="49" t="s">
        <v>448</v>
      </c>
      <c r="D71" s="79">
        <v>46048</v>
      </c>
      <c r="E71" s="82">
        <v>0</v>
      </c>
      <c r="F71" s="49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>
      <c r="A72" s="87" t="s">
        <v>427</v>
      </c>
      <c r="B72" s="87" t="s">
        <v>449</v>
      </c>
      <c r="C72" s="87"/>
      <c r="D72" s="94">
        <v>46048</v>
      </c>
      <c r="E72" s="97">
        <v>410451</v>
      </c>
      <c r="F72" s="96">
        <v>46053</v>
      </c>
      <c r="G72" s="87" t="s">
        <v>450</v>
      </c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>
      <c r="A73" s="98" t="s">
        <v>427</v>
      </c>
      <c r="C73" s="49" t="s">
        <v>451</v>
      </c>
      <c r="D73" s="79">
        <v>46049</v>
      </c>
      <c r="E73" s="82">
        <v>0</v>
      </c>
      <c r="F73" s="49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>
      <c r="A74" s="98" t="s">
        <v>427</v>
      </c>
      <c r="C74" s="49" t="s">
        <v>452</v>
      </c>
      <c r="D74" s="79">
        <v>46050</v>
      </c>
      <c r="E74" s="82">
        <v>0</v>
      </c>
      <c r="F74" s="49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>
      <c r="A75" s="98" t="s">
        <v>427</v>
      </c>
      <c r="C75" s="49" t="s">
        <v>453</v>
      </c>
      <c r="D75" s="79">
        <v>46051</v>
      </c>
      <c r="E75" s="82">
        <v>0</v>
      </c>
      <c r="F75" s="49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>
      <c r="A76" s="98" t="s">
        <v>427</v>
      </c>
      <c r="C76" s="49" t="s">
        <v>454</v>
      </c>
      <c r="D76" s="79">
        <v>46052</v>
      </c>
      <c r="E76" s="82">
        <v>0</v>
      </c>
      <c r="F76" s="49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>
      <c r="A77" s="87" t="s">
        <v>427</v>
      </c>
      <c r="B77" s="87" t="s">
        <v>455</v>
      </c>
      <c r="C77" s="87"/>
      <c r="D77" s="94">
        <v>46052</v>
      </c>
      <c r="E77" s="97">
        <v>498305</v>
      </c>
      <c r="F77" s="96">
        <v>46057</v>
      </c>
      <c r="G77" s="87" t="s">
        <v>456</v>
      </c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>
      <c r="A78" s="49" t="s">
        <v>457</v>
      </c>
      <c r="B78" s="49" t="s">
        <v>458</v>
      </c>
      <c r="D78" s="79">
        <v>46027</v>
      </c>
      <c r="E78" s="82">
        <v>209425</v>
      </c>
      <c r="F78" s="93">
        <v>46042</v>
      </c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>
      <c r="A79" s="49" t="s">
        <v>457</v>
      </c>
      <c r="B79" s="49" t="s">
        <v>459</v>
      </c>
      <c r="D79" s="79">
        <v>46034</v>
      </c>
      <c r="E79" s="82">
        <v>78780</v>
      </c>
      <c r="F79" s="93">
        <v>46049</v>
      </c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>
      <c r="A80" s="49" t="s">
        <v>457</v>
      </c>
      <c r="B80" s="49" t="s">
        <v>460</v>
      </c>
      <c r="D80" s="79">
        <v>46034</v>
      </c>
      <c r="E80" s="82">
        <v>78740</v>
      </c>
      <c r="F80" s="93">
        <v>46049</v>
      </c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>
      <c r="A81" s="49" t="s">
        <v>457</v>
      </c>
      <c r="B81" s="49" t="s">
        <v>461</v>
      </c>
      <c r="D81" s="79">
        <v>46043</v>
      </c>
      <c r="E81" s="82">
        <v>90884</v>
      </c>
      <c r="F81" s="49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>
      <c r="A82" s="49" t="s">
        <v>457</v>
      </c>
      <c r="B82" s="49" t="s">
        <v>462</v>
      </c>
      <c r="D82" s="79">
        <v>46045</v>
      </c>
      <c r="E82" s="82">
        <v>81935</v>
      </c>
      <c r="F82" s="49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>
      <c r="A83" s="49" t="s">
        <v>463</v>
      </c>
      <c r="B83" s="49">
        <v>702589429</v>
      </c>
      <c r="C83" s="49">
        <v>1011749182</v>
      </c>
      <c r="D83" s="79">
        <v>46028</v>
      </c>
      <c r="E83" s="82">
        <v>294440</v>
      </c>
      <c r="F83" s="93">
        <v>46034</v>
      </c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>
      <c r="A84" s="49" t="s">
        <v>463</v>
      </c>
      <c r="C84" s="49">
        <v>1011753468</v>
      </c>
      <c r="D84" s="79">
        <v>46035</v>
      </c>
      <c r="E84" s="82">
        <v>217376</v>
      </c>
      <c r="F84" s="49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>
      <c r="A85" s="49" t="s">
        <v>463</v>
      </c>
      <c r="B85" s="49">
        <v>702591892</v>
      </c>
      <c r="C85" s="49">
        <v>10117600068</v>
      </c>
      <c r="D85" s="79">
        <v>46043</v>
      </c>
      <c r="E85" s="82">
        <v>135593</v>
      </c>
      <c r="F85" s="93">
        <v>46065</v>
      </c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>
      <c r="A86" s="49" t="s">
        <v>266</v>
      </c>
      <c r="B86" s="49">
        <v>261005428</v>
      </c>
      <c r="C86" s="49">
        <v>262005701</v>
      </c>
      <c r="D86" s="79">
        <v>46043</v>
      </c>
      <c r="E86" s="82">
        <v>45066</v>
      </c>
      <c r="F86" s="93">
        <v>46058</v>
      </c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>
      <c r="A87" s="49" t="s">
        <v>464</v>
      </c>
      <c r="B87" s="49" t="s">
        <v>465</v>
      </c>
      <c r="D87" s="79">
        <v>46027</v>
      </c>
      <c r="E87" s="82">
        <v>229220</v>
      </c>
      <c r="F87" s="93">
        <v>46035</v>
      </c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>
      <c r="A88" s="49" t="s">
        <v>464</v>
      </c>
      <c r="B88" s="49" t="s">
        <v>466</v>
      </c>
      <c r="D88" s="79">
        <v>46027</v>
      </c>
      <c r="E88" s="82">
        <v>23924</v>
      </c>
      <c r="F88" s="93">
        <v>46035</v>
      </c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>
      <c r="A89" s="49" t="s">
        <v>464</v>
      </c>
      <c r="B89" s="49" t="s">
        <v>467</v>
      </c>
      <c r="D89" s="79">
        <v>46034</v>
      </c>
      <c r="E89" s="82">
        <v>16519</v>
      </c>
      <c r="F89" s="93">
        <v>46042</v>
      </c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>
      <c r="A90" s="49" t="s">
        <v>464</v>
      </c>
      <c r="B90" s="49" t="s">
        <v>468</v>
      </c>
      <c r="D90" s="79">
        <v>46034</v>
      </c>
      <c r="E90" s="82">
        <v>161631</v>
      </c>
      <c r="F90" s="93">
        <v>46042</v>
      </c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>
      <c r="A91" s="49" t="s">
        <v>464</v>
      </c>
      <c r="B91" s="49" t="s">
        <v>469</v>
      </c>
      <c r="D91" s="79">
        <v>46041</v>
      </c>
      <c r="E91" s="82">
        <v>216667</v>
      </c>
      <c r="F91" s="93">
        <v>46041</v>
      </c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>
      <c r="A92" s="49" t="s">
        <v>464</v>
      </c>
      <c r="B92" s="49" t="s">
        <v>470</v>
      </c>
      <c r="D92" s="79">
        <v>46041</v>
      </c>
      <c r="E92" s="82">
        <v>39440</v>
      </c>
      <c r="F92" s="93">
        <v>46049</v>
      </c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>
      <c r="A93" s="49" t="s">
        <v>464</v>
      </c>
      <c r="B93" s="49" t="s">
        <v>471</v>
      </c>
      <c r="D93" s="79">
        <v>46048</v>
      </c>
      <c r="E93" s="82">
        <v>125563</v>
      </c>
      <c r="F93" s="93">
        <v>46056</v>
      </c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>
      <c r="A94" s="49" t="s">
        <v>472</v>
      </c>
      <c r="C94" s="49">
        <v>1084</v>
      </c>
      <c r="D94" s="79">
        <v>46027</v>
      </c>
      <c r="E94" s="82">
        <v>0</v>
      </c>
      <c r="F94" s="49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>
      <c r="A95" s="49" t="s">
        <v>472</v>
      </c>
      <c r="C95" s="49">
        <v>1587</v>
      </c>
      <c r="D95" s="79">
        <v>46028</v>
      </c>
      <c r="E95" s="82">
        <v>0</v>
      </c>
      <c r="F95" s="49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>
      <c r="A96" s="49" t="s">
        <v>472</v>
      </c>
      <c r="C96" s="49">
        <v>2118</v>
      </c>
      <c r="D96" s="79">
        <v>46029</v>
      </c>
      <c r="E96" s="82">
        <v>0</v>
      </c>
      <c r="F96" s="49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>
      <c r="A97" s="49" t="s">
        <v>472</v>
      </c>
      <c r="C97" s="49">
        <v>2621</v>
      </c>
      <c r="D97" s="79">
        <v>46030</v>
      </c>
      <c r="E97" s="82">
        <v>0</v>
      </c>
      <c r="F97" s="49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>
      <c r="A98" s="49" t="s">
        <v>472</v>
      </c>
      <c r="C98" s="49" t="s">
        <v>473</v>
      </c>
      <c r="D98" s="79">
        <v>46030</v>
      </c>
      <c r="E98" s="82">
        <v>0</v>
      </c>
      <c r="F98" s="49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>
      <c r="A99" s="49" t="s">
        <v>472</v>
      </c>
      <c r="C99" s="49">
        <v>3101</v>
      </c>
      <c r="D99" s="79">
        <v>46031</v>
      </c>
      <c r="E99" s="82">
        <v>0</v>
      </c>
      <c r="F99" s="49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>
      <c r="A100" s="49" t="s">
        <v>472</v>
      </c>
      <c r="C100" s="49">
        <v>3811</v>
      </c>
      <c r="D100" s="79">
        <v>46032</v>
      </c>
      <c r="E100" s="82">
        <v>0</v>
      </c>
      <c r="F100" s="49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>
      <c r="A101" s="87" t="s">
        <v>472</v>
      </c>
      <c r="B101" s="87" t="s">
        <v>474</v>
      </c>
      <c r="C101" s="87"/>
      <c r="D101" s="94" t="s">
        <v>475</v>
      </c>
      <c r="E101" s="97">
        <v>215415</v>
      </c>
      <c r="F101" s="87"/>
      <c r="G101" s="87" t="s">
        <v>476</v>
      </c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>
      <c r="A102" s="49" t="s">
        <v>472</v>
      </c>
      <c r="C102" s="49">
        <v>3808</v>
      </c>
      <c r="D102" s="79">
        <v>46034</v>
      </c>
      <c r="E102" s="82">
        <v>0</v>
      </c>
      <c r="F102" s="49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>
      <c r="A103" s="49" t="s">
        <v>472</v>
      </c>
      <c r="C103" s="49">
        <v>4500</v>
      </c>
      <c r="D103" s="79">
        <v>46035</v>
      </c>
      <c r="E103" s="82">
        <v>0</v>
      </c>
      <c r="F103" s="49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>
      <c r="A104" s="49" t="s">
        <v>472</v>
      </c>
      <c r="C104" s="49">
        <v>4955</v>
      </c>
      <c r="D104" s="79">
        <v>46036</v>
      </c>
      <c r="E104" s="82">
        <v>0</v>
      </c>
      <c r="F104" s="49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>
      <c r="A105" s="49" t="s">
        <v>472</v>
      </c>
      <c r="C105" s="49" t="s">
        <v>477</v>
      </c>
      <c r="D105" s="79">
        <v>46037</v>
      </c>
      <c r="E105" s="82">
        <v>0</v>
      </c>
      <c r="F105" s="49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>
      <c r="A106" s="49" t="s">
        <v>472</v>
      </c>
      <c r="C106" s="49">
        <v>5406</v>
      </c>
      <c r="D106" s="79">
        <v>46037</v>
      </c>
      <c r="E106" s="82">
        <v>0</v>
      </c>
      <c r="F106" s="49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>
      <c r="A107" s="49" t="s">
        <v>472</v>
      </c>
      <c r="C107" s="49">
        <v>5892</v>
      </c>
      <c r="D107" s="79">
        <v>46038</v>
      </c>
      <c r="E107" s="82">
        <v>0</v>
      </c>
      <c r="F107" s="49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>
      <c r="A108" s="87" t="s">
        <v>472</v>
      </c>
      <c r="B108" s="87" t="s">
        <v>478</v>
      </c>
      <c r="C108" s="87"/>
      <c r="D108" s="94">
        <v>46042</v>
      </c>
      <c r="E108" s="97">
        <v>235575</v>
      </c>
      <c r="F108" s="87"/>
      <c r="G108" s="87" t="s">
        <v>479</v>
      </c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>
      <c r="A109" s="49" t="s">
        <v>472</v>
      </c>
      <c r="C109" s="49">
        <v>6708</v>
      </c>
      <c r="D109" s="79">
        <v>46041</v>
      </c>
      <c r="E109" s="82">
        <v>0</v>
      </c>
      <c r="F109" s="49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>
      <c r="A110" s="49" t="s">
        <v>472</v>
      </c>
      <c r="C110" s="49">
        <v>7338</v>
      </c>
      <c r="D110" s="79">
        <v>46042</v>
      </c>
      <c r="E110" s="82">
        <v>0</v>
      </c>
      <c r="F110" s="49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>
      <c r="A111" s="49" t="s">
        <v>472</v>
      </c>
      <c r="C111" s="49">
        <v>7788</v>
      </c>
      <c r="D111" s="79">
        <v>46043</v>
      </c>
      <c r="E111" s="82">
        <v>0</v>
      </c>
      <c r="F111" s="49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>
      <c r="A112" s="49" t="s">
        <v>472</v>
      </c>
      <c r="C112" s="49" t="s">
        <v>480</v>
      </c>
      <c r="D112" s="79">
        <v>46044</v>
      </c>
      <c r="E112" s="82">
        <v>0</v>
      </c>
      <c r="F112" s="49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>
      <c r="A113" s="49" t="s">
        <v>472</v>
      </c>
      <c r="C113" s="49">
        <v>8213</v>
      </c>
      <c r="D113" s="79">
        <v>46044</v>
      </c>
      <c r="E113" s="82">
        <v>0</v>
      </c>
      <c r="F113" s="49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>
      <c r="A114" s="49" t="s">
        <v>472</v>
      </c>
      <c r="C114" s="49">
        <v>8736</v>
      </c>
      <c r="D114" s="79">
        <v>46045</v>
      </c>
      <c r="E114" s="82">
        <v>0</v>
      </c>
      <c r="F114" s="49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>
      <c r="A115" s="87" t="s">
        <v>472</v>
      </c>
      <c r="B115" s="87" t="s">
        <v>481</v>
      </c>
      <c r="C115" s="87"/>
      <c r="D115" s="94">
        <v>46049</v>
      </c>
      <c r="E115" s="97">
        <v>204481</v>
      </c>
      <c r="F115" s="87"/>
      <c r="G115" s="89" t="s">
        <v>482</v>
      </c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>
      <c r="A116" s="49" t="s">
        <v>472</v>
      </c>
      <c r="C116" s="49">
        <v>9451</v>
      </c>
      <c r="D116" s="79">
        <v>46048</v>
      </c>
      <c r="E116" s="82">
        <v>0</v>
      </c>
      <c r="F116" s="49"/>
      <c r="G116" s="105"/>
      <c r="H116" s="77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>
      <c r="A117" s="49" t="s">
        <v>472</v>
      </c>
      <c r="C117" s="49">
        <v>10091</v>
      </c>
      <c r="D117" s="79">
        <v>46049</v>
      </c>
      <c r="E117" s="82">
        <v>0</v>
      </c>
      <c r="F117" s="49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>
      <c r="A118" s="49" t="s">
        <v>472</v>
      </c>
      <c r="C118" s="49">
        <v>10566</v>
      </c>
      <c r="D118" s="79">
        <v>46050</v>
      </c>
      <c r="E118" s="82">
        <v>0</v>
      </c>
      <c r="F118" s="49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>
      <c r="A119" s="49" t="s">
        <v>472</v>
      </c>
      <c r="C119" s="49">
        <v>11015</v>
      </c>
      <c r="D119" s="79">
        <v>46051</v>
      </c>
      <c r="E119" s="82">
        <v>0</v>
      </c>
      <c r="F119" s="49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>
      <c r="A120" s="49" t="s">
        <v>472</v>
      </c>
      <c r="C120" s="49" t="s">
        <v>483</v>
      </c>
      <c r="D120" s="79">
        <v>46051</v>
      </c>
      <c r="E120" s="82">
        <v>0</v>
      </c>
      <c r="F120" s="49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>
      <c r="A121" s="49" t="s">
        <v>472</v>
      </c>
      <c r="C121" s="49">
        <v>11514</v>
      </c>
      <c r="D121" s="79">
        <v>46052</v>
      </c>
      <c r="E121" s="82">
        <v>0</v>
      </c>
      <c r="F121" s="49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>
      <c r="A122" s="87" t="s">
        <v>472</v>
      </c>
      <c r="B122" s="87" t="s">
        <v>484</v>
      </c>
      <c r="C122" s="87"/>
      <c r="D122" s="94"/>
      <c r="E122" s="97">
        <v>185267</v>
      </c>
      <c r="F122" s="87"/>
      <c r="G122" s="87" t="s">
        <v>485</v>
      </c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>
      <c r="A123" s="49" t="s">
        <v>208</v>
      </c>
      <c r="B123" s="49" t="s">
        <v>486</v>
      </c>
      <c r="C123" s="49" t="s">
        <v>487</v>
      </c>
      <c r="D123" s="79">
        <v>46029</v>
      </c>
      <c r="E123" s="82">
        <v>104345</v>
      </c>
      <c r="F123" s="93">
        <v>46037</v>
      </c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>
      <c r="A124" s="49" t="s">
        <v>208</v>
      </c>
      <c r="B124" s="49" t="s">
        <v>488</v>
      </c>
      <c r="C124" s="104" t="s">
        <v>489</v>
      </c>
      <c r="D124" s="79">
        <v>46031</v>
      </c>
      <c r="E124" s="82">
        <v>114912</v>
      </c>
      <c r="F124" s="93">
        <v>46039</v>
      </c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>
      <c r="A125" s="49" t="s">
        <v>208</v>
      </c>
      <c r="B125" s="49" t="s">
        <v>490</v>
      </c>
      <c r="C125" s="49" t="s">
        <v>491</v>
      </c>
      <c r="D125" s="79">
        <v>46036</v>
      </c>
      <c r="E125" s="82">
        <v>102077</v>
      </c>
      <c r="F125" s="93">
        <v>46036</v>
      </c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>
      <c r="A126" s="49" t="s">
        <v>208</v>
      </c>
      <c r="B126" s="49" t="s">
        <v>492</v>
      </c>
      <c r="C126" s="49" t="s">
        <v>493</v>
      </c>
      <c r="D126" s="79">
        <v>46038</v>
      </c>
      <c r="E126" s="82">
        <v>102077</v>
      </c>
      <c r="F126" s="93">
        <v>46046</v>
      </c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>
      <c r="A127" s="49" t="s">
        <v>208</v>
      </c>
      <c r="B127" s="49" t="s">
        <v>494</v>
      </c>
      <c r="C127" s="49" t="s">
        <v>495</v>
      </c>
      <c r="D127" s="79">
        <v>46043</v>
      </c>
      <c r="E127" s="82">
        <v>102077</v>
      </c>
      <c r="F127" s="93">
        <v>46051</v>
      </c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>
      <c r="A128" s="49" t="s">
        <v>208</v>
      </c>
      <c r="B128" s="49" t="s">
        <v>496</v>
      </c>
      <c r="C128" s="49" t="s">
        <v>497</v>
      </c>
      <c r="D128" s="79">
        <v>46050</v>
      </c>
      <c r="E128" s="82">
        <v>148941</v>
      </c>
      <c r="F128" s="93">
        <v>46058</v>
      </c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>
      <c r="A129" s="49" t="s">
        <v>498</v>
      </c>
      <c r="B129" s="49" t="s">
        <v>499</v>
      </c>
      <c r="D129" s="79">
        <v>46030</v>
      </c>
      <c r="E129" s="82">
        <v>188359</v>
      </c>
      <c r="F129" s="93">
        <v>46038</v>
      </c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>
      <c r="A130" s="49" t="s">
        <v>500</v>
      </c>
      <c r="B130" s="49" t="s">
        <v>501</v>
      </c>
      <c r="D130" s="79">
        <v>46045</v>
      </c>
      <c r="E130" s="82">
        <v>33750</v>
      </c>
      <c r="F130" s="93">
        <v>46053</v>
      </c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>
      <c r="E131" s="92">
        <f>SUM(E22:E130)</f>
        <v>16310385</v>
      </c>
      <c r="F131" s="49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>
      <c r="A132" s="188" t="s">
        <v>84</v>
      </c>
      <c r="B132" s="188"/>
      <c r="C132" s="188"/>
      <c r="D132" s="188"/>
      <c r="E132" s="188"/>
      <c r="F132" s="188"/>
      <c r="G132" s="188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ht="15.75">
      <c r="A133" s="189" t="s">
        <v>22</v>
      </c>
      <c r="B133" s="189"/>
      <c r="C133" s="189"/>
      <c r="D133" s="189"/>
      <c r="E133" s="189"/>
      <c r="F133" s="189"/>
      <c r="G133" s="189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ht="15.75">
      <c r="A134" s="108" t="s">
        <v>176</v>
      </c>
      <c r="B134" s="84">
        <v>617016363</v>
      </c>
      <c r="C134" s="5"/>
      <c r="D134" s="6">
        <v>46057</v>
      </c>
      <c r="E134" s="10">
        <v>329441</v>
      </c>
      <c r="F134" s="30" t="s">
        <v>24</v>
      </c>
      <c r="G134" s="5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ht="15.75">
      <c r="A135" s="108" t="s">
        <v>176</v>
      </c>
      <c r="B135" s="84">
        <v>617017065</v>
      </c>
      <c r="C135" s="5"/>
      <c r="D135" s="6">
        <v>46058</v>
      </c>
      <c r="E135" s="10">
        <v>325693</v>
      </c>
      <c r="F135" s="5" t="s">
        <v>24</v>
      </c>
      <c r="G135" s="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ht="15.75">
      <c r="A136" s="108" t="s">
        <v>176</v>
      </c>
      <c r="B136" s="84">
        <v>617017679</v>
      </c>
      <c r="C136" s="5"/>
      <c r="D136" s="6">
        <v>46059</v>
      </c>
      <c r="E136" s="10">
        <v>438182</v>
      </c>
      <c r="F136" s="5" t="s">
        <v>24</v>
      </c>
      <c r="G136" s="5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ht="15.75">
      <c r="A137" s="108" t="s">
        <v>176</v>
      </c>
      <c r="B137" s="84">
        <v>617018622</v>
      </c>
      <c r="C137" s="5"/>
      <c r="D137" s="6">
        <v>46062</v>
      </c>
      <c r="E137" s="10">
        <v>491399</v>
      </c>
      <c r="F137" s="5" t="s">
        <v>24</v>
      </c>
      <c r="G137" s="5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ht="15.75">
      <c r="A138" s="108" t="s">
        <v>176</v>
      </c>
      <c r="B138" s="84">
        <v>617019372</v>
      </c>
      <c r="C138" s="5"/>
      <c r="D138" s="6">
        <v>46063</v>
      </c>
      <c r="E138" s="10">
        <v>473531</v>
      </c>
      <c r="F138" s="5" t="s">
        <v>24</v>
      </c>
      <c r="G138" s="5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ht="15.75">
      <c r="A139" s="108" t="s">
        <v>176</v>
      </c>
      <c r="B139" s="84">
        <v>617020179</v>
      </c>
      <c r="C139" s="5"/>
      <c r="D139" s="6">
        <v>46064</v>
      </c>
      <c r="E139" s="10">
        <v>500000</v>
      </c>
      <c r="F139" s="5" t="s">
        <v>24</v>
      </c>
      <c r="G139" s="5" t="s">
        <v>502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ht="15.75">
      <c r="A140" s="108" t="s">
        <v>176</v>
      </c>
      <c r="B140" s="84">
        <v>617020972</v>
      </c>
      <c r="C140" s="5"/>
      <c r="D140" s="6">
        <v>46065</v>
      </c>
      <c r="E140" s="10">
        <v>252451</v>
      </c>
      <c r="F140" s="5" t="s">
        <v>24</v>
      </c>
      <c r="G140" s="5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ht="15.75">
      <c r="A141" s="108" t="s">
        <v>176</v>
      </c>
      <c r="B141" s="84">
        <v>617021402</v>
      </c>
      <c r="C141" s="5"/>
      <c r="D141" s="6">
        <v>46066</v>
      </c>
      <c r="E141" s="10">
        <v>421398</v>
      </c>
      <c r="F141" s="5" t="s">
        <v>24</v>
      </c>
      <c r="G141" s="5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ht="15.75">
      <c r="A142" s="108" t="s">
        <v>176</v>
      </c>
      <c r="B142" s="84">
        <v>617022535</v>
      </c>
      <c r="C142" s="5"/>
      <c r="D142" s="6">
        <v>46069</v>
      </c>
      <c r="E142" s="10">
        <v>446442</v>
      </c>
      <c r="F142" s="5" t="s">
        <v>24</v>
      </c>
      <c r="G142" s="5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ht="15.75">
      <c r="A143" s="108" t="s">
        <v>176</v>
      </c>
      <c r="B143" s="84">
        <v>617023677</v>
      </c>
      <c r="C143" s="5"/>
      <c r="D143" s="6">
        <v>46070</v>
      </c>
      <c r="E143" s="10">
        <v>341312</v>
      </c>
      <c r="F143" s="5" t="s">
        <v>24</v>
      </c>
      <c r="G143" s="5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ht="15.75">
      <c r="A144" s="108" t="s">
        <v>176</v>
      </c>
      <c r="B144" s="84">
        <v>617024132</v>
      </c>
      <c r="C144" s="5"/>
      <c r="D144" s="6">
        <v>46071</v>
      </c>
      <c r="E144" s="10">
        <v>538572</v>
      </c>
      <c r="F144" s="5" t="s">
        <v>24</v>
      </c>
      <c r="G144" s="5" t="s">
        <v>503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ht="15.75">
      <c r="A145" s="108" t="s">
        <v>176</v>
      </c>
      <c r="B145" s="84">
        <v>617024954</v>
      </c>
      <c r="C145" s="5"/>
      <c r="D145" s="6">
        <v>46072</v>
      </c>
      <c r="E145" s="10">
        <v>299039</v>
      </c>
      <c r="F145" s="5" t="s">
        <v>24</v>
      </c>
      <c r="G145" s="5" t="s">
        <v>504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ht="15.75">
      <c r="A146" s="108" t="s">
        <v>176</v>
      </c>
      <c r="B146" s="84">
        <v>617024955</v>
      </c>
      <c r="C146" s="5"/>
      <c r="D146" s="6">
        <v>46072</v>
      </c>
      <c r="E146" s="10">
        <v>373401</v>
      </c>
      <c r="F146" s="5" t="s">
        <v>24</v>
      </c>
      <c r="G146" s="5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ht="15.75">
      <c r="A147" s="108" t="s">
        <v>176</v>
      </c>
      <c r="B147" s="84">
        <v>617025778</v>
      </c>
      <c r="C147" s="5"/>
      <c r="D147" s="6">
        <v>46073</v>
      </c>
      <c r="E147" s="10">
        <v>268974</v>
      </c>
      <c r="F147" s="5" t="s">
        <v>24</v>
      </c>
      <c r="G147" s="5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ht="15.75">
      <c r="A148" s="108" t="s">
        <v>176</v>
      </c>
      <c r="B148" s="84">
        <v>6170256506</v>
      </c>
      <c r="C148" s="5"/>
      <c r="D148" s="6">
        <v>46076</v>
      </c>
      <c r="E148" s="10">
        <v>528758</v>
      </c>
      <c r="F148" s="5" t="s">
        <v>24</v>
      </c>
      <c r="G148" s="5" t="s">
        <v>505</v>
      </c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ht="15.75">
      <c r="A149" s="108" t="s">
        <v>176</v>
      </c>
      <c r="B149" s="84">
        <v>617027285</v>
      </c>
      <c r="C149" s="5"/>
      <c r="D149" s="6">
        <v>46077</v>
      </c>
      <c r="E149" s="10">
        <v>496384</v>
      </c>
      <c r="F149" s="5" t="s">
        <v>24</v>
      </c>
      <c r="G149" s="5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ht="15.75">
      <c r="A150" s="108" t="s">
        <v>176</v>
      </c>
      <c r="B150" s="84">
        <v>617028308</v>
      </c>
      <c r="C150" s="5"/>
      <c r="D150" s="6">
        <v>46078</v>
      </c>
      <c r="E150" s="10">
        <v>641166</v>
      </c>
      <c r="F150" s="5" t="s">
        <v>24</v>
      </c>
      <c r="G150" s="110">
        <v>141166</v>
      </c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ht="15.75">
      <c r="A151" s="108" t="s">
        <v>176</v>
      </c>
      <c r="B151" s="84">
        <v>617028754</v>
      </c>
      <c r="C151" s="5"/>
      <c r="D151" s="6">
        <v>46079</v>
      </c>
      <c r="E151" s="10">
        <v>493457</v>
      </c>
      <c r="F151" s="5" t="s">
        <v>24</v>
      </c>
      <c r="G151" s="5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ht="15.75">
      <c r="A152" s="108" t="s">
        <v>176</v>
      </c>
      <c r="B152" s="84">
        <v>617029373</v>
      </c>
      <c r="C152" s="5"/>
      <c r="D152" s="6">
        <v>46080</v>
      </c>
      <c r="E152" s="10">
        <v>361874</v>
      </c>
      <c r="F152" s="5" t="s">
        <v>24</v>
      </c>
      <c r="G152" s="5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ht="15.75">
      <c r="A153" s="108" t="s">
        <v>506</v>
      </c>
      <c r="B153" s="84" t="s">
        <v>507</v>
      </c>
      <c r="C153" s="5"/>
      <c r="D153" s="6">
        <v>46058</v>
      </c>
      <c r="E153" s="10">
        <v>6312</v>
      </c>
      <c r="F153" s="5" t="s">
        <v>29</v>
      </c>
      <c r="G153" s="5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ht="15.75">
      <c r="A154" s="108" t="s">
        <v>508</v>
      </c>
      <c r="B154" s="84" t="s">
        <v>509</v>
      </c>
      <c r="C154" s="5"/>
      <c r="D154" s="6">
        <v>46065</v>
      </c>
      <c r="E154" s="10">
        <v>18601</v>
      </c>
      <c r="F154" s="5" t="s">
        <v>510</v>
      </c>
      <c r="G154" s="5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ht="15.75">
      <c r="A155" s="108" t="s">
        <v>23</v>
      </c>
      <c r="B155" s="84">
        <v>261801453</v>
      </c>
      <c r="C155" s="5"/>
      <c r="D155" s="6">
        <v>46076</v>
      </c>
      <c r="E155" s="10">
        <v>-7772</v>
      </c>
      <c r="F155" s="5" t="s">
        <v>24</v>
      </c>
      <c r="G155" s="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ht="15.75">
      <c r="A156" s="108" t="s">
        <v>176</v>
      </c>
      <c r="B156" s="84">
        <v>261801646</v>
      </c>
      <c r="C156" s="5"/>
      <c r="D156" s="6">
        <v>46080</v>
      </c>
      <c r="E156" s="10">
        <v>-7426</v>
      </c>
      <c r="F156" s="5" t="s">
        <v>24</v>
      </c>
      <c r="G156" s="5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ht="15.75">
      <c r="A157"/>
      <c r="B157" s="2"/>
      <c r="C157"/>
      <c r="D157"/>
      <c r="E157" s="90">
        <f>SUM(E134:E156)</f>
        <v>8031189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ht="15.75">
      <c r="A158" s="188" t="s">
        <v>84</v>
      </c>
      <c r="B158" s="188"/>
      <c r="C158" s="188"/>
      <c r="D158" s="188"/>
      <c r="E158" s="188"/>
      <c r="F158" s="188"/>
      <c r="G158" s="18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ht="15.75">
      <c r="A159" s="189" t="s">
        <v>43</v>
      </c>
      <c r="B159" s="189"/>
      <c r="C159" s="189"/>
      <c r="D159" s="189"/>
      <c r="E159" s="189"/>
      <c r="F159" s="189"/>
      <c r="G159" s="18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ht="15.75">
      <c r="A160" s="49" t="s">
        <v>511</v>
      </c>
      <c r="B160" s="49" t="s">
        <v>512</v>
      </c>
      <c r="D160" s="79">
        <v>46062</v>
      </c>
      <c r="E160" s="82">
        <v>26226</v>
      </c>
      <c r="F160" s="93">
        <v>46077</v>
      </c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>
      <c r="A161" s="49" t="s">
        <v>513</v>
      </c>
      <c r="B161" s="49" t="s">
        <v>514</v>
      </c>
      <c r="D161" s="79">
        <v>46066</v>
      </c>
      <c r="E161" s="82">
        <v>362788</v>
      </c>
      <c r="F161" s="93">
        <v>46073</v>
      </c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>
      <c r="A162" s="49" t="s">
        <v>515</v>
      </c>
      <c r="B162" s="49">
        <v>1604853315</v>
      </c>
      <c r="C162" s="49">
        <v>8929626189</v>
      </c>
      <c r="D162" s="79">
        <v>46056</v>
      </c>
      <c r="E162" s="82">
        <v>349385</v>
      </c>
      <c r="F162" s="93">
        <v>46070</v>
      </c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>
      <c r="A163" s="49" t="s">
        <v>515</v>
      </c>
      <c r="B163" s="49">
        <v>1604862684</v>
      </c>
      <c r="C163" s="49">
        <v>8929658573</v>
      </c>
      <c r="D163" s="79">
        <v>46072</v>
      </c>
      <c r="E163" s="82">
        <v>301013</v>
      </c>
      <c r="F163" s="93">
        <v>46086</v>
      </c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>
      <c r="A164" s="49" t="s">
        <v>516</v>
      </c>
      <c r="B164" s="49">
        <v>610800683</v>
      </c>
      <c r="D164" s="79">
        <v>46071</v>
      </c>
      <c r="E164" s="82">
        <v>128533</v>
      </c>
      <c r="F164" s="93">
        <v>46081</v>
      </c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>
      <c r="A165" s="49" t="s">
        <v>517</v>
      </c>
      <c r="B165" s="49" t="s">
        <v>518</v>
      </c>
      <c r="D165" s="79">
        <v>46057</v>
      </c>
      <c r="E165" s="82">
        <v>78900</v>
      </c>
      <c r="F165" s="93">
        <v>46065</v>
      </c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>
      <c r="A166" s="49" t="s">
        <v>517</v>
      </c>
      <c r="B166" s="49" t="s">
        <v>519</v>
      </c>
      <c r="D166" s="79">
        <v>46064</v>
      </c>
      <c r="E166" s="82">
        <v>78900</v>
      </c>
      <c r="F166" s="93">
        <v>46072</v>
      </c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>
      <c r="A167" s="49" t="s">
        <v>517</v>
      </c>
      <c r="B167" s="49" t="s">
        <v>520</v>
      </c>
      <c r="D167" s="79">
        <v>46071</v>
      </c>
      <c r="E167" s="82">
        <v>96580</v>
      </c>
      <c r="F167" s="93">
        <v>46079</v>
      </c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>
      <c r="A168" s="49" t="s">
        <v>517</v>
      </c>
      <c r="B168" s="49" t="s">
        <v>521</v>
      </c>
      <c r="D168" s="79">
        <v>46078</v>
      </c>
      <c r="E168" s="82">
        <v>78900</v>
      </c>
      <c r="F168" s="93">
        <v>46086</v>
      </c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>
      <c r="A169" s="49" t="s">
        <v>176</v>
      </c>
      <c r="B169" s="49">
        <v>617014849</v>
      </c>
      <c r="D169" s="79">
        <v>46056</v>
      </c>
      <c r="E169" s="82">
        <v>411151</v>
      </c>
      <c r="F169" s="93">
        <v>46069</v>
      </c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>
      <c r="A170" s="49" t="s">
        <v>176</v>
      </c>
      <c r="B170" s="49">
        <v>617015596</v>
      </c>
      <c r="D170" s="79">
        <v>46057</v>
      </c>
      <c r="E170" s="82">
        <v>522972</v>
      </c>
      <c r="F170" s="49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>
      <c r="A171" s="87" t="s">
        <v>176</v>
      </c>
      <c r="B171" s="87">
        <v>261800929</v>
      </c>
      <c r="C171" s="87"/>
      <c r="D171" s="94">
        <v>46058</v>
      </c>
      <c r="E171" s="95">
        <v>-27424</v>
      </c>
      <c r="F171" s="87"/>
      <c r="G171" s="78" t="s">
        <v>97</v>
      </c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>
      <c r="A172" s="87" t="s">
        <v>425</v>
      </c>
      <c r="B172" s="87">
        <v>261801336</v>
      </c>
      <c r="C172" s="87"/>
      <c r="D172" s="94">
        <v>46072</v>
      </c>
      <c r="E172" s="95">
        <v>-10259</v>
      </c>
      <c r="F172" s="87"/>
      <c r="G172" s="78" t="s">
        <v>426</v>
      </c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>
      <c r="A173" s="87" t="s">
        <v>425</v>
      </c>
      <c r="B173" s="87">
        <v>261801453</v>
      </c>
      <c r="C173" s="87"/>
      <c r="D173" s="94">
        <v>46076</v>
      </c>
      <c r="E173" s="95">
        <v>-7772</v>
      </c>
      <c r="F173" s="87"/>
      <c r="G173" s="78" t="s">
        <v>426</v>
      </c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>
      <c r="A174" s="87" t="s">
        <v>425</v>
      </c>
      <c r="B174" s="87">
        <v>261801597</v>
      </c>
      <c r="C174" s="87"/>
      <c r="D174" s="94">
        <v>46079</v>
      </c>
      <c r="E174" s="95">
        <v>-7426</v>
      </c>
      <c r="F174" s="87"/>
      <c r="G174" s="78" t="s">
        <v>426</v>
      </c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>
      <c r="A175" s="49" t="s">
        <v>427</v>
      </c>
      <c r="C175" s="49" t="s">
        <v>522</v>
      </c>
      <c r="D175" s="79">
        <v>46055</v>
      </c>
      <c r="E175" s="82">
        <v>0</v>
      </c>
      <c r="F175" s="49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>
      <c r="A176" s="49" t="s">
        <v>427</v>
      </c>
      <c r="C176" s="49" t="s">
        <v>523</v>
      </c>
      <c r="D176" s="79">
        <v>46056</v>
      </c>
      <c r="E176" s="82">
        <v>0</v>
      </c>
      <c r="F176" s="49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>
      <c r="A177" s="49" t="s">
        <v>427</v>
      </c>
      <c r="C177" s="49" t="s">
        <v>524</v>
      </c>
      <c r="D177" s="79">
        <v>46057</v>
      </c>
      <c r="E177" s="82">
        <v>0</v>
      </c>
      <c r="F177" s="49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>
      <c r="A178" s="49" t="s">
        <v>427</v>
      </c>
      <c r="C178" s="49" t="s">
        <v>525</v>
      </c>
      <c r="D178" s="79">
        <v>46058</v>
      </c>
      <c r="E178" s="82">
        <v>0</v>
      </c>
      <c r="F178" s="49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>
      <c r="A179" s="49" t="s">
        <v>427</v>
      </c>
      <c r="C179" s="49" t="s">
        <v>526</v>
      </c>
      <c r="D179" s="79">
        <v>46059</v>
      </c>
      <c r="E179" s="82">
        <v>0</v>
      </c>
      <c r="F179" s="49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>
      <c r="A180" s="87" t="s">
        <v>427</v>
      </c>
      <c r="B180" s="87" t="s">
        <v>527</v>
      </c>
      <c r="C180" s="87"/>
      <c r="D180" s="94">
        <v>46062</v>
      </c>
      <c r="E180" s="97">
        <v>396599</v>
      </c>
      <c r="F180" s="87"/>
      <c r="G180" s="78" t="s">
        <v>528</v>
      </c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>
      <c r="A181" s="49" t="s">
        <v>427</v>
      </c>
      <c r="C181" s="49" t="s">
        <v>529</v>
      </c>
      <c r="D181" s="79">
        <v>46062</v>
      </c>
      <c r="E181" s="82">
        <v>0</v>
      </c>
      <c r="F181" s="49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>
      <c r="A182" s="49" t="s">
        <v>427</v>
      </c>
      <c r="C182" s="49" t="s">
        <v>530</v>
      </c>
      <c r="D182" s="79">
        <v>46063</v>
      </c>
      <c r="E182" s="82">
        <v>0</v>
      </c>
      <c r="F182" s="49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>
      <c r="A183" s="49" t="s">
        <v>427</v>
      </c>
      <c r="C183" s="49" t="s">
        <v>531</v>
      </c>
      <c r="D183" s="79">
        <v>46064</v>
      </c>
      <c r="E183" s="82">
        <v>0</v>
      </c>
      <c r="F183" s="49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>
      <c r="A184" s="49" t="s">
        <v>427</v>
      </c>
      <c r="C184" s="49" t="s">
        <v>532</v>
      </c>
      <c r="D184" s="79">
        <v>46065</v>
      </c>
      <c r="E184" s="82">
        <v>0</v>
      </c>
      <c r="F184" s="49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>
      <c r="A185" s="49" t="s">
        <v>427</v>
      </c>
      <c r="C185" s="49" t="s">
        <v>533</v>
      </c>
      <c r="D185" s="79">
        <v>46066</v>
      </c>
      <c r="E185" s="82">
        <v>0</v>
      </c>
      <c r="F185" s="49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>
      <c r="A186" s="87" t="s">
        <v>427</v>
      </c>
      <c r="B186" s="87" t="s">
        <v>534</v>
      </c>
      <c r="C186" s="87"/>
      <c r="D186" s="94">
        <v>46069</v>
      </c>
      <c r="E186" s="148">
        <v>518458</v>
      </c>
      <c r="F186" s="87"/>
      <c r="G186" s="78" t="s">
        <v>535</v>
      </c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>
      <c r="A187" s="49" t="s">
        <v>427</v>
      </c>
      <c r="C187" s="49" t="s">
        <v>536</v>
      </c>
      <c r="D187" s="79">
        <v>46069</v>
      </c>
      <c r="E187" s="82">
        <v>0</v>
      </c>
      <c r="F187" s="49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>
      <c r="A188" s="49" t="s">
        <v>427</v>
      </c>
      <c r="C188" s="49" t="s">
        <v>537</v>
      </c>
      <c r="D188" s="79">
        <v>46070</v>
      </c>
      <c r="E188" s="82">
        <v>0</v>
      </c>
      <c r="F188" s="49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>
      <c r="A189" s="49" t="s">
        <v>427</v>
      </c>
      <c r="C189" s="49" t="s">
        <v>538</v>
      </c>
      <c r="D189" s="79">
        <v>46071</v>
      </c>
      <c r="E189" s="82">
        <v>0</v>
      </c>
      <c r="F189" s="49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>
      <c r="A190" s="49" t="s">
        <v>427</v>
      </c>
      <c r="C190" s="49" t="s">
        <v>539</v>
      </c>
      <c r="D190" s="79">
        <v>46072</v>
      </c>
      <c r="E190" s="82">
        <v>0</v>
      </c>
      <c r="F190" s="49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>
      <c r="A191" s="49" t="s">
        <v>427</v>
      </c>
      <c r="C191" s="49" t="s">
        <v>540</v>
      </c>
      <c r="D191" s="79">
        <v>46073</v>
      </c>
      <c r="E191" s="82">
        <v>0</v>
      </c>
      <c r="F191" s="49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>
      <c r="A192" s="87" t="s">
        <v>427</v>
      </c>
      <c r="B192" s="87" t="s">
        <v>541</v>
      </c>
      <c r="C192" s="87"/>
      <c r="D192" s="94">
        <v>46076</v>
      </c>
      <c r="E192" s="97">
        <v>520375</v>
      </c>
      <c r="F192" s="87"/>
      <c r="G192" s="78" t="s">
        <v>542</v>
      </c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>
      <c r="A193" s="49" t="s">
        <v>427</v>
      </c>
      <c r="C193" s="49" t="s">
        <v>543</v>
      </c>
      <c r="D193" s="79">
        <v>46076</v>
      </c>
      <c r="E193" s="82">
        <v>0</v>
      </c>
      <c r="F193" s="49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>
      <c r="A194" s="49" t="s">
        <v>427</v>
      </c>
      <c r="C194" s="49" t="s">
        <v>544</v>
      </c>
      <c r="D194" s="79">
        <v>46077</v>
      </c>
      <c r="E194" s="82">
        <v>0</v>
      </c>
      <c r="F194" s="49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>
      <c r="A195" s="49" t="s">
        <v>427</v>
      </c>
      <c r="C195" s="49" t="s">
        <v>545</v>
      </c>
      <c r="D195" s="79">
        <v>46078</v>
      </c>
      <c r="E195" s="82">
        <v>0</v>
      </c>
      <c r="F195" s="49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>
      <c r="A196" s="49" t="s">
        <v>427</v>
      </c>
      <c r="C196" s="49" t="s">
        <v>546</v>
      </c>
      <c r="D196" s="79">
        <v>46079</v>
      </c>
      <c r="E196" s="82">
        <v>0</v>
      </c>
      <c r="F196" s="49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>
      <c r="A197" s="49" t="s">
        <v>427</v>
      </c>
      <c r="C197" s="49" t="s">
        <v>547</v>
      </c>
      <c r="D197" s="79">
        <v>46080</v>
      </c>
      <c r="E197" s="82">
        <v>0</v>
      </c>
      <c r="F197" s="49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>
      <c r="A198" s="87" t="s">
        <v>427</v>
      </c>
      <c r="B198" s="87" t="s">
        <v>548</v>
      </c>
      <c r="C198" s="87"/>
      <c r="D198" s="94">
        <v>46080</v>
      </c>
      <c r="E198" s="97">
        <v>467436</v>
      </c>
      <c r="F198" s="96">
        <v>46085</v>
      </c>
      <c r="G198" s="78" t="s">
        <v>549</v>
      </c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>
      <c r="A199" s="49" t="s">
        <v>550</v>
      </c>
      <c r="B199" s="49" t="s">
        <v>551</v>
      </c>
      <c r="D199" s="79">
        <v>46055</v>
      </c>
      <c r="E199" s="82">
        <v>238644</v>
      </c>
      <c r="F199" s="49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>
      <c r="A200" s="49" t="s">
        <v>550</v>
      </c>
      <c r="B200" s="49" t="s">
        <v>552</v>
      </c>
      <c r="D200" s="79">
        <v>46062</v>
      </c>
      <c r="E200" s="82">
        <v>121747</v>
      </c>
      <c r="F200" s="93">
        <v>46077</v>
      </c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>
      <c r="A201" s="49" t="s">
        <v>550</v>
      </c>
      <c r="B201" s="49" t="s">
        <v>553</v>
      </c>
      <c r="D201" s="79">
        <v>46069</v>
      </c>
      <c r="E201" s="82">
        <v>123045</v>
      </c>
      <c r="F201" s="93">
        <v>46084</v>
      </c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>
      <c r="A202" s="49" t="s">
        <v>550</v>
      </c>
      <c r="B202" s="49" t="s">
        <v>554</v>
      </c>
      <c r="D202" s="79">
        <v>46077</v>
      </c>
      <c r="E202" s="82">
        <v>62007</v>
      </c>
      <c r="F202" s="93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>
      <c r="A203" s="49" t="s">
        <v>550</v>
      </c>
      <c r="B203" s="49" t="s">
        <v>555</v>
      </c>
      <c r="D203" s="79">
        <v>46078</v>
      </c>
      <c r="E203" s="82">
        <v>45379</v>
      </c>
      <c r="F203" s="93">
        <v>46093</v>
      </c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>
      <c r="A204" s="49" t="s">
        <v>463</v>
      </c>
      <c r="B204" s="49">
        <v>702594981</v>
      </c>
      <c r="C204" s="49">
        <v>1011769296</v>
      </c>
      <c r="D204" s="79">
        <v>46055</v>
      </c>
      <c r="E204" s="82">
        <v>280596</v>
      </c>
      <c r="F204" s="49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>
      <c r="A205" s="49" t="s">
        <v>463</v>
      </c>
      <c r="B205" s="49">
        <v>702597159</v>
      </c>
      <c r="C205" s="49">
        <v>1011778105</v>
      </c>
      <c r="D205" s="79">
        <v>46064</v>
      </c>
      <c r="E205" s="82">
        <v>59704</v>
      </c>
      <c r="F205" s="93">
        <v>46086</v>
      </c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>
      <c r="A206" s="49" t="s">
        <v>463</v>
      </c>
      <c r="B206" s="49">
        <v>702599435</v>
      </c>
      <c r="C206" s="49">
        <v>1011786695</v>
      </c>
      <c r="D206" s="79">
        <v>46072</v>
      </c>
      <c r="E206" s="82">
        <v>122890</v>
      </c>
      <c r="F206" s="49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>
      <c r="A207" s="49" t="s">
        <v>266</v>
      </c>
      <c r="B207" s="49">
        <v>261012725</v>
      </c>
      <c r="C207" s="49">
        <v>262013603</v>
      </c>
      <c r="D207" s="79">
        <v>46065</v>
      </c>
      <c r="E207" s="82">
        <v>168786</v>
      </c>
      <c r="F207" s="49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>
      <c r="A208" s="49" t="s">
        <v>266</v>
      </c>
      <c r="B208" s="49">
        <v>261017414</v>
      </c>
      <c r="C208" s="49">
        <v>262018603</v>
      </c>
      <c r="D208" s="79">
        <v>46078</v>
      </c>
      <c r="E208" s="82">
        <v>203951</v>
      </c>
      <c r="F208" s="93">
        <v>46093</v>
      </c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>
      <c r="A209" s="49" t="s">
        <v>472</v>
      </c>
      <c r="C209" s="49">
        <v>12081</v>
      </c>
      <c r="D209" s="79">
        <v>46055</v>
      </c>
      <c r="E209" s="82">
        <v>21871</v>
      </c>
      <c r="F209" s="49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>
      <c r="A210" s="49" t="s">
        <v>472</v>
      </c>
      <c r="C210" s="49">
        <v>12897</v>
      </c>
      <c r="D210" s="79">
        <v>46056</v>
      </c>
      <c r="E210" s="82">
        <v>19759</v>
      </c>
      <c r="F210" s="49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>
      <c r="A211" s="49" t="s">
        <v>472</v>
      </c>
      <c r="B211" s="87"/>
      <c r="C211" s="49">
        <v>13332</v>
      </c>
      <c r="D211" s="79">
        <v>46057</v>
      </c>
      <c r="E211" s="82">
        <v>19175</v>
      </c>
      <c r="F211" s="49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>
      <c r="A212" s="49" t="s">
        <v>472</v>
      </c>
      <c r="C212" s="49">
        <v>13731</v>
      </c>
      <c r="D212" s="79">
        <v>46058</v>
      </c>
      <c r="E212" s="82">
        <v>13988</v>
      </c>
      <c r="F212" s="49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>
      <c r="A213" s="49" t="s">
        <v>472</v>
      </c>
      <c r="C213" s="49" t="s">
        <v>556</v>
      </c>
      <c r="D213" s="79">
        <v>46058</v>
      </c>
      <c r="E213" s="82">
        <v>103410</v>
      </c>
      <c r="F213" s="49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>
      <c r="A214" s="49" t="s">
        <v>472</v>
      </c>
      <c r="C214" s="49">
        <v>14161</v>
      </c>
      <c r="D214" s="79">
        <v>46059</v>
      </c>
      <c r="E214" s="82">
        <v>17570</v>
      </c>
      <c r="F214" s="49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>
      <c r="A215" s="87" t="s">
        <v>472</v>
      </c>
      <c r="B215" s="87" t="s">
        <v>557</v>
      </c>
      <c r="C215" s="87"/>
      <c r="D215" s="94">
        <v>46063</v>
      </c>
      <c r="E215" s="149">
        <v>196221</v>
      </c>
      <c r="F215" s="87"/>
      <c r="G215" s="87" t="s">
        <v>558</v>
      </c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>
      <c r="A216" s="49" t="s">
        <v>472</v>
      </c>
      <c r="C216" s="49">
        <v>15187</v>
      </c>
      <c r="D216" s="79">
        <v>46062</v>
      </c>
      <c r="E216" s="82">
        <v>20064</v>
      </c>
      <c r="F216" s="49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>
      <c r="A217" s="49" t="s">
        <v>472</v>
      </c>
      <c r="C217" s="49">
        <v>15685</v>
      </c>
      <c r="D217" s="79">
        <v>46063</v>
      </c>
      <c r="E217" s="82">
        <v>17853</v>
      </c>
      <c r="F217" s="49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>
      <c r="A218" s="49" t="s">
        <v>472</v>
      </c>
      <c r="C218" s="49">
        <v>16091</v>
      </c>
      <c r="D218" s="79">
        <v>46064</v>
      </c>
      <c r="E218" s="82">
        <v>17570</v>
      </c>
      <c r="F218" s="49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>
      <c r="A219" s="49" t="s">
        <v>472</v>
      </c>
      <c r="C219" s="49">
        <v>16603</v>
      </c>
      <c r="D219" s="79">
        <v>46065</v>
      </c>
      <c r="E219" s="82">
        <v>17570</v>
      </c>
      <c r="F219" s="49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>
      <c r="A220" s="49" t="s">
        <v>472</v>
      </c>
      <c r="C220" s="49" t="s">
        <v>559</v>
      </c>
      <c r="D220" s="79">
        <v>46065</v>
      </c>
      <c r="E220" s="82">
        <v>69170</v>
      </c>
      <c r="F220" s="49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>
      <c r="A221" s="49" t="s">
        <v>472</v>
      </c>
      <c r="C221" s="49">
        <v>17032</v>
      </c>
      <c r="D221" s="79">
        <v>46066</v>
      </c>
      <c r="E221" s="82">
        <v>17570</v>
      </c>
      <c r="F221" s="49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>
      <c r="A222" s="49" t="s">
        <v>472</v>
      </c>
      <c r="C222" s="49">
        <v>18031</v>
      </c>
      <c r="D222" s="79">
        <v>46069</v>
      </c>
      <c r="E222" s="82">
        <v>0</v>
      </c>
      <c r="F222" s="49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>
      <c r="A223" s="49" t="s">
        <v>472</v>
      </c>
      <c r="C223" s="49">
        <v>18518</v>
      </c>
      <c r="D223" s="79">
        <v>46070</v>
      </c>
      <c r="E223" s="82">
        <v>0</v>
      </c>
      <c r="F223" s="49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>
      <c r="A224" s="49" t="s">
        <v>472</v>
      </c>
      <c r="C224" s="49">
        <v>18883</v>
      </c>
      <c r="D224" s="79">
        <v>46071</v>
      </c>
      <c r="E224" s="82">
        <v>0</v>
      </c>
      <c r="F224" s="49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>
      <c r="A225" s="49" t="s">
        <v>472</v>
      </c>
      <c r="C225" s="49" t="s">
        <v>560</v>
      </c>
      <c r="D225" s="79">
        <v>46072</v>
      </c>
      <c r="E225" s="82">
        <v>0</v>
      </c>
      <c r="F225" s="49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>
      <c r="A226" s="49" t="s">
        <v>472</v>
      </c>
      <c r="C226" s="49">
        <v>19401</v>
      </c>
      <c r="D226" s="79">
        <v>46072</v>
      </c>
      <c r="E226" s="82">
        <v>0</v>
      </c>
      <c r="F226" s="49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>
      <c r="A227" s="49" t="s">
        <v>472</v>
      </c>
      <c r="C227" s="49">
        <v>19825</v>
      </c>
      <c r="D227" s="79">
        <v>46073</v>
      </c>
      <c r="E227" s="82">
        <v>0</v>
      </c>
      <c r="F227" s="49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>
      <c r="A228" s="87" t="s">
        <v>472</v>
      </c>
      <c r="B228" s="87" t="s">
        <v>561</v>
      </c>
      <c r="C228" s="87"/>
      <c r="D228" s="94">
        <v>46077</v>
      </c>
      <c r="E228" s="149">
        <v>210629</v>
      </c>
      <c r="F228" s="87"/>
      <c r="G228" s="87" t="s">
        <v>562</v>
      </c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>
      <c r="A229" s="49" t="s">
        <v>472</v>
      </c>
      <c r="C229" s="49">
        <v>20746</v>
      </c>
      <c r="D229" s="79">
        <v>46076</v>
      </c>
      <c r="E229" s="82">
        <v>20064</v>
      </c>
      <c r="F229" s="49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>
      <c r="A230" s="49" t="s">
        <v>472</v>
      </c>
      <c r="C230" s="49">
        <v>21262</v>
      </c>
      <c r="D230" s="79">
        <v>46077</v>
      </c>
      <c r="E230" s="82">
        <v>17422</v>
      </c>
      <c r="F230" s="49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>
      <c r="A231" s="49" t="s">
        <v>472</v>
      </c>
      <c r="C231" s="49">
        <v>21747</v>
      </c>
      <c r="D231" s="79">
        <v>46078</v>
      </c>
      <c r="E231" s="82">
        <v>16685</v>
      </c>
      <c r="F231" s="49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>
      <c r="A232" s="49" t="s">
        <v>472</v>
      </c>
      <c r="C232" s="49">
        <v>22175</v>
      </c>
      <c r="D232" s="79">
        <v>46079</v>
      </c>
      <c r="E232" s="82">
        <v>16685</v>
      </c>
      <c r="F232" s="49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>
      <c r="A233" s="49" t="s">
        <v>472</v>
      </c>
      <c r="C233" s="49" t="s">
        <v>563</v>
      </c>
      <c r="D233" s="79">
        <v>46079</v>
      </c>
      <c r="E233" s="82">
        <v>147157</v>
      </c>
      <c r="F233" s="49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>
      <c r="A234" s="49" t="s">
        <v>472</v>
      </c>
      <c r="C234" s="49">
        <v>22653</v>
      </c>
      <c r="D234" s="79">
        <v>46080</v>
      </c>
      <c r="E234" s="82">
        <v>16685</v>
      </c>
      <c r="F234" s="49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>
      <c r="A235" s="87" t="s">
        <v>472</v>
      </c>
      <c r="B235" s="87" t="s">
        <v>564</v>
      </c>
      <c r="C235" s="87"/>
      <c r="D235" s="94"/>
      <c r="E235" s="149">
        <v>234701</v>
      </c>
      <c r="F235" s="87"/>
      <c r="G235" s="78" t="s">
        <v>565</v>
      </c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>
      <c r="A236" s="49" t="s">
        <v>191</v>
      </c>
      <c r="B236" s="49" t="s">
        <v>566</v>
      </c>
      <c r="D236" s="79">
        <v>46055</v>
      </c>
      <c r="E236" s="82">
        <v>24573</v>
      </c>
      <c r="F236" s="93">
        <v>46063</v>
      </c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>
      <c r="A237" s="49" t="s">
        <v>191</v>
      </c>
      <c r="B237" s="49" t="s">
        <v>567</v>
      </c>
      <c r="D237" s="79">
        <v>46055</v>
      </c>
      <c r="E237" s="82">
        <v>139804</v>
      </c>
      <c r="F237" s="93">
        <v>46063</v>
      </c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>
      <c r="A238" s="49" t="s">
        <v>191</v>
      </c>
      <c r="B238" s="49" t="s">
        <v>568</v>
      </c>
      <c r="D238" s="79">
        <v>46057</v>
      </c>
      <c r="E238" s="82">
        <v>27331</v>
      </c>
      <c r="F238" s="93">
        <v>46065</v>
      </c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>
      <c r="A239" s="87" t="s">
        <v>191</v>
      </c>
      <c r="B239" s="87" t="s">
        <v>569</v>
      </c>
      <c r="C239" s="87"/>
      <c r="D239" s="94">
        <v>46055</v>
      </c>
      <c r="E239" s="95">
        <v>-5239</v>
      </c>
      <c r="F239" s="96">
        <v>46063</v>
      </c>
      <c r="G239" s="78" t="s">
        <v>426</v>
      </c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>
      <c r="A240" s="49" t="s">
        <v>191</v>
      </c>
      <c r="B240" s="98" t="s">
        <v>570</v>
      </c>
      <c r="C240" s="98"/>
      <c r="D240" s="150">
        <v>46062</v>
      </c>
      <c r="E240" s="151">
        <v>108340</v>
      </c>
      <c r="F240" s="152">
        <v>46070</v>
      </c>
      <c r="G240" s="77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>
      <c r="A241" s="49" t="s">
        <v>191</v>
      </c>
      <c r="B241" s="98" t="s">
        <v>571</v>
      </c>
      <c r="C241" s="98"/>
      <c r="D241" s="150">
        <v>46069</v>
      </c>
      <c r="E241" s="151">
        <v>32172</v>
      </c>
      <c r="F241" s="152">
        <v>46077</v>
      </c>
      <c r="G241" s="77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>
      <c r="A242" s="49" t="s">
        <v>191</v>
      </c>
      <c r="B242" s="98" t="s">
        <v>572</v>
      </c>
      <c r="C242" s="98"/>
      <c r="D242" s="150">
        <v>46069</v>
      </c>
      <c r="E242" s="151">
        <v>136861</v>
      </c>
      <c r="F242" s="152">
        <v>46077</v>
      </c>
      <c r="G242" s="77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>
      <c r="A243" s="49" t="s">
        <v>191</v>
      </c>
      <c r="B243" s="98" t="s">
        <v>573</v>
      </c>
      <c r="C243" s="98"/>
      <c r="D243" s="150">
        <v>46071</v>
      </c>
      <c r="E243" s="151">
        <v>15198</v>
      </c>
      <c r="F243" s="152">
        <v>46079</v>
      </c>
      <c r="G243" s="77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>
      <c r="A244" s="49" t="s">
        <v>191</v>
      </c>
      <c r="B244" s="49" t="s">
        <v>574</v>
      </c>
      <c r="D244" s="79">
        <v>46071</v>
      </c>
      <c r="E244" s="82">
        <v>8574</v>
      </c>
      <c r="F244" s="93">
        <v>46079</v>
      </c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>
      <c r="A245" s="87" t="s">
        <v>191</v>
      </c>
      <c r="B245" s="87" t="s">
        <v>575</v>
      </c>
      <c r="C245" s="87"/>
      <c r="D245" s="94">
        <v>46069</v>
      </c>
      <c r="E245" s="95">
        <v>-2300</v>
      </c>
      <c r="F245" s="96">
        <v>46077</v>
      </c>
      <c r="G245" s="78" t="s">
        <v>426</v>
      </c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>
      <c r="A246" s="49" t="s">
        <v>191</v>
      </c>
      <c r="B246" s="49" t="s">
        <v>576</v>
      </c>
      <c r="D246" s="79">
        <v>46076</v>
      </c>
      <c r="E246" s="82">
        <v>139108</v>
      </c>
      <c r="F246" s="93">
        <v>46084</v>
      </c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>
      <c r="A247" s="49" t="s">
        <v>577</v>
      </c>
      <c r="B247" s="49" t="s">
        <v>578</v>
      </c>
      <c r="C247" s="49" t="s">
        <v>579</v>
      </c>
      <c r="D247" s="79">
        <v>46055</v>
      </c>
      <c r="E247" s="82">
        <v>102077</v>
      </c>
      <c r="F247" s="93">
        <v>46063</v>
      </c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>
      <c r="A248" s="49" t="s">
        <v>577</v>
      </c>
      <c r="B248" s="49" t="s">
        <v>580</v>
      </c>
      <c r="C248" s="49" t="s">
        <v>581</v>
      </c>
      <c r="D248" s="79">
        <v>46057</v>
      </c>
      <c r="E248" s="82">
        <v>65025</v>
      </c>
      <c r="F248" s="93">
        <v>46065</v>
      </c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>
      <c r="A249" s="49" t="s">
        <v>577</v>
      </c>
      <c r="B249" s="49" t="s">
        <v>582</v>
      </c>
      <c r="C249" s="49" t="s">
        <v>583</v>
      </c>
      <c r="D249" s="79">
        <v>46059</v>
      </c>
      <c r="E249" s="82">
        <v>148941</v>
      </c>
      <c r="F249" s="93">
        <v>46067</v>
      </c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>
      <c r="A250" s="49" t="s">
        <v>577</v>
      </c>
      <c r="B250" s="49" t="s">
        <v>584</v>
      </c>
      <c r="C250" s="49" t="s">
        <v>585</v>
      </c>
      <c r="D250" s="79">
        <v>46064</v>
      </c>
      <c r="E250" s="82">
        <v>65025</v>
      </c>
      <c r="F250" s="93">
        <v>46072</v>
      </c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>
      <c r="A251" s="49" t="s">
        <v>577</v>
      </c>
      <c r="B251" s="49" t="s">
        <v>586</v>
      </c>
      <c r="C251" s="49" t="s">
        <v>587</v>
      </c>
      <c r="D251" s="79">
        <v>46069</v>
      </c>
      <c r="E251" s="82">
        <v>130049</v>
      </c>
      <c r="F251" s="93">
        <v>46077</v>
      </c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>
      <c r="A252" s="49" t="s">
        <v>577</v>
      </c>
      <c r="B252" s="49" t="s">
        <v>588</v>
      </c>
      <c r="C252" s="49" t="s">
        <v>589</v>
      </c>
      <c r="D252" s="79">
        <v>46073</v>
      </c>
      <c r="E252" s="82">
        <v>139130</v>
      </c>
      <c r="F252" s="93">
        <v>46081</v>
      </c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>
      <c r="A253" s="49" t="s">
        <v>577</v>
      </c>
      <c r="B253" s="49" t="s">
        <v>590</v>
      </c>
      <c r="C253" s="49" t="s">
        <v>591</v>
      </c>
      <c r="D253" s="79">
        <v>46078</v>
      </c>
      <c r="E253" s="82">
        <v>111888</v>
      </c>
      <c r="F253" s="93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>
      <c r="A254" s="49" t="s">
        <v>592</v>
      </c>
      <c r="B254" s="49" t="s">
        <v>593</v>
      </c>
      <c r="D254" s="79">
        <v>46056</v>
      </c>
      <c r="E254" s="82">
        <v>339937</v>
      </c>
      <c r="F254" s="93">
        <v>46064</v>
      </c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>
      <c r="A255" s="49" t="s">
        <v>594</v>
      </c>
      <c r="B255" s="49" t="s">
        <v>595</v>
      </c>
      <c r="D255" s="79">
        <v>46080</v>
      </c>
      <c r="E255" s="82">
        <v>43790</v>
      </c>
      <c r="F255" s="93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>
      <c r="A256" s="49" t="s">
        <v>596</v>
      </c>
      <c r="B256" s="49" t="s">
        <v>597</v>
      </c>
      <c r="D256" s="79">
        <v>46062</v>
      </c>
      <c r="E256" s="82">
        <v>70875</v>
      </c>
      <c r="F256" s="93">
        <v>46076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>
      <c r="A257" s="48"/>
      <c r="B257" s="48"/>
      <c r="C257" s="48"/>
      <c r="D257" s="69"/>
      <c r="E257" s="92">
        <f>SUM(E160:E256)</f>
        <v>8785062</v>
      </c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>
      <c r="A258" s="188" t="s">
        <v>119</v>
      </c>
      <c r="B258" s="188"/>
      <c r="C258" s="188"/>
      <c r="D258" s="188"/>
      <c r="E258" s="188"/>
      <c r="F258" s="188"/>
      <c r="G258" s="18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>
      <c r="A259" s="189" t="s">
        <v>22</v>
      </c>
      <c r="B259" s="189"/>
      <c r="C259" s="189"/>
      <c r="D259" s="189"/>
      <c r="E259" s="189"/>
      <c r="F259" s="189"/>
      <c r="G259" s="189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>
      <c r="A260" s="177" t="s">
        <v>598</v>
      </c>
      <c r="B260" s="187" t="s">
        <v>599</v>
      </c>
      <c r="C260" s="1"/>
      <c r="D260" s="179">
        <v>46098</v>
      </c>
      <c r="E260" s="180">
        <v>8630</v>
      </c>
      <c r="F260" s="178" t="s">
        <v>29</v>
      </c>
      <c r="G260" s="1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>
      <c r="A261" s="108" t="s">
        <v>425</v>
      </c>
      <c r="B261" s="84">
        <v>617030452</v>
      </c>
      <c r="C261" s="108"/>
      <c r="D261" s="6">
        <v>46083</v>
      </c>
      <c r="E261" s="10">
        <v>511782</v>
      </c>
      <c r="F261" s="5" t="s">
        <v>24</v>
      </c>
      <c r="G261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>
      <c r="A262" s="108" t="s">
        <v>425</v>
      </c>
      <c r="B262" s="84">
        <v>617031705</v>
      </c>
      <c r="C262" s="108"/>
      <c r="D262" s="6">
        <v>46084</v>
      </c>
      <c r="E262" s="10">
        <v>576208</v>
      </c>
      <c r="F262" s="5" t="s">
        <v>24</v>
      </c>
      <c r="G262" t="s">
        <v>600</v>
      </c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>
      <c r="A263" s="108" t="s">
        <v>425</v>
      </c>
      <c r="B263" s="84">
        <v>617031985</v>
      </c>
      <c r="C263" s="108"/>
      <c r="D263" s="6">
        <v>46085</v>
      </c>
      <c r="E263" s="10">
        <v>387420</v>
      </c>
      <c r="F263" s="5" t="s">
        <v>24</v>
      </c>
      <c r="G263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>
      <c r="A264" s="108" t="s">
        <v>425</v>
      </c>
      <c r="B264" s="84">
        <v>617032630</v>
      </c>
      <c r="C264" s="108"/>
      <c r="D264" s="6">
        <v>46086</v>
      </c>
      <c r="E264" s="10">
        <v>399353</v>
      </c>
      <c r="F264" s="5" t="s">
        <v>24</v>
      </c>
      <c r="G264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>
      <c r="A265" s="108" t="s">
        <v>425</v>
      </c>
      <c r="B265" s="5">
        <v>617032631</v>
      </c>
      <c r="C265" s="108"/>
      <c r="D265" s="6">
        <v>46086</v>
      </c>
      <c r="E265" s="10">
        <v>13022</v>
      </c>
      <c r="F265" s="5" t="s">
        <v>24</v>
      </c>
      <c r="G265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>
      <c r="A266" s="108" t="s">
        <v>425</v>
      </c>
      <c r="B266" s="84">
        <v>617033307</v>
      </c>
      <c r="C266" s="108"/>
      <c r="D266" s="6">
        <v>46087</v>
      </c>
      <c r="E266" s="10">
        <v>264051</v>
      </c>
      <c r="F266" s="5" t="s">
        <v>601</v>
      </c>
      <c r="G266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>
      <c r="A267" s="108" t="s">
        <v>425</v>
      </c>
      <c r="B267" s="84">
        <v>617034947</v>
      </c>
      <c r="C267" s="108"/>
      <c r="D267" s="6">
        <v>46090</v>
      </c>
      <c r="E267" s="10">
        <v>382901</v>
      </c>
      <c r="F267" s="5" t="s">
        <v>24</v>
      </c>
      <c r="G267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>
      <c r="A268" s="108" t="s">
        <v>425</v>
      </c>
      <c r="B268" s="84">
        <v>617035263</v>
      </c>
      <c r="C268" s="108"/>
      <c r="D268" s="6">
        <v>46091</v>
      </c>
      <c r="E268" s="10">
        <v>429842</v>
      </c>
      <c r="F268" s="5" t="s">
        <v>24</v>
      </c>
      <c r="G26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>
      <c r="A269" s="108" t="s">
        <v>425</v>
      </c>
      <c r="B269" s="84">
        <v>617035962</v>
      </c>
      <c r="C269" s="108"/>
      <c r="D269" s="6">
        <v>46091</v>
      </c>
      <c r="E269" s="10">
        <v>33715</v>
      </c>
      <c r="F269" s="5" t="s">
        <v>24</v>
      </c>
      <c r="G269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>
      <c r="A270" s="108" t="s">
        <v>425</v>
      </c>
      <c r="B270" s="84">
        <v>617036109</v>
      </c>
      <c r="C270" s="108"/>
      <c r="D270" s="6">
        <v>46092</v>
      </c>
      <c r="E270" s="10">
        <v>396381</v>
      </c>
      <c r="F270" s="5" t="s">
        <v>24</v>
      </c>
      <c r="G270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>
      <c r="A271" s="108" t="s">
        <v>425</v>
      </c>
      <c r="B271" s="84">
        <v>617036775</v>
      </c>
      <c r="C271" s="108"/>
      <c r="D271" s="6">
        <v>46093</v>
      </c>
      <c r="E271" s="10">
        <v>434651</v>
      </c>
      <c r="F271" s="5" t="s">
        <v>24</v>
      </c>
      <c r="G271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>
      <c r="A272" s="108" t="s">
        <v>425</v>
      </c>
      <c r="B272" s="84">
        <v>617037361</v>
      </c>
      <c r="C272" s="108"/>
      <c r="D272" s="6">
        <v>46094</v>
      </c>
      <c r="E272" s="10">
        <v>342251</v>
      </c>
      <c r="F272" s="5" t="s">
        <v>24</v>
      </c>
      <c r="G272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>
      <c r="A273" s="108" t="s">
        <v>425</v>
      </c>
      <c r="B273" s="84">
        <v>617038576</v>
      </c>
      <c r="C273" s="108"/>
      <c r="D273" s="6">
        <v>46097</v>
      </c>
      <c r="E273" s="10">
        <v>626957</v>
      </c>
      <c r="F273" s="5" t="s">
        <v>24</v>
      </c>
      <c r="G273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>
      <c r="A274" s="173" t="s">
        <v>425</v>
      </c>
      <c r="B274" s="174">
        <v>261801703</v>
      </c>
      <c r="C274" s="173"/>
      <c r="D274" s="175">
        <v>46083</v>
      </c>
      <c r="E274" s="176">
        <v>-122880</v>
      </c>
      <c r="F274" s="174" t="s">
        <v>24</v>
      </c>
      <c r="G274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>
      <c r="A275" s="108" t="s">
        <v>425</v>
      </c>
      <c r="B275" s="84">
        <v>617039328</v>
      </c>
      <c r="C275" s="108"/>
      <c r="D275" s="6">
        <v>46098</v>
      </c>
      <c r="E275" s="10">
        <v>361628</v>
      </c>
      <c r="F275" s="5" t="s">
        <v>24</v>
      </c>
      <c r="G275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>
      <c r="A276" s="108" t="s">
        <v>425</v>
      </c>
      <c r="B276" s="84">
        <v>617040162</v>
      </c>
      <c r="C276" s="108"/>
      <c r="D276" s="6">
        <v>46099</v>
      </c>
      <c r="E276" s="10">
        <v>624625</v>
      </c>
      <c r="F276" s="5" t="s">
        <v>24</v>
      </c>
      <c r="G276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>
      <c r="A277" s="108" t="s">
        <v>425</v>
      </c>
      <c r="B277" s="84">
        <v>617041033</v>
      </c>
      <c r="C277" s="108"/>
      <c r="D277" s="6">
        <v>46100</v>
      </c>
      <c r="E277" s="10">
        <v>451651</v>
      </c>
      <c r="F277" s="5" t="s">
        <v>24</v>
      </c>
      <c r="G277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>
      <c r="A278" s="108" t="s">
        <v>425</v>
      </c>
      <c r="B278" s="84">
        <v>617041510</v>
      </c>
      <c r="C278" s="108"/>
      <c r="D278" s="6">
        <v>46101</v>
      </c>
      <c r="E278" s="10">
        <v>361628</v>
      </c>
      <c r="F278" s="5" t="s">
        <v>24</v>
      </c>
      <c r="G27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>
      <c r="A279" s="108" t="s">
        <v>425</v>
      </c>
      <c r="B279" s="84">
        <v>617042743</v>
      </c>
      <c r="C279" s="108"/>
      <c r="D279" s="6">
        <v>46104</v>
      </c>
      <c r="E279" s="10">
        <v>371458</v>
      </c>
      <c r="F279" s="5" t="s">
        <v>24</v>
      </c>
      <c r="G279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>
      <c r="A280" s="108" t="s">
        <v>425</v>
      </c>
      <c r="B280" s="84">
        <v>617043490</v>
      </c>
      <c r="C280" s="108"/>
      <c r="D280" s="6">
        <v>46105</v>
      </c>
      <c r="E280" s="10">
        <v>474208</v>
      </c>
      <c r="F280" s="5" t="s">
        <v>24</v>
      </c>
      <c r="G280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>
      <c r="A281" s="108" t="s">
        <v>425</v>
      </c>
      <c r="B281" s="84">
        <v>617044330</v>
      </c>
      <c r="C281" s="108"/>
      <c r="D281" s="6">
        <v>46106</v>
      </c>
      <c r="E281" s="10">
        <v>434067</v>
      </c>
      <c r="F281" s="5" t="s">
        <v>24</v>
      </c>
      <c r="G281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>
      <c r="A282" s="108" t="s">
        <v>425</v>
      </c>
      <c r="B282" s="84">
        <v>617045147</v>
      </c>
      <c r="C282" s="108"/>
      <c r="D282" s="6">
        <v>46107</v>
      </c>
      <c r="E282" s="10">
        <v>429124</v>
      </c>
      <c r="F282" s="5" t="s">
        <v>24</v>
      </c>
      <c r="G282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>
      <c r="A283" s="108" t="s">
        <v>425</v>
      </c>
      <c r="B283" s="84">
        <v>617045627</v>
      </c>
      <c r="C283" s="108"/>
      <c r="D283" s="6">
        <v>46108</v>
      </c>
      <c r="E283" s="10">
        <v>396878</v>
      </c>
      <c r="F283" s="5" t="s">
        <v>24</v>
      </c>
      <c r="G283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>
      <c r="A284" s="108" t="s">
        <v>425</v>
      </c>
      <c r="B284" s="84">
        <v>617046811</v>
      </c>
      <c r="C284" s="108"/>
      <c r="D284" s="6">
        <v>46111</v>
      </c>
      <c r="E284" s="10">
        <v>490397</v>
      </c>
      <c r="F284" s="5" t="s">
        <v>24</v>
      </c>
      <c r="G284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>
      <c r="A285" s="108" t="s">
        <v>425</v>
      </c>
      <c r="B285" s="84">
        <v>617047552</v>
      </c>
      <c r="C285" s="108"/>
      <c r="D285" s="6">
        <v>46112</v>
      </c>
      <c r="E285" s="10">
        <v>463740</v>
      </c>
      <c r="F285" s="5" t="s">
        <v>24</v>
      </c>
      <c r="G285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>
      <c r="A286" s="108" t="s">
        <v>602</v>
      </c>
      <c r="B286" s="84" t="s">
        <v>603</v>
      </c>
      <c r="C286" s="108"/>
      <c r="D286" s="6">
        <v>46098</v>
      </c>
      <c r="E286" s="10">
        <v>8630</v>
      </c>
      <c r="F286" s="5" t="s">
        <v>29</v>
      </c>
      <c r="G286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>
      <c r="A287" s="108"/>
      <c r="B287" s="5"/>
      <c r="C287" s="108"/>
      <c r="D287" s="6"/>
      <c r="E287" s="90">
        <f>SUM(E260:E286)</f>
        <v>9552318</v>
      </c>
      <c r="F287" s="5"/>
      <c r="G287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>
      <c r="A288" s="188" t="s">
        <v>119</v>
      </c>
      <c r="B288" s="188"/>
      <c r="C288" s="188"/>
      <c r="D288" s="188"/>
      <c r="E288" s="188"/>
      <c r="F288" s="188"/>
      <c r="G288" s="18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>
      <c r="A289" s="189" t="s">
        <v>43</v>
      </c>
      <c r="B289" s="189"/>
      <c r="C289" s="189"/>
      <c r="D289" s="189"/>
      <c r="E289" s="189"/>
      <c r="F289" s="189"/>
      <c r="G289" s="189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>
      <c r="A290" s="49" t="s">
        <v>413</v>
      </c>
      <c r="B290" s="49" t="s">
        <v>604</v>
      </c>
      <c r="D290" s="79">
        <v>46086</v>
      </c>
      <c r="E290" s="82">
        <v>312458</v>
      </c>
      <c r="F290" s="93">
        <v>46093</v>
      </c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>
      <c r="A291" s="49" t="s">
        <v>413</v>
      </c>
      <c r="B291" s="49" t="s">
        <v>605</v>
      </c>
      <c r="D291" s="79">
        <v>46105</v>
      </c>
      <c r="E291" s="82">
        <v>312947</v>
      </c>
      <c r="F291" s="93">
        <v>46112</v>
      </c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>
      <c r="A292" s="49" t="s">
        <v>147</v>
      </c>
      <c r="B292" s="49" t="s">
        <v>606</v>
      </c>
      <c r="D292" s="79">
        <v>46087</v>
      </c>
      <c r="E292" s="82">
        <v>37910</v>
      </c>
      <c r="F292" s="93">
        <v>46102</v>
      </c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>
      <c r="A293" s="49" t="s">
        <v>147</v>
      </c>
      <c r="B293" s="49" t="s">
        <v>607</v>
      </c>
      <c r="D293" s="79">
        <v>46087</v>
      </c>
      <c r="E293" s="82">
        <v>21812</v>
      </c>
      <c r="F293" s="93">
        <v>46102</v>
      </c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>
      <c r="A294" s="49" t="s">
        <v>608</v>
      </c>
      <c r="B294" s="49">
        <v>1604870764</v>
      </c>
      <c r="C294" s="49">
        <v>8929684319</v>
      </c>
      <c r="D294" s="79">
        <v>46085</v>
      </c>
      <c r="E294" s="82">
        <v>309614</v>
      </c>
      <c r="F294" s="93">
        <v>46093</v>
      </c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>
      <c r="A295" s="49" t="s">
        <v>608</v>
      </c>
      <c r="B295" s="49">
        <v>1604877927</v>
      </c>
      <c r="C295" s="49">
        <v>8929710113</v>
      </c>
      <c r="D295" s="79">
        <v>46097</v>
      </c>
      <c r="E295" s="82">
        <v>335397</v>
      </c>
      <c r="F295" s="93">
        <v>46111</v>
      </c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>
      <c r="A296" s="49" t="s">
        <v>420</v>
      </c>
      <c r="B296" s="49" t="s">
        <v>609</v>
      </c>
      <c r="D296" s="79">
        <v>46085</v>
      </c>
      <c r="E296" s="82">
        <v>94680</v>
      </c>
      <c r="F296" s="93">
        <v>46093</v>
      </c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>
      <c r="A297" s="49" t="s">
        <v>420</v>
      </c>
      <c r="B297" s="49" t="s">
        <v>610</v>
      </c>
      <c r="D297" s="79">
        <v>46091</v>
      </c>
      <c r="E297" s="82">
        <v>96580</v>
      </c>
      <c r="F297" s="93">
        <v>46100</v>
      </c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>
      <c r="A298" s="49" t="s">
        <v>420</v>
      </c>
      <c r="B298" s="49" t="s">
        <v>611</v>
      </c>
      <c r="D298" s="79">
        <v>46106</v>
      </c>
      <c r="E298" s="82">
        <v>96580</v>
      </c>
      <c r="F298" s="93">
        <v>46114</v>
      </c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>
      <c r="A299" s="49" t="s">
        <v>612</v>
      </c>
      <c r="C299" s="49" t="s">
        <v>613</v>
      </c>
      <c r="D299" s="79">
        <v>46083</v>
      </c>
      <c r="E299" s="82">
        <v>0</v>
      </c>
      <c r="F299" s="49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>
      <c r="A300" s="49" t="s">
        <v>612</v>
      </c>
      <c r="C300" s="49" t="s">
        <v>614</v>
      </c>
      <c r="D300" s="79">
        <v>46084</v>
      </c>
      <c r="E300" s="82">
        <v>0</v>
      </c>
      <c r="F300" s="49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>
      <c r="A301" s="49" t="s">
        <v>612</v>
      </c>
      <c r="C301" s="49" t="s">
        <v>615</v>
      </c>
      <c r="D301" s="79">
        <v>46085</v>
      </c>
      <c r="E301" s="82">
        <v>0</v>
      </c>
      <c r="F301" s="49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>
      <c r="A302" s="49" t="s">
        <v>612</v>
      </c>
      <c r="C302" s="49" t="s">
        <v>616</v>
      </c>
      <c r="D302" s="79">
        <v>46086</v>
      </c>
      <c r="E302" s="82">
        <v>0</v>
      </c>
      <c r="F302" s="49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>
      <c r="A303" s="87" t="s">
        <v>617</v>
      </c>
      <c r="B303" s="87" t="s">
        <v>618</v>
      </c>
      <c r="C303" s="87"/>
      <c r="D303" s="94">
        <v>46086</v>
      </c>
      <c r="E303" s="95">
        <v>255874</v>
      </c>
      <c r="F303" s="96">
        <v>46098</v>
      </c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>
      <c r="A304" s="87" t="s">
        <v>617</v>
      </c>
      <c r="B304" s="87" t="s">
        <v>619</v>
      </c>
      <c r="C304" s="87" t="s">
        <v>620</v>
      </c>
      <c r="D304" s="94">
        <v>46087</v>
      </c>
      <c r="E304" s="95">
        <v>42432</v>
      </c>
      <c r="F304" s="96">
        <v>46098</v>
      </c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>
      <c r="A305" s="49" t="s">
        <v>617</v>
      </c>
      <c r="C305" s="49" t="s">
        <v>621</v>
      </c>
      <c r="D305" s="79">
        <v>46090</v>
      </c>
      <c r="E305" s="82">
        <v>0</v>
      </c>
      <c r="F305" s="49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>
      <c r="A306" s="49" t="s">
        <v>617</v>
      </c>
      <c r="C306" s="49" t="s">
        <v>622</v>
      </c>
      <c r="D306" s="79">
        <v>46091</v>
      </c>
      <c r="E306" s="82">
        <v>0</v>
      </c>
      <c r="F306" s="49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>
      <c r="A307" s="49" t="s">
        <v>617</v>
      </c>
      <c r="C307" s="49" t="s">
        <v>623</v>
      </c>
      <c r="D307" s="79">
        <v>46092</v>
      </c>
      <c r="E307" s="82">
        <v>0</v>
      </c>
      <c r="F307" s="49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>
      <c r="A308" s="49" t="s">
        <v>617</v>
      </c>
      <c r="C308" s="49" t="s">
        <v>624</v>
      </c>
      <c r="D308" s="79">
        <v>46093</v>
      </c>
      <c r="E308" s="82">
        <v>0</v>
      </c>
      <c r="F308" s="49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>
      <c r="A309" s="49" t="s">
        <v>617</v>
      </c>
      <c r="C309" s="49" t="s">
        <v>625</v>
      </c>
      <c r="D309" s="79">
        <v>46094</v>
      </c>
      <c r="E309" s="82">
        <v>0</v>
      </c>
      <c r="F309" s="49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>
      <c r="A310" s="87" t="s">
        <v>617</v>
      </c>
      <c r="B310" s="87" t="s">
        <v>626</v>
      </c>
      <c r="C310" s="87"/>
      <c r="D310" s="94">
        <v>46094</v>
      </c>
      <c r="E310" s="95">
        <v>420237</v>
      </c>
      <c r="F310" s="96">
        <v>46105</v>
      </c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>
      <c r="A311" s="5" t="s">
        <v>617</v>
      </c>
      <c r="C311" s="49" t="s">
        <v>627</v>
      </c>
      <c r="D311" s="79">
        <v>46097</v>
      </c>
      <c r="E311" s="82">
        <v>0</v>
      </c>
      <c r="F311" s="93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>
      <c r="A312" s="5" t="s">
        <v>617</v>
      </c>
      <c r="C312" s="49" t="s">
        <v>628</v>
      </c>
      <c r="D312" s="79">
        <v>46098</v>
      </c>
      <c r="E312" s="82">
        <v>0</v>
      </c>
      <c r="F312" s="93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>
      <c r="A313" s="5" t="s">
        <v>617</v>
      </c>
      <c r="C313" s="49" t="s">
        <v>629</v>
      </c>
      <c r="D313" s="79">
        <v>46099</v>
      </c>
      <c r="E313" s="82">
        <v>0</v>
      </c>
      <c r="F313" s="93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>
      <c r="A314" s="5" t="s">
        <v>617</v>
      </c>
      <c r="C314" s="49" t="s">
        <v>630</v>
      </c>
      <c r="D314" s="79">
        <v>46100</v>
      </c>
      <c r="E314" s="82">
        <v>0</v>
      </c>
      <c r="F314" s="93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>
      <c r="A315" s="5" t="s">
        <v>612</v>
      </c>
      <c r="C315" s="49" t="s">
        <v>631</v>
      </c>
      <c r="D315" s="79">
        <v>46101</v>
      </c>
      <c r="E315" s="82">
        <v>0</v>
      </c>
      <c r="F315" s="93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>
      <c r="A316" s="174" t="s">
        <v>617</v>
      </c>
      <c r="B316" s="87" t="s">
        <v>632</v>
      </c>
      <c r="C316" s="87"/>
      <c r="D316" s="94">
        <v>46100</v>
      </c>
      <c r="E316" s="95">
        <v>403970</v>
      </c>
      <c r="F316" s="96">
        <v>46112</v>
      </c>
      <c r="G316" s="77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>
      <c r="A317" s="5" t="s">
        <v>617</v>
      </c>
      <c r="C317" s="49" t="s">
        <v>633</v>
      </c>
      <c r="D317" s="79">
        <v>46104</v>
      </c>
      <c r="E317" s="82">
        <v>121829</v>
      </c>
      <c r="F317" s="93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>
      <c r="A318" s="5" t="s">
        <v>617</v>
      </c>
      <c r="C318" s="49" t="s">
        <v>634</v>
      </c>
      <c r="D318" s="79">
        <v>46105</v>
      </c>
      <c r="E318" s="82">
        <v>51559</v>
      </c>
      <c r="F318" s="93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>
      <c r="A319" s="5" t="s">
        <v>617</v>
      </c>
      <c r="C319" s="49" t="s">
        <v>635</v>
      </c>
      <c r="D319" s="79">
        <v>46106</v>
      </c>
      <c r="E319" s="82">
        <v>98115</v>
      </c>
      <c r="F319" s="93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>
      <c r="A320" s="5" t="s">
        <v>617</v>
      </c>
      <c r="C320" s="49" t="s">
        <v>636</v>
      </c>
      <c r="D320" s="79">
        <v>46107</v>
      </c>
      <c r="E320" s="82">
        <v>75759</v>
      </c>
      <c r="F320" s="93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>
      <c r="A321" s="5" t="s">
        <v>617</v>
      </c>
      <c r="C321" s="49" t="s">
        <v>637</v>
      </c>
      <c r="D321" s="79">
        <v>46108</v>
      </c>
      <c r="E321" s="82">
        <v>66096</v>
      </c>
      <c r="F321" s="93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>
      <c r="A322" s="174" t="s">
        <v>617</v>
      </c>
      <c r="B322" s="87" t="s">
        <v>638</v>
      </c>
      <c r="C322" s="87"/>
      <c r="D322" s="94">
        <v>46107</v>
      </c>
      <c r="E322" s="95">
        <v>414178</v>
      </c>
      <c r="F322" s="96"/>
      <c r="G322" s="78" t="s">
        <v>639</v>
      </c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>
      <c r="A323" s="5" t="s">
        <v>617</v>
      </c>
      <c r="C323" s="49" t="s">
        <v>640</v>
      </c>
      <c r="D323" s="79">
        <v>46111</v>
      </c>
      <c r="E323" s="82">
        <v>94863</v>
      </c>
      <c r="F323" s="93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spans="1:26" ht="15.75">
      <c r="A324" s="5" t="s">
        <v>617</v>
      </c>
      <c r="C324" s="49" t="s">
        <v>641</v>
      </c>
      <c r="D324" s="79">
        <v>46112</v>
      </c>
      <c r="E324" s="82">
        <v>71628</v>
      </c>
      <c r="F324" s="93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spans="1:26" ht="15.75">
      <c r="A325" s="174" t="s">
        <v>617</v>
      </c>
      <c r="B325" s="87" t="s">
        <v>642</v>
      </c>
      <c r="C325" s="87"/>
      <c r="D325" s="94">
        <v>46111</v>
      </c>
      <c r="E325" s="95">
        <v>166491</v>
      </c>
      <c r="F325" s="96">
        <v>46123</v>
      </c>
      <c r="G325" s="78">
        <v>29523.295829999999</v>
      </c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spans="1:26" ht="15.75">
      <c r="A326" s="87" t="s">
        <v>425</v>
      </c>
      <c r="B326" s="87">
        <v>261801703</v>
      </c>
      <c r="C326" s="87"/>
      <c r="D326" s="94">
        <v>46175</v>
      </c>
      <c r="E326" s="95">
        <v>-122880</v>
      </c>
      <c r="F326" s="87" t="s">
        <v>426</v>
      </c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spans="1:26" ht="15.75">
      <c r="A327" s="87" t="s">
        <v>425</v>
      </c>
      <c r="B327" s="87">
        <v>2618011933</v>
      </c>
      <c r="C327" s="87"/>
      <c r="D327" s="94">
        <v>46090</v>
      </c>
      <c r="E327" s="95">
        <v>-22327</v>
      </c>
      <c r="F327" s="87" t="s">
        <v>426</v>
      </c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spans="1:26" ht="15.75">
      <c r="A328" s="49" t="s">
        <v>427</v>
      </c>
      <c r="C328" s="49" t="s">
        <v>643</v>
      </c>
      <c r="D328" s="79">
        <v>46083</v>
      </c>
      <c r="E328" s="82">
        <v>25491</v>
      </c>
      <c r="F328" s="49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spans="1:26" ht="15.75">
      <c r="A329" s="49" t="s">
        <v>427</v>
      </c>
      <c r="C329" s="49" t="s">
        <v>644</v>
      </c>
      <c r="D329" s="79">
        <v>46084</v>
      </c>
      <c r="E329" s="82">
        <v>28185</v>
      </c>
      <c r="F329" s="49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spans="1:26" ht="15.75">
      <c r="A330" s="49" t="s">
        <v>427</v>
      </c>
      <c r="C330" s="49" t="s">
        <v>645</v>
      </c>
      <c r="D330" s="79">
        <v>46085</v>
      </c>
      <c r="E330" s="82">
        <v>70825</v>
      </c>
      <c r="F330" s="49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spans="1:26" ht="15.75">
      <c r="A331" s="49" t="s">
        <v>427</v>
      </c>
      <c r="C331" s="49" t="s">
        <v>646</v>
      </c>
      <c r="D331" s="79">
        <v>46086</v>
      </c>
      <c r="E331" s="82">
        <v>37378</v>
      </c>
      <c r="F331" s="49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spans="1:26" ht="15.75">
      <c r="A332" s="87" t="s">
        <v>427</v>
      </c>
      <c r="B332" s="87" t="s">
        <v>647</v>
      </c>
      <c r="C332" s="87"/>
      <c r="D332" s="94">
        <v>46090</v>
      </c>
      <c r="E332" s="97">
        <v>161879</v>
      </c>
      <c r="F332" s="87"/>
      <c r="G332" s="78" t="s">
        <v>648</v>
      </c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spans="1:26" ht="15.75">
      <c r="A333" s="49" t="s">
        <v>649</v>
      </c>
      <c r="B333" s="49">
        <v>702602778</v>
      </c>
      <c r="C333" s="49">
        <v>1011797873</v>
      </c>
      <c r="D333" s="79">
        <v>46084</v>
      </c>
      <c r="E333" s="82">
        <v>294147</v>
      </c>
      <c r="F333" s="49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spans="1:26" ht="15.75">
      <c r="A334" s="49" t="s">
        <v>649</v>
      </c>
      <c r="B334" s="49">
        <v>702606649</v>
      </c>
      <c r="C334" s="49">
        <v>1011812112</v>
      </c>
      <c r="D334" s="79">
        <v>46098</v>
      </c>
      <c r="E334" s="82">
        <v>283730</v>
      </c>
      <c r="F334" s="49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spans="1:26" ht="15.75">
      <c r="A335" s="49" t="s">
        <v>650</v>
      </c>
      <c r="B335" s="49">
        <v>261028099</v>
      </c>
      <c r="C335" s="49">
        <v>262030501</v>
      </c>
      <c r="D335" s="79">
        <v>46106</v>
      </c>
      <c r="E335" s="82">
        <v>254352</v>
      </c>
      <c r="F335" s="49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spans="1:26" ht="15.75">
      <c r="A336" s="49" t="s">
        <v>651</v>
      </c>
      <c r="B336" s="49" t="s">
        <v>652</v>
      </c>
      <c r="D336" s="79">
        <v>46084</v>
      </c>
      <c r="E336" s="82">
        <v>194211</v>
      </c>
      <c r="F336" s="93">
        <v>46098</v>
      </c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spans="1:26" ht="15.75">
      <c r="A337" s="49" t="s">
        <v>651</v>
      </c>
      <c r="B337" s="49" t="s">
        <v>653</v>
      </c>
      <c r="D337" s="79">
        <v>46091</v>
      </c>
      <c r="E337" s="82">
        <v>67703</v>
      </c>
      <c r="F337" s="93">
        <v>46105</v>
      </c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spans="1:26" ht="15.75">
      <c r="A338" s="49" t="s">
        <v>651</v>
      </c>
      <c r="B338" s="49" t="s">
        <v>654</v>
      </c>
      <c r="D338" s="79">
        <v>46098</v>
      </c>
      <c r="E338" s="82">
        <v>153644</v>
      </c>
      <c r="F338" s="93">
        <v>46112</v>
      </c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spans="1:26" ht="15.75">
      <c r="A339" s="49" t="s">
        <v>651</v>
      </c>
      <c r="B339" s="49" t="s">
        <v>655</v>
      </c>
      <c r="D339" s="79">
        <v>46104</v>
      </c>
      <c r="E339" s="82">
        <v>96311</v>
      </c>
      <c r="F339" s="93">
        <v>46119</v>
      </c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spans="1:26" ht="15.75">
      <c r="A340" s="49" t="s">
        <v>651</v>
      </c>
      <c r="B340" s="49" t="s">
        <v>656</v>
      </c>
      <c r="D340" s="79">
        <v>46112</v>
      </c>
      <c r="E340" s="82">
        <v>193058</v>
      </c>
      <c r="F340" s="93">
        <v>46126</v>
      </c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spans="1:26" ht="15.75">
      <c r="A341" s="49" t="s">
        <v>472</v>
      </c>
      <c r="C341" s="49">
        <v>23370</v>
      </c>
      <c r="D341" s="79">
        <v>46083</v>
      </c>
      <c r="E341" s="82">
        <v>0</v>
      </c>
      <c r="F341" s="49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spans="1:26" ht="15.75">
      <c r="A342" s="49" t="s">
        <v>472</v>
      </c>
      <c r="C342" s="49">
        <v>24024</v>
      </c>
      <c r="D342" s="79">
        <v>46084</v>
      </c>
      <c r="E342" s="82">
        <v>0</v>
      </c>
      <c r="F342" s="49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spans="1:26" ht="15.75">
      <c r="A343" s="49" t="s">
        <v>472</v>
      </c>
      <c r="C343" s="49">
        <v>24534</v>
      </c>
      <c r="D343" s="79">
        <v>46085</v>
      </c>
      <c r="E343" s="82">
        <v>0</v>
      </c>
      <c r="F343" s="49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spans="1:26" ht="15.75">
      <c r="A344" s="49" t="s">
        <v>472</v>
      </c>
      <c r="C344" s="49">
        <v>24975</v>
      </c>
      <c r="D344" s="79">
        <v>46086</v>
      </c>
      <c r="E344" s="82">
        <v>0</v>
      </c>
      <c r="F344" s="49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spans="1:26" ht="15.75">
      <c r="A345" s="49" t="s">
        <v>472</v>
      </c>
      <c r="C345" s="49" t="s">
        <v>657</v>
      </c>
      <c r="D345" s="79">
        <v>46086</v>
      </c>
      <c r="E345" s="82">
        <v>0</v>
      </c>
      <c r="F345" s="49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spans="1:26" ht="15.75">
      <c r="A346" s="49" t="s">
        <v>472</v>
      </c>
      <c r="C346" s="49">
        <v>25433</v>
      </c>
      <c r="D346" s="79">
        <v>46087</v>
      </c>
      <c r="E346" s="82">
        <v>0</v>
      </c>
      <c r="F346" s="49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spans="1:26" ht="15.75">
      <c r="A347" s="87" t="s">
        <v>472</v>
      </c>
      <c r="B347" s="87" t="s">
        <v>658</v>
      </c>
      <c r="C347" s="87"/>
      <c r="D347" s="94">
        <v>46091</v>
      </c>
      <c r="E347" s="97">
        <v>148774</v>
      </c>
      <c r="F347" s="96">
        <v>46101</v>
      </c>
      <c r="G347" s="48" t="s">
        <v>659</v>
      </c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spans="1:26" ht="15.75">
      <c r="A348" s="49" t="s">
        <v>472</v>
      </c>
      <c r="C348" s="49">
        <v>25866</v>
      </c>
      <c r="D348" s="79">
        <v>46090</v>
      </c>
      <c r="E348" s="82">
        <v>0</v>
      </c>
      <c r="F348" s="49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spans="1:26" ht="15.75">
      <c r="A349" s="49" t="s">
        <v>472</v>
      </c>
      <c r="C349" s="49">
        <v>26891</v>
      </c>
      <c r="D349" s="79">
        <v>46091</v>
      </c>
      <c r="E349" s="82">
        <v>0</v>
      </c>
      <c r="F349" s="49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spans="1:26" ht="15.75">
      <c r="A350" s="49" t="s">
        <v>472</v>
      </c>
      <c r="C350" s="49">
        <v>27323</v>
      </c>
      <c r="D350" s="79">
        <v>46092</v>
      </c>
      <c r="E350" s="82">
        <v>0</v>
      </c>
      <c r="F350" s="49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spans="1:26" ht="15.75">
      <c r="A351" s="49" t="s">
        <v>472</v>
      </c>
      <c r="C351" s="49">
        <v>27775</v>
      </c>
      <c r="D351" s="79">
        <v>46093</v>
      </c>
      <c r="E351" s="82">
        <v>0</v>
      </c>
      <c r="F351" s="49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spans="1:26" ht="15.75">
      <c r="A352" s="49" t="s">
        <v>472</v>
      </c>
      <c r="C352" s="49" t="s">
        <v>660</v>
      </c>
      <c r="D352" s="79">
        <v>46093</v>
      </c>
      <c r="E352" s="82">
        <v>0</v>
      </c>
      <c r="F352" s="49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spans="1:26" ht="15.75">
      <c r="A353" s="49" t="s">
        <v>472</v>
      </c>
      <c r="C353" s="49">
        <v>28533</v>
      </c>
      <c r="D353" s="79">
        <v>46094</v>
      </c>
      <c r="E353" s="82">
        <v>0</v>
      </c>
      <c r="F353" s="49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spans="1:26" ht="15.75">
      <c r="A354" s="87" t="s">
        <v>472</v>
      </c>
      <c r="B354" s="87" t="s">
        <v>661</v>
      </c>
      <c r="C354" s="87"/>
      <c r="D354" s="94">
        <v>46098</v>
      </c>
      <c r="E354" s="97">
        <v>219278</v>
      </c>
      <c r="F354" s="96">
        <v>46108</v>
      </c>
      <c r="G354" s="48" t="s">
        <v>662</v>
      </c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spans="1:26" ht="15.75">
      <c r="A355" s="49" t="s">
        <v>472</v>
      </c>
      <c r="C355" s="49">
        <v>28876</v>
      </c>
      <c r="D355" s="79">
        <v>46097</v>
      </c>
      <c r="E355" s="82">
        <v>0</v>
      </c>
      <c r="F355" s="49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spans="1:26" ht="15.75">
      <c r="A356" s="49" t="s">
        <v>472</v>
      </c>
      <c r="C356" s="49">
        <v>29467</v>
      </c>
      <c r="D356" s="79">
        <v>46098</v>
      </c>
      <c r="E356" s="82">
        <v>0</v>
      </c>
      <c r="F356" s="49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spans="1:26" ht="15.75">
      <c r="A357" s="49" t="s">
        <v>472</v>
      </c>
      <c r="C357" s="49">
        <v>29920</v>
      </c>
      <c r="D357" s="79">
        <v>46099</v>
      </c>
      <c r="E357" s="82">
        <v>0</v>
      </c>
      <c r="F357" s="49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spans="1:26" ht="15.75">
      <c r="A358" s="49" t="s">
        <v>472</v>
      </c>
      <c r="C358" s="49">
        <v>30382</v>
      </c>
      <c r="D358" s="79">
        <v>46100</v>
      </c>
      <c r="E358" s="82">
        <v>0</v>
      </c>
      <c r="F358" s="49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spans="1:26" ht="15.75">
      <c r="A359" s="49" t="s">
        <v>472</v>
      </c>
      <c r="C359" s="49" t="s">
        <v>663</v>
      </c>
      <c r="D359" s="79">
        <v>46100</v>
      </c>
      <c r="E359" s="82">
        <v>0</v>
      </c>
      <c r="F359" s="49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spans="1:26" ht="15.75">
      <c r="A360" s="49" t="s">
        <v>472</v>
      </c>
      <c r="C360" s="49">
        <v>30855</v>
      </c>
      <c r="D360" s="79">
        <v>46101</v>
      </c>
      <c r="E360" s="82">
        <v>0</v>
      </c>
      <c r="F360" s="49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spans="1:26" ht="15.75">
      <c r="A361" s="87" t="s">
        <v>472</v>
      </c>
      <c r="B361" s="87" t="s">
        <v>664</v>
      </c>
      <c r="C361" s="87"/>
      <c r="D361" s="94">
        <v>46105</v>
      </c>
      <c r="E361" s="97">
        <v>162212</v>
      </c>
      <c r="F361" s="96">
        <v>46115</v>
      </c>
      <c r="G361" s="78" t="s">
        <v>665</v>
      </c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spans="1:26" ht="15.75">
      <c r="A362" s="49" t="s">
        <v>472</v>
      </c>
      <c r="C362" s="49">
        <v>31821</v>
      </c>
      <c r="D362" s="79">
        <v>46104</v>
      </c>
      <c r="E362" s="82">
        <v>0</v>
      </c>
      <c r="F362" s="49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spans="1:26" ht="15.75">
      <c r="A363" s="49" t="s">
        <v>472</v>
      </c>
      <c r="C363" s="49">
        <v>32219</v>
      </c>
      <c r="D363" s="79">
        <v>46105</v>
      </c>
      <c r="E363" s="82">
        <v>0</v>
      </c>
      <c r="F363" s="49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spans="1:26" ht="15.75">
      <c r="A364" s="49" t="s">
        <v>472</v>
      </c>
      <c r="C364" s="49">
        <v>32695</v>
      </c>
      <c r="D364" s="79">
        <v>46106</v>
      </c>
      <c r="E364" s="82">
        <v>0</v>
      </c>
      <c r="F364" s="49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spans="1:26" ht="15.75">
      <c r="A365" s="49" t="s">
        <v>472</v>
      </c>
      <c r="C365" s="49" t="s">
        <v>666</v>
      </c>
      <c r="D365" s="79">
        <v>46107</v>
      </c>
      <c r="E365" s="82">
        <v>0</v>
      </c>
      <c r="F365" s="49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spans="1:26" ht="15.75">
      <c r="A366" s="49" t="s">
        <v>472</v>
      </c>
      <c r="C366" s="49">
        <v>33208</v>
      </c>
      <c r="D366" s="79">
        <v>46107</v>
      </c>
      <c r="E366" s="82">
        <v>0</v>
      </c>
      <c r="F366" s="49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spans="1:26" ht="15.75">
      <c r="A367" s="49" t="s">
        <v>472</v>
      </c>
      <c r="C367" s="49">
        <v>33655</v>
      </c>
      <c r="D367" s="79">
        <v>46108</v>
      </c>
      <c r="E367" s="82">
        <v>0</v>
      </c>
      <c r="F367" s="49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spans="1:26" ht="15.75">
      <c r="A368" s="87" t="s">
        <v>472</v>
      </c>
      <c r="B368" s="87" t="s">
        <v>667</v>
      </c>
      <c r="C368" s="87"/>
      <c r="D368" s="94">
        <v>46112</v>
      </c>
      <c r="E368" s="97">
        <v>215487</v>
      </c>
      <c r="F368" s="96">
        <v>46122</v>
      </c>
      <c r="G368" s="78" t="s">
        <v>668</v>
      </c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spans="1:26" ht="15.75">
      <c r="A369" s="49" t="s">
        <v>472</v>
      </c>
      <c r="C369" s="49">
        <v>34440</v>
      </c>
      <c r="D369" s="79">
        <v>46111</v>
      </c>
      <c r="E369" s="82">
        <v>23415</v>
      </c>
      <c r="F369" s="49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spans="1:26" ht="15.75">
      <c r="A370" s="49" t="s">
        <v>472</v>
      </c>
      <c r="C370" s="49">
        <v>35298</v>
      </c>
      <c r="D370" s="79">
        <v>46112</v>
      </c>
      <c r="E370" s="82">
        <v>18779</v>
      </c>
      <c r="F370" s="49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spans="1:26" ht="15.75">
      <c r="A371" s="49" t="s">
        <v>464</v>
      </c>
      <c r="B371" s="49" t="s">
        <v>669</v>
      </c>
      <c r="D371" s="79">
        <v>46083</v>
      </c>
      <c r="E371" s="82">
        <v>226554</v>
      </c>
      <c r="F371" s="93">
        <v>46091</v>
      </c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spans="1:26" ht="15.75">
      <c r="A372" s="49" t="s">
        <v>464</v>
      </c>
      <c r="B372" s="49" t="s">
        <v>670</v>
      </c>
      <c r="D372" s="79">
        <v>46083</v>
      </c>
      <c r="E372" s="82">
        <v>32526</v>
      </c>
      <c r="F372" s="93">
        <v>46091</v>
      </c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spans="1:26" ht="15.75">
      <c r="A373" s="49" t="s">
        <v>464</v>
      </c>
      <c r="B373" s="49" t="s">
        <v>671</v>
      </c>
      <c r="D373" s="79">
        <v>46090</v>
      </c>
      <c r="E373" s="82">
        <v>159058</v>
      </c>
      <c r="F373" s="93">
        <v>46098</v>
      </c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spans="1:26" ht="15.75">
      <c r="A374" s="49" t="s">
        <v>464</v>
      </c>
      <c r="B374" s="49" t="s">
        <v>672</v>
      </c>
      <c r="D374" s="79">
        <v>46097</v>
      </c>
      <c r="E374" s="82">
        <v>16519</v>
      </c>
      <c r="F374" s="93">
        <v>46105</v>
      </c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spans="1:26" ht="15.75">
      <c r="A375" s="49" t="s">
        <v>464</v>
      </c>
      <c r="B375" s="49" t="s">
        <v>673</v>
      </c>
      <c r="D375" s="79">
        <v>46097</v>
      </c>
      <c r="E375" s="82">
        <v>155354</v>
      </c>
      <c r="F375" s="93">
        <v>46105</v>
      </c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spans="1:26" ht="15.75">
      <c r="A376" s="49" t="s">
        <v>464</v>
      </c>
      <c r="B376" s="49" t="s">
        <v>674</v>
      </c>
      <c r="D376" s="79">
        <v>46104</v>
      </c>
      <c r="E376" s="82">
        <v>145941</v>
      </c>
      <c r="F376" s="93">
        <v>46112</v>
      </c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spans="1:26" ht="15.75">
      <c r="A377" s="49" t="s">
        <v>464</v>
      </c>
      <c r="B377" s="49" t="s">
        <v>675</v>
      </c>
      <c r="D377" s="79">
        <v>46104</v>
      </c>
      <c r="E377" s="82">
        <v>31523</v>
      </c>
      <c r="F377" s="93">
        <v>46112</v>
      </c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spans="1:26" ht="15.75">
      <c r="A378" s="49" t="s">
        <v>464</v>
      </c>
      <c r="B378" s="49" t="s">
        <v>676</v>
      </c>
      <c r="D378" s="79">
        <v>46111</v>
      </c>
      <c r="E378" s="82">
        <v>16519</v>
      </c>
      <c r="F378" s="93">
        <v>46119</v>
      </c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spans="1:26" ht="15.75">
      <c r="A379" s="49" t="s">
        <v>464</v>
      </c>
      <c r="B379" s="49" t="s">
        <v>677</v>
      </c>
      <c r="D379" s="79">
        <v>46111</v>
      </c>
      <c r="E379" s="82">
        <v>105791</v>
      </c>
      <c r="F379" s="93">
        <v>46119</v>
      </c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spans="1:26" ht="15.75">
      <c r="A380" s="49" t="s">
        <v>208</v>
      </c>
      <c r="B380" s="49" t="s">
        <v>678</v>
      </c>
      <c r="C380" s="49" t="s">
        <v>679</v>
      </c>
      <c r="D380" s="79">
        <v>46083</v>
      </c>
      <c r="E380" s="82">
        <v>139130</v>
      </c>
      <c r="F380" s="93">
        <v>46091</v>
      </c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spans="1:26" ht="15.75">
      <c r="A381" s="49" t="s">
        <v>208</v>
      </c>
      <c r="B381" s="49" t="s">
        <v>680</v>
      </c>
      <c r="C381" s="49" t="s">
        <v>681</v>
      </c>
      <c r="D381" s="79">
        <v>46085</v>
      </c>
      <c r="E381" s="82">
        <v>55944</v>
      </c>
      <c r="F381" s="93">
        <v>46093</v>
      </c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spans="1:26" ht="15.75">
      <c r="A382" s="49" t="s">
        <v>577</v>
      </c>
      <c r="B382" s="49" t="s">
        <v>682</v>
      </c>
      <c r="C382" s="49" t="s">
        <v>683</v>
      </c>
      <c r="D382" s="79">
        <v>46087</v>
      </c>
      <c r="E382" s="82">
        <v>83916</v>
      </c>
      <c r="F382" s="93">
        <v>46095</v>
      </c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spans="1:26" ht="15.75">
      <c r="A383" s="49" t="s">
        <v>577</v>
      </c>
      <c r="B383" s="49" t="s">
        <v>684</v>
      </c>
      <c r="C383" s="49" t="s">
        <v>685</v>
      </c>
      <c r="D383" s="79">
        <v>46090</v>
      </c>
      <c r="E383" s="82">
        <v>83186</v>
      </c>
      <c r="F383" s="93">
        <v>46098</v>
      </c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spans="1:26" ht="15.75">
      <c r="A384" s="49" t="s">
        <v>577</v>
      </c>
      <c r="B384" s="49" t="s">
        <v>686</v>
      </c>
      <c r="C384" s="49" t="s">
        <v>687</v>
      </c>
      <c r="D384" s="79">
        <v>46097</v>
      </c>
      <c r="E384" s="82">
        <v>83916</v>
      </c>
      <c r="F384" s="93">
        <v>46105</v>
      </c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spans="1:26" ht="15.75">
      <c r="A385" s="49" t="s">
        <v>577</v>
      </c>
      <c r="B385" s="49" t="s">
        <v>688</v>
      </c>
      <c r="C385" s="49" t="s">
        <v>689</v>
      </c>
      <c r="D385" s="79">
        <v>46098</v>
      </c>
      <c r="E385" s="82">
        <v>74105</v>
      </c>
      <c r="F385" s="93">
        <v>46107</v>
      </c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spans="1:26" ht="15.75">
      <c r="A386" s="49" t="s">
        <v>577</v>
      </c>
      <c r="B386" s="49" t="s">
        <v>690</v>
      </c>
      <c r="C386" s="49" t="s">
        <v>691</v>
      </c>
      <c r="D386" s="79">
        <v>46101</v>
      </c>
      <c r="E386" s="82">
        <v>83916</v>
      </c>
      <c r="F386" s="93">
        <v>46109</v>
      </c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spans="1:26" ht="15.75">
      <c r="A387" s="49" t="s">
        <v>577</v>
      </c>
      <c r="B387" s="49" t="s">
        <v>692</v>
      </c>
      <c r="C387" s="49" t="s">
        <v>693</v>
      </c>
      <c r="D387" s="79">
        <v>46106</v>
      </c>
      <c r="E387" s="82">
        <v>102077</v>
      </c>
      <c r="F387" s="93">
        <v>46114</v>
      </c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spans="1:26" ht="15.75">
      <c r="A388" s="49" t="s">
        <v>577</v>
      </c>
      <c r="B388" s="49" t="s">
        <v>694</v>
      </c>
      <c r="C388" s="49" t="s">
        <v>695</v>
      </c>
      <c r="D388" s="79">
        <v>46108</v>
      </c>
      <c r="E388" s="82">
        <v>130049</v>
      </c>
      <c r="F388" s="93">
        <v>46119</v>
      </c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spans="1:26" ht="15.75">
      <c r="A389" s="49" t="s">
        <v>696</v>
      </c>
      <c r="B389" s="49" t="s">
        <v>697</v>
      </c>
      <c r="D389" s="79">
        <v>46085</v>
      </c>
      <c r="E389" s="82">
        <v>141750</v>
      </c>
      <c r="F389" s="93">
        <v>46093</v>
      </c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spans="1:26" ht="15.75">
      <c r="A390" s="49" t="s">
        <v>698</v>
      </c>
      <c r="B390" s="49" t="s">
        <v>699</v>
      </c>
      <c r="D390" s="79">
        <v>46094</v>
      </c>
      <c r="E390" s="82">
        <v>256834</v>
      </c>
      <c r="F390" s="93">
        <v>46102</v>
      </c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spans="1:26" ht="15.75">
      <c r="E391" s="92">
        <f>SUM(E290:E390)</f>
        <v>8529269</v>
      </c>
      <c r="F391" s="49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spans="1:26" ht="15.75">
      <c r="A392" s="188" t="s">
        <v>170</v>
      </c>
      <c r="B392" s="188"/>
      <c r="C392" s="188"/>
      <c r="D392" s="188"/>
      <c r="E392" s="188"/>
      <c r="F392" s="188"/>
      <c r="G392" s="188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</row>
    <row r="393" spans="1:26" ht="15.75">
      <c r="A393" s="189" t="s">
        <v>22</v>
      </c>
      <c r="B393" s="189"/>
      <c r="C393" s="189"/>
      <c r="D393" s="189"/>
      <c r="E393" s="189"/>
      <c r="F393" s="189"/>
      <c r="G393" s="189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</row>
    <row r="394" spans="1:26" ht="15.75">
      <c r="A394" s="2" t="s">
        <v>176</v>
      </c>
      <c r="B394" s="2">
        <v>617048368</v>
      </c>
      <c r="C394"/>
      <c r="D394" s="41">
        <v>46113</v>
      </c>
      <c r="E394" s="32">
        <v>409357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</row>
    <row r="395" spans="1:26" ht="15.75">
      <c r="A395" s="2" t="s">
        <v>176</v>
      </c>
      <c r="B395">
        <v>617049490</v>
      </c>
      <c r="C395"/>
      <c r="D395" s="185">
        <v>46114</v>
      </c>
      <c r="E395">
        <v>175227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</row>
    <row r="396" spans="1:26" ht="15.7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</row>
    <row r="397" spans="1:26" ht="15.7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</row>
    <row r="398" spans="1:26" ht="15.7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</row>
    <row r="399" spans="1:26" ht="15.7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</row>
    <row r="400" spans="1:26" ht="15.75">
      <c r="A400" s="188" t="s">
        <v>170</v>
      </c>
      <c r="B400" s="188"/>
      <c r="C400" s="188"/>
      <c r="D400" s="188"/>
      <c r="E400" s="188"/>
      <c r="F400" s="188"/>
      <c r="G400" s="188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</row>
    <row r="401" spans="1:26" ht="15.75">
      <c r="A401" s="189" t="s">
        <v>43</v>
      </c>
      <c r="B401" s="189"/>
      <c r="C401" s="189"/>
      <c r="D401" s="189"/>
      <c r="E401" s="189"/>
      <c r="F401" s="189"/>
      <c r="G401" s="189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</row>
    <row r="402" spans="1:26" ht="15.75">
      <c r="A402" s="48"/>
      <c r="B402" s="48"/>
      <c r="C402" s="48"/>
      <c r="D402" s="69"/>
      <c r="E402" s="60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spans="1:26" ht="15.75">
      <c r="A403" s="48"/>
      <c r="B403" s="48"/>
      <c r="C403" s="48"/>
      <c r="D403" s="69"/>
      <c r="E403" s="60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spans="1:26" ht="15.75">
      <c r="A404" s="48"/>
      <c r="B404" s="48"/>
      <c r="C404" s="48"/>
      <c r="D404" s="69"/>
      <c r="E404" s="60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spans="1:26" ht="15.75">
      <c r="A405" s="48"/>
      <c r="B405" s="48"/>
      <c r="C405" s="48"/>
      <c r="D405" s="69"/>
      <c r="E405" s="60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spans="1:26" ht="15.75">
      <c r="A406" s="48" t="s">
        <v>417</v>
      </c>
      <c r="B406" s="48"/>
      <c r="C406" s="48">
        <v>8929752193</v>
      </c>
      <c r="D406" s="69">
        <v>46114</v>
      </c>
      <c r="E406" s="60">
        <v>484118</v>
      </c>
      <c r="F406" s="186">
        <v>46128</v>
      </c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spans="1:26" ht="15.75">
      <c r="A407" s="48"/>
      <c r="B407" s="48"/>
      <c r="C407" s="48"/>
      <c r="D407" s="69"/>
      <c r="E407" s="60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spans="1:26" ht="15.75">
      <c r="A408" s="48"/>
      <c r="B408" s="48"/>
      <c r="C408" s="48"/>
      <c r="D408" s="69"/>
      <c r="E408" s="60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spans="1:26" ht="15.75">
      <c r="A409" s="48"/>
      <c r="B409" s="48"/>
      <c r="C409" s="48"/>
      <c r="D409" s="69"/>
      <c r="E409" s="60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spans="1:26" ht="15.75">
      <c r="A410" s="48"/>
      <c r="B410" s="48"/>
      <c r="C410" s="48"/>
      <c r="D410" s="69"/>
      <c r="E410" s="60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spans="1:26" ht="15.75">
      <c r="A411" s="48"/>
      <c r="B411" s="48"/>
      <c r="C411" s="48"/>
      <c r="D411" s="69"/>
      <c r="E411" s="60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spans="1:26" ht="15.75">
      <c r="A412" s="48"/>
      <c r="B412" s="48"/>
      <c r="C412" s="48"/>
      <c r="D412" s="69"/>
      <c r="E412" s="60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spans="1:26" ht="15.75">
      <c r="A413" s="48"/>
      <c r="B413" s="48"/>
      <c r="C413" s="48"/>
      <c r="D413" s="69"/>
      <c r="E413" s="60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spans="1:26" ht="15.75">
      <c r="A414" s="48"/>
      <c r="B414" s="48"/>
      <c r="C414" s="48"/>
      <c r="D414" s="69"/>
      <c r="E414" s="60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spans="1:26" ht="15.75">
      <c r="A415" s="48"/>
      <c r="B415" s="48"/>
      <c r="C415" s="48"/>
      <c r="D415" s="69"/>
      <c r="E415" s="60"/>
      <c r="F415" s="48"/>
      <c r="G415" s="48"/>
      <c r="H415" s="70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spans="1:26" ht="15.75">
      <c r="A416" s="48"/>
      <c r="B416" s="48"/>
      <c r="C416" s="48"/>
      <c r="D416" s="69"/>
      <c r="E416" s="60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spans="1:26" ht="15.75">
      <c r="A417" s="48" t="s">
        <v>612</v>
      </c>
      <c r="B417" s="48"/>
      <c r="C417" s="48" t="s">
        <v>700</v>
      </c>
      <c r="D417" s="69">
        <v>46113</v>
      </c>
      <c r="E417" s="60">
        <v>65844</v>
      </c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spans="1:26" ht="15.75">
      <c r="A418" s="48" t="s">
        <v>612</v>
      </c>
      <c r="B418" s="48"/>
      <c r="C418" s="48" t="s">
        <v>701</v>
      </c>
      <c r="D418" s="69">
        <v>46114</v>
      </c>
      <c r="E418" s="60">
        <v>45268</v>
      </c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spans="1:26" ht="15.75">
      <c r="A419" s="48"/>
      <c r="B419" s="48"/>
      <c r="C419" s="48"/>
      <c r="D419" s="69"/>
      <c r="E419" s="60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spans="1:26" ht="15.75">
      <c r="A420" s="48"/>
      <c r="B420" s="48"/>
      <c r="C420" s="48"/>
      <c r="D420" s="69"/>
      <c r="E420" s="60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spans="1:26" ht="15.75">
      <c r="A421" s="48"/>
      <c r="B421" s="48"/>
      <c r="C421" s="48"/>
      <c r="D421" s="69"/>
      <c r="E421" s="60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spans="1:26" ht="15.75">
      <c r="A422" s="48"/>
      <c r="B422" s="48"/>
      <c r="C422" s="48"/>
      <c r="D422" s="69"/>
      <c r="E422" s="60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spans="1:26" ht="15.75">
      <c r="A423" s="48"/>
      <c r="B423" s="48"/>
      <c r="C423" s="48"/>
      <c r="D423" s="69"/>
      <c r="E423" s="60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spans="1:26" ht="15.75">
      <c r="A424" s="48"/>
      <c r="B424" s="48"/>
      <c r="C424" s="48"/>
      <c r="D424" s="69"/>
      <c r="E424" s="60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spans="1:26" ht="15.75">
      <c r="A425" s="48"/>
      <c r="B425" s="48"/>
      <c r="C425" s="48"/>
      <c r="D425" s="69"/>
      <c r="E425" s="60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spans="1:26" ht="15.75">
      <c r="A426" s="48"/>
      <c r="B426" s="48"/>
      <c r="C426" s="48"/>
      <c r="D426" s="69"/>
      <c r="E426" s="60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spans="1:26" ht="15.75">
      <c r="A427" s="48"/>
      <c r="B427" s="48"/>
      <c r="C427" s="48"/>
      <c r="D427" s="69"/>
      <c r="E427" s="60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spans="1:26" ht="15.75">
      <c r="A428" s="48"/>
      <c r="B428" s="48"/>
      <c r="C428" s="48"/>
      <c r="D428" s="69"/>
      <c r="E428" s="60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spans="1:26" ht="15.75">
      <c r="A429" s="48"/>
      <c r="B429" s="48"/>
      <c r="C429" s="48"/>
      <c r="D429" s="69"/>
      <c r="E429" s="60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spans="1:26" ht="15.75">
      <c r="A430" s="48"/>
      <c r="B430" s="48"/>
      <c r="C430" s="48"/>
      <c r="D430" s="69"/>
      <c r="E430" s="60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spans="1:26" ht="15.75">
      <c r="A431" s="48"/>
      <c r="B431" s="48"/>
      <c r="C431" s="48"/>
      <c r="D431" s="69"/>
      <c r="E431" s="60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spans="1:26" ht="15.75">
      <c r="A432" s="48"/>
      <c r="B432" s="48"/>
      <c r="C432" s="48"/>
      <c r="D432" s="69"/>
      <c r="E432" s="60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spans="1:26" ht="15.75">
      <c r="A433" s="48"/>
      <c r="B433" s="48"/>
      <c r="C433" s="48"/>
      <c r="D433" s="69"/>
      <c r="E433" s="60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spans="1:26" ht="15.75">
      <c r="A434" s="48" t="s">
        <v>472</v>
      </c>
      <c r="B434" s="48"/>
      <c r="C434" s="48">
        <v>35774</v>
      </c>
      <c r="D434" s="69">
        <v>46113</v>
      </c>
      <c r="E434" s="60">
        <v>17169</v>
      </c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spans="1:26" ht="15.75">
      <c r="A435" s="48" t="s">
        <v>472</v>
      </c>
      <c r="B435" s="48"/>
      <c r="C435" s="48" t="s">
        <v>702</v>
      </c>
      <c r="D435" s="69">
        <v>46114</v>
      </c>
      <c r="E435" s="60">
        <v>92075</v>
      </c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spans="1:26" ht="15.75">
      <c r="A436" s="48" t="s">
        <v>472</v>
      </c>
      <c r="B436" s="48"/>
      <c r="C436" s="48">
        <v>36073</v>
      </c>
      <c r="D436" s="69">
        <v>46114</v>
      </c>
      <c r="E436" s="60">
        <v>15257</v>
      </c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spans="1:26" ht="15.75">
      <c r="A437" s="48"/>
      <c r="B437" s="48"/>
      <c r="C437" s="48"/>
      <c r="D437" s="69"/>
      <c r="E437" s="60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spans="1:26" ht="15.75">
      <c r="A438" s="48"/>
      <c r="B438" s="48"/>
      <c r="C438" s="48"/>
      <c r="D438" s="69"/>
      <c r="E438" s="60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spans="1:26" ht="15.75">
      <c r="A439" s="48"/>
      <c r="B439" s="48"/>
      <c r="C439" s="48"/>
      <c r="D439" s="69"/>
      <c r="E439" s="60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spans="1:26" ht="15.75">
      <c r="A440" s="48"/>
      <c r="B440" s="48"/>
      <c r="C440" s="48"/>
      <c r="D440" s="69"/>
      <c r="E440" s="60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spans="1:26" ht="15.75">
      <c r="A441" s="48"/>
      <c r="B441" s="48"/>
      <c r="C441" s="48"/>
      <c r="D441" s="69"/>
      <c r="E441" s="60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spans="1:26" ht="15.75">
      <c r="A442" s="48"/>
      <c r="B442" s="48"/>
      <c r="C442" s="48"/>
      <c r="D442" s="69"/>
      <c r="E442" s="60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spans="1:26" ht="15.75">
      <c r="A443" s="48"/>
      <c r="B443" s="48"/>
      <c r="C443" s="48"/>
      <c r="D443" s="69"/>
      <c r="E443" s="60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spans="1:26" ht="15.75">
      <c r="A444" s="48"/>
      <c r="B444" s="48"/>
      <c r="C444" s="48"/>
      <c r="D444" s="69"/>
      <c r="E444" s="60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spans="1:26" ht="15.75">
      <c r="A445" s="48" t="s">
        <v>463</v>
      </c>
      <c r="B445" s="48"/>
      <c r="C445" s="48">
        <v>1011829031</v>
      </c>
      <c r="D445" s="69">
        <v>46113</v>
      </c>
      <c r="E445" s="60">
        <v>233495</v>
      </c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spans="1:26" ht="15.75">
      <c r="A446" s="48"/>
      <c r="B446" s="48"/>
      <c r="C446" s="48"/>
      <c r="D446" s="69"/>
      <c r="E446" s="60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spans="1:26" ht="15.75">
      <c r="A447" s="48"/>
      <c r="B447" s="48"/>
      <c r="C447" s="48"/>
      <c r="D447" s="69"/>
      <c r="E447" s="60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spans="1:26" ht="15.75">
      <c r="A448" s="48"/>
      <c r="B448" s="48"/>
      <c r="C448" s="48"/>
      <c r="D448" s="69"/>
      <c r="E448" s="60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spans="1:26" ht="15.75">
      <c r="A449" s="48"/>
      <c r="B449" s="48"/>
      <c r="C449" s="48"/>
      <c r="D449" s="69"/>
      <c r="E449" s="60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spans="1:26" ht="15.75">
      <c r="A450" s="48"/>
      <c r="B450" s="48"/>
      <c r="C450" s="48"/>
      <c r="D450" s="69"/>
      <c r="E450" s="60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spans="1:26" ht="15.75">
      <c r="A451" s="48"/>
      <c r="B451" s="48"/>
      <c r="C451" s="48"/>
      <c r="D451" s="69"/>
      <c r="E451" s="60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spans="1:26" ht="15.75">
      <c r="A452" s="48"/>
      <c r="B452" s="48"/>
      <c r="C452" s="48"/>
      <c r="D452" s="69"/>
      <c r="E452" s="60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spans="1:26" ht="15.75">
      <c r="A453" s="48"/>
      <c r="B453" s="48"/>
      <c r="C453" s="48"/>
      <c r="D453" s="69"/>
      <c r="E453" s="60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spans="1:26" ht="15.75">
      <c r="A454" s="48"/>
      <c r="B454" s="48"/>
      <c r="C454" s="48"/>
      <c r="D454" s="69"/>
      <c r="E454" s="60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spans="1:26" ht="15.75">
      <c r="A455" s="48"/>
      <c r="B455" s="48"/>
      <c r="C455" s="48"/>
      <c r="D455" s="69"/>
      <c r="E455" s="60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spans="1:26" ht="15.75">
      <c r="A456" s="48"/>
      <c r="B456" s="48"/>
      <c r="C456" s="48"/>
      <c r="D456" s="69"/>
      <c r="E456" s="60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spans="1:26" ht="15.75">
      <c r="A457" s="48"/>
      <c r="B457" s="48"/>
      <c r="C457" s="48"/>
      <c r="D457" s="69"/>
      <c r="E457" s="60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spans="1:26" ht="15.75">
      <c r="A458" s="48"/>
      <c r="B458" s="48"/>
      <c r="C458" s="48"/>
      <c r="D458" s="69"/>
      <c r="E458" s="60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spans="1:26" ht="15.75">
      <c r="A459" s="48"/>
      <c r="B459" s="48"/>
      <c r="C459" s="48"/>
      <c r="D459" s="69"/>
      <c r="E459" s="60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spans="1:26" ht="15.75">
      <c r="A460" s="48"/>
      <c r="B460" s="48"/>
      <c r="C460" s="48"/>
      <c r="D460" s="69"/>
      <c r="E460" s="60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spans="1:26" ht="15.75">
      <c r="A461" s="48"/>
      <c r="B461" s="48"/>
      <c r="C461" s="48"/>
      <c r="D461" s="69"/>
      <c r="E461" s="60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spans="1:26" ht="15.75">
      <c r="A462" s="48"/>
      <c r="B462" s="48"/>
      <c r="C462" s="48"/>
      <c r="D462" s="69"/>
      <c r="E462" s="60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spans="1:26" ht="15.75">
      <c r="A463" s="48"/>
      <c r="B463" s="48"/>
      <c r="C463" s="48"/>
      <c r="D463" s="69"/>
      <c r="E463" s="60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spans="1:26" ht="15.75">
      <c r="A464" s="48"/>
      <c r="B464" s="48"/>
      <c r="C464" s="48"/>
      <c r="D464" s="69"/>
      <c r="E464" s="60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spans="1:26" ht="15.75">
      <c r="A465" s="48"/>
      <c r="B465" s="48"/>
      <c r="C465" s="48"/>
      <c r="D465" s="69"/>
      <c r="E465" s="60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spans="1:26" ht="15.75">
      <c r="A466" s="48"/>
      <c r="B466" s="48"/>
      <c r="C466" s="48"/>
      <c r="D466" s="69"/>
      <c r="E466" s="60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spans="1:26" ht="15.75">
      <c r="A467" s="48"/>
      <c r="B467" s="48"/>
      <c r="C467" s="48"/>
      <c r="D467" s="69"/>
      <c r="E467" s="60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spans="1:26" ht="15.75">
      <c r="A468" s="48"/>
      <c r="B468" s="48"/>
      <c r="C468" s="48"/>
      <c r="D468" s="69"/>
      <c r="E468" s="60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spans="1:26" ht="15.75">
      <c r="A469" s="48"/>
      <c r="B469" s="48"/>
      <c r="C469" s="48"/>
      <c r="D469" s="69"/>
      <c r="E469" s="60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spans="1:26" ht="15.75">
      <c r="A470" s="48"/>
      <c r="B470" s="48"/>
      <c r="C470" s="48"/>
      <c r="D470" s="69"/>
      <c r="E470" s="60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spans="1:26" ht="15.75">
      <c r="A471" s="48"/>
      <c r="B471" s="48"/>
      <c r="C471" s="48"/>
      <c r="D471" s="69"/>
      <c r="E471" s="60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spans="1:26" ht="15.75">
      <c r="A472" s="48"/>
      <c r="B472" s="48"/>
      <c r="C472" s="48"/>
      <c r="D472" s="69"/>
      <c r="E472" s="60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spans="1:26" ht="15.75">
      <c r="A473" s="48"/>
      <c r="B473" s="48"/>
      <c r="C473" s="48"/>
      <c r="D473" s="69"/>
      <c r="E473" s="60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spans="1:26" ht="15.75">
      <c r="A474" s="48"/>
      <c r="B474" s="48"/>
      <c r="C474" s="48"/>
      <c r="D474" s="69"/>
      <c r="E474" s="60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spans="1:26" ht="15.75">
      <c r="A475" s="48"/>
      <c r="B475" s="48"/>
      <c r="C475" s="48"/>
      <c r="D475" s="69"/>
      <c r="E475" s="60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spans="1:26" ht="15.75">
      <c r="A476" s="48"/>
      <c r="B476" s="48"/>
      <c r="C476" s="48"/>
      <c r="D476" s="69"/>
      <c r="E476" s="60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spans="1:26" ht="15.75">
      <c r="A477" s="48"/>
      <c r="B477" s="48"/>
      <c r="C477" s="48"/>
      <c r="D477" s="69"/>
      <c r="E477" s="60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spans="1:26" ht="15.75">
      <c r="A478" s="48"/>
      <c r="B478" s="48"/>
      <c r="C478" s="48"/>
      <c r="D478" s="69"/>
      <c r="E478" s="60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spans="1:26" ht="15.75">
      <c r="A479" s="48"/>
      <c r="B479" s="48"/>
      <c r="C479" s="48"/>
      <c r="D479" s="69"/>
      <c r="E479" s="60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spans="1:26" ht="15.75">
      <c r="A480" s="48"/>
      <c r="B480" s="48"/>
      <c r="C480" s="48"/>
      <c r="D480" s="69"/>
      <c r="E480" s="60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spans="1:26" ht="15.75">
      <c r="A481" s="48"/>
      <c r="B481" s="48"/>
      <c r="C481" s="48"/>
      <c r="D481" s="69"/>
      <c r="E481" s="60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spans="1:26" ht="15.75">
      <c r="A482" s="48"/>
      <c r="B482" s="48"/>
      <c r="C482" s="48"/>
      <c r="D482" s="69"/>
      <c r="E482" s="60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spans="1:26" ht="15.75">
      <c r="A483" s="48"/>
      <c r="B483" s="48"/>
      <c r="C483" s="48"/>
      <c r="D483" s="69"/>
      <c r="E483" s="60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spans="1:26" ht="15.75">
      <c r="A484" s="48"/>
      <c r="B484" s="48"/>
      <c r="C484" s="48"/>
      <c r="D484" s="69"/>
      <c r="E484" s="60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spans="1:26" ht="15.75">
      <c r="A485" s="48"/>
      <c r="B485" s="48"/>
      <c r="C485" s="48"/>
      <c r="D485" s="69"/>
      <c r="E485" s="60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spans="1:26" ht="15.75">
      <c r="A486" s="48"/>
      <c r="B486" s="48"/>
      <c r="C486" s="48"/>
      <c r="D486" s="69"/>
      <c r="E486" s="60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spans="1:26" ht="15.75">
      <c r="A487" s="48"/>
      <c r="B487" s="48"/>
      <c r="C487" s="48"/>
      <c r="D487" s="69"/>
      <c r="E487" s="60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spans="1:26" ht="15.75">
      <c r="A488" s="48"/>
      <c r="B488" s="48"/>
      <c r="C488" s="48"/>
      <c r="D488" s="69"/>
      <c r="E488" s="60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spans="1:26" ht="15.75">
      <c r="A489" s="48"/>
      <c r="B489" s="48"/>
      <c r="C489" s="48"/>
      <c r="D489" s="69"/>
      <c r="E489" s="60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spans="1:26" ht="15.75">
      <c r="A490" s="48"/>
      <c r="B490" s="48"/>
      <c r="C490" s="48"/>
      <c r="D490" s="69"/>
      <c r="E490" s="60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spans="1:26" ht="15.75">
      <c r="A491" s="48"/>
      <c r="B491" s="48"/>
      <c r="C491" s="48"/>
      <c r="D491" s="69"/>
      <c r="E491" s="60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spans="1:26" ht="15.75">
      <c r="A492" s="48"/>
      <c r="B492" s="48"/>
      <c r="C492" s="48"/>
      <c r="D492" s="69"/>
      <c r="E492" s="60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spans="1:26" ht="15.75">
      <c r="A493" s="48"/>
      <c r="B493" s="48"/>
      <c r="C493" s="48"/>
      <c r="D493" s="69"/>
      <c r="E493" s="60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spans="1:26" ht="15.75">
      <c r="A494" s="48"/>
      <c r="B494" s="48"/>
      <c r="C494" s="48"/>
      <c r="D494" s="69"/>
      <c r="E494" s="60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spans="1:26" ht="15.75">
      <c r="A495" s="48"/>
      <c r="B495" s="48"/>
      <c r="C495" s="48"/>
      <c r="D495" s="69"/>
      <c r="E495" s="60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spans="1:26" ht="15.75">
      <c r="A496" s="48"/>
      <c r="B496" s="48"/>
      <c r="C496" s="48"/>
      <c r="D496" s="69"/>
      <c r="E496" s="60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spans="1:26" ht="15.75">
      <c r="A497" s="48"/>
      <c r="B497" s="48"/>
      <c r="C497" s="48"/>
      <c r="D497" s="69"/>
      <c r="E497" s="60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spans="1:26" ht="15.75">
      <c r="A498" s="48"/>
      <c r="B498" s="48"/>
      <c r="C498" s="48"/>
      <c r="D498" s="69"/>
      <c r="E498" s="60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spans="1:26" ht="15.75">
      <c r="A499" s="48"/>
      <c r="B499" s="48"/>
      <c r="C499" s="48"/>
      <c r="D499" s="69"/>
      <c r="E499" s="60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spans="1:26" ht="15.75">
      <c r="A500" s="48"/>
      <c r="B500" s="48"/>
      <c r="C500" s="48"/>
      <c r="D500" s="69"/>
      <c r="E500" s="60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spans="1:26" ht="15.75">
      <c r="A501" s="48"/>
      <c r="B501" s="48"/>
      <c r="C501" s="48"/>
      <c r="D501" s="69"/>
      <c r="E501" s="60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spans="1:26" ht="15.75">
      <c r="A502" s="48"/>
      <c r="B502" s="48"/>
      <c r="C502" s="48"/>
      <c r="D502" s="69"/>
      <c r="E502" s="60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spans="1:26" ht="15.75">
      <c r="A503" s="48"/>
      <c r="B503" s="48"/>
      <c r="C503" s="48"/>
      <c r="D503" s="69"/>
      <c r="E503" s="60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spans="1:26" ht="15.75">
      <c r="A504" s="48"/>
      <c r="B504" s="48"/>
      <c r="C504" s="48"/>
      <c r="D504" s="69"/>
      <c r="E504" s="60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spans="1:26" ht="15.75">
      <c r="A505" s="48"/>
      <c r="B505" s="48"/>
      <c r="C505" s="48"/>
      <c r="D505" s="69"/>
      <c r="E505" s="60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spans="1:26" ht="15.75">
      <c r="A506" s="48"/>
      <c r="B506" s="48"/>
      <c r="C506" s="48"/>
      <c r="D506" s="69"/>
      <c r="E506" s="60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spans="1:26" ht="15.75">
      <c r="A507" s="48"/>
      <c r="B507" s="48"/>
      <c r="C507" s="48"/>
      <c r="D507" s="69"/>
      <c r="E507" s="60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spans="1:26" ht="15.75">
      <c r="A508" s="48"/>
      <c r="B508" s="48"/>
      <c r="C508" s="48"/>
      <c r="D508" s="69"/>
      <c r="E508" s="60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spans="1:26" ht="15.75">
      <c r="A509" s="48"/>
      <c r="B509" s="48"/>
      <c r="C509" s="48"/>
      <c r="D509" s="69"/>
      <c r="E509" s="60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spans="1:26" ht="15.75">
      <c r="A510" s="48"/>
      <c r="B510" s="48"/>
      <c r="C510" s="48"/>
      <c r="D510" s="69"/>
      <c r="E510" s="60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spans="1:26" ht="15.75">
      <c r="A511" s="48"/>
      <c r="B511" s="48"/>
      <c r="C511" s="48"/>
      <c r="D511" s="69"/>
      <c r="E511" s="60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spans="1:26" ht="15.75">
      <c r="A512" s="48"/>
      <c r="B512" s="48"/>
      <c r="C512" s="48"/>
      <c r="D512" s="69"/>
      <c r="E512" s="60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spans="1:26" ht="15.75">
      <c r="A513" s="48"/>
      <c r="B513" s="48"/>
      <c r="C513" s="48"/>
      <c r="D513" s="69"/>
      <c r="E513" s="60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spans="1:26" ht="15.75">
      <c r="A514" s="48"/>
      <c r="B514" s="48"/>
      <c r="C514" s="48"/>
      <c r="D514" s="69"/>
      <c r="E514" s="60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spans="1:26" ht="15.75">
      <c r="A515" s="48"/>
      <c r="B515" s="48"/>
      <c r="C515" s="48"/>
      <c r="D515" s="69"/>
      <c r="E515" s="60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spans="1:26" ht="15.75">
      <c r="A516" s="48"/>
      <c r="B516" s="48"/>
      <c r="C516" s="48"/>
      <c r="D516" s="69"/>
      <c r="E516" s="60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spans="1:26" ht="15.75">
      <c r="A517" s="48"/>
      <c r="B517" s="48"/>
      <c r="C517" s="48"/>
      <c r="D517" s="69"/>
      <c r="E517" s="60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spans="1:26" ht="15.75">
      <c r="A518" s="48"/>
      <c r="B518" s="48"/>
      <c r="C518" s="48"/>
      <c r="D518" s="69"/>
      <c r="E518" s="60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spans="1:26" ht="15.75">
      <c r="A519" s="48"/>
      <c r="B519" s="48"/>
      <c r="C519" s="48"/>
      <c r="D519" s="69"/>
      <c r="E519" s="60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spans="1:26" ht="15.75">
      <c r="A520" s="48"/>
      <c r="B520" s="48"/>
      <c r="C520" s="48"/>
      <c r="D520" s="69"/>
      <c r="E520" s="60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spans="1:26" ht="15.75">
      <c r="A521" s="48"/>
      <c r="B521" s="48"/>
      <c r="C521" s="48"/>
      <c r="D521" s="69"/>
      <c r="E521" s="60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spans="1:26" ht="15.75">
      <c r="A522" s="48"/>
      <c r="B522" s="48"/>
      <c r="C522" s="48"/>
      <c r="D522" s="69"/>
      <c r="E522" s="60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spans="1:26" ht="15.75">
      <c r="A523" s="48"/>
      <c r="B523" s="48"/>
      <c r="C523" s="48"/>
      <c r="D523" s="69"/>
      <c r="E523" s="60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spans="1:26" ht="15.75">
      <c r="A524" s="48"/>
      <c r="B524" s="48"/>
      <c r="C524" s="48"/>
      <c r="D524" s="69"/>
      <c r="E524" s="60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spans="1:26" ht="15.75">
      <c r="A525" s="48"/>
      <c r="B525" s="48"/>
      <c r="C525" s="48"/>
      <c r="D525" s="69"/>
      <c r="E525" s="60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spans="1:26" ht="15.75">
      <c r="A526" s="48"/>
      <c r="B526" s="48"/>
      <c r="C526" s="48"/>
      <c r="D526" s="69"/>
      <c r="E526" s="60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spans="1:26" ht="15.75">
      <c r="A527" s="48"/>
      <c r="B527" s="48"/>
      <c r="C527" s="48"/>
      <c r="D527" s="69"/>
      <c r="E527" s="60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spans="1:26" ht="15.75">
      <c r="A528" s="48"/>
      <c r="B528" s="48"/>
      <c r="C528" s="48"/>
      <c r="D528" s="69"/>
      <c r="E528" s="60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spans="1:26" ht="15.75">
      <c r="A529" s="48"/>
      <c r="B529" s="48"/>
      <c r="C529" s="48"/>
      <c r="D529" s="69"/>
      <c r="E529" s="60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spans="1:26" ht="15.75">
      <c r="A530" s="48"/>
      <c r="B530" s="48"/>
      <c r="C530" s="48"/>
      <c r="D530" s="69"/>
      <c r="E530" s="60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spans="1:26" ht="15.75">
      <c r="A531" s="48"/>
      <c r="B531" s="48"/>
      <c r="C531" s="48"/>
      <c r="D531" s="69"/>
      <c r="E531" s="60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spans="1:26" ht="15.75">
      <c r="A532" s="48"/>
      <c r="B532" s="48"/>
      <c r="C532" s="48"/>
      <c r="D532" s="69"/>
      <c r="E532" s="60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spans="1:26" ht="15.75">
      <c r="A533" s="48"/>
      <c r="B533" s="48"/>
      <c r="C533" s="48"/>
      <c r="D533" s="69"/>
      <c r="E533" s="60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spans="1:26" ht="15.75">
      <c r="A534" s="48"/>
      <c r="B534" s="48"/>
      <c r="C534" s="48"/>
      <c r="D534" s="69"/>
      <c r="E534" s="60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spans="1:26" ht="15.75">
      <c r="A535" s="48"/>
      <c r="B535" s="48"/>
      <c r="C535" s="48"/>
      <c r="D535" s="69"/>
      <c r="E535" s="60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spans="1:26" ht="15.75">
      <c r="A536" s="48"/>
      <c r="B536" s="48"/>
      <c r="C536" s="48"/>
      <c r="D536" s="69"/>
      <c r="E536" s="60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spans="1:26" ht="15.75">
      <c r="A537" s="48"/>
      <c r="B537" s="48"/>
      <c r="C537" s="48"/>
      <c r="D537" s="69"/>
      <c r="E537" s="60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spans="1:26" ht="15.75">
      <c r="A538" s="48"/>
      <c r="B538" s="48"/>
      <c r="C538" s="48"/>
      <c r="D538" s="69"/>
      <c r="E538" s="60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spans="1:26" ht="15.75">
      <c r="A539" s="48"/>
      <c r="B539" s="48"/>
      <c r="C539" s="48"/>
      <c r="D539" s="69"/>
      <c r="E539" s="60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spans="1:26" ht="15.75">
      <c r="A540" s="48"/>
      <c r="B540" s="48"/>
      <c r="C540" s="48"/>
      <c r="D540" s="69"/>
      <c r="E540" s="60"/>
      <c r="F540" s="48"/>
      <c r="G540" s="48"/>
      <c r="H540" s="71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spans="1:26" ht="15.75">
      <c r="A541" s="48"/>
      <c r="B541" s="48"/>
      <c r="C541" s="48"/>
      <c r="D541" s="69"/>
      <c r="E541" s="60"/>
      <c r="F541" s="48"/>
      <c r="G541" s="48"/>
      <c r="H541" s="72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spans="1:26" ht="15.75">
      <c r="A542" s="48"/>
      <c r="B542" s="48"/>
      <c r="C542" s="48"/>
      <c r="D542" s="69"/>
      <c r="E542" s="60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spans="1:26" ht="15.75">
      <c r="A543" s="48"/>
      <c r="B543" s="48"/>
      <c r="C543" s="48"/>
      <c r="D543" s="69"/>
      <c r="E543" s="60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spans="1:26" ht="15.75">
      <c r="A544" s="48"/>
      <c r="B544" s="48"/>
      <c r="C544" s="48"/>
      <c r="D544" s="69"/>
      <c r="E544" s="60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spans="1:26" ht="15.75">
      <c r="A545" s="48"/>
      <c r="B545" s="48"/>
      <c r="C545" s="48"/>
      <c r="D545" s="69"/>
      <c r="E545" s="60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spans="1:26" ht="15.75">
      <c r="A546" s="48"/>
      <c r="B546" s="48"/>
      <c r="C546" s="48"/>
      <c r="D546" s="69"/>
      <c r="E546" s="60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spans="1:26" ht="15.75">
      <c r="A547" s="48"/>
      <c r="B547" s="48"/>
      <c r="C547" s="48"/>
      <c r="D547" s="69"/>
      <c r="E547" s="60"/>
      <c r="F547" s="48"/>
      <c r="G547" s="48"/>
      <c r="H547" s="73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spans="1:26" ht="15.75">
      <c r="A548" s="48"/>
      <c r="B548" s="48"/>
      <c r="C548" s="48"/>
      <c r="D548" s="69"/>
      <c r="E548" s="60"/>
      <c r="F548" s="48"/>
      <c r="G548" s="48"/>
      <c r="H548" s="74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spans="1:26" ht="15.75">
      <c r="A549" s="48"/>
      <c r="B549" s="48"/>
      <c r="C549" s="48"/>
      <c r="D549" s="69"/>
      <c r="E549" s="60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spans="1:26" ht="15.75">
      <c r="A550" s="48"/>
      <c r="B550" s="48"/>
      <c r="C550" s="48"/>
      <c r="D550" s="69"/>
      <c r="E550" s="60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spans="1:26" ht="15.75">
      <c r="A551" s="48"/>
      <c r="B551" s="48"/>
      <c r="C551" s="48"/>
      <c r="D551" s="69"/>
      <c r="E551" s="60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spans="1:26" ht="15.75">
      <c r="A552" s="48"/>
      <c r="B552" s="48"/>
      <c r="C552" s="48"/>
      <c r="D552" s="69"/>
      <c r="E552" s="60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spans="1:26" ht="15.75">
      <c r="A553" s="48"/>
      <c r="B553" s="48"/>
      <c r="C553" s="48"/>
      <c r="D553" s="69"/>
      <c r="E553" s="60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spans="1:26" ht="15.75">
      <c r="A554" s="48"/>
      <c r="B554" s="48"/>
      <c r="C554" s="48"/>
      <c r="D554" s="69"/>
      <c r="E554" s="60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spans="1:26" ht="15.75">
      <c r="A555" s="48"/>
      <c r="B555" s="48"/>
      <c r="C555" s="48"/>
      <c r="D555" s="69"/>
      <c r="E555" s="60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spans="1:26" ht="15.75">
      <c r="A556" s="48"/>
      <c r="B556" s="48"/>
      <c r="C556" s="48"/>
      <c r="D556" s="69"/>
      <c r="E556" s="60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spans="1:26" ht="15.75">
      <c r="A557" s="48"/>
      <c r="B557" s="48"/>
      <c r="C557" s="48"/>
      <c r="D557" s="69"/>
      <c r="E557" s="60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spans="1:26" ht="15.75">
      <c r="A558" s="48"/>
      <c r="B558" s="48"/>
      <c r="C558" s="48"/>
      <c r="D558" s="69"/>
      <c r="E558" s="60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spans="1:26" ht="15.75">
      <c r="A559" s="48"/>
      <c r="B559" s="48"/>
      <c r="C559" s="48"/>
      <c r="D559" s="69"/>
      <c r="E559" s="60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spans="1:26" ht="15.75">
      <c r="A560" s="48"/>
      <c r="B560" s="48"/>
      <c r="C560" s="48"/>
      <c r="D560" s="69"/>
      <c r="E560" s="60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spans="1:26" ht="15.75">
      <c r="A561" s="48"/>
      <c r="B561" s="48"/>
      <c r="C561" s="48"/>
      <c r="D561" s="69"/>
      <c r="E561" s="60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spans="1:26" ht="15.75">
      <c r="A562" s="48"/>
      <c r="B562" s="48"/>
      <c r="C562" s="48"/>
      <c r="D562" s="69"/>
      <c r="E562" s="60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spans="1:26" ht="15.75">
      <c r="A563" s="48"/>
      <c r="B563" s="48"/>
      <c r="C563" s="48"/>
      <c r="D563" s="69"/>
      <c r="E563" s="60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spans="1:26" ht="15.75">
      <c r="A564" s="48"/>
      <c r="B564" s="48"/>
      <c r="C564" s="48"/>
      <c r="D564" s="69"/>
      <c r="E564" s="60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spans="1:26" ht="15.75">
      <c r="A565" s="48"/>
      <c r="B565" s="48"/>
      <c r="C565" s="48"/>
      <c r="D565" s="69"/>
      <c r="E565" s="60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spans="1:26" ht="15.75">
      <c r="A566" s="48"/>
      <c r="B566" s="48"/>
      <c r="C566" s="48"/>
      <c r="D566" s="69"/>
      <c r="E566" s="60"/>
      <c r="F566" s="48"/>
      <c r="G566" s="48"/>
      <c r="H566" s="60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spans="1:26" ht="15.75">
      <c r="A567" s="48"/>
      <c r="B567" s="48"/>
      <c r="C567" s="48"/>
      <c r="D567" s="69"/>
      <c r="E567" s="60"/>
      <c r="F567" s="48"/>
      <c r="G567" s="48"/>
      <c r="H567" s="60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spans="1:26" ht="15.75">
      <c r="A568" s="48"/>
      <c r="B568" s="48"/>
      <c r="C568" s="48"/>
      <c r="D568" s="69"/>
      <c r="E568" s="60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spans="1:26" ht="15.75">
      <c r="A569" s="48"/>
      <c r="B569" s="48"/>
      <c r="C569" s="48"/>
      <c r="D569" s="69"/>
      <c r="E569" s="60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spans="1:26" ht="15.75">
      <c r="A570" s="48"/>
      <c r="B570" s="48"/>
      <c r="C570" s="48"/>
      <c r="D570" s="69"/>
      <c r="E570" s="60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spans="1:26" ht="15.75">
      <c r="A571" s="48"/>
      <c r="B571" s="48"/>
      <c r="C571" s="48"/>
      <c r="D571" s="69"/>
      <c r="E571" s="60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spans="1:26" ht="15.75">
      <c r="A572" s="48"/>
      <c r="B572" s="48"/>
      <c r="C572" s="48"/>
      <c r="D572" s="69"/>
      <c r="E572" s="60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spans="1:26" ht="15.75">
      <c r="A573" s="48"/>
      <c r="B573" s="48"/>
      <c r="C573" s="48"/>
      <c r="D573" s="69"/>
      <c r="E573" s="60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spans="1:26" ht="15.75">
      <c r="A574" s="48"/>
      <c r="B574" s="48"/>
      <c r="C574" s="48"/>
      <c r="D574" s="69"/>
      <c r="E574" s="60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spans="1:26" ht="15.75">
      <c r="A575" s="48"/>
      <c r="B575" s="48"/>
      <c r="C575" s="48"/>
      <c r="D575" s="69"/>
      <c r="E575" s="60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spans="1:26" ht="15.75">
      <c r="A576" s="48"/>
      <c r="B576" s="48"/>
      <c r="C576" s="48"/>
      <c r="D576" s="69"/>
      <c r="E576" s="60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spans="1:26" ht="15.75">
      <c r="A577" s="48"/>
      <c r="B577" s="48"/>
      <c r="C577" s="48"/>
      <c r="D577" s="69"/>
      <c r="E577" s="60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spans="1:26" ht="15.75">
      <c r="A578" s="48"/>
      <c r="B578" s="48"/>
      <c r="C578" s="48"/>
      <c r="D578" s="69"/>
      <c r="E578" s="60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spans="1:26" ht="15.75">
      <c r="A579" s="48"/>
      <c r="B579" s="48"/>
      <c r="C579" s="48"/>
      <c r="D579" s="69"/>
      <c r="E579" s="60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spans="1:26" ht="15.75">
      <c r="A580" s="48"/>
      <c r="B580" s="48"/>
      <c r="C580" s="48"/>
      <c r="D580" s="69"/>
      <c r="E580" s="60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spans="1:26" ht="15.75">
      <c r="A581" s="48"/>
      <c r="B581" s="48"/>
      <c r="C581" s="48"/>
      <c r="D581" s="69"/>
      <c r="E581" s="60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spans="1:26" ht="15.75">
      <c r="A582" s="48"/>
      <c r="B582" s="48"/>
      <c r="C582" s="48"/>
      <c r="D582" s="69"/>
      <c r="E582" s="60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spans="1:26" ht="15.75">
      <c r="A583" s="48"/>
      <c r="B583" s="48"/>
      <c r="C583" s="48"/>
      <c r="D583" s="69"/>
      <c r="E583" s="60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spans="1:26" ht="15.75">
      <c r="A584" s="48"/>
      <c r="B584" s="48"/>
      <c r="C584" s="48"/>
      <c r="D584" s="69"/>
      <c r="E584" s="60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spans="1:26" ht="15.75">
      <c r="A585" s="48"/>
      <c r="B585" s="48"/>
      <c r="C585" s="48"/>
      <c r="D585" s="69"/>
      <c r="E585" s="60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spans="1:26" ht="15.75">
      <c r="A586" s="48"/>
      <c r="B586" s="48"/>
      <c r="C586" s="48"/>
      <c r="D586" s="69"/>
      <c r="E586" s="60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spans="1:26" ht="15.75">
      <c r="A587" s="48"/>
      <c r="B587" s="48"/>
      <c r="C587" s="48"/>
      <c r="D587" s="69"/>
      <c r="E587" s="60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spans="1:26" ht="15.75">
      <c r="A588" s="48"/>
      <c r="B588" s="48"/>
      <c r="C588" s="48"/>
      <c r="D588" s="69"/>
      <c r="E588" s="60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spans="1:26" ht="15.75">
      <c r="A589" s="48"/>
      <c r="B589" s="48"/>
      <c r="C589" s="48"/>
      <c r="D589" s="69"/>
      <c r="E589" s="60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spans="1:26" ht="15.75">
      <c r="A590" s="48"/>
      <c r="B590" s="48"/>
      <c r="C590" s="48"/>
      <c r="D590" s="69"/>
      <c r="E590" s="60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spans="1:26" ht="15.75">
      <c r="A591" s="48"/>
      <c r="B591" s="48"/>
      <c r="C591" s="48"/>
      <c r="D591" s="69"/>
      <c r="E591" s="60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spans="1:26" ht="15.75">
      <c r="A592" s="48"/>
      <c r="B592" s="48"/>
      <c r="C592" s="48"/>
      <c r="D592" s="69"/>
      <c r="E592" s="60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spans="1:26" ht="15.75">
      <c r="A593" s="48"/>
      <c r="B593" s="48"/>
      <c r="C593" s="48"/>
      <c r="D593" s="69"/>
      <c r="E593" s="60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spans="1:26" ht="15.75">
      <c r="A594" s="48"/>
      <c r="B594" s="48"/>
      <c r="C594" s="48"/>
      <c r="D594" s="69"/>
      <c r="E594" s="60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spans="1:26" ht="15.75">
      <c r="A595" s="48"/>
      <c r="B595" s="48"/>
      <c r="C595" s="48"/>
      <c r="D595" s="69"/>
      <c r="E595" s="60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spans="1:26" ht="15.75">
      <c r="A596" s="48"/>
      <c r="B596" s="48"/>
      <c r="C596" s="48"/>
      <c r="D596" s="69"/>
      <c r="E596" s="60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spans="1:26" ht="15.75">
      <c r="A597" s="48"/>
      <c r="B597" s="48"/>
      <c r="C597" s="48"/>
      <c r="D597" s="69"/>
      <c r="E597" s="60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spans="1:26" ht="15.75">
      <c r="A598" s="48"/>
      <c r="B598" s="48"/>
      <c r="C598" s="48"/>
      <c r="D598" s="69"/>
      <c r="E598" s="60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spans="1:26" ht="15.75">
      <c r="A599" s="48"/>
      <c r="B599" s="48"/>
      <c r="C599" s="48"/>
      <c r="D599" s="69"/>
      <c r="E599" s="60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spans="1:26" ht="15.75">
      <c r="A600" s="48"/>
      <c r="B600" s="48"/>
      <c r="C600" s="48"/>
      <c r="D600" s="69"/>
      <c r="E600" s="60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spans="1:26" ht="15.75">
      <c r="A601" s="48"/>
      <c r="B601" s="48"/>
      <c r="C601" s="48"/>
      <c r="D601" s="69"/>
      <c r="E601" s="60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spans="1:26" ht="15.75">
      <c r="A602" s="48"/>
      <c r="B602" s="48"/>
      <c r="C602" s="48"/>
      <c r="D602" s="69"/>
      <c r="E602" s="60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spans="1:26" ht="15.75">
      <c r="A603" s="48"/>
      <c r="B603" s="48"/>
      <c r="C603" s="48"/>
      <c r="D603" s="69"/>
      <c r="E603" s="60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spans="1:26" ht="15.75">
      <c r="A604" s="48"/>
      <c r="B604" s="48"/>
      <c r="C604" s="48"/>
      <c r="D604" s="69"/>
      <c r="E604" s="60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spans="1:26" ht="15.75">
      <c r="A605" s="48"/>
      <c r="B605" s="48"/>
      <c r="C605" s="48"/>
      <c r="D605" s="69"/>
      <c r="E605" s="60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spans="1:26" ht="15.75">
      <c r="A606" s="48"/>
      <c r="B606" s="48"/>
      <c r="C606" s="48"/>
      <c r="D606" s="69"/>
      <c r="E606" s="60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spans="1:26" ht="15.75">
      <c r="A607" s="48"/>
      <c r="B607" s="48"/>
      <c r="C607" s="48"/>
      <c r="D607" s="69"/>
      <c r="E607" s="60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spans="1:26" ht="15.75">
      <c r="A608" s="48"/>
      <c r="B608" s="48"/>
      <c r="C608" s="48"/>
      <c r="D608" s="69"/>
      <c r="E608" s="60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spans="1:26" ht="15.75">
      <c r="A609" s="48"/>
      <c r="B609" s="48"/>
      <c r="C609" s="48"/>
      <c r="D609" s="69"/>
      <c r="E609" s="60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spans="1:26" ht="15.75">
      <c r="A610" s="48"/>
      <c r="B610" s="48"/>
      <c r="C610" s="48"/>
      <c r="D610" s="69"/>
      <c r="E610" s="60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spans="1:26" ht="15.75">
      <c r="A611" s="48"/>
      <c r="B611" s="48"/>
      <c r="C611" s="48"/>
      <c r="D611" s="69"/>
      <c r="E611" s="60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spans="1:26" ht="15.75">
      <c r="A612" s="48"/>
      <c r="B612" s="48"/>
      <c r="C612" s="48"/>
      <c r="D612" s="69"/>
      <c r="E612" s="60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spans="1:26" ht="15.75">
      <c r="A613" s="48"/>
      <c r="B613" s="48"/>
      <c r="C613" s="48"/>
      <c r="D613" s="69"/>
      <c r="E613" s="60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spans="1:26" ht="15.75">
      <c r="A614" s="48"/>
      <c r="B614" s="48"/>
      <c r="C614" s="48"/>
      <c r="D614" s="69"/>
      <c r="E614" s="60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spans="1:26" ht="15.75">
      <c r="A615" s="48"/>
      <c r="B615" s="48"/>
      <c r="C615" s="48"/>
      <c r="D615" s="69"/>
      <c r="E615" s="60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spans="1:26" ht="15.75">
      <c r="A616" s="48"/>
      <c r="B616" s="48"/>
      <c r="C616" s="48"/>
      <c r="D616" s="69"/>
      <c r="E616" s="60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spans="1:26" ht="15.75">
      <c r="A617" s="48"/>
      <c r="B617" s="48"/>
      <c r="C617" s="48"/>
      <c r="D617" s="69"/>
      <c r="E617" s="60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spans="1:26" ht="15.75">
      <c r="A618" s="48"/>
      <c r="B618" s="48"/>
      <c r="C618" s="48"/>
      <c r="D618" s="69"/>
      <c r="E618" s="60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spans="1:26" ht="15.75">
      <c r="A619" s="48"/>
      <c r="B619" s="48"/>
      <c r="C619" s="48"/>
      <c r="D619" s="69"/>
      <c r="E619" s="60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spans="1:26" ht="15.75">
      <c r="A620" s="48"/>
      <c r="B620" s="48"/>
      <c r="C620" s="48"/>
      <c r="D620" s="69"/>
      <c r="E620" s="60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spans="1:26" ht="15.75">
      <c r="A621" s="48"/>
      <c r="B621" s="48"/>
      <c r="C621" s="48"/>
      <c r="D621" s="69"/>
      <c r="E621" s="60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spans="1:26" ht="15.75">
      <c r="A622" s="48"/>
      <c r="B622" s="48"/>
      <c r="C622" s="48"/>
      <c r="D622" s="69"/>
      <c r="E622" s="60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spans="1:26" ht="15.75">
      <c r="A623" s="48"/>
      <c r="B623" s="48"/>
      <c r="C623" s="48"/>
      <c r="D623" s="69"/>
      <c r="E623" s="60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spans="1:26" ht="15.75">
      <c r="A624" s="48"/>
      <c r="B624" s="48"/>
      <c r="C624" s="48"/>
      <c r="D624" s="69"/>
      <c r="E624" s="60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spans="1:26" ht="15.75">
      <c r="A625" s="48"/>
      <c r="B625" s="48"/>
      <c r="C625" s="48"/>
      <c r="D625" s="69"/>
      <c r="E625" s="60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spans="1:26" ht="15.75">
      <c r="A626" s="48"/>
      <c r="B626" s="48"/>
      <c r="C626" s="48"/>
      <c r="D626" s="69"/>
      <c r="E626" s="60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spans="1:26" ht="15.75">
      <c r="A627" s="48"/>
      <c r="B627" s="48"/>
      <c r="C627" s="48"/>
      <c r="D627" s="69"/>
      <c r="E627" s="60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spans="1:26" ht="15.75">
      <c r="A628" s="48"/>
      <c r="B628" s="48"/>
      <c r="C628" s="48"/>
      <c r="D628" s="69"/>
      <c r="E628" s="60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spans="1:26" ht="15.75">
      <c r="A629" s="48"/>
      <c r="B629" s="48"/>
      <c r="C629" s="48"/>
      <c r="D629" s="69"/>
      <c r="E629" s="60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spans="1:26" ht="15.75">
      <c r="A630" s="48"/>
      <c r="B630" s="48"/>
      <c r="C630" s="48"/>
      <c r="D630" s="69"/>
      <c r="E630" s="60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spans="1:26" ht="15.75">
      <c r="A631" s="48"/>
      <c r="B631" s="48"/>
      <c r="C631" s="48"/>
      <c r="D631" s="69"/>
      <c r="E631" s="60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spans="1:26" ht="15.75">
      <c r="A632" s="48"/>
      <c r="B632" s="48"/>
      <c r="C632" s="48"/>
      <c r="D632" s="69"/>
      <c r="E632" s="60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spans="1:26" ht="15.75">
      <c r="A633" s="48"/>
      <c r="B633" s="48"/>
      <c r="C633" s="48"/>
      <c r="D633" s="69"/>
      <c r="E633" s="60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spans="1:26" ht="15.75">
      <c r="A634" s="48"/>
      <c r="B634" s="48"/>
      <c r="C634" s="48"/>
      <c r="D634" s="69"/>
      <c r="E634" s="60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spans="1:26" ht="15.75">
      <c r="A635" s="48"/>
      <c r="B635" s="48"/>
      <c r="C635" s="48"/>
      <c r="D635" s="69"/>
      <c r="E635" s="60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spans="1:26" ht="15.75">
      <c r="A636" s="48"/>
      <c r="B636" s="48"/>
      <c r="C636" s="48"/>
      <c r="D636" s="69"/>
      <c r="E636" s="60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spans="1:26" ht="15.75">
      <c r="A637" s="48"/>
      <c r="B637" s="48"/>
      <c r="C637" s="48"/>
      <c r="D637" s="69"/>
      <c r="E637" s="60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spans="1:26" ht="15.75">
      <c r="A638" s="48"/>
      <c r="B638" s="48"/>
      <c r="C638" s="48"/>
      <c r="D638" s="69"/>
      <c r="E638" s="60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spans="1:26" ht="15.75">
      <c r="A639" s="48"/>
      <c r="B639" s="48"/>
      <c r="C639" s="48"/>
      <c r="D639" s="69"/>
      <c r="E639" s="60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spans="1:26" ht="15.75">
      <c r="A640" s="48"/>
      <c r="B640" s="48"/>
      <c r="C640" s="48"/>
      <c r="D640" s="69"/>
      <c r="E640" s="60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spans="1:26" ht="15.75">
      <c r="A641" s="48"/>
      <c r="B641" s="48"/>
      <c r="C641" s="48"/>
      <c r="D641" s="69"/>
      <c r="E641" s="60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spans="1:26" ht="15.75">
      <c r="A642" s="48"/>
      <c r="B642" s="48"/>
      <c r="C642" s="48"/>
      <c r="D642" s="69"/>
      <c r="E642" s="60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spans="1:26" ht="15.75">
      <c r="A643" s="48"/>
      <c r="B643" s="48"/>
      <c r="C643" s="48"/>
      <c r="D643" s="69"/>
      <c r="E643" s="60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spans="1:26" ht="15.75">
      <c r="A644" s="48"/>
      <c r="B644" s="48"/>
      <c r="C644" s="48"/>
      <c r="D644" s="69"/>
      <c r="E644" s="60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spans="1:26" ht="15.75">
      <c r="A645" s="48"/>
      <c r="B645" s="48"/>
      <c r="C645" s="48"/>
      <c r="D645" s="69"/>
      <c r="E645" s="60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spans="1:26" ht="15.75">
      <c r="A646" s="48"/>
      <c r="B646" s="48"/>
      <c r="C646" s="48"/>
      <c r="D646" s="69"/>
      <c r="E646" s="60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spans="1:26" ht="15.75">
      <c r="A647" s="48"/>
      <c r="B647" s="48"/>
      <c r="C647" s="48"/>
      <c r="D647" s="69"/>
      <c r="E647" s="60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spans="1:26" ht="15.75">
      <c r="A648" s="48"/>
      <c r="B648" s="48"/>
      <c r="C648" s="48"/>
      <c r="D648" s="69"/>
      <c r="E648" s="60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spans="1:26" ht="15.75">
      <c r="A649" s="48"/>
      <c r="B649" s="48"/>
      <c r="C649" s="48"/>
      <c r="D649" s="69"/>
      <c r="E649" s="60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spans="1:26" ht="15.75">
      <c r="A650" s="48"/>
      <c r="B650" s="48"/>
      <c r="C650" s="48"/>
      <c r="D650" s="69"/>
      <c r="E650" s="60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spans="1:26" ht="15.75">
      <c r="A651" s="48"/>
      <c r="B651" s="48"/>
      <c r="C651" s="48"/>
      <c r="D651" s="69"/>
      <c r="E651" s="60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spans="1:26" ht="15.75">
      <c r="A652" s="48"/>
      <c r="B652" s="48"/>
      <c r="C652" s="48"/>
      <c r="D652" s="69"/>
      <c r="E652" s="60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spans="1:26" ht="15.75">
      <c r="A653" s="48"/>
      <c r="B653" s="48"/>
      <c r="C653" s="48"/>
      <c r="D653" s="69"/>
      <c r="E653" s="60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spans="1:26" ht="15.75">
      <c r="A654" s="48"/>
      <c r="B654" s="48"/>
      <c r="C654" s="48"/>
      <c r="D654" s="69"/>
      <c r="E654" s="60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spans="1:26" ht="15.75">
      <c r="A655" s="48"/>
      <c r="B655" s="48"/>
      <c r="C655" s="48"/>
      <c r="D655" s="69"/>
      <c r="E655" s="60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spans="1:26" ht="15.75">
      <c r="A656" s="48"/>
      <c r="B656" s="48"/>
      <c r="C656" s="48"/>
      <c r="D656" s="69"/>
      <c r="E656" s="60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spans="1:26" ht="15.75">
      <c r="A657" s="48"/>
      <c r="B657" s="48"/>
      <c r="C657" s="48"/>
      <c r="D657" s="69"/>
      <c r="E657" s="60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spans="1:26" ht="15.75">
      <c r="A658" s="48"/>
      <c r="B658" s="48"/>
      <c r="C658" s="48"/>
      <c r="D658" s="69"/>
      <c r="E658" s="60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spans="1:26" ht="15.75">
      <c r="A659" s="48"/>
      <c r="B659" s="48"/>
      <c r="C659" s="48"/>
      <c r="D659" s="69"/>
      <c r="E659" s="60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spans="1:26" ht="15.75">
      <c r="A660" s="48"/>
      <c r="B660" s="48"/>
      <c r="C660" s="48"/>
      <c r="D660" s="69"/>
      <c r="E660" s="60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spans="1:26" ht="15.75">
      <c r="A661" s="48"/>
      <c r="B661" s="48"/>
      <c r="C661" s="48"/>
      <c r="D661" s="69"/>
      <c r="E661" s="60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spans="1:26" ht="15.6" customHeight="1">
      <c r="A662" s="48"/>
      <c r="B662" s="48"/>
      <c r="C662" s="48"/>
      <c r="D662" s="69"/>
      <c r="E662" s="60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spans="1:26" ht="15.75">
      <c r="A663" s="48"/>
      <c r="B663" s="48"/>
      <c r="C663" s="48"/>
      <c r="D663" s="69"/>
      <c r="E663" s="60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spans="1:26" ht="15.75">
      <c r="A664" s="48"/>
      <c r="B664" s="48"/>
      <c r="C664" s="48"/>
      <c r="D664" s="69"/>
      <c r="E664" s="60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spans="1:26" ht="15.75">
      <c r="A665" s="48"/>
      <c r="B665" s="48"/>
      <c r="C665" s="48"/>
      <c r="D665" s="69"/>
      <c r="E665" s="60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spans="1:26" ht="15.75">
      <c r="A666" s="48"/>
      <c r="B666" s="48"/>
      <c r="C666" s="48"/>
      <c r="D666" s="69"/>
      <c r="E666" s="60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spans="1:26" ht="15.75">
      <c r="A667" s="48"/>
      <c r="B667" s="48"/>
      <c r="C667" s="48"/>
      <c r="D667" s="69"/>
      <c r="E667" s="60"/>
      <c r="F667" s="48"/>
      <c r="G667" s="48"/>
      <c r="H667" s="75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spans="1:26" ht="15.75">
      <c r="A668" s="48"/>
      <c r="B668" s="48"/>
      <c r="C668" s="48"/>
      <c r="D668" s="69"/>
      <c r="E668" s="60"/>
      <c r="F668" s="48"/>
      <c r="G668" s="48"/>
      <c r="H668" s="75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spans="1:26" ht="15.75">
      <c r="A669" s="48"/>
      <c r="B669" s="48"/>
      <c r="C669" s="48"/>
      <c r="D669" s="69"/>
      <c r="E669" s="60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spans="1:26" ht="15.75">
      <c r="A670" s="48"/>
      <c r="B670" s="48"/>
      <c r="C670" s="48"/>
      <c r="D670" s="69"/>
      <c r="E670" s="60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spans="1:26" ht="15.75">
      <c r="A671" s="48"/>
      <c r="B671" s="48"/>
      <c r="C671" s="48"/>
      <c r="D671" s="69"/>
      <c r="E671" s="60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spans="1:26" ht="15.75">
      <c r="A672" s="48"/>
      <c r="B672" s="48"/>
      <c r="C672" s="48"/>
      <c r="D672" s="69"/>
      <c r="E672" s="60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spans="1:26" ht="15.75">
      <c r="A673" s="48"/>
      <c r="B673" s="48"/>
      <c r="C673" s="48"/>
      <c r="D673" s="69"/>
      <c r="E673" s="60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spans="1:26" ht="15.75">
      <c r="A674" s="48"/>
      <c r="B674" s="48"/>
      <c r="C674" s="48"/>
      <c r="D674" s="69"/>
      <c r="E674" s="60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spans="1:26" ht="15.75">
      <c r="A675" s="48"/>
      <c r="B675" s="48"/>
      <c r="C675" s="48"/>
      <c r="D675" s="69"/>
      <c r="E675" s="60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spans="1:26" ht="15.75">
      <c r="A676" s="48"/>
      <c r="B676" s="48"/>
      <c r="C676" s="48"/>
      <c r="D676" s="69"/>
      <c r="E676" s="60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spans="1:26" ht="15.75">
      <c r="A677" s="48"/>
      <c r="B677" s="48"/>
      <c r="C677" s="48"/>
      <c r="D677" s="69"/>
      <c r="E677" s="60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spans="1:26" ht="15.75">
      <c r="A678" s="48"/>
      <c r="B678" s="48"/>
      <c r="C678" s="48"/>
      <c r="D678" s="69"/>
      <c r="E678" s="60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spans="1:26" ht="15.75">
      <c r="A679" s="48"/>
      <c r="B679" s="48"/>
      <c r="C679" s="48"/>
      <c r="D679" s="69"/>
      <c r="E679" s="60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spans="1:26" ht="15.75">
      <c r="A680" s="48"/>
      <c r="B680" s="48"/>
      <c r="C680" s="48"/>
      <c r="D680" s="69"/>
      <c r="E680" s="60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spans="1:26" ht="15.75">
      <c r="A681" s="48"/>
      <c r="B681" s="48"/>
      <c r="C681" s="48"/>
      <c r="D681" s="69"/>
      <c r="E681" s="60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spans="1:26" ht="15.75">
      <c r="A682" s="48"/>
      <c r="B682" s="48"/>
      <c r="C682" s="48"/>
      <c r="D682" s="69"/>
      <c r="E682" s="60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spans="1:26" ht="15.75">
      <c r="A683" s="48"/>
      <c r="B683" s="48"/>
      <c r="C683" s="48"/>
      <c r="D683" s="69"/>
      <c r="E683" s="60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spans="1:26" ht="15.75">
      <c r="A684" s="48"/>
      <c r="B684" s="48"/>
      <c r="C684" s="48"/>
      <c r="D684" s="69"/>
      <c r="E684" s="60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spans="1:26" ht="15.75">
      <c r="A685" s="48"/>
      <c r="B685" s="48"/>
      <c r="C685" s="48"/>
      <c r="D685" s="69"/>
      <c r="E685" s="60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spans="1:26" ht="15.75">
      <c r="A686" s="48"/>
      <c r="B686" s="48"/>
      <c r="C686" s="48"/>
      <c r="D686" s="69"/>
      <c r="E686" s="60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spans="1:26" ht="15.75">
      <c r="A687" s="48"/>
      <c r="B687" s="48"/>
      <c r="C687" s="48"/>
      <c r="D687" s="69"/>
      <c r="E687" s="60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spans="1:26" ht="15.75">
      <c r="A688" s="48"/>
      <c r="B688" s="48"/>
      <c r="C688" s="48"/>
      <c r="D688" s="69"/>
      <c r="E688" s="60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spans="1:26" ht="15.75">
      <c r="A689" s="48"/>
      <c r="B689" s="48"/>
      <c r="C689" s="48"/>
      <c r="D689" s="69"/>
      <c r="E689" s="60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spans="1:26" ht="15.75">
      <c r="A690" s="48"/>
      <c r="B690" s="48"/>
      <c r="C690" s="48"/>
      <c r="D690" s="69"/>
      <c r="E690" s="60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spans="1:26" ht="15.75">
      <c r="A691" s="48"/>
      <c r="B691" s="48"/>
      <c r="C691" s="48"/>
      <c r="D691" s="69"/>
      <c r="E691" s="60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spans="1:26" ht="15.75">
      <c r="A692" s="48"/>
      <c r="B692" s="48"/>
      <c r="C692" s="48"/>
      <c r="D692" s="69"/>
      <c r="E692" s="60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spans="1:26" ht="15.75">
      <c r="A693" s="48"/>
      <c r="B693" s="48"/>
      <c r="C693" s="48"/>
      <c r="D693" s="69"/>
      <c r="E693" s="60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spans="1:26" ht="15.75">
      <c r="A694" s="48"/>
      <c r="B694" s="48"/>
      <c r="C694" s="48"/>
      <c r="D694" s="69"/>
      <c r="E694" s="60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spans="1:26" ht="15.75">
      <c r="A695" s="48"/>
      <c r="B695" s="48"/>
      <c r="C695" s="48"/>
      <c r="D695" s="69"/>
      <c r="E695" s="60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spans="1:26" ht="15.75">
      <c r="A696" s="48"/>
      <c r="B696" s="48"/>
      <c r="C696" s="48"/>
      <c r="D696" s="69"/>
      <c r="E696" s="60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spans="1:26" ht="15.75">
      <c r="A697" s="48"/>
      <c r="B697" s="48"/>
      <c r="C697" s="48"/>
      <c r="D697" s="69"/>
      <c r="E697" s="60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spans="1:26" ht="15.75">
      <c r="A698" s="48"/>
      <c r="B698" s="48"/>
      <c r="C698" s="48"/>
      <c r="D698" s="69"/>
      <c r="E698" s="60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spans="1:26" ht="15.75">
      <c r="A699" s="48"/>
      <c r="B699" s="48"/>
      <c r="C699" s="48"/>
      <c r="D699" s="69"/>
      <c r="E699" s="60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spans="1:26" ht="15.75">
      <c r="A700" s="48"/>
      <c r="B700" s="48"/>
      <c r="C700" s="48"/>
      <c r="D700" s="69"/>
      <c r="E700" s="60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spans="1:26" ht="15.75">
      <c r="A701" s="48"/>
      <c r="B701" s="48"/>
      <c r="C701" s="48"/>
      <c r="D701" s="69"/>
      <c r="E701" s="60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spans="1:26" ht="15.75">
      <c r="A702" s="48"/>
      <c r="B702" s="48"/>
      <c r="C702" s="48"/>
      <c r="D702" s="69"/>
      <c r="E702" s="60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spans="1:26" ht="15.75">
      <c r="A703" s="48"/>
      <c r="B703" s="48"/>
      <c r="C703" s="48"/>
      <c r="D703" s="69"/>
      <c r="E703" s="60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spans="1:26" ht="15.75">
      <c r="A704" s="48"/>
      <c r="B704" s="48"/>
      <c r="C704" s="48"/>
      <c r="D704" s="69"/>
      <c r="E704" s="60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spans="1:26" ht="15.75">
      <c r="A705" s="48"/>
      <c r="B705" s="48"/>
      <c r="C705" s="48"/>
      <c r="D705" s="69"/>
      <c r="E705" s="60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spans="1:26" ht="15.75">
      <c r="A706" s="48"/>
      <c r="B706" s="48"/>
      <c r="C706" s="48"/>
      <c r="D706" s="69"/>
      <c r="E706" s="60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spans="1:26" ht="15.75">
      <c r="A707" s="48"/>
      <c r="B707" s="48"/>
      <c r="C707" s="48"/>
      <c r="D707" s="69"/>
      <c r="E707" s="60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spans="1:26" ht="15.75">
      <c r="A708" s="48"/>
      <c r="B708" s="48"/>
      <c r="C708" s="48"/>
      <c r="D708" s="69"/>
      <c r="E708" s="60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spans="1:26" ht="15.75">
      <c r="A709" s="48"/>
      <c r="B709" s="48"/>
      <c r="C709" s="48"/>
      <c r="D709" s="69"/>
      <c r="E709" s="60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spans="1:26" ht="15.75">
      <c r="A710" s="48"/>
      <c r="B710" s="48"/>
      <c r="C710" s="48"/>
      <c r="D710" s="69"/>
      <c r="E710" s="60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spans="1:26" ht="15.75">
      <c r="A711" s="48"/>
      <c r="B711" s="48"/>
      <c r="C711" s="48"/>
      <c r="D711" s="69"/>
      <c r="E711" s="60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spans="1:26" ht="15.75">
      <c r="A712" s="48"/>
      <c r="B712" s="48"/>
      <c r="C712" s="48"/>
      <c r="D712" s="69"/>
      <c r="E712" s="60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spans="1:26" ht="15.75">
      <c r="A713" s="48"/>
      <c r="B713" s="48"/>
      <c r="C713" s="48"/>
      <c r="D713" s="69"/>
      <c r="E713" s="60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spans="1:26" ht="15.75">
      <c r="A714" s="48"/>
      <c r="B714" s="48"/>
      <c r="C714" s="48"/>
      <c r="D714" s="69"/>
      <c r="E714" s="60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spans="1:26" ht="15.75">
      <c r="A715" s="48"/>
      <c r="B715" s="48"/>
      <c r="C715" s="48"/>
      <c r="D715" s="69"/>
      <c r="E715" s="60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spans="1:26" ht="15.75">
      <c r="A716" s="48"/>
      <c r="B716" s="48"/>
      <c r="C716" s="48"/>
      <c r="D716" s="69"/>
      <c r="E716" s="60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spans="1:26" ht="15.75">
      <c r="A717" s="48"/>
      <c r="B717" s="48"/>
      <c r="C717" s="48"/>
      <c r="D717" s="69"/>
      <c r="E717" s="60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spans="1:26" ht="15.75">
      <c r="A718" s="48"/>
      <c r="B718" s="48"/>
      <c r="C718" s="48"/>
      <c r="D718" s="69"/>
      <c r="E718" s="60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spans="1:26" ht="15.75">
      <c r="A719" s="48"/>
      <c r="B719" s="48"/>
      <c r="C719" s="48"/>
      <c r="D719" s="69"/>
      <c r="E719" s="60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spans="1:26" ht="15.75">
      <c r="A720" s="48"/>
      <c r="B720" s="48"/>
      <c r="C720" s="48"/>
      <c r="D720" s="69"/>
      <c r="E720" s="60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spans="1:26" ht="15.75">
      <c r="A721" s="48"/>
      <c r="B721" s="48"/>
      <c r="C721" s="48"/>
      <c r="D721" s="69"/>
      <c r="E721" s="60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spans="1:26" ht="15.75">
      <c r="A722" s="48"/>
      <c r="B722" s="48"/>
      <c r="C722" s="48"/>
      <c r="D722" s="69"/>
      <c r="E722" s="60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spans="1:26" ht="15.75">
      <c r="A723" s="48"/>
      <c r="B723" s="48"/>
      <c r="C723" s="48"/>
      <c r="D723" s="69"/>
      <c r="E723" s="60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spans="1:26" ht="15.75">
      <c r="A724" s="48"/>
      <c r="B724" s="48"/>
      <c r="C724" s="48"/>
      <c r="D724" s="69"/>
      <c r="E724" s="60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spans="1:26" ht="15.75">
      <c r="A725" s="48"/>
      <c r="B725" s="48"/>
      <c r="C725" s="48"/>
      <c r="D725" s="69"/>
      <c r="E725" s="60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spans="1:26" ht="15.75">
      <c r="A726" s="48"/>
      <c r="B726" s="48"/>
      <c r="C726" s="48"/>
      <c r="D726" s="69"/>
      <c r="E726" s="60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spans="1:26" ht="15.75">
      <c r="A727" s="48"/>
      <c r="B727" s="48"/>
      <c r="C727" s="48"/>
      <c r="D727" s="69"/>
      <c r="E727" s="60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spans="1:26" ht="15.75">
      <c r="A728" s="48"/>
      <c r="B728" s="48"/>
      <c r="C728" s="48"/>
      <c r="D728" s="69"/>
      <c r="E728" s="60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spans="1:26" ht="15.75">
      <c r="A729" s="48"/>
      <c r="B729" s="48"/>
      <c r="C729" s="48"/>
      <c r="D729" s="69"/>
      <c r="E729" s="60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spans="1:26" ht="15.75">
      <c r="A730" s="48"/>
      <c r="B730" s="48"/>
      <c r="C730" s="48"/>
      <c r="D730" s="69"/>
      <c r="E730" s="60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spans="1:26" ht="15.75">
      <c r="A731" s="48"/>
      <c r="B731" s="48"/>
      <c r="C731" s="48"/>
      <c r="D731" s="69"/>
      <c r="E731" s="60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spans="1:26" ht="15.75">
      <c r="A732" s="48"/>
      <c r="B732" s="48"/>
      <c r="C732" s="48"/>
      <c r="D732" s="69"/>
      <c r="E732" s="60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spans="1:26" ht="15.75">
      <c r="A733" s="48"/>
      <c r="B733" s="48"/>
      <c r="C733" s="48"/>
      <c r="D733" s="69"/>
      <c r="E733" s="60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spans="1:26" ht="15.75">
      <c r="A734" s="48"/>
      <c r="B734" s="48"/>
      <c r="C734" s="48"/>
      <c r="D734" s="69"/>
      <c r="E734" s="60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spans="1:26" ht="15.75">
      <c r="A735" s="48"/>
      <c r="B735" s="48"/>
      <c r="C735" s="48"/>
      <c r="D735" s="69"/>
      <c r="E735" s="60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spans="1:26" ht="15.75">
      <c r="A736" s="48"/>
      <c r="B736" s="48"/>
      <c r="C736" s="48"/>
      <c r="D736" s="69"/>
      <c r="E736" s="60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spans="1:26" ht="15.75">
      <c r="A737" s="48"/>
      <c r="B737" s="48"/>
      <c r="C737" s="48"/>
      <c r="D737" s="69"/>
      <c r="E737" s="60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spans="1:26" ht="15.75">
      <c r="A738" s="48"/>
      <c r="B738" s="48"/>
      <c r="C738" s="48"/>
      <c r="D738" s="69"/>
      <c r="E738" s="60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spans="1:26" ht="15.75">
      <c r="A739" s="48"/>
      <c r="B739" s="48"/>
      <c r="C739" s="48"/>
      <c r="D739" s="69"/>
      <c r="E739" s="60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spans="1:26" ht="15.75">
      <c r="A740" s="48"/>
      <c r="B740" s="48"/>
      <c r="C740" s="48"/>
      <c r="D740" s="69"/>
      <c r="E740" s="60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spans="1:26" ht="15.75">
      <c r="A741" s="48"/>
      <c r="B741" s="48"/>
      <c r="C741" s="48"/>
      <c r="D741" s="69"/>
      <c r="E741" s="60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spans="1:26" ht="15.75">
      <c r="A742" s="48"/>
      <c r="B742" s="48"/>
      <c r="C742" s="48"/>
      <c r="D742" s="69"/>
      <c r="E742" s="60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spans="1:26" ht="15.75">
      <c r="A743" s="48"/>
      <c r="B743" s="48"/>
      <c r="C743" s="48"/>
      <c r="D743" s="69"/>
      <c r="E743" s="60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spans="1:26" ht="15.75">
      <c r="A744" s="48"/>
      <c r="B744" s="48"/>
      <c r="C744" s="48"/>
      <c r="D744" s="69"/>
      <c r="E744" s="60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spans="1:26" ht="15.75">
      <c r="A745" s="48"/>
      <c r="B745" s="48"/>
      <c r="C745" s="48"/>
      <c r="D745" s="69"/>
      <c r="E745" s="60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spans="1:26" ht="15.75">
      <c r="A746" s="48"/>
      <c r="B746" s="48"/>
      <c r="C746" s="48"/>
      <c r="D746" s="69"/>
      <c r="E746" s="60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spans="1:26" ht="15.75">
      <c r="A747" s="48"/>
      <c r="B747" s="48"/>
      <c r="C747" s="48"/>
      <c r="D747" s="69"/>
      <c r="E747" s="60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spans="1:26" ht="15.75">
      <c r="A748" s="48"/>
      <c r="B748" s="48"/>
      <c r="C748" s="48"/>
      <c r="D748" s="69"/>
      <c r="E748" s="60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spans="1:26" ht="15.75">
      <c r="A749" s="48"/>
      <c r="B749" s="48"/>
      <c r="C749" s="48"/>
      <c r="D749" s="69"/>
      <c r="E749" s="60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spans="1:26" ht="15.75">
      <c r="A750" s="48"/>
      <c r="B750" s="48"/>
      <c r="C750" s="48"/>
      <c r="D750" s="69"/>
      <c r="E750" s="60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spans="1:26" ht="15.75">
      <c r="A751" s="48"/>
      <c r="B751" s="48"/>
      <c r="C751" s="48"/>
      <c r="D751" s="69"/>
      <c r="E751" s="60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spans="1:26" ht="15.75">
      <c r="A752" s="48"/>
      <c r="B752" s="48"/>
      <c r="C752" s="48"/>
      <c r="D752" s="69"/>
      <c r="E752" s="60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spans="1:26" ht="15.75">
      <c r="A753" s="48"/>
      <c r="B753" s="48"/>
      <c r="C753" s="48"/>
      <c r="D753" s="69"/>
      <c r="E753" s="60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spans="1:26" ht="15.75">
      <c r="A754" s="48"/>
      <c r="B754" s="48"/>
      <c r="C754" s="48"/>
      <c r="D754" s="69"/>
      <c r="E754" s="60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spans="1:26" ht="15.75">
      <c r="A755" s="48"/>
      <c r="B755" s="48"/>
      <c r="C755" s="48"/>
      <c r="D755" s="69"/>
      <c r="E755" s="60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spans="1:26" ht="15.75">
      <c r="A756" s="48"/>
      <c r="B756" s="48"/>
      <c r="C756" s="48"/>
      <c r="D756" s="69"/>
      <c r="E756" s="60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spans="1:26" ht="15.75">
      <c r="A757" s="48"/>
      <c r="B757" s="48"/>
      <c r="C757" s="48"/>
      <c r="D757" s="69"/>
      <c r="E757" s="60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spans="1:26" ht="15.75">
      <c r="A758" s="48"/>
      <c r="B758" s="48"/>
      <c r="C758" s="48"/>
      <c r="D758" s="69"/>
      <c r="E758" s="60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spans="1:26" ht="15.75">
      <c r="A759" s="48"/>
      <c r="B759" s="48"/>
      <c r="C759" s="48"/>
      <c r="D759" s="69"/>
      <c r="E759" s="60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spans="1:26" ht="15.75">
      <c r="A760" s="48"/>
      <c r="B760" s="48"/>
      <c r="C760" s="48"/>
      <c r="D760" s="69"/>
      <c r="E760" s="60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spans="1:26" ht="15.75">
      <c r="A761" s="48"/>
      <c r="B761" s="48"/>
      <c r="C761" s="48"/>
      <c r="D761" s="69"/>
      <c r="E761" s="60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spans="1:26" ht="15.75">
      <c r="A762" s="48"/>
      <c r="B762" s="48"/>
      <c r="C762" s="48"/>
      <c r="D762" s="69"/>
      <c r="E762" s="60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spans="1:26" ht="15.75">
      <c r="A763" s="48"/>
      <c r="B763" s="48"/>
      <c r="C763" s="48"/>
      <c r="D763" s="69"/>
      <c r="E763" s="60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spans="1:26" ht="15.75">
      <c r="A764" s="48"/>
      <c r="B764" s="48"/>
      <c r="C764" s="48"/>
      <c r="D764" s="69"/>
      <c r="E764" s="60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spans="1:26" ht="15.75">
      <c r="A765" s="48"/>
      <c r="B765" s="48"/>
      <c r="C765" s="48"/>
      <c r="D765" s="69"/>
      <c r="E765" s="60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spans="1:26" ht="15.75">
      <c r="A766" s="48"/>
      <c r="B766" s="48"/>
      <c r="C766" s="48"/>
      <c r="D766" s="69"/>
      <c r="E766" s="60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spans="1:26" ht="15.75">
      <c r="A767" s="48"/>
      <c r="B767" s="48"/>
      <c r="C767" s="48"/>
      <c r="D767" s="69"/>
      <c r="E767" s="60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spans="1:26" ht="15.75">
      <c r="A768" s="48"/>
      <c r="B768" s="48"/>
      <c r="C768" s="48"/>
      <c r="D768" s="69"/>
      <c r="E768" s="60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spans="1:26" ht="15.75">
      <c r="A769" s="48"/>
      <c r="B769" s="48"/>
      <c r="C769" s="48"/>
      <c r="D769" s="69"/>
      <c r="E769" s="60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spans="1:26" ht="15.75">
      <c r="A770" s="48"/>
      <c r="B770" s="48"/>
      <c r="C770" s="48"/>
      <c r="D770" s="69"/>
      <c r="E770" s="60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spans="1:26" ht="15.75">
      <c r="A771" s="48"/>
      <c r="B771" s="48"/>
      <c r="C771" s="48"/>
      <c r="D771" s="69"/>
      <c r="E771" s="60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spans="1:26" ht="15.75">
      <c r="A772" s="48"/>
      <c r="B772" s="48"/>
      <c r="C772" s="48"/>
      <c r="D772" s="69"/>
      <c r="E772" s="60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spans="1:26" ht="15.75">
      <c r="A773" s="48"/>
      <c r="B773" s="48"/>
      <c r="C773" s="48"/>
      <c r="D773" s="69"/>
      <c r="E773" s="60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spans="1:26" ht="15.75">
      <c r="A774" s="48"/>
      <c r="B774" s="48"/>
      <c r="C774" s="48"/>
      <c r="D774" s="69"/>
      <c r="E774" s="60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spans="1:26" ht="15.75">
      <c r="A775" s="48"/>
      <c r="B775" s="48"/>
      <c r="C775" s="48"/>
      <c r="D775" s="69"/>
      <c r="E775" s="60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spans="1:26" ht="15.75">
      <c r="A776" s="48"/>
      <c r="B776" s="48"/>
      <c r="C776" s="48"/>
      <c r="D776" s="69"/>
      <c r="E776" s="60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spans="1:26" ht="15.75">
      <c r="A777" s="48"/>
      <c r="B777" s="48"/>
      <c r="C777" s="48"/>
      <c r="D777" s="69"/>
      <c r="E777" s="60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spans="1:26" ht="15.75">
      <c r="A778" s="48"/>
      <c r="B778" s="48"/>
      <c r="C778" s="48"/>
      <c r="D778" s="69"/>
      <c r="E778" s="60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spans="1:26" ht="15.75">
      <c r="A779" s="48"/>
      <c r="B779" s="48"/>
      <c r="C779" s="48"/>
      <c r="D779" s="69"/>
      <c r="E779" s="60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spans="1:26" ht="15.75">
      <c r="A780" s="48"/>
      <c r="B780" s="48"/>
      <c r="C780" s="48"/>
      <c r="D780" s="69"/>
      <c r="E780" s="60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spans="1:26" ht="15.75">
      <c r="A781" s="48"/>
      <c r="B781" s="48"/>
      <c r="C781" s="48"/>
      <c r="D781" s="69"/>
      <c r="E781" s="60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spans="1:26" ht="15.75">
      <c r="A782" s="48"/>
      <c r="B782" s="48"/>
      <c r="C782" s="48"/>
      <c r="D782" s="69"/>
      <c r="E782" s="60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spans="1:26" ht="15.75">
      <c r="A783" s="48"/>
      <c r="B783" s="48"/>
      <c r="C783" s="48"/>
      <c r="D783" s="69"/>
      <c r="E783" s="60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spans="1:26" ht="15.75">
      <c r="A784" s="48"/>
      <c r="B784" s="48"/>
      <c r="C784" s="48"/>
      <c r="D784" s="69"/>
      <c r="E784" s="60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spans="1:26" ht="15.75">
      <c r="A785" s="48"/>
      <c r="B785" s="48"/>
      <c r="C785" s="48"/>
      <c r="D785" s="69"/>
      <c r="E785" s="60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spans="1:26" ht="15.75">
      <c r="A786" s="48"/>
      <c r="B786" s="48"/>
      <c r="C786" s="48"/>
      <c r="D786" s="69"/>
      <c r="E786" s="60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spans="1:26" ht="15.75">
      <c r="A787" s="48"/>
      <c r="B787" s="48"/>
      <c r="C787" s="48"/>
      <c r="D787" s="69"/>
      <c r="E787" s="60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spans="1:26" ht="15.75">
      <c r="A788" s="48"/>
      <c r="B788" s="48"/>
      <c r="C788" s="48"/>
      <c r="D788" s="69"/>
      <c r="E788" s="60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spans="1:26" ht="15.75">
      <c r="A789" s="48"/>
      <c r="B789" s="48"/>
      <c r="C789" s="48"/>
      <c r="D789" s="69"/>
      <c r="E789" s="60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spans="1:26" ht="15.75">
      <c r="A790" s="48"/>
      <c r="B790" s="48"/>
      <c r="C790" s="48"/>
      <c r="D790" s="69"/>
      <c r="E790" s="60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spans="1:26" ht="15.75">
      <c r="A791" s="48"/>
      <c r="B791" s="48"/>
      <c r="C791" s="48"/>
      <c r="D791" s="69"/>
      <c r="E791" s="60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spans="1:26" ht="15.75">
      <c r="A792" s="48"/>
      <c r="B792" s="48"/>
      <c r="C792" s="48"/>
      <c r="D792" s="69"/>
      <c r="E792" s="60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spans="1:26" ht="15.75">
      <c r="A793" s="48"/>
      <c r="B793" s="48"/>
      <c r="C793" s="48"/>
      <c r="D793" s="69"/>
      <c r="E793" s="60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spans="1:26" ht="15.75">
      <c r="A794" s="48"/>
      <c r="B794" s="48"/>
      <c r="C794" s="48"/>
      <c r="D794" s="69"/>
      <c r="E794" s="60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spans="1:26" ht="15.75">
      <c r="A795" s="48"/>
      <c r="B795" s="48"/>
      <c r="C795" s="48"/>
      <c r="D795" s="69"/>
      <c r="E795" s="60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spans="1:26" ht="15.75">
      <c r="A796" s="48"/>
      <c r="B796" s="48"/>
      <c r="C796" s="48"/>
      <c r="D796" s="69"/>
      <c r="E796" s="60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spans="1:26" ht="15.75">
      <c r="A797" s="48"/>
      <c r="B797" s="48"/>
      <c r="C797" s="48"/>
      <c r="D797" s="69"/>
      <c r="E797" s="60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spans="1:26" ht="15.75">
      <c r="A798" s="48"/>
      <c r="B798" s="48"/>
      <c r="C798" s="48"/>
      <c r="D798" s="69"/>
      <c r="E798" s="60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spans="1:26" ht="15.75">
      <c r="A799" s="48"/>
      <c r="B799" s="48"/>
      <c r="C799" s="48"/>
      <c r="D799" s="69"/>
      <c r="E799" s="60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spans="1:26" ht="15.75">
      <c r="A800" s="48"/>
      <c r="B800" s="48"/>
      <c r="C800" s="48"/>
      <c r="D800" s="69"/>
      <c r="E800" s="60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spans="1:26" ht="15.75">
      <c r="A801" s="48"/>
      <c r="B801" s="48"/>
      <c r="C801" s="48"/>
      <c r="D801" s="69"/>
      <c r="E801" s="60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spans="1:26" ht="15.75">
      <c r="A802" s="48"/>
      <c r="B802" s="48"/>
      <c r="C802" s="48"/>
      <c r="D802" s="69"/>
      <c r="E802" s="60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spans="1:26" ht="15.75">
      <c r="A803" s="48"/>
      <c r="B803" s="48"/>
      <c r="C803" s="48"/>
      <c r="D803" s="69"/>
      <c r="E803" s="60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spans="1:26" ht="15.75">
      <c r="A804" s="48"/>
      <c r="B804" s="48"/>
      <c r="C804" s="48"/>
      <c r="D804" s="69"/>
      <c r="E804" s="60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spans="1:26" ht="15.75">
      <c r="A805" s="48"/>
      <c r="B805" s="48"/>
      <c r="C805" s="48"/>
      <c r="D805" s="69"/>
      <c r="E805" s="60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spans="1:26" ht="15.75">
      <c r="A806" s="48"/>
      <c r="B806" s="48"/>
      <c r="C806" s="48"/>
      <c r="D806" s="69"/>
      <c r="E806" s="60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spans="1:26" ht="15.75">
      <c r="A807" s="48"/>
      <c r="B807" s="48"/>
      <c r="C807" s="48"/>
      <c r="D807" s="69"/>
      <c r="E807" s="60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spans="1:26" ht="15.75">
      <c r="A808" s="48"/>
      <c r="B808" s="48"/>
      <c r="C808" s="48"/>
      <c r="D808" s="69"/>
      <c r="E808" s="60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spans="1:26" ht="15.75">
      <c r="A809" s="48"/>
      <c r="B809" s="48"/>
      <c r="C809" s="48"/>
      <c r="D809" s="69"/>
      <c r="E809" s="60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spans="1:26" ht="15.75">
      <c r="A810" s="48"/>
      <c r="B810" s="48"/>
      <c r="C810" s="48"/>
      <c r="D810" s="69"/>
      <c r="E810" s="60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spans="1:26" ht="15.75">
      <c r="A811" s="48"/>
      <c r="B811" s="48"/>
      <c r="C811" s="48"/>
      <c r="D811" s="69"/>
      <c r="E811" s="60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spans="1:26" ht="15.75">
      <c r="A812" s="48"/>
      <c r="B812" s="48"/>
      <c r="C812" s="48"/>
      <c r="D812" s="69"/>
      <c r="E812" s="60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spans="1:26" ht="15.75">
      <c r="A813" s="48"/>
      <c r="B813" s="48"/>
      <c r="C813" s="48"/>
      <c r="D813" s="69"/>
      <c r="E813" s="60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spans="1:26" ht="15.75">
      <c r="A814" s="48"/>
      <c r="B814" s="48"/>
      <c r="C814" s="48"/>
      <c r="D814" s="69"/>
      <c r="E814" s="60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spans="1:26" ht="15.75">
      <c r="A815" s="48"/>
      <c r="B815" s="48"/>
      <c r="C815" s="48"/>
      <c r="D815" s="69"/>
      <c r="E815" s="60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spans="1:26" ht="15.75">
      <c r="A816" s="48"/>
      <c r="B816" s="48"/>
      <c r="C816" s="48"/>
      <c r="D816" s="69"/>
      <c r="E816" s="60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spans="1:26" ht="15.75">
      <c r="A817" s="48"/>
      <c r="B817" s="48"/>
      <c r="C817" s="48"/>
      <c r="D817" s="69"/>
      <c r="E817" s="60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spans="1:26" ht="15.75">
      <c r="A818" s="48"/>
      <c r="B818" s="48"/>
      <c r="C818" s="48"/>
      <c r="D818" s="69"/>
      <c r="E818" s="60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spans="1:26" ht="15.75">
      <c r="A819" s="48"/>
      <c r="B819" s="48"/>
      <c r="C819" s="48"/>
      <c r="D819" s="69"/>
      <c r="E819" s="60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spans="1:26" ht="15.75">
      <c r="A820" s="48"/>
      <c r="B820" s="48"/>
      <c r="C820" s="48"/>
      <c r="D820" s="69"/>
      <c r="E820" s="60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spans="1:26" ht="15.75">
      <c r="A821" s="48"/>
      <c r="B821" s="48"/>
      <c r="C821" s="48"/>
      <c r="D821" s="69"/>
      <c r="E821" s="60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spans="1:26" ht="15.75">
      <c r="A822" s="48"/>
      <c r="B822" s="48"/>
      <c r="C822" s="48"/>
      <c r="D822" s="69"/>
      <c r="E822" s="60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spans="1:26" ht="15.75">
      <c r="A823" s="48"/>
      <c r="B823" s="48"/>
      <c r="C823" s="48"/>
      <c r="D823" s="69"/>
      <c r="E823" s="60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spans="1:26" ht="15.75">
      <c r="A824" s="48"/>
      <c r="B824" s="48"/>
      <c r="C824" s="48"/>
      <c r="D824" s="69"/>
      <c r="E824" s="60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spans="1:26" ht="15.75">
      <c r="A825" s="48"/>
      <c r="B825" s="48"/>
      <c r="C825" s="48"/>
      <c r="D825" s="69"/>
      <c r="E825" s="60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spans="1:26" ht="15.75">
      <c r="A826" s="48"/>
      <c r="B826" s="48"/>
      <c r="C826" s="48"/>
      <c r="D826" s="69"/>
      <c r="E826" s="60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spans="1:26" ht="15.75">
      <c r="A827" s="48"/>
      <c r="B827" s="48"/>
      <c r="C827" s="48"/>
      <c r="D827" s="69"/>
      <c r="E827" s="60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spans="1:26" ht="18" customHeight="1">
      <c r="A828" s="48"/>
      <c r="B828" s="48"/>
      <c r="C828" s="48"/>
      <c r="D828" s="69"/>
      <c r="E828" s="60"/>
      <c r="F828" s="48"/>
      <c r="G828" s="48"/>
      <c r="H828" s="76" t="s">
        <v>703</v>
      </c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spans="1:26" ht="15.75">
      <c r="A829" s="48"/>
      <c r="B829" s="48"/>
      <c r="C829" s="48"/>
      <c r="D829" s="69"/>
      <c r="E829" s="60"/>
      <c r="F829" s="48"/>
      <c r="G829" s="48"/>
      <c r="H829" s="48" t="s">
        <v>704</v>
      </c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spans="1:26" ht="15.75">
      <c r="A830" s="48"/>
      <c r="B830" s="48"/>
      <c r="C830" s="48"/>
      <c r="D830" s="69"/>
      <c r="E830" s="60"/>
      <c r="F830" s="48"/>
      <c r="G830" s="48"/>
      <c r="H830" s="48" t="s">
        <v>705</v>
      </c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spans="1:26" ht="15.75">
      <c r="A831" s="48"/>
      <c r="B831" s="48"/>
      <c r="C831" s="48"/>
      <c r="D831" s="69"/>
      <c r="E831" s="60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spans="1:26" ht="15.75">
      <c r="A832" s="48"/>
      <c r="B832" s="48"/>
      <c r="C832" s="48"/>
      <c r="D832" s="69"/>
      <c r="E832" s="60"/>
      <c r="F832" s="48"/>
      <c r="G832" s="48"/>
      <c r="H832" s="48" t="s">
        <v>706</v>
      </c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spans="1:26" ht="15.75">
      <c r="A833" s="48"/>
      <c r="B833" s="48"/>
      <c r="C833" s="48"/>
      <c r="D833" s="69"/>
      <c r="E833" s="60"/>
      <c r="F833" s="48"/>
      <c r="G833" s="48"/>
      <c r="H833" s="48" t="s">
        <v>707</v>
      </c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spans="1:26" ht="15.75">
      <c r="A834" s="48"/>
      <c r="B834" s="48"/>
      <c r="C834" s="48"/>
      <c r="D834" s="69"/>
      <c r="E834" s="60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spans="1:26" ht="15.75">
      <c r="A835" s="48"/>
      <c r="B835" s="48"/>
      <c r="C835" s="48"/>
      <c r="D835" s="69"/>
      <c r="E835" s="60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spans="1:26" ht="15.75">
      <c r="A836" s="48"/>
      <c r="B836" s="48"/>
      <c r="C836" s="48"/>
      <c r="D836" s="69"/>
      <c r="E836" s="60"/>
      <c r="F836" s="48"/>
      <c r="G836" s="48"/>
      <c r="H836" s="77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spans="1:26" ht="15.75">
      <c r="A837" s="48"/>
      <c r="B837" s="48"/>
      <c r="C837" s="48"/>
      <c r="D837" s="69"/>
      <c r="E837" s="60"/>
      <c r="F837" s="48"/>
      <c r="G837" s="48"/>
      <c r="H837" s="48" t="s">
        <v>708</v>
      </c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spans="1:26" ht="15.75">
      <c r="A838" s="48"/>
      <c r="B838" s="48"/>
      <c r="C838" s="48"/>
      <c r="D838" s="69"/>
      <c r="E838" s="60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spans="1:26" ht="15.75">
      <c r="A839" s="48"/>
      <c r="B839" s="48"/>
      <c r="C839" s="48"/>
      <c r="D839" s="69"/>
      <c r="E839" s="60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spans="1:26" ht="15.75">
      <c r="A840" s="48"/>
      <c r="B840" s="48"/>
      <c r="C840" s="48"/>
      <c r="D840" s="69"/>
      <c r="E840" s="60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spans="1:26" ht="15.75">
      <c r="A841" s="48"/>
      <c r="B841" s="48"/>
      <c r="C841" s="48"/>
      <c r="D841" s="69"/>
      <c r="E841" s="60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spans="1:26" ht="15.75">
      <c r="A842" s="48"/>
      <c r="B842" s="48"/>
      <c r="C842" s="48"/>
      <c r="D842" s="69"/>
      <c r="E842" s="60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spans="1:26" ht="15.75">
      <c r="A843" s="48"/>
      <c r="B843" s="48"/>
      <c r="C843" s="48"/>
      <c r="D843" s="69"/>
      <c r="E843" s="60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spans="1:26" ht="15.75">
      <c r="A844" s="48"/>
      <c r="B844" s="48"/>
      <c r="C844" s="48"/>
      <c r="D844" s="69"/>
      <c r="E844" s="60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spans="1:26" ht="15.75">
      <c r="A845" s="48"/>
      <c r="B845" s="48"/>
      <c r="C845" s="48"/>
      <c r="D845" s="69"/>
      <c r="E845" s="60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spans="1:26" ht="15.75">
      <c r="A846" s="48"/>
      <c r="B846" s="48"/>
      <c r="C846" s="48"/>
      <c r="D846" s="69"/>
      <c r="E846" s="60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spans="1:26" ht="15.75">
      <c r="A847" s="48"/>
      <c r="B847" s="48"/>
      <c r="C847" s="48"/>
      <c r="D847" s="69"/>
      <c r="E847" s="60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spans="1:26" ht="15.75">
      <c r="A848" s="48"/>
      <c r="B848" s="48"/>
      <c r="C848" s="48"/>
      <c r="D848" s="69"/>
      <c r="E848" s="60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spans="1:26" ht="15.75">
      <c r="A849" s="48"/>
      <c r="B849" s="48"/>
      <c r="C849" s="48"/>
      <c r="D849" s="69"/>
      <c r="E849" s="60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spans="1:26" ht="15.75">
      <c r="A850" s="48"/>
      <c r="B850" s="48"/>
      <c r="C850" s="48"/>
      <c r="D850" s="69"/>
      <c r="E850" s="60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spans="1:26" ht="15.75">
      <c r="A851" s="48"/>
      <c r="B851" s="48"/>
      <c r="C851" s="48"/>
      <c r="D851" s="69"/>
      <c r="E851" s="60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spans="1:26" ht="15.75">
      <c r="A852" s="48"/>
      <c r="B852" s="48"/>
      <c r="C852" s="48"/>
      <c r="D852" s="69"/>
      <c r="E852" s="60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spans="1:26" ht="15.75">
      <c r="A853" s="48"/>
      <c r="B853" s="48"/>
      <c r="C853" s="48"/>
      <c r="D853" s="69"/>
      <c r="E853" s="60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spans="1:26" ht="15.75">
      <c r="A854" s="48"/>
      <c r="B854" s="48"/>
      <c r="C854" s="48"/>
      <c r="D854" s="69"/>
      <c r="E854" s="60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spans="1:26" ht="15.75">
      <c r="A855" s="48"/>
      <c r="B855" s="48"/>
      <c r="C855" s="48"/>
      <c r="D855" s="69"/>
      <c r="E855" s="60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spans="1:26" ht="15.75">
      <c r="A856" s="48"/>
      <c r="B856" s="48"/>
      <c r="C856" s="48"/>
      <c r="D856" s="69"/>
      <c r="E856" s="60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spans="1:26" ht="15.75">
      <c r="A857" s="48"/>
      <c r="B857" s="48"/>
      <c r="C857" s="48"/>
      <c r="D857" s="69"/>
      <c r="E857" s="60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spans="1:26" ht="15.75">
      <c r="A858" s="48"/>
      <c r="B858" s="48"/>
      <c r="C858" s="48"/>
      <c r="D858" s="69"/>
      <c r="E858" s="60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spans="1:26" ht="15.75">
      <c r="A859" s="48"/>
      <c r="B859" s="48"/>
      <c r="C859" s="48"/>
      <c r="D859" s="69"/>
      <c r="E859" s="60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spans="1:26" ht="15.75">
      <c r="A860" s="48"/>
      <c r="B860" s="48"/>
      <c r="C860" s="48"/>
      <c r="D860" s="69"/>
      <c r="E860" s="60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spans="1:26" ht="15.75">
      <c r="A861" s="48"/>
      <c r="B861" s="48"/>
      <c r="C861" s="48"/>
      <c r="D861" s="69"/>
      <c r="E861" s="60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spans="1:26" ht="15.75">
      <c r="A862" s="48"/>
      <c r="B862" s="48"/>
      <c r="C862" s="48"/>
      <c r="D862" s="69"/>
      <c r="E862" s="60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spans="1:26" ht="15.75">
      <c r="A863" s="48"/>
      <c r="B863" s="48"/>
      <c r="C863" s="48"/>
      <c r="D863" s="69"/>
      <c r="E863" s="60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spans="1:26" ht="15.75">
      <c r="A864" s="48"/>
      <c r="B864" s="48"/>
      <c r="C864" s="48"/>
      <c r="D864" s="69"/>
      <c r="E864" s="60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spans="1:26" ht="15.75">
      <c r="A865" s="48"/>
      <c r="B865" s="48"/>
      <c r="C865" s="48"/>
      <c r="D865" s="69"/>
      <c r="E865" s="60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spans="1:26" ht="15.75">
      <c r="A866" s="48"/>
      <c r="B866" s="48"/>
      <c r="C866" s="48"/>
      <c r="D866" s="69"/>
      <c r="E866" s="60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spans="1:26" ht="15.75">
      <c r="A867" s="48"/>
      <c r="B867" s="48"/>
      <c r="C867" s="48"/>
      <c r="D867" s="69"/>
      <c r="E867" s="60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spans="1:26" ht="15.75">
      <c r="A868" s="48"/>
      <c r="B868" s="48"/>
      <c r="C868" s="48"/>
      <c r="D868" s="69"/>
      <c r="E868" s="60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spans="1:26" ht="15.75">
      <c r="A869" s="48"/>
      <c r="B869" s="48"/>
      <c r="C869" s="48"/>
      <c r="D869" s="69"/>
      <c r="E869" s="60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spans="1:26" ht="15.75">
      <c r="A870" s="48"/>
      <c r="B870" s="48"/>
      <c r="C870" s="48"/>
      <c r="D870" s="69"/>
      <c r="E870" s="60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spans="1:26" ht="15.75">
      <c r="A871" s="48"/>
      <c r="B871" s="48"/>
      <c r="C871" s="48"/>
      <c r="D871" s="69"/>
      <c r="E871" s="60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spans="1:26" ht="15.75">
      <c r="A872" s="48"/>
      <c r="B872" s="48"/>
      <c r="C872" s="48"/>
      <c r="D872" s="69"/>
      <c r="E872" s="60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spans="1:26" ht="15.75">
      <c r="A873" s="48"/>
      <c r="B873" s="48"/>
      <c r="C873" s="48"/>
      <c r="D873" s="69"/>
      <c r="E873" s="60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spans="1:26" ht="15.75">
      <c r="A874" s="48"/>
      <c r="B874" s="48"/>
      <c r="C874" s="48"/>
      <c r="D874" s="69"/>
      <c r="E874" s="60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spans="1:26" ht="15.75">
      <c r="A875" s="48"/>
      <c r="B875" s="48"/>
      <c r="C875" s="48"/>
      <c r="D875" s="69"/>
      <c r="E875" s="60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spans="1:26" ht="15.75">
      <c r="A876" s="48"/>
      <c r="B876" s="48"/>
      <c r="C876" s="48"/>
      <c r="D876" s="69"/>
      <c r="E876" s="60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spans="1:26" ht="15.75">
      <c r="A877" s="48"/>
      <c r="B877" s="48"/>
      <c r="C877" s="48"/>
      <c r="D877" s="69"/>
      <c r="E877" s="60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spans="1:26" ht="15.75">
      <c r="A878" s="48"/>
      <c r="B878" s="48"/>
      <c r="C878" s="48"/>
      <c r="D878" s="69"/>
      <c r="E878" s="60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spans="1:26" ht="15.75">
      <c r="A879" s="48"/>
      <c r="B879" s="48"/>
      <c r="C879" s="48"/>
      <c r="D879" s="69"/>
      <c r="E879" s="60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spans="1:26" ht="15.75">
      <c r="A880" s="48"/>
      <c r="B880" s="48"/>
      <c r="C880" s="48"/>
      <c r="D880" s="69"/>
      <c r="E880" s="60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spans="1:26" ht="15.75">
      <c r="A881" s="48"/>
      <c r="B881" s="48"/>
      <c r="C881" s="48"/>
      <c r="D881" s="69"/>
      <c r="E881" s="60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spans="1:26" ht="15.75">
      <c r="A882" s="48"/>
      <c r="B882" s="48"/>
      <c r="C882" s="48"/>
      <c r="D882" s="69"/>
      <c r="E882" s="60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spans="1:26" ht="15.75">
      <c r="A883" s="48"/>
      <c r="B883" s="48"/>
      <c r="C883" s="48"/>
      <c r="D883" s="69"/>
      <c r="E883" s="60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spans="1:26" ht="15.75">
      <c r="A884" s="48"/>
      <c r="B884" s="48"/>
      <c r="C884" s="48"/>
      <c r="D884" s="69"/>
      <c r="E884" s="60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spans="1:26" ht="15.75">
      <c r="A885" s="48"/>
      <c r="B885" s="48"/>
      <c r="C885" s="48"/>
      <c r="D885" s="69"/>
      <c r="E885" s="60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spans="1:26" ht="15.75">
      <c r="A886" s="48"/>
      <c r="B886" s="48"/>
      <c r="C886" s="48"/>
      <c r="D886" s="69"/>
      <c r="E886" s="60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spans="1:26" ht="15.75">
      <c r="A887" s="48"/>
      <c r="B887" s="48"/>
      <c r="C887" s="48"/>
      <c r="D887" s="69"/>
      <c r="E887" s="60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spans="1:26" ht="15.75">
      <c r="A888" s="48"/>
      <c r="B888" s="48"/>
      <c r="C888" s="48"/>
      <c r="D888" s="69"/>
      <c r="E888" s="60"/>
      <c r="F888" s="48"/>
      <c r="G888" s="48"/>
      <c r="H888" s="48" t="s">
        <v>709</v>
      </c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spans="1:26" ht="15.75">
      <c r="A889" s="48"/>
      <c r="B889" s="48"/>
      <c r="C889" s="48"/>
      <c r="D889" s="69"/>
      <c r="E889" s="60"/>
      <c r="F889" s="48"/>
      <c r="G889" s="48"/>
      <c r="H889" s="48" t="s">
        <v>710</v>
      </c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spans="1:26" ht="15.75">
      <c r="A890" s="48"/>
      <c r="B890" s="48"/>
      <c r="C890" s="48"/>
      <c r="D890" s="69"/>
      <c r="E890" s="60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spans="1:26" ht="15.75">
      <c r="A891" s="48"/>
      <c r="B891" s="48"/>
      <c r="C891" s="48"/>
      <c r="D891" s="69"/>
      <c r="E891" s="60"/>
      <c r="F891" s="48"/>
      <c r="G891" s="48"/>
      <c r="H891" s="48" t="s">
        <v>711</v>
      </c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spans="1:26" ht="15.75">
      <c r="A892" s="48"/>
      <c r="B892" s="48"/>
      <c r="C892" s="48"/>
      <c r="D892" s="69"/>
      <c r="E892" s="60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spans="1:26" ht="15.75">
      <c r="A893" s="48"/>
      <c r="B893" s="48"/>
      <c r="C893" s="48"/>
      <c r="D893" s="69"/>
      <c r="E893" s="60"/>
      <c r="F893" s="48"/>
      <c r="G893" s="48"/>
      <c r="H893" s="48" t="s">
        <v>712</v>
      </c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spans="1:26" ht="15.75">
      <c r="A894" s="48"/>
      <c r="B894" s="48"/>
      <c r="C894" s="48"/>
      <c r="D894" s="69"/>
      <c r="E894" s="60"/>
      <c r="F894" s="48"/>
      <c r="G894" s="48"/>
      <c r="H894" s="48" t="s">
        <v>713</v>
      </c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spans="1:26" ht="15.75">
      <c r="A895" s="48"/>
      <c r="B895" s="48"/>
      <c r="C895" s="48"/>
      <c r="D895" s="69"/>
      <c r="E895" s="60"/>
      <c r="F895" s="48"/>
      <c r="G895" s="48"/>
      <c r="H895" s="48" t="s">
        <v>714</v>
      </c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spans="1:26" ht="15.75">
      <c r="A896" s="48"/>
      <c r="B896" s="48"/>
      <c r="C896" s="48"/>
      <c r="D896" s="69"/>
      <c r="E896" s="60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spans="1:26" ht="15.75">
      <c r="A897" s="48"/>
      <c r="B897" s="48"/>
      <c r="C897" s="48"/>
      <c r="D897" s="69"/>
      <c r="E897" s="60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spans="1:26" ht="15.75">
      <c r="A898" s="48"/>
      <c r="B898" s="48"/>
      <c r="C898" s="48"/>
      <c r="D898" s="69"/>
      <c r="E898" s="60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spans="1:26" ht="15.75">
      <c r="A899" s="48"/>
      <c r="B899" s="48"/>
      <c r="C899" s="48"/>
      <c r="D899" s="69"/>
      <c r="E899" s="60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spans="1:26" ht="15.75">
      <c r="A900" s="48"/>
      <c r="B900" s="48"/>
      <c r="C900" s="48"/>
      <c r="D900" s="69"/>
      <c r="E900" s="60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spans="1:26" ht="15.75">
      <c r="A901" s="48"/>
      <c r="B901" s="48"/>
      <c r="C901" s="48"/>
      <c r="D901" s="69"/>
      <c r="E901" s="60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spans="1:26" ht="15.75">
      <c r="A902" s="48"/>
      <c r="B902" s="48"/>
      <c r="C902" s="48"/>
      <c r="D902" s="69"/>
      <c r="E902" s="60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spans="1:26" ht="15.75">
      <c r="A903" s="48"/>
      <c r="B903" s="48"/>
      <c r="C903" s="48"/>
      <c r="D903" s="69"/>
      <c r="E903" s="60"/>
      <c r="F903" s="48"/>
      <c r="G903" s="48"/>
      <c r="H903" s="48" t="s">
        <v>715</v>
      </c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spans="1:26" ht="15.75">
      <c r="A904" s="48"/>
      <c r="B904" s="48"/>
      <c r="C904" s="48"/>
      <c r="D904" s="69"/>
      <c r="E904" s="60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spans="1:26" ht="15.75">
      <c r="A905" s="48"/>
      <c r="B905" s="48"/>
      <c r="C905" s="48"/>
      <c r="D905" s="69"/>
      <c r="E905" s="60"/>
      <c r="F905" s="48"/>
      <c r="G905" s="48"/>
      <c r="H905" s="48" t="s">
        <v>716</v>
      </c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spans="1:26" ht="15.75">
      <c r="A906" s="48"/>
      <c r="B906" s="48"/>
      <c r="C906" s="48"/>
      <c r="D906" s="69"/>
      <c r="E906" s="60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spans="1:26" ht="15.75">
      <c r="A907" s="48"/>
      <c r="B907" s="48"/>
      <c r="C907" s="48"/>
      <c r="D907" s="69"/>
      <c r="E907" s="60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spans="1:26" ht="15.75">
      <c r="A908" s="48"/>
      <c r="B908" s="48"/>
      <c r="C908" s="48"/>
      <c r="D908" s="69"/>
      <c r="E908" s="60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spans="1:26" ht="15.75">
      <c r="A909" s="48"/>
      <c r="B909" s="48"/>
      <c r="C909" s="48"/>
      <c r="D909" s="69"/>
      <c r="E909" s="60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spans="1:26" ht="15.75">
      <c r="A910" s="48"/>
      <c r="B910" s="48"/>
      <c r="C910" s="48"/>
      <c r="D910" s="69"/>
      <c r="E910" s="60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spans="1:26" ht="15.75">
      <c r="A911" s="48"/>
      <c r="B911" s="48"/>
      <c r="C911" s="48"/>
      <c r="D911" s="69"/>
      <c r="E911" s="60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spans="1:26" ht="15.75">
      <c r="A912" s="48"/>
      <c r="B912" s="48"/>
      <c r="C912" s="48"/>
      <c r="D912" s="69"/>
      <c r="E912" s="60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spans="1:26" ht="15.75">
      <c r="A913" s="48"/>
      <c r="B913" s="48"/>
      <c r="C913" s="48"/>
      <c r="D913" s="69"/>
      <c r="E913" s="60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spans="1:26" ht="15.75">
      <c r="A914" s="48"/>
      <c r="B914" s="48"/>
      <c r="C914" s="48"/>
      <c r="D914" s="69"/>
      <c r="E914" s="60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spans="1:26" ht="15.75">
      <c r="A915" s="48"/>
      <c r="B915" s="48"/>
      <c r="C915" s="48"/>
      <c r="D915" s="69"/>
      <c r="E915" s="60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spans="1:26" ht="15.75">
      <c r="A916" s="48"/>
      <c r="B916" s="48"/>
      <c r="C916" s="48"/>
      <c r="D916" s="69"/>
      <c r="E916" s="60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spans="1:26" ht="15.75">
      <c r="A917" s="48"/>
      <c r="B917" s="48"/>
      <c r="C917" s="48"/>
      <c r="D917" s="69"/>
      <c r="E917" s="60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spans="1:26" ht="15.75">
      <c r="A918" s="48"/>
      <c r="B918" s="48"/>
      <c r="C918" s="48"/>
      <c r="D918" s="69"/>
      <c r="E918" s="60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spans="1:26" ht="15.75">
      <c r="A919" s="48"/>
      <c r="B919" s="48"/>
      <c r="C919" s="48"/>
      <c r="D919" s="69"/>
      <c r="E919" s="60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spans="1:26" ht="15.75">
      <c r="A920" s="48"/>
      <c r="B920" s="48"/>
      <c r="C920" s="48"/>
      <c r="D920" s="69"/>
      <c r="E920" s="60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spans="1:26" ht="15.75">
      <c r="A921" s="48"/>
      <c r="B921" s="48"/>
      <c r="C921" s="48"/>
      <c r="D921" s="69"/>
      <c r="E921" s="60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spans="1:26" ht="15.75">
      <c r="A922" s="48"/>
      <c r="B922" s="48"/>
      <c r="C922" s="48"/>
      <c r="D922" s="69"/>
      <c r="E922" s="60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spans="1:26" ht="15.75">
      <c r="A923" s="48"/>
      <c r="B923" s="48"/>
      <c r="C923" s="48"/>
      <c r="D923" s="69"/>
      <c r="E923" s="60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spans="1:26" ht="15.75">
      <c r="A924" s="48"/>
      <c r="B924" s="48"/>
      <c r="C924" s="48"/>
      <c r="D924" s="69"/>
      <c r="E924" s="60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spans="1:26" ht="15.75">
      <c r="A925" s="48"/>
      <c r="B925" s="48"/>
      <c r="C925" s="48"/>
      <c r="D925" s="69"/>
      <c r="E925" s="60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spans="1:26" ht="15.75">
      <c r="A926" s="48"/>
      <c r="B926" s="48"/>
      <c r="C926" s="48"/>
      <c r="D926" s="69"/>
      <c r="E926" s="60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spans="1:26" ht="15.75">
      <c r="A927" s="48"/>
      <c r="B927" s="48"/>
      <c r="C927" s="48"/>
      <c r="D927" s="69"/>
      <c r="E927" s="60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spans="1:26" ht="15.75">
      <c r="A928" s="48"/>
      <c r="B928" s="48"/>
      <c r="C928" s="48"/>
      <c r="D928" s="69"/>
      <c r="E928" s="60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spans="1:26" ht="15.75">
      <c r="A929" s="48"/>
      <c r="B929" s="48"/>
      <c r="C929" s="48"/>
      <c r="D929" s="69"/>
      <c r="E929" s="60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spans="1:26" ht="15.75">
      <c r="A930" s="48"/>
      <c r="B930" s="48"/>
      <c r="C930" s="48"/>
      <c r="D930" s="69"/>
      <c r="E930" s="60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spans="1:26" ht="15.75">
      <c r="A931" s="48"/>
      <c r="B931" s="48"/>
      <c r="C931" s="48"/>
      <c r="D931" s="69"/>
      <c r="E931" s="60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spans="1:26" ht="15.75">
      <c r="A932" s="48"/>
      <c r="B932" s="48"/>
      <c r="C932" s="48"/>
      <c r="D932" s="69"/>
      <c r="E932" s="60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spans="1:26" ht="15.75">
      <c r="A933" s="48"/>
      <c r="B933" s="48"/>
      <c r="C933" s="48"/>
      <c r="D933" s="69"/>
      <c r="E933" s="60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spans="1:26" ht="15.75">
      <c r="A934" s="48"/>
      <c r="B934" s="48"/>
      <c r="C934" s="48"/>
      <c r="D934" s="69"/>
      <c r="E934" s="60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spans="1:26" ht="15.75">
      <c r="A935" s="48"/>
      <c r="B935" s="48"/>
      <c r="C935" s="48"/>
      <c r="D935" s="69"/>
      <c r="E935" s="60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spans="1:26" ht="15.75">
      <c r="A936" s="48"/>
      <c r="B936" s="48"/>
      <c r="C936" s="48"/>
      <c r="D936" s="69"/>
      <c r="E936" s="60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spans="1:26" ht="15.75">
      <c r="A937" s="48"/>
      <c r="B937" s="48"/>
      <c r="C937" s="48"/>
      <c r="D937" s="69"/>
      <c r="E937" s="60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spans="1:26" ht="15.75">
      <c r="A938" s="48"/>
      <c r="B938" s="48"/>
      <c r="C938" s="48"/>
      <c r="D938" s="69"/>
      <c r="E938" s="60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spans="1:26" ht="15.75">
      <c r="A939" s="48"/>
      <c r="B939" s="48"/>
      <c r="C939" s="48"/>
      <c r="D939" s="69"/>
      <c r="E939" s="60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spans="1:26" ht="15.75">
      <c r="A940" s="48"/>
      <c r="B940" s="48"/>
      <c r="C940" s="48"/>
      <c r="D940" s="69"/>
      <c r="E940" s="60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spans="1:26" ht="15.75">
      <c r="A941" s="48"/>
      <c r="B941" s="48"/>
      <c r="C941" s="48"/>
      <c r="D941" s="69"/>
      <c r="E941" s="60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spans="1:26" ht="15.75">
      <c r="A942" s="48"/>
      <c r="B942" s="48"/>
      <c r="C942" s="48"/>
      <c r="D942" s="69"/>
      <c r="E942" s="60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spans="1:26" ht="15.75">
      <c r="A943" s="48"/>
      <c r="B943" s="48"/>
      <c r="C943" s="48"/>
      <c r="D943" s="69"/>
      <c r="E943" s="60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spans="1:26" ht="15.75">
      <c r="A944" s="48"/>
      <c r="B944" s="48"/>
      <c r="C944" s="48"/>
      <c r="D944" s="69"/>
      <c r="E944" s="60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spans="1:26" ht="15.75">
      <c r="A945" s="48"/>
      <c r="B945" s="48"/>
      <c r="C945" s="48"/>
      <c r="D945" s="69"/>
      <c r="E945" s="60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spans="1:26" ht="15.75">
      <c r="A946" s="48"/>
      <c r="B946" s="48"/>
      <c r="C946" s="48"/>
      <c r="D946" s="69"/>
      <c r="E946" s="60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spans="1:26" ht="15.75">
      <c r="A947" s="48"/>
      <c r="B947" s="48"/>
      <c r="C947" s="48"/>
      <c r="D947" s="69"/>
      <c r="E947" s="60"/>
      <c r="F947" s="48"/>
      <c r="G947" s="48"/>
      <c r="H947" s="78" t="s">
        <v>97</v>
      </c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spans="1:26" ht="15.75">
      <c r="A948" s="48"/>
      <c r="B948" s="48"/>
      <c r="C948" s="48"/>
      <c r="D948" s="69"/>
      <c r="E948" s="60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spans="1:26" ht="15.75">
      <c r="A949" s="48"/>
      <c r="B949" s="48"/>
      <c r="C949" s="48"/>
      <c r="D949" s="69"/>
      <c r="E949" s="60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spans="1:26" ht="15.75">
      <c r="A950" s="48"/>
      <c r="B950" s="48"/>
      <c r="C950" s="48"/>
      <c r="D950" s="69"/>
      <c r="E950" s="60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spans="1:26" ht="15.75">
      <c r="A951" s="48"/>
      <c r="B951" s="48"/>
      <c r="C951" s="48"/>
      <c r="D951" s="69"/>
      <c r="E951" s="60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spans="1:26" ht="15.75">
      <c r="A952" s="48"/>
      <c r="B952" s="48"/>
      <c r="C952" s="48"/>
      <c r="D952" s="69"/>
      <c r="E952" s="60"/>
      <c r="F952" s="48"/>
      <c r="G952" s="48"/>
      <c r="H952" s="48" t="s">
        <v>717</v>
      </c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spans="1:26" ht="15.75">
      <c r="A953" s="48"/>
      <c r="B953" s="48"/>
      <c r="C953" s="48"/>
      <c r="D953" s="69"/>
      <c r="E953" s="60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spans="1:26" ht="15.75">
      <c r="A954" s="48"/>
      <c r="B954" s="48"/>
      <c r="C954" s="48"/>
      <c r="D954" s="69"/>
      <c r="E954" s="60"/>
      <c r="F954" s="48"/>
      <c r="G954" s="48"/>
      <c r="H954" s="48" t="s">
        <v>718</v>
      </c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spans="1:26" ht="15.75">
      <c r="A955" s="48"/>
      <c r="B955" s="48"/>
      <c r="C955" s="48"/>
      <c r="D955" s="69"/>
      <c r="E955" s="60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spans="1:26" ht="15.75">
      <c r="A956" s="48"/>
      <c r="B956" s="48"/>
      <c r="C956" s="48"/>
      <c r="D956" s="69"/>
      <c r="E956" s="60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spans="1:26" ht="15.75">
      <c r="A957" s="48"/>
      <c r="B957" s="48"/>
      <c r="C957" s="48"/>
      <c r="D957" s="69"/>
      <c r="E957" s="60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spans="1:26" ht="15.75">
      <c r="A958" s="48"/>
      <c r="B958" s="48"/>
      <c r="C958" s="48"/>
      <c r="D958" s="69"/>
      <c r="E958" s="60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spans="1:26" ht="15.75">
      <c r="A959" s="48"/>
      <c r="B959" s="48"/>
      <c r="C959" s="48"/>
      <c r="D959" s="69"/>
      <c r="E959" s="60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spans="1:26" ht="15.75">
      <c r="A960" s="48"/>
      <c r="B960" s="48"/>
      <c r="C960" s="48"/>
      <c r="D960" s="69"/>
      <c r="E960" s="60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spans="1:26" ht="15.75">
      <c r="A961" s="48"/>
      <c r="B961" s="48"/>
      <c r="C961" s="48"/>
      <c r="D961" s="69"/>
      <c r="E961" s="60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spans="1:26" ht="15.75">
      <c r="A962" s="48"/>
      <c r="B962" s="48"/>
      <c r="C962" s="48"/>
      <c r="D962" s="69"/>
      <c r="E962" s="60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spans="1:26" ht="15.75">
      <c r="A963" s="48"/>
      <c r="B963" s="48"/>
      <c r="C963" s="48"/>
      <c r="D963" s="69"/>
      <c r="E963" s="60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spans="1:26" ht="15.75">
      <c r="A964" s="48"/>
      <c r="B964" s="48"/>
      <c r="C964" s="48"/>
      <c r="D964" s="69"/>
      <c r="E964" s="60"/>
      <c r="F964" s="48"/>
      <c r="G964" s="48"/>
      <c r="H964" s="78" t="s">
        <v>97</v>
      </c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spans="1:26" ht="15.75">
      <c r="A965" s="48"/>
      <c r="B965" s="48"/>
      <c r="C965" s="48"/>
      <c r="D965" s="69"/>
      <c r="E965" s="60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spans="1:26" ht="15.75">
      <c r="A966" s="48"/>
      <c r="B966" s="48"/>
      <c r="C966" s="48"/>
      <c r="D966" s="69"/>
      <c r="E966" s="60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spans="1:26" ht="15.75">
      <c r="A967" s="48"/>
      <c r="B967" s="48"/>
      <c r="C967" s="48"/>
      <c r="D967" s="69"/>
      <c r="E967" s="60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spans="1:26" ht="15.75">
      <c r="A968" s="48"/>
      <c r="B968" s="48"/>
      <c r="C968" s="48"/>
      <c r="D968" s="69"/>
      <c r="E968" s="60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spans="1:26" ht="15.75">
      <c r="A969" s="48"/>
      <c r="B969" s="48"/>
      <c r="C969" s="48"/>
      <c r="D969" s="69"/>
      <c r="E969" s="60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spans="1:26" ht="15.75">
      <c r="A970" s="48"/>
      <c r="B970" s="48"/>
      <c r="C970" s="48"/>
      <c r="D970" s="69"/>
      <c r="E970" s="60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spans="1:26" ht="15.75">
      <c r="A971" s="48"/>
      <c r="B971" s="48"/>
      <c r="C971" s="48"/>
      <c r="D971" s="69"/>
      <c r="E971" s="60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spans="1:26" ht="15.75">
      <c r="A972" s="48"/>
      <c r="B972" s="48"/>
      <c r="C972" s="48"/>
      <c r="D972" s="69"/>
      <c r="E972" s="60"/>
      <c r="F972" s="48"/>
      <c r="G972" s="48"/>
      <c r="H972" s="48" t="s">
        <v>719</v>
      </c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spans="1:26" ht="15.75">
      <c r="A973" s="48"/>
      <c r="B973" s="48"/>
      <c r="C973" s="48"/>
      <c r="D973" s="69"/>
      <c r="E973" s="60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spans="1:26" ht="15.75">
      <c r="A974" s="48"/>
      <c r="B974" s="48"/>
      <c r="C974" s="48"/>
      <c r="D974" s="69"/>
      <c r="E974" s="60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spans="1:26" ht="15.75">
      <c r="A975" s="48"/>
      <c r="B975" s="48"/>
      <c r="C975" s="48"/>
      <c r="D975" s="69"/>
      <c r="E975" s="60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spans="1:26" ht="15.75">
      <c r="A976" s="48"/>
      <c r="B976" s="48"/>
      <c r="C976" s="48"/>
      <c r="D976" s="69"/>
      <c r="E976" s="60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spans="1:26" ht="15.75">
      <c r="A977" s="48"/>
      <c r="B977" s="48"/>
      <c r="C977" s="48"/>
      <c r="D977" s="69"/>
      <c r="E977" s="60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spans="1:26" ht="15.75">
      <c r="A978" s="48"/>
      <c r="B978" s="48"/>
      <c r="C978" s="48"/>
      <c r="D978" s="69"/>
      <c r="E978" s="60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spans="1:26" ht="15.75">
      <c r="A979" s="48"/>
      <c r="B979" s="48"/>
      <c r="C979" s="48"/>
      <c r="D979" s="69"/>
      <c r="E979" s="60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spans="1:26" ht="15.75">
      <c r="A980" s="48"/>
      <c r="B980" s="48"/>
      <c r="C980" s="48"/>
      <c r="D980" s="69"/>
      <c r="E980" s="60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spans="1:26" ht="15.75">
      <c r="A981" s="48"/>
      <c r="B981" s="48"/>
      <c r="C981" s="48"/>
      <c r="D981" s="69"/>
      <c r="E981" s="60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spans="1:26" ht="15.75">
      <c r="A982" s="48"/>
      <c r="B982" s="48"/>
      <c r="C982" s="48"/>
      <c r="D982" s="69"/>
      <c r="E982" s="60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spans="1:26" ht="15.75">
      <c r="A983" s="48"/>
      <c r="B983" s="48"/>
      <c r="C983" s="48"/>
      <c r="D983" s="69"/>
      <c r="E983" s="60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spans="1:26" ht="15.75">
      <c r="A984" s="48"/>
      <c r="B984" s="48"/>
      <c r="C984" s="48"/>
      <c r="D984" s="69"/>
      <c r="E984" s="60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spans="1:26" ht="15.75">
      <c r="A985" s="48"/>
      <c r="B985" s="48"/>
      <c r="C985" s="48"/>
      <c r="D985" s="69"/>
      <c r="E985" s="60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spans="1:26" ht="15.75">
      <c r="A986" s="48"/>
      <c r="B986" s="48"/>
      <c r="C986" s="48"/>
      <c r="D986" s="69"/>
      <c r="E986" s="60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spans="1:26" ht="15.75">
      <c r="A987" s="48"/>
      <c r="B987" s="48"/>
      <c r="C987" s="48"/>
      <c r="D987" s="69"/>
      <c r="E987" s="60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spans="1:26" ht="15.75">
      <c r="A988" s="48"/>
      <c r="B988" s="48"/>
      <c r="C988" s="48"/>
      <c r="D988" s="69"/>
      <c r="E988" s="60"/>
      <c r="F988" s="48"/>
      <c r="G988" s="48"/>
    </row>
    <row r="989" spans="1:26" ht="15.75">
      <c r="A989" s="48"/>
      <c r="B989" s="48"/>
      <c r="C989" s="48"/>
      <c r="D989" s="69"/>
      <c r="E989" s="60"/>
      <c r="F989" s="48"/>
      <c r="G989" s="48"/>
    </row>
    <row r="990" spans="1:26" ht="15.75">
      <c r="A990" s="48"/>
      <c r="B990" s="48"/>
      <c r="C990" s="48"/>
      <c r="D990" s="69"/>
      <c r="E990" s="60"/>
      <c r="F990" s="48"/>
      <c r="G990" s="48"/>
    </row>
    <row r="991" spans="1:26" ht="15.75">
      <c r="A991" s="48"/>
      <c r="B991" s="48"/>
      <c r="C991" s="48"/>
      <c r="D991" s="69"/>
      <c r="E991" s="60"/>
      <c r="F991" s="48"/>
      <c r="G991" s="48"/>
    </row>
    <row r="992" spans="1:26" ht="15.75">
      <c r="A992" s="48"/>
      <c r="B992" s="48"/>
      <c r="C992" s="48"/>
      <c r="D992" s="69"/>
      <c r="E992" s="60"/>
      <c r="F992" s="48"/>
      <c r="G992" s="48"/>
    </row>
    <row r="993" spans="1:8" ht="15.75">
      <c r="A993" s="48"/>
      <c r="B993" s="48"/>
      <c r="C993" s="48"/>
      <c r="D993" s="69"/>
      <c r="E993" s="60"/>
      <c r="F993" s="48"/>
      <c r="G993" s="48"/>
    </row>
    <row r="994" spans="1:8" ht="15.75">
      <c r="A994" s="48"/>
      <c r="B994" s="48"/>
      <c r="C994" s="48"/>
      <c r="D994" s="69"/>
      <c r="E994" s="60"/>
      <c r="F994" s="48"/>
      <c r="G994" s="48"/>
    </row>
    <row r="995" spans="1:8" ht="15.75">
      <c r="A995" s="48"/>
      <c r="B995" s="48"/>
      <c r="C995" s="48"/>
      <c r="D995" s="69"/>
      <c r="E995" s="60"/>
      <c r="F995" s="48"/>
      <c r="G995" s="48"/>
    </row>
    <row r="996" spans="1:8" ht="15.75">
      <c r="A996" s="48"/>
      <c r="B996" s="48"/>
      <c r="C996" s="48"/>
      <c r="D996" s="69"/>
      <c r="E996" s="60"/>
      <c r="F996" s="48"/>
      <c r="G996" s="48"/>
    </row>
    <row r="997" spans="1:8" ht="15.75">
      <c r="A997" s="48"/>
      <c r="B997" s="48"/>
      <c r="C997" s="48"/>
      <c r="D997" s="69"/>
      <c r="E997" s="60"/>
      <c r="F997" s="48"/>
      <c r="G997" s="48"/>
      <c r="H997" s="49" t="s">
        <v>720</v>
      </c>
    </row>
    <row r="998" spans="1:8" ht="15.75">
      <c r="A998" s="48"/>
      <c r="B998" s="48"/>
      <c r="C998" s="48"/>
      <c r="D998" s="69"/>
      <c r="E998" s="60"/>
      <c r="F998" s="48"/>
      <c r="G998" s="48"/>
      <c r="H998" s="49" t="s">
        <v>721</v>
      </c>
    </row>
    <row r="999" spans="1:8" ht="15.75">
      <c r="A999" s="48"/>
      <c r="B999" s="48"/>
      <c r="C999" s="48"/>
      <c r="D999" s="69"/>
      <c r="E999" s="60"/>
      <c r="F999" s="48"/>
      <c r="G999" s="48"/>
    </row>
    <row r="1000" spans="1:8" ht="15.75">
      <c r="A1000" s="48"/>
      <c r="B1000" s="48"/>
      <c r="C1000" s="48"/>
      <c r="D1000" s="69"/>
      <c r="E1000" s="60"/>
      <c r="F1000" s="48"/>
      <c r="G1000" s="48"/>
      <c r="H1000" s="49" t="s">
        <v>722</v>
      </c>
    </row>
    <row r="1001" spans="1:8" ht="15.75">
      <c r="A1001" s="48"/>
      <c r="B1001" s="48"/>
      <c r="C1001" s="48"/>
      <c r="D1001" s="69"/>
      <c r="E1001" s="60"/>
      <c r="F1001" s="48"/>
      <c r="G1001" s="48"/>
      <c r="H1001" s="49" t="s">
        <v>723</v>
      </c>
    </row>
    <row r="1002" spans="1:8" ht="15.75">
      <c r="A1002" s="48"/>
      <c r="B1002" s="48"/>
      <c r="C1002" s="48"/>
      <c r="D1002" s="69"/>
      <c r="E1002" s="60"/>
      <c r="F1002" s="48"/>
      <c r="G1002" s="48"/>
      <c r="H1002" s="49" t="s">
        <v>724</v>
      </c>
    </row>
    <row r="1003" spans="1:8" ht="15.75">
      <c r="A1003" s="48"/>
      <c r="B1003" s="48"/>
      <c r="C1003" s="48"/>
      <c r="D1003" s="69"/>
      <c r="E1003" s="60"/>
      <c r="F1003" s="48"/>
      <c r="G1003" s="48"/>
    </row>
    <row r="1004" spans="1:8" ht="15.75">
      <c r="A1004" s="48"/>
      <c r="B1004" s="48"/>
      <c r="C1004" s="48"/>
      <c r="D1004" s="69"/>
      <c r="E1004" s="60"/>
      <c r="F1004" s="48"/>
      <c r="G1004" s="48"/>
    </row>
    <row r="1005" spans="1:8" ht="15.75">
      <c r="A1005" s="48"/>
      <c r="B1005" s="48"/>
      <c r="C1005" s="48"/>
      <c r="D1005" s="69"/>
      <c r="E1005" s="60"/>
      <c r="F1005" s="48"/>
      <c r="G1005" s="48"/>
    </row>
    <row r="1006" spans="1:8" ht="15.75">
      <c r="A1006" s="48"/>
      <c r="B1006" s="48"/>
      <c r="C1006" s="48"/>
      <c r="D1006" s="69"/>
      <c r="E1006" s="60"/>
      <c r="F1006" s="48"/>
      <c r="G1006" s="48"/>
      <c r="H1006" s="49" t="s">
        <v>725</v>
      </c>
    </row>
    <row r="1007" spans="1:8" ht="15.75">
      <c r="A1007" s="48"/>
      <c r="B1007" s="48"/>
      <c r="C1007" s="48"/>
      <c r="D1007" s="69"/>
      <c r="E1007" s="60"/>
      <c r="F1007" s="48"/>
      <c r="G1007" s="48"/>
    </row>
    <row r="1008" spans="1:8" ht="15.75">
      <c r="A1008" s="48"/>
      <c r="B1008" s="48"/>
      <c r="C1008" s="48"/>
      <c r="D1008" s="69"/>
      <c r="E1008" s="60"/>
      <c r="F1008" s="48"/>
      <c r="G1008" s="48"/>
    </row>
    <row r="1009" spans="1:8" ht="15.75">
      <c r="A1009" s="48"/>
      <c r="B1009" s="48"/>
      <c r="C1009" s="48"/>
      <c r="D1009" s="69"/>
      <c r="E1009" s="60"/>
      <c r="F1009" s="48"/>
      <c r="G1009" s="48"/>
    </row>
    <row r="1010" spans="1:8" ht="15.75">
      <c r="A1010" s="48"/>
      <c r="B1010" s="48"/>
      <c r="C1010" s="48"/>
      <c r="D1010" s="69"/>
      <c r="E1010" s="60"/>
      <c r="F1010" s="48"/>
      <c r="G1010" s="48"/>
    </row>
    <row r="1011" spans="1:8" ht="15.75">
      <c r="A1011" s="48"/>
      <c r="B1011" s="48"/>
      <c r="C1011" s="48"/>
      <c r="D1011" s="69"/>
      <c r="E1011" s="60"/>
      <c r="F1011" s="48"/>
      <c r="G1011" s="48"/>
    </row>
    <row r="1012" spans="1:8" ht="15.75">
      <c r="A1012" s="48"/>
      <c r="B1012" s="48"/>
      <c r="C1012" s="48"/>
      <c r="D1012" s="69"/>
      <c r="E1012" s="60"/>
      <c r="F1012" s="48"/>
      <c r="G1012" s="48"/>
    </row>
    <row r="1013" spans="1:8" ht="15.75">
      <c r="A1013" s="48"/>
      <c r="B1013" s="48"/>
      <c r="C1013" s="48"/>
      <c r="D1013" s="69"/>
      <c r="E1013" s="60"/>
      <c r="F1013" s="48"/>
      <c r="G1013" s="48"/>
    </row>
    <row r="1014" spans="1:8" ht="15.75">
      <c r="A1014" s="48"/>
      <c r="B1014" s="48"/>
      <c r="C1014" s="48"/>
      <c r="D1014" s="69"/>
      <c r="E1014" s="60"/>
      <c r="F1014" s="48"/>
      <c r="G1014" s="48"/>
    </row>
    <row r="1015" spans="1:8" ht="15.75">
      <c r="A1015" s="48"/>
      <c r="B1015" s="48"/>
      <c r="C1015" s="48"/>
      <c r="D1015" s="69"/>
      <c r="E1015" s="60"/>
      <c r="F1015" s="48"/>
      <c r="G1015" s="48"/>
    </row>
    <row r="1016" spans="1:8" ht="15.75">
      <c r="A1016" s="48"/>
      <c r="B1016" s="48"/>
      <c r="C1016" s="48"/>
      <c r="D1016" s="69"/>
      <c r="E1016" s="60"/>
      <c r="F1016" s="48"/>
      <c r="G1016" s="48"/>
    </row>
    <row r="1017" spans="1:8" ht="15.75">
      <c r="A1017" s="48"/>
      <c r="B1017" s="48"/>
      <c r="C1017" s="48"/>
      <c r="D1017" s="69"/>
      <c r="E1017" s="60"/>
      <c r="F1017" s="48"/>
      <c r="G1017" s="48"/>
    </row>
    <row r="1018" spans="1:8" ht="15.75">
      <c r="A1018" s="48"/>
      <c r="B1018" s="48"/>
      <c r="C1018" s="48"/>
      <c r="D1018" s="69"/>
      <c r="E1018" s="60"/>
      <c r="F1018" s="48"/>
      <c r="G1018" s="48"/>
    </row>
    <row r="1019" spans="1:8" ht="15.75">
      <c r="A1019" s="48"/>
      <c r="B1019" s="48"/>
      <c r="C1019" s="48"/>
      <c r="D1019" s="69"/>
      <c r="E1019" s="60"/>
      <c r="F1019" s="48"/>
      <c r="G1019" s="48"/>
    </row>
    <row r="1020" spans="1:8" ht="15.75">
      <c r="A1020" s="48"/>
      <c r="B1020" s="48"/>
      <c r="C1020" s="48"/>
      <c r="D1020" s="69"/>
      <c r="E1020" s="60"/>
      <c r="F1020" s="48"/>
      <c r="G1020" s="48"/>
    </row>
    <row r="1021" spans="1:8" ht="15.75">
      <c r="A1021" s="48"/>
      <c r="B1021" s="48"/>
      <c r="C1021" s="48"/>
      <c r="D1021" s="69"/>
      <c r="E1021" s="60"/>
      <c r="F1021" s="48"/>
      <c r="G1021" s="48"/>
    </row>
    <row r="1022" spans="1:8" ht="15.75">
      <c r="A1022" s="48"/>
      <c r="B1022" s="48"/>
      <c r="C1022" s="48"/>
      <c r="D1022" s="69"/>
      <c r="E1022" s="60"/>
      <c r="F1022" s="48"/>
      <c r="G1022" s="48"/>
    </row>
    <row r="1023" spans="1:8" ht="15.75">
      <c r="A1023" s="48"/>
      <c r="B1023" s="48"/>
      <c r="C1023" s="48"/>
      <c r="D1023" s="69"/>
      <c r="E1023" s="60"/>
      <c r="F1023" s="48"/>
      <c r="G1023" s="48"/>
      <c r="H1023" s="49" t="s">
        <v>726</v>
      </c>
    </row>
    <row r="1024" spans="1:8" ht="15.75">
      <c r="A1024" s="48"/>
      <c r="B1024" s="48"/>
      <c r="C1024" s="48"/>
      <c r="D1024" s="69"/>
      <c r="E1024" s="60"/>
      <c r="F1024" s="48"/>
      <c r="G1024" s="48"/>
      <c r="H1024" s="49" t="s">
        <v>727</v>
      </c>
    </row>
    <row r="1025" spans="1:8" ht="15.75">
      <c r="A1025" s="48"/>
      <c r="B1025" s="48"/>
      <c r="C1025" s="48"/>
      <c r="D1025" s="69"/>
      <c r="E1025" s="60"/>
      <c r="F1025" s="48"/>
      <c r="G1025" s="48"/>
    </row>
    <row r="1026" spans="1:8" ht="15.75">
      <c r="A1026" s="48"/>
      <c r="B1026" s="48"/>
      <c r="C1026" s="48"/>
      <c r="D1026" s="69"/>
      <c r="E1026" s="60"/>
      <c r="F1026" s="48"/>
      <c r="G1026" s="48"/>
      <c r="H1026" s="49" t="s">
        <v>728</v>
      </c>
    </row>
    <row r="1027" spans="1:8" ht="15.75">
      <c r="A1027" s="48"/>
      <c r="B1027" s="48"/>
      <c r="C1027" s="48"/>
      <c r="D1027" s="69"/>
      <c r="E1027" s="60"/>
      <c r="F1027" s="48"/>
      <c r="G1027" s="48"/>
      <c r="H1027" s="49" t="s">
        <v>729</v>
      </c>
    </row>
    <row r="1028" spans="1:8" ht="15.75">
      <c r="A1028" s="48"/>
      <c r="B1028" s="48"/>
      <c r="C1028" s="48"/>
      <c r="D1028" s="69"/>
      <c r="E1028" s="60"/>
      <c r="F1028" s="48"/>
      <c r="G1028" s="48"/>
    </row>
    <row r="1029" spans="1:8" ht="15.75">
      <c r="A1029" s="48"/>
      <c r="B1029" s="48"/>
      <c r="C1029" s="48"/>
      <c r="D1029" s="69"/>
      <c r="E1029" s="60"/>
      <c r="F1029" s="48"/>
      <c r="G1029" s="48"/>
    </row>
    <row r="1030" spans="1:8" ht="15.75">
      <c r="A1030" s="48"/>
      <c r="B1030" s="48"/>
      <c r="C1030" s="48"/>
      <c r="D1030" s="69"/>
      <c r="E1030" s="60"/>
      <c r="F1030" s="48"/>
      <c r="G1030" s="48"/>
    </row>
    <row r="1031" spans="1:8" ht="15.75">
      <c r="A1031" s="48"/>
      <c r="B1031" s="48"/>
      <c r="C1031" s="48"/>
      <c r="D1031" s="69"/>
      <c r="E1031" s="60"/>
      <c r="F1031" s="48"/>
      <c r="G1031" s="48"/>
    </row>
    <row r="1032" spans="1:8" ht="15.75">
      <c r="A1032" s="48"/>
      <c r="B1032" s="48"/>
      <c r="C1032" s="48"/>
      <c r="D1032" s="69"/>
      <c r="E1032" s="60"/>
      <c r="F1032" s="48"/>
      <c r="G1032" s="48"/>
    </row>
    <row r="1033" spans="1:8" ht="15.75">
      <c r="A1033" s="48"/>
      <c r="B1033" s="48"/>
      <c r="C1033" s="48"/>
      <c r="D1033" s="69"/>
      <c r="E1033" s="60"/>
      <c r="F1033" s="48"/>
      <c r="G1033" s="48"/>
    </row>
    <row r="1034" spans="1:8" ht="15.75">
      <c r="A1034" s="48"/>
      <c r="B1034" s="48"/>
      <c r="C1034" s="48"/>
      <c r="D1034" s="69"/>
      <c r="E1034" s="60"/>
      <c r="F1034" s="48"/>
      <c r="G1034" s="48"/>
    </row>
    <row r="1035" spans="1:8" ht="15.75">
      <c r="A1035" s="48"/>
      <c r="B1035" s="48"/>
      <c r="C1035" s="48"/>
      <c r="D1035" s="69"/>
      <c r="E1035" s="60"/>
      <c r="F1035" s="48"/>
      <c r="G1035" s="48"/>
    </row>
    <row r="1036" spans="1:8" ht="15.75">
      <c r="A1036" s="48"/>
      <c r="B1036" s="48"/>
      <c r="C1036" s="48"/>
      <c r="D1036" s="69"/>
      <c r="E1036" s="60"/>
      <c r="F1036" s="48"/>
      <c r="G1036" s="48"/>
    </row>
    <row r="1037" spans="1:8" ht="15.75">
      <c r="A1037" s="48"/>
      <c r="B1037" s="48"/>
      <c r="C1037" s="48"/>
      <c r="D1037" s="69"/>
      <c r="E1037" s="60"/>
      <c r="F1037" s="48"/>
      <c r="G1037" s="48"/>
    </row>
    <row r="1038" spans="1:8" ht="15.75">
      <c r="A1038" s="48"/>
      <c r="B1038" s="48"/>
      <c r="C1038" s="48"/>
      <c r="D1038" s="69"/>
      <c r="E1038" s="60"/>
      <c r="F1038" s="48"/>
      <c r="G1038" s="48"/>
    </row>
    <row r="1039" spans="1:8" ht="15.75">
      <c r="A1039" s="48"/>
      <c r="B1039" s="48"/>
      <c r="C1039" s="48"/>
      <c r="D1039" s="69"/>
      <c r="E1039" s="60"/>
      <c r="F1039" s="48"/>
      <c r="G1039" s="48"/>
    </row>
    <row r="1040" spans="1:8" ht="15.75">
      <c r="A1040" s="48"/>
      <c r="B1040" s="48"/>
      <c r="C1040" s="48"/>
      <c r="D1040" s="69"/>
      <c r="E1040" s="60"/>
      <c r="F1040" s="48"/>
      <c r="G1040" s="48"/>
    </row>
    <row r="1041" spans="1:7" ht="15.75">
      <c r="A1041" s="48"/>
      <c r="B1041" s="48"/>
      <c r="C1041" s="48"/>
      <c r="D1041" s="69"/>
      <c r="E1041" s="60"/>
      <c r="F1041" s="48"/>
      <c r="G1041" s="48"/>
    </row>
    <row r="1042" spans="1:7" ht="15.75">
      <c r="A1042" s="48"/>
      <c r="B1042" s="48"/>
      <c r="C1042" s="48"/>
      <c r="D1042" s="69"/>
      <c r="E1042" s="60"/>
      <c r="F1042" s="48"/>
      <c r="G1042" s="48"/>
    </row>
    <row r="1043" spans="1:7" ht="15.75">
      <c r="A1043" s="48"/>
      <c r="B1043" s="48"/>
      <c r="C1043" s="48"/>
      <c r="D1043" s="69"/>
      <c r="E1043" s="60"/>
      <c r="F1043" s="48"/>
      <c r="G1043" s="48"/>
    </row>
    <row r="1044" spans="1:7" ht="15.75">
      <c r="A1044" s="48"/>
      <c r="B1044" s="48"/>
      <c r="C1044" s="48"/>
      <c r="D1044" s="69"/>
      <c r="E1044" s="60"/>
      <c r="F1044" s="48"/>
      <c r="G1044" s="48"/>
    </row>
    <row r="1045" spans="1:7" ht="15.75">
      <c r="A1045" s="48"/>
      <c r="B1045" s="48"/>
      <c r="C1045" s="48"/>
      <c r="D1045" s="69"/>
      <c r="E1045" s="60"/>
      <c r="F1045" s="48"/>
      <c r="G1045" s="48"/>
    </row>
    <row r="1046" spans="1:7" ht="15.75">
      <c r="A1046" s="48"/>
      <c r="B1046" s="48"/>
      <c r="C1046" s="48"/>
      <c r="D1046" s="69"/>
      <c r="E1046" s="60"/>
      <c r="F1046" s="48"/>
      <c r="G1046" s="48"/>
    </row>
    <row r="1047" spans="1:7" ht="15.75">
      <c r="A1047" s="48"/>
      <c r="B1047" s="48"/>
      <c r="C1047" s="48"/>
      <c r="D1047" s="69"/>
      <c r="E1047" s="60"/>
      <c r="F1047" s="48"/>
      <c r="G1047" s="48"/>
    </row>
    <row r="1048" spans="1:7" ht="15.75">
      <c r="A1048" s="48"/>
      <c r="B1048" s="48"/>
      <c r="C1048" s="48"/>
      <c r="D1048" s="69"/>
      <c r="E1048" s="60"/>
      <c r="F1048" s="48"/>
      <c r="G1048" s="48"/>
    </row>
    <row r="1049" spans="1:7" ht="15.75">
      <c r="A1049" s="48"/>
      <c r="B1049" s="48"/>
      <c r="C1049" s="48"/>
      <c r="D1049" s="69"/>
      <c r="E1049" s="60"/>
      <c r="F1049" s="48"/>
      <c r="G1049" s="48"/>
    </row>
    <row r="1050" spans="1:7" ht="15.75">
      <c r="A1050" s="48"/>
      <c r="B1050" s="48"/>
      <c r="C1050" s="48"/>
      <c r="D1050" s="69"/>
      <c r="E1050" s="60"/>
      <c r="F1050" s="48"/>
      <c r="G1050" s="48"/>
    </row>
    <row r="1051" spans="1:7" ht="15.75">
      <c r="A1051" s="48"/>
      <c r="B1051" s="48"/>
      <c r="C1051" s="48"/>
      <c r="D1051" s="69"/>
      <c r="E1051" s="60"/>
      <c r="F1051" s="48"/>
      <c r="G1051" s="48"/>
    </row>
    <row r="1052" spans="1:7" ht="15.75">
      <c r="A1052" s="48"/>
      <c r="B1052" s="48"/>
      <c r="C1052" s="48"/>
      <c r="D1052" s="69"/>
      <c r="E1052" s="60"/>
      <c r="F1052" s="48"/>
      <c r="G1052" s="48"/>
    </row>
    <row r="1053" spans="1:7" ht="15.75">
      <c r="A1053" s="48"/>
      <c r="B1053" s="48"/>
      <c r="C1053" s="48"/>
      <c r="D1053" s="69"/>
      <c r="E1053" s="60"/>
      <c r="F1053" s="48"/>
      <c r="G1053" s="48"/>
    </row>
    <row r="1054" spans="1:7" ht="15.75">
      <c r="A1054" s="48"/>
      <c r="B1054" s="48"/>
      <c r="C1054" s="48"/>
      <c r="D1054" s="69"/>
      <c r="E1054" s="60"/>
      <c r="F1054" s="48"/>
      <c r="G1054" s="48"/>
    </row>
    <row r="1055" spans="1:7" ht="15.75">
      <c r="A1055" s="48"/>
      <c r="B1055" s="48"/>
      <c r="C1055" s="48"/>
      <c r="D1055" s="69"/>
      <c r="E1055" s="60"/>
      <c r="F1055" s="48"/>
      <c r="G1055" s="48"/>
    </row>
    <row r="1056" spans="1:7" ht="15.75">
      <c r="A1056" s="48"/>
      <c r="B1056" s="48"/>
      <c r="C1056" s="48"/>
      <c r="D1056" s="69"/>
      <c r="E1056" s="60"/>
      <c r="F1056" s="48"/>
      <c r="G1056" s="48"/>
    </row>
    <row r="1057" spans="1:7" ht="15.75">
      <c r="A1057" s="48"/>
      <c r="B1057" s="48"/>
      <c r="C1057" s="48"/>
      <c r="D1057" s="69"/>
      <c r="E1057" s="60"/>
      <c r="F1057" s="48"/>
      <c r="G1057" s="48"/>
    </row>
    <row r="1058" spans="1:7" ht="15.75">
      <c r="A1058" s="48"/>
      <c r="B1058" s="48"/>
      <c r="C1058" s="48"/>
      <c r="D1058" s="69"/>
      <c r="E1058" s="60"/>
      <c r="F1058" s="48"/>
      <c r="G1058" s="48"/>
    </row>
    <row r="1059" spans="1:7" ht="15.75">
      <c r="A1059" s="48"/>
      <c r="B1059" s="48"/>
      <c r="C1059" s="48"/>
      <c r="D1059" s="69"/>
      <c r="E1059" s="60"/>
      <c r="F1059" s="48"/>
      <c r="G1059" s="48"/>
    </row>
    <row r="1060" spans="1:7" ht="15.75">
      <c r="A1060" s="48"/>
      <c r="B1060" s="48"/>
      <c r="C1060" s="48"/>
      <c r="D1060" s="69"/>
      <c r="E1060" s="60"/>
      <c r="F1060" s="48"/>
      <c r="G1060" s="48"/>
    </row>
    <row r="1061" spans="1:7" ht="15.75">
      <c r="A1061" s="48"/>
      <c r="B1061" s="48"/>
      <c r="C1061" s="48"/>
      <c r="D1061" s="69"/>
      <c r="E1061" s="60"/>
      <c r="F1061" s="48"/>
      <c r="G1061" s="48"/>
    </row>
    <row r="1062" spans="1:7" ht="15.75">
      <c r="A1062" s="48"/>
      <c r="B1062" s="48"/>
      <c r="C1062" s="48"/>
      <c r="D1062" s="69"/>
      <c r="E1062" s="60"/>
      <c r="F1062" s="48"/>
      <c r="G1062" s="48"/>
    </row>
    <row r="1063" spans="1:7" ht="15.75">
      <c r="A1063" s="48"/>
      <c r="B1063" s="48"/>
      <c r="C1063" s="48"/>
      <c r="D1063" s="69"/>
      <c r="E1063" s="60"/>
      <c r="F1063" s="48"/>
      <c r="G1063" s="48"/>
    </row>
    <row r="1064" spans="1:7" ht="15.75">
      <c r="A1064" s="48"/>
      <c r="B1064" s="48"/>
      <c r="C1064" s="48"/>
      <c r="D1064" s="69"/>
      <c r="E1064" s="60"/>
      <c r="F1064" s="48"/>
      <c r="G1064" s="48"/>
    </row>
    <row r="1065" spans="1:7" ht="15.75">
      <c r="A1065" s="48"/>
      <c r="B1065" s="48"/>
      <c r="C1065" s="48"/>
      <c r="D1065" s="69"/>
      <c r="E1065" s="60"/>
      <c r="F1065" s="48"/>
      <c r="G1065" s="48"/>
    </row>
    <row r="1066" spans="1:7" ht="15.75">
      <c r="A1066" s="48"/>
      <c r="B1066" s="48"/>
      <c r="C1066" s="48"/>
      <c r="D1066" s="69"/>
      <c r="E1066" s="60"/>
      <c r="F1066" s="48"/>
      <c r="G1066" s="48"/>
    </row>
    <row r="1067" spans="1:7" ht="15.75">
      <c r="A1067" s="48"/>
      <c r="B1067" s="48"/>
      <c r="C1067" s="48"/>
      <c r="D1067" s="69"/>
      <c r="E1067" s="60"/>
      <c r="F1067" s="48"/>
      <c r="G1067" s="48"/>
    </row>
    <row r="1068" spans="1:7" ht="15.75">
      <c r="A1068" s="48"/>
      <c r="B1068" s="48"/>
      <c r="C1068" s="48"/>
      <c r="D1068" s="69"/>
      <c r="E1068" s="60"/>
      <c r="F1068" s="48"/>
      <c r="G1068" s="48"/>
    </row>
    <row r="1069" spans="1:7" ht="15.75">
      <c r="A1069" s="48"/>
      <c r="B1069" s="48"/>
      <c r="C1069" s="48"/>
      <c r="D1069" s="69"/>
      <c r="E1069" s="60"/>
      <c r="F1069" s="48"/>
      <c r="G1069" s="48"/>
    </row>
    <row r="1070" spans="1:7" ht="15.75">
      <c r="A1070" s="48"/>
      <c r="B1070" s="48"/>
      <c r="C1070" s="48"/>
      <c r="D1070" s="69"/>
      <c r="E1070" s="60"/>
      <c r="F1070" s="48"/>
      <c r="G1070" s="48"/>
    </row>
    <row r="1071" spans="1:7" ht="15.75">
      <c r="A1071" s="48"/>
      <c r="B1071" s="48"/>
      <c r="C1071" s="48"/>
      <c r="D1071" s="69"/>
      <c r="E1071" s="60"/>
      <c r="F1071" s="48"/>
      <c r="G1071" s="48"/>
    </row>
    <row r="1072" spans="1:7" ht="15.75">
      <c r="A1072" s="48"/>
      <c r="B1072" s="48"/>
      <c r="C1072" s="48"/>
      <c r="D1072" s="69"/>
      <c r="E1072" s="60"/>
      <c r="F1072" s="48"/>
      <c r="G1072" s="48"/>
    </row>
    <row r="1073" spans="1:8" ht="15.75">
      <c r="A1073" s="48"/>
      <c r="B1073" s="48"/>
      <c r="C1073" s="48"/>
      <c r="D1073" s="69"/>
      <c r="E1073" s="60"/>
      <c r="F1073" s="48"/>
      <c r="G1073" s="48"/>
    </row>
    <row r="1074" spans="1:8" ht="15.75">
      <c r="A1074" s="48"/>
      <c r="B1074" s="48"/>
      <c r="C1074" s="48"/>
      <c r="D1074" s="69"/>
      <c r="E1074" s="60"/>
      <c r="F1074" s="48"/>
      <c r="G1074" s="48"/>
    </row>
    <row r="1075" spans="1:8" ht="15.75">
      <c r="A1075" s="48"/>
      <c r="B1075" s="48"/>
      <c r="C1075" s="48"/>
      <c r="D1075" s="69"/>
      <c r="E1075" s="60"/>
      <c r="F1075" s="48"/>
      <c r="G1075" s="48"/>
    </row>
    <row r="1076" spans="1:8" ht="15.75">
      <c r="A1076" s="48"/>
      <c r="B1076" s="48"/>
      <c r="C1076" s="48"/>
      <c r="D1076" s="69"/>
      <c r="E1076" s="60"/>
      <c r="F1076" s="48"/>
      <c r="G1076" s="48"/>
      <c r="H1076" s="49" t="s">
        <v>730</v>
      </c>
    </row>
    <row r="1077" spans="1:8" ht="15.75">
      <c r="A1077" s="48"/>
      <c r="B1077" s="48"/>
      <c r="C1077" s="48"/>
      <c r="D1077" s="69"/>
      <c r="E1077" s="60"/>
      <c r="F1077" s="48"/>
      <c r="G1077" s="48"/>
      <c r="H1077" s="49" t="s">
        <v>731</v>
      </c>
    </row>
    <row r="1078" spans="1:8" ht="15.75">
      <c r="A1078" s="48"/>
      <c r="B1078" s="48"/>
      <c r="C1078" s="48"/>
      <c r="D1078" s="69"/>
      <c r="E1078" s="60"/>
      <c r="F1078" s="48"/>
      <c r="G1078" s="48"/>
    </row>
    <row r="1079" spans="1:8" ht="15.75">
      <c r="A1079" s="48"/>
      <c r="B1079" s="48"/>
      <c r="C1079" s="48"/>
      <c r="D1079" s="69"/>
      <c r="E1079" s="60"/>
      <c r="F1079" s="48"/>
      <c r="G1079" s="48"/>
    </row>
    <row r="1080" spans="1:8" ht="15.75">
      <c r="A1080" s="48"/>
      <c r="B1080" s="48"/>
      <c r="C1080" s="48"/>
      <c r="D1080" s="69"/>
      <c r="E1080" s="60"/>
      <c r="F1080" s="48"/>
      <c r="G1080" s="48"/>
    </row>
    <row r="1081" spans="1:8" ht="15.75">
      <c r="A1081" s="48"/>
      <c r="B1081" s="48"/>
      <c r="C1081" s="48"/>
      <c r="D1081" s="69"/>
      <c r="E1081" s="60"/>
      <c r="F1081" s="48"/>
      <c r="G1081" s="48"/>
    </row>
    <row r="1082" spans="1:8" ht="15.75">
      <c r="A1082" s="48"/>
      <c r="B1082" s="48"/>
      <c r="C1082" s="48"/>
      <c r="D1082" s="69"/>
      <c r="E1082" s="60"/>
      <c r="F1082" s="48"/>
      <c r="G1082" s="48"/>
    </row>
    <row r="1083" spans="1:8" ht="15.75">
      <c r="A1083" s="48"/>
      <c r="B1083" s="48"/>
      <c r="C1083" s="48"/>
      <c r="D1083" s="69"/>
      <c r="E1083" s="60"/>
      <c r="F1083" s="48"/>
      <c r="G1083" s="48"/>
    </row>
    <row r="1084" spans="1:8" ht="15.75">
      <c r="A1084" s="48"/>
      <c r="B1084" s="48"/>
      <c r="C1084" s="48"/>
      <c r="D1084" s="69"/>
      <c r="E1084" s="60"/>
      <c r="F1084" s="48"/>
      <c r="G1084" s="48"/>
    </row>
    <row r="1085" spans="1:8" ht="15.75">
      <c r="A1085" s="48"/>
      <c r="B1085" s="48"/>
      <c r="C1085" s="48"/>
      <c r="D1085" s="69"/>
      <c r="E1085" s="60"/>
      <c r="F1085" s="48"/>
      <c r="G1085" s="48"/>
    </row>
    <row r="1086" spans="1:8" ht="15.75">
      <c r="A1086" s="48"/>
      <c r="B1086" s="48"/>
      <c r="C1086" s="48"/>
      <c r="D1086" s="69"/>
      <c r="E1086" s="60"/>
      <c r="F1086" s="48"/>
      <c r="G1086" s="48"/>
    </row>
    <row r="1087" spans="1:8" ht="15.75">
      <c r="A1087" s="48"/>
      <c r="B1087" s="48"/>
      <c r="C1087" s="48"/>
      <c r="D1087" s="69"/>
      <c r="E1087" s="60"/>
      <c r="F1087" s="48"/>
      <c r="G1087" s="48"/>
    </row>
    <row r="1088" spans="1:8" ht="15.75">
      <c r="A1088" s="48"/>
      <c r="B1088" s="48"/>
      <c r="C1088" s="48"/>
      <c r="D1088" s="69"/>
      <c r="E1088" s="60"/>
      <c r="F1088" s="48"/>
      <c r="G1088" s="48"/>
    </row>
    <row r="1089" spans="1:7" ht="15.75">
      <c r="A1089" s="48"/>
      <c r="B1089" s="48"/>
      <c r="C1089" s="48"/>
      <c r="D1089" s="69"/>
      <c r="E1089" s="60"/>
      <c r="F1089" s="48"/>
      <c r="G1089" s="48"/>
    </row>
    <row r="1090" spans="1:7" ht="15.75">
      <c r="A1090" s="48"/>
      <c r="B1090" s="48"/>
      <c r="C1090" s="48"/>
      <c r="D1090" s="69"/>
      <c r="E1090" s="60"/>
      <c r="F1090" s="48"/>
      <c r="G1090" s="48"/>
    </row>
    <row r="1091" spans="1:7" ht="15.75">
      <c r="A1091" s="48"/>
      <c r="B1091" s="48"/>
      <c r="C1091" s="48"/>
      <c r="D1091" s="69"/>
      <c r="E1091" s="60"/>
      <c r="F1091" s="48"/>
      <c r="G1091" s="48"/>
    </row>
    <row r="1092" spans="1:7" ht="15.75">
      <c r="A1092" s="48"/>
      <c r="B1092" s="48"/>
      <c r="C1092" s="48"/>
      <c r="D1092" s="69"/>
      <c r="E1092" s="60"/>
      <c r="F1092" s="48"/>
      <c r="G1092" s="48"/>
    </row>
    <row r="1093" spans="1:7" ht="15.75">
      <c r="A1093" s="48"/>
      <c r="B1093" s="48"/>
      <c r="C1093" s="48"/>
      <c r="D1093" s="69"/>
      <c r="E1093" s="60"/>
      <c r="F1093" s="48"/>
      <c r="G1093" s="48"/>
    </row>
    <row r="1094" spans="1:7" ht="15.75">
      <c r="A1094" s="48"/>
      <c r="B1094" s="48"/>
      <c r="C1094" s="48"/>
      <c r="D1094" s="69"/>
      <c r="E1094" s="60"/>
      <c r="F1094" s="48"/>
      <c r="G1094" s="48"/>
    </row>
    <row r="1095" spans="1:7" ht="15.75">
      <c r="A1095" s="48"/>
      <c r="B1095" s="48"/>
      <c r="C1095" s="48"/>
      <c r="D1095" s="69"/>
      <c r="E1095" s="60"/>
      <c r="F1095" s="48"/>
      <c r="G1095" s="48"/>
    </row>
    <row r="1096" spans="1:7" ht="15.75">
      <c r="A1096" s="48"/>
      <c r="B1096" s="48"/>
      <c r="C1096" s="48"/>
      <c r="D1096" s="69"/>
      <c r="E1096" s="60"/>
      <c r="F1096" s="48"/>
      <c r="G1096" s="48"/>
    </row>
    <row r="1097" spans="1:7" ht="15.75">
      <c r="A1097" s="48"/>
      <c r="B1097" s="48"/>
      <c r="C1097" s="48"/>
      <c r="D1097" s="69"/>
      <c r="E1097" s="60"/>
      <c r="F1097" s="48"/>
      <c r="G1097" s="48"/>
    </row>
    <row r="1098" spans="1:7" ht="15.75">
      <c r="A1098" s="48"/>
      <c r="B1098" s="48"/>
      <c r="C1098" s="48"/>
      <c r="D1098" s="69"/>
      <c r="E1098" s="60"/>
      <c r="F1098" s="48"/>
      <c r="G1098" s="48"/>
    </row>
    <row r="1099" spans="1:7" ht="15.75">
      <c r="A1099" s="48"/>
      <c r="B1099" s="48"/>
      <c r="C1099" s="48"/>
      <c r="D1099" s="69"/>
      <c r="E1099" s="60"/>
      <c r="F1099" s="48"/>
      <c r="G1099" s="48"/>
    </row>
    <row r="1100" spans="1:7" ht="15.75">
      <c r="A1100" s="48"/>
      <c r="B1100" s="48"/>
      <c r="C1100" s="48"/>
      <c r="D1100" s="69"/>
      <c r="E1100" s="60"/>
      <c r="F1100" s="48"/>
      <c r="G1100" s="48"/>
    </row>
    <row r="1101" spans="1:7" ht="15.75">
      <c r="A1101" s="48"/>
      <c r="B1101" s="48"/>
      <c r="C1101" s="48"/>
      <c r="D1101" s="69"/>
      <c r="E1101" s="60"/>
      <c r="F1101" s="48"/>
      <c r="G1101" s="48"/>
    </row>
    <row r="1102" spans="1:7" ht="15.75">
      <c r="A1102" s="48"/>
      <c r="B1102" s="48"/>
      <c r="C1102" s="48"/>
      <c r="D1102" s="69"/>
      <c r="E1102" s="60"/>
      <c r="F1102" s="48"/>
      <c r="G1102" s="48"/>
    </row>
    <row r="1103" spans="1:7" ht="15.75">
      <c r="A1103" s="48"/>
      <c r="B1103" s="48"/>
      <c r="C1103" s="48"/>
      <c r="D1103" s="69"/>
      <c r="E1103" s="60"/>
      <c r="F1103" s="48"/>
      <c r="G1103" s="48"/>
    </row>
    <row r="1104" spans="1:7" ht="15.75">
      <c r="A1104" s="48"/>
      <c r="B1104" s="48"/>
      <c r="C1104" s="48"/>
      <c r="D1104" s="69"/>
      <c r="E1104" s="60"/>
      <c r="F1104" s="48"/>
      <c r="G1104" s="48"/>
    </row>
    <row r="1105" spans="1:16" ht="15.75">
      <c r="A1105" s="48"/>
      <c r="B1105" s="48"/>
      <c r="C1105" s="48"/>
      <c r="D1105" s="69"/>
      <c r="E1105" s="60"/>
      <c r="F1105" s="48"/>
      <c r="G1105" s="48"/>
    </row>
    <row r="1106" spans="1:16" ht="15.75">
      <c r="A1106" s="48"/>
      <c r="B1106" s="48"/>
      <c r="C1106" s="48"/>
      <c r="D1106" s="69"/>
      <c r="E1106" s="60"/>
      <c r="F1106" s="48"/>
      <c r="G1106" s="48"/>
    </row>
    <row r="1107" spans="1:16" ht="15.75">
      <c r="A1107" s="48"/>
      <c r="B1107" s="48"/>
      <c r="C1107" s="48"/>
      <c r="D1107" s="69"/>
      <c r="E1107" s="60"/>
      <c r="F1107" s="48"/>
      <c r="G1107" s="48"/>
    </row>
    <row r="1108" spans="1:16" ht="15.75">
      <c r="A1108" s="48"/>
      <c r="B1108" s="48"/>
      <c r="C1108" s="48"/>
      <c r="D1108" s="69"/>
      <c r="E1108" s="60"/>
      <c r="F1108" s="48"/>
      <c r="G1108" s="48"/>
    </row>
    <row r="1109" spans="1:16" ht="15.75">
      <c r="A1109" s="48"/>
      <c r="B1109" s="48"/>
      <c r="C1109" s="48"/>
      <c r="D1109" s="69"/>
      <c r="E1109" s="60"/>
      <c r="F1109" s="48"/>
      <c r="G1109" s="48"/>
    </row>
    <row r="1110" spans="1:16" ht="15.75">
      <c r="A1110" s="48"/>
      <c r="B1110" s="48"/>
      <c r="C1110" s="48"/>
      <c r="D1110" s="69"/>
      <c r="E1110" s="60"/>
      <c r="F1110" s="48"/>
      <c r="G1110" s="48"/>
    </row>
    <row r="1111" spans="1:16" s="80" customFormat="1" ht="15.75">
      <c r="A1111" s="48"/>
      <c r="B1111" s="48"/>
      <c r="C1111" s="48"/>
      <c r="D1111" s="69"/>
      <c r="E1111" s="60"/>
      <c r="F1111" s="48"/>
      <c r="G1111" s="48"/>
      <c r="P1111" s="81"/>
    </row>
    <row r="1112" spans="1:16" ht="15.75">
      <c r="A1112" s="48"/>
      <c r="B1112" s="48"/>
      <c r="C1112" s="48"/>
      <c r="D1112" s="69"/>
      <c r="E1112" s="60"/>
      <c r="F1112" s="48"/>
      <c r="G1112" s="48"/>
    </row>
    <row r="1113" spans="1:16" ht="15.75">
      <c r="A1113" s="48"/>
      <c r="B1113" s="48"/>
      <c r="C1113" s="48"/>
      <c r="D1113" s="69"/>
      <c r="E1113" s="60"/>
      <c r="F1113" s="48"/>
      <c r="G1113" s="48"/>
    </row>
    <row r="1114" spans="1:16" ht="15.75">
      <c r="A1114" s="48"/>
      <c r="B1114" s="48"/>
      <c r="C1114" s="48"/>
      <c r="D1114" s="69"/>
      <c r="E1114" s="60"/>
      <c r="F1114" s="48"/>
      <c r="G1114" s="48"/>
    </row>
    <row r="1115" spans="1:16" ht="15.75">
      <c r="A1115" s="48"/>
      <c r="B1115" s="48"/>
      <c r="C1115" s="48"/>
      <c r="D1115" s="69"/>
      <c r="E1115" s="60"/>
      <c r="F1115" s="48"/>
      <c r="G1115" s="48"/>
    </row>
    <row r="1116" spans="1:16" ht="15.75">
      <c r="A1116" s="48"/>
      <c r="B1116" s="48"/>
      <c r="C1116" s="48"/>
      <c r="D1116" s="69"/>
      <c r="E1116" s="60"/>
      <c r="F1116" s="48"/>
      <c r="G1116" s="48"/>
    </row>
    <row r="1117" spans="1:16" ht="15.75">
      <c r="A1117" s="48"/>
      <c r="B1117" s="48"/>
      <c r="C1117" s="48"/>
      <c r="D1117" s="69"/>
      <c r="E1117" s="60"/>
      <c r="F1117" s="48"/>
      <c r="G1117" s="48"/>
    </row>
    <row r="1118" spans="1:16" ht="15.75">
      <c r="A1118" s="48"/>
      <c r="B1118" s="48"/>
      <c r="C1118" s="48"/>
      <c r="D1118" s="69"/>
      <c r="E1118" s="60"/>
      <c r="F1118" s="48"/>
      <c r="G1118" s="48"/>
    </row>
    <row r="1119" spans="1:16" ht="15.75">
      <c r="A1119" s="48"/>
      <c r="B1119" s="48"/>
      <c r="C1119" s="48"/>
      <c r="D1119" s="69"/>
      <c r="E1119" s="60"/>
      <c r="F1119" s="48"/>
      <c r="G1119" s="48"/>
    </row>
    <row r="1120" spans="1:16" ht="15.75">
      <c r="A1120" s="48"/>
      <c r="B1120" s="48"/>
      <c r="C1120" s="48"/>
      <c r="D1120" s="69"/>
      <c r="E1120" s="60"/>
      <c r="F1120" s="48"/>
      <c r="G1120" s="48"/>
    </row>
    <row r="1121" spans="1:8" ht="15.75">
      <c r="A1121" s="48"/>
      <c r="B1121" s="48"/>
      <c r="C1121" s="48"/>
      <c r="D1121" s="69"/>
      <c r="E1121" s="60"/>
      <c r="F1121" s="48"/>
      <c r="G1121" s="48"/>
    </row>
    <row r="1122" spans="1:8" ht="15.75">
      <c r="A1122" s="48"/>
      <c r="B1122" s="48"/>
      <c r="C1122" s="48"/>
      <c r="D1122" s="69"/>
      <c r="E1122" s="60"/>
      <c r="F1122" s="48"/>
      <c r="G1122" s="48"/>
    </row>
    <row r="1123" spans="1:8" ht="15.75">
      <c r="A1123" s="48"/>
      <c r="B1123" s="48"/>
      <c r="C1123" s="48"/>
      <c r="D1123" s="69"/>
      <c r="E1123" s="60"/>
      <c r="F1123" s="48"/>
      <c r="G1123" s="48"/>
    </row>
    <row r="1124" spans="1:8" ht="15.75">
      <c r="A1124" s="48"/>
      <c r="B1124" s="48"/>
      <c r="C1124" s="48"/>
      <c r="D1124" s="69"/>
      <c r="E1124" s="60"/>
      <c r="F1124" s="48"/>
      <c r="G1124" s="48"/>
    </row>
    <row r="1125" spans="1:8" ht="15.75">
      <c r="A1125" s="48"/>
      <c r="B1125" s="48"/>
      <c r="C1125" s="48"/>
      <c r="D1125" s="69"/>
      <c r="E1125" s="60"/>
      <c r="F1125" s="48"/>
      <c r="G1125" s="48"/>
    </row>
    <row r="1126" spans="1:8" ht="15.75">
      <c r="A1126" s="48"/>
      <c r="B1126" s="48"/>
      <c r="C1126" s="48"/>
      <c r="D1126" s="69"/>
      <c r="E1126" s="60"/>
      <c r="F1126" s="48"/>
      <c r="G1126" s="48"/>
    </row>
    <row r="1127" spans="1:8" ht="15.75">
      <c r="A1127" s="48"/>
      <c r="B1127" s="48"/>
      <c r="C1127" s="48"/>
      <c r="D1127" s="69"/>
      <c r="E1127" s="60"/>
      <c r="F1127" s="48"/>
      <c r="G1127" s="48"/>
      <c r="H1127" s="49" t="s">
        <v>732</v>
      </c>
    </row>
    <row r="1128" spans="1:8" ht="15.75">
      <c r="A1128" s="48"/>
      <c r="B1128" s="48"/>
      <c r="C1128" s="48"/>
      <c r="D1128" s="69"/>
      <c r="E1128" s="60"/>
      <c r="F1128" s="48"/>
      <c r="G1128" s="48"/>
      <c r="H1128" s="49" t="s">
        <v>733</v>
      </c>
    </row>
    <row r="1129" spans="1:8" ht="15.75">
      <c r="A1129" s="48"/>
      <c r="B1129" s="48"/>
      <c r="C1129" s="48"/>
      <c r="D1129" s="69"/>
      <c r="E1129" s="60"/>
      <c r="F1129" s="48"/>
      <c r="G1129" s="48"/>
      <c r="H1129" s="49" t="s">
        <v>734</v>
      </c>
    </row>
    <row r="1130" spans="1:8" ht="15.75">
      <c r="A1130" s="48"/>
      <c r="B1130" s="48"/>
      <c r="C1130" s="48"/>
      <c r="D1130" s="69"/>
      <c r="E1130" s="60"/>
      <c r="F1130" s="48"/>
      <c r="G1130" s="48"/>
    </row>
    <row r="1131" spans="1:8" ht="15.75">
      <c r="A1131" s="48"/>
      <c r="B1131" s="48"/>
      <c r="C1131" s="48"/>
      <c r="D1131" s="69"/>
      <c r="E1131" s="60"/>
      <c r="F1131" s="48"/>
      <c r="G1131" s="48"/>
    </row>
    <row r="1132" spans="1:8" ht="15.75">
      <c r="A1132" s="48"/>
      <c r="B1132" s="48"/>
      <c r="C1132" s="48"/>
      <c r="D1132" s="69"/>
      <c r="E1132" s="60"/>
      <c r="F1132" s="48"/>
      <c r="G1132" s="48"/>
    </row>
    <row r="1133" spans="1:8" ht="15.75">
      <c r="A1133" s="48"/>
      <c r="B1133" s="48"/>
      <c r="C1133" s="48"/>
      <c r="D1133" s="69"/>
      <c r="E1133" s="60"/>
      <c r="F1133" s="48"/>
      <c r="G1133" s="48"/>
      <c r="H1133" s="49" t="s">
        <v>735</v>
      </c>
    </row>
    <row r="1134" spans="1:8" ht="15.75">
      <c r="A1134" s="48"/>
      <c r="B1134" s="48"/>
      <c r="C1134" s="48"/>
      <c r="D1134" s="69"/>
      <c r="E1134" s="60"/>
      <c r="F1134" s="48"/>
      <c r="G1134" s="48"/>
      <c r="H1134" s="49" t="s">
        <v>736</v>
      </c>
    </row>
    <row r="1135" spans="1:8" ht="15.75">
      <c r="A1135" s="48"/>
      <c r="B1135" s="48"/>
      <c r="C1135" s="48"/>
      <c r="D1135" s="69"/>
      <c r="E1135" s="60"/>
      <c r="F1135" s="48"/>
      <c r="G1135" s="48"/>
      <c r="H1135" s="49" t="s">
        <v>737</v>
      </c>
    </row>
    <row r="1136" spans="1:8" ht="15.75">
      <c r="A1136" s="48"/>
      <c r="B1136" s="48"/>
      <c r="C1136" s="48"/>
      <c r="D1136" s="69"/>
      <c r="E1136" s="60"/>
      <c r="F1136" s="48"/>
      <c r="G1136" s="48"/>
    </row>
    <row r="1137" spans="1:7" ht="15.75">
      <c r="A1137" s="48"/>
      <c r="B1137" s="48"/>
      <c r="C1137" s="48"/>
      <c r="D1137" s="69"/>
      <c r="E1137" s="60"/>
      <c r="F1137" s="48"/>
      <c r="G1137" s="48"/>
    </row>
    <row r="1138" spans="1:7" ht="15.75">
      <c r="A1138" s="48"/>
      <c r="B1138" s="48"/>
      <c r="C1138" s="48"/>
      <c r="D1138" s="69"/>
      <c r="E1138" s="60"/>
      <c r="F1138" s="48"/>
      <c r="G1138" s="48"/>
    </row>
    <row r="1139" spans="1:7" ht="15.75">
      <c r="A1139" s="48"/>
      <c r="B1139" s="48"/>
      <c r="C1139" s="48"/>
      <c r="D1139" s="69"/>
      <c r="E1139" s="60"/>
      <c r="F1139" s="48"/>
      <c r="G1139" s="48"/>
    </row>
    <row r="1140" spans="1:7" ht="15.75">
      <c r="A1140" s="48"/>
      <c r="B1140" s="48"/>
      <c r="C1140" s="48"/>
      <c r="D1140" s="69"/>
      <c r="E1140" s="60"/>
      <c r="F1140" s="48"/>
      <c r="G1140" s="48"/>
    </row>
    <row r="1141" spans="1:7" ht="15.75">
      <c r="A1141" s="48"/>
      <c r="B1141" s="48"/>
      <c r="C1141" s="48"/>
      <c r="D1141" s="69"/>
      <c r="E1141" s="60"/>
      <c r="F1141" s="48"/>
      <c r="G1141" s="48"/>
    </row>
    <row r="1142" spans="1:7" ht="15.75">
      <c r="A1142" s="48"/>
      <c r="B1142" s="48"/>
      <c r="C1142" s="48"/>
      <c r="D1142" s="69"/>
      <c r="E1142" s="60"/>
      <c r="F1142" s="48"/>
      <c r="G1142" s="48"/>
    </row>
    <row r="1143" spans="1:7" ht="15.75">
      <c r="A1143" s="48"/>
      <c r="B1143" s="48"/>
      <c r="C1143" s="48"/>
      <c r="D1143" s="69"/>
      <c r="E1143" s="60"/>
      <c r="F1143" s="48"/>
      <c r="G1143" s="48"/>
    </row>
    <row r="1144" spans="1:7" ht="15.75">
      <c r="A1144" s="48"/>
      <c r="B1144" s="48"/>
      <c r="C1144" s="48"/>
      <c r="D1144" s="69"/>
      <c r="E1144" s="60"/>
      <c r="F1144" s="48"/>
      <c r="G1144" s="48"/>
    </row>
    <row r="1145" spans="1:7" ht="15.75">
      <c r="A1145" s="48"/>
      <c r="B1145" s="48"/>
      <c r="C1145" s="48"/>
      <c r="D1145" s="69"/>
      <c r="E1145" s="60"/>
      <c r="F1145" s="48"/>
      <c r="G1145" s="48"/>
    </row>
    <row r="1146" spans="1:7" ht="15.75">
      <c r="A1146" s="48"/>
      <c r="B1146" s="48"/>
      <c r="C1146" s="48"/>
      <c r="D1146" s="69"/>
      <c r="E1146" s="60"/>
      <c r="F1146" s="48"/>
      <c r="G1146" s="48"/>
    </row>
    <row r="1147" spans="1:7" ht="15.75">
      <c r="A1147" s="48"/>
      <c r="B1147" s="48"/>
      <c r="C1147" s="48"/>
      <c r="D1147" s="69"/>
      <c r="E1147" s="60"/>
      <c r="F1147" s="48"/>
      <c r="G1147" s="48"/>
    </row>
    <row r="1148" spans="1:7" ht="15.75">
      <c r="A1148" s="48"/>
      <c r="B1148" s="48"/>
      <c r="C1148" s="48"/>
      <c r="D1148" s="69"/>
      <c r="E1148" s="60"/>
      <c r="F1148" s="48"/>
      <c r="G1148" s="48"/>
    </row>
    <row r="1149" spans="1:7" ht="15.75">
      <c r="A1149" s="48"/>
      <c r="B1149" s="48"/>
      <c r="C1149" s="48"/>
      <c r="D1149" s="69"/>
      <c r="E1149" s="60"/>
      <c r="F1149" s="48"/>
      <c r="G1149" s="48"/>
    </row>
    <row r="1150" spans="1:7" ht="15.75">
      <c r="A1150" s="48"/>
      <c r="B1150" s="48"/>
      <c r="C1150" s="48"/>
      <c r="D1150" s="69"/>
      <c r="E1150" s="60"/>
      <c r="F1150" s="48"/>
      <c r="G1150" s="48"/>
    </row>
    <row r="1151" spans="1:7" ht="15.75">
      <c r="A1151" s="48"/>
      <c r="B1151" s="48"/>
      <c r="C1151" s="48"/>
      <c r="D1151" s="69"/>
      <c r="E1151" s="60"/>
      <c r="F1151" s="48"/>
      <c r="G1151" s="48"/>
    </row>
    <row r="1152" spans="1:7" ht="15.75">
      <c r="A1152" s="48"/>
      <c r="B1152" s="48"/>
      <c r="C1152" s="48"/>
      <c r="D1152" s="69"/>
      <c r="E1152" s="60"/>
      <c r="F1152" s="48"/>
      <c r="G1152" s="48"/>
    </row>
    <row r="1153" spans="1:7" ht="15.75">
      <c r="A1153" s="48"/>
      <c r="B1153" s="48"/>
      <c r="C1153" s="48"/>
      <c r="D1153" s="69"/>
      <c r="E1153" s="60"/>
      <c r="F1153" s="48"/>
      <c r="G1153" s="48"/>
    </row>
    <row r="1154" spans="1:7" ht="15.75">
      <c r="A1154" s="48"/>
      <c r="B1154" s="48"/>
      <c r="C1154" s="48"/>
      <c r="D1154" s="69"/>
      <c r="E1154" s="60"/>
      <c r="F1154" s="48"/>
      <c r="G1154" s="48"/>
    </row>
    <row r="1155" spans="1:7" ht="15.75">
      <c r="A1155" s="48"/>
      <c r="B1155" s="48"/>
      <c r="C1155" s="48"/>
      <c r="D1155" s="69"/>
      <c r="E1155" s="60"/>
      <c r="F1155" s="48"/>
      <c r="G1155" s="48"/>
    </row>
    <row r="1156" spans="1:7" ht="15.75">
      <c r="A1156" s="48"/>
      <c r="B1156" s="48"/>
      <c r="C1156" s="48"/>
      <c r="D1156" s="69"/>
      <c r="E1156" s="60"/>
      <c r="F1156" s="48"/>
      <c r="G1156" s="48"/>
    </row>
    <row r="1157" spans="1:7" ht="15.75">
      <c r="A1157" s="48"/>
      <c r="B1157" s="48"/>
      <c r="C1157" s="48"/>
      <c r="D1157" s="69"/>
      <c r="E1157" s="60"/>
      <c r="F1157" s="48"/>
      <c r="G1157" s="48"/>
    </row>
    <row r="1158" spans="1:7" ht="15.75">
      <c r="A1158" s="48"/>
      <c r="B1158" s="48"/>
      <c r="C1158" s="48"/>
      <c r="D1158" s="69"/>
      <c r="E1158" s="60"/>
      <c r="F1158" s="48"/>
      <c r="G1158" s="48"/>
    </row>
    <row r="1159" spans="1:7" ht="15.75">
      <c r="A1159" s="48"/>
      <c r="B1159" s="48"/>
      <c r="C1159" s="48"/>
      <c r="D1159" s="69"/>
      <c r="E1159" s="60"/>
      <c r="F1159" s="48"/>
      <c r="G1159" s="48"/>
    </row>
    <row r="1160" spans="1:7" ht="15.75">
      <c r="A1160" s="48"/>
      <c r="B1160" s="48"/>
      <c r="C1160" s="48"/>
      <c r="D1160" s="69"/>
      <c r="E1160" s="60"/>
      <c r="F1160" s="48"/>
      <c r="G1160" s="48"/>
    </row>
    <row r="1161" spans="1:7" ht="15.75">
      <c r="A1161" s="48"/>
      <c r="B1161" s="48"/>
      <c r="C1161" s="48"/>
      <c r="D1161" s="69"/>
      <c r="E1161" s="60"/>
      <c r="F1161" s="48"/>
      <c r="G1161" s="48"/>
    </row>
    <row r="1162" spans="1:7" ht="15.75">
      <c r="A1162" s="48"/>
      <c r="B1162" s="48"/>
      <c r="C1162" s="48"/>
      <c r="D1162" s="69"/>
      <c r="E1162" s="60"/>
      <c r="F1162" s="48"/>
      <c r="G1162" s="48"/>
    </row>
    <row r="1163" spans="1:7" ht="15.75">
      <c r="A1163" s="48"/>
      <c r="B1163" s="48"/>
      <c r="C1163" s="48"/>
      <c r="D1163" s="69"/>
      <c r="E1163" s="60"/>
      <c r="F1163" s="48"/>
      <c r="G1163" s="48"/>
    </row>
    <row r="1164" spans="1:7" ht="15.75">
      <c r="A1164" s="48"/>
      <c r="B1164" s="48"/>
      <c r="C1164" s="48"/>
      <c r="D1164" s="69"/>
      <c r="E1164" s="60"/>
      <c r="F1164" s="48"/>
      <c r="G1164" s="48"/>
    </row>
    <row r="1165" spans="1:7" ht="15.75">
      <c r="A1165" s="48"/>
      <c r="B1165" s="48"/>
      <c r="C1165" s="48"/>
      <c r="D1165" s="69"/>
      <c r="E1165" s="60"/>
      <c r="F1165" s="48"/>
      <c r="G1165" s="48"/>
    </row>
    <row r="1166" spans="1:7" ht="15.75">
      <c r="A1166" s="48"/>
      <c r="B1166" s="48"/>
      <c r="C1166" s="48"/>
      <c r="D1166" s="69"/>
      <c r="E1166" s="60"/>
      <c r="F1166" s="48"/>
      <c r="G1166" s="48"/>
    </row>
    <row r="1167" spans="1:7" ht="15.75">
      <c r="A1167" s="48"/>
      <c r="B1167" s="48"/>
      <c r="C1167" s="48"/>
      <c r="D1167" s="69"/>
      <c r="E1167" s="60"/>
      <c r="F1167" s="48"/>
      <c r="G1167" s="48"/>
    </row>
    <row r="1168" spans="1:7" ht="15.75">
      <c r="A1168" s="48"/>
      <c r="B1168" s="48"/>
      <c r="C1168" s="48"/>
      <c r="D1168" s="69"/>
      <c r="E1168" s="60"/>
      <c r="F1168" s="48"/>
      <c r="G1168" s="48"/>
    </row>
    <row r="1169" spans="1:7" ht="15.75">
      <c r="A1169" s="48"/>
      <c r="B1169" s="48"/>
      <c r="C1169" s="48"/>
      <c r="D1169" s="69"/>
      <c r="E1169" s="60"/>
      <c r="F1169" s="48"/>
      <c r="G1169" s="48"/>
    </row>
    <row r="1170" spans="1:7" ht="15.75">
      <c r="A1170" s="48"/>
      <c r="B1170" s="48"/>
      <c r="C1170" s="48"/>
      <c r="D1170" s="69"/>
      <c r="E1170" s="60"/>
      <c r="F1170" s="48"/>
      <c r="G1170" s="48"/>
    </row>
    <row r="1171" spans="1:7" ht="15.75">
      <c r="A1171" s="48"/>
      <c r="B1171" s="48"/>
      <c r="C1171" s="48"/>
      <c r="D1171" s="69"/>
      <c r="E1171" s="60"/>
      <c r="F1171" s="48"/>
      <c r="G1171" s="48"/>
    </row>
    <row r="1172" spans="1:7" ht="15.75">
      <c r="A1172" s="48"/>
      <c r="B1172" s="48"/>
      <c r="C1172" s="48"/>
      <c r="D1172" s="69"/>
      <c r="E1172" s="60"/>
      <c r="F1172" s="48"/>
      <c r="G1172" s="48"/>
    </row>
    <row r="1173" spans="1:7" ht="15.75">
      <c r="A1173" s="48"/>
      <c r="B1173" s="48"/>
      <c r="C1173" s="48"/>
      <c r="D1173" s="69"/>
      <c r="E1173" s="60"/>
      <c r="F1173" s="48"/>
      <c r="G1173" s="48"/>
    </row>
  </sheetData>
  <mergeCells count="16">
    <mergeCell ref="A392:G392"/>
    <mergeCell ref="A393:G393"/>
    <mergeCell ref="A400:G400"/>
    <mergeCell ref="A401:G401"/>
    <mergeCell ref="A9:G9"/>
    <mergeCell ref="A10:G10"/>
    <mergeCell ref="A20:G20"/>
    <mergeCell ref="A21:G21"/>
    <mergeCell ref="A132:G132"/>
    <mergeCell ref="A258:G258"/>
    <mergeCell ref="A259:G259"/>
    <mergeCell ref="A288:G288"/>
    <mergeCell ref="A289:G289"/>
    <mergeCell ref="A133:G133"/>
    <mergeCell ref="A158:G158"/>
    <mergeCell ref="A159:G159"/>
  </mergeCells>
  <conditionalFormatting sqref="B339:F339">
    <cfRule type="cellIs" dxfId="2" priority="1" operator="equal">
      <formula>0</formula>
    </cfRule>
  </conditionalFormatting>
  <printOptions gridLines="1"/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1702-B4D5-40E4-BC59-7E29E4A377BB}">
  <sheetPr>
    <tabColor theme="9" tint="0.59999389629810485"/>
  </sheetPr>
  <dimension ref="A1:Z1052"/>
  <sheetViews>
    <sheetView workbookViewId="0">
      <pane ySplit="1" topLeftCell="A88" activePane="bottomLeft" state="frozen"/>
      <selection pane="bottomLeft" activeCell="E107" sqref="A107:G107"/>
    </sheetView>
  </sheetViews>
  <sheetFormatPr defaultRowHeight="15.75"/>
  <cols>
    <col min="1" max="1" width="34.875" style="126" customWidth="1"/>
    <col min="2" max="2" width="35.875" style="126" customWidth="1"/>
    <col min="3" max="3" width="14.125" style="126" customWidth="1"/>
    <col min="4" max="4" width="17.75" style="145" customWidth="1"/>
    <col min="5" max="5" width="14.875" style="126" customWidth="1"/>
    <col min="6" max="6" width="15.75" style="126" customWidth="1"/>
    <col min="7" max="7" width="18.125" style="126" customWidth="1"/>
    <col min="8" max="8" width="20.625" style="126" customWidth="1"/>
    <col min="9" max="9" width="10.75" style="126" customWidth="1"/>
    <col min="10" max="10" width="10.5" style="126" customWidth="1"/>
    <col min="11" max="12" width="9" style="126" customWidth="1"/>
    <col min="13" max="13" width="29.375" style="124" customWidth="1"/>
    <col min="14" max="14" width="31" style="124" customWidth="1"/>
    <col min="15" max="15" width="23.25" style="124" customWidth="1"/>
    <col min="16" max="16" width="14.375" style="124" customWidth="1"/>
    <col min="17" max="17" width="18" style="125" customWidth="1"/>
    <col min="18" max="18" width="14.5" style="124" customWidth="1"/>
    <col min="19" max="19" width="25.625" style="126" customWidth="1"/>
    <col min="20" max="20" width="15" style="126" customWidth="1"/>
    <col min="21" max="16384" width="9" style="126"/>
  </cols>
  <sheetData>
    <row r="1" spans="1:26">
      <c r="A1" s="115" t="s">
        <v>0</v>
      </c>
      <c r="B1" s="115" t="s">
        <v>1</v>
      </c>
      <c r="C1" s="115" t="s">
        <v>2</v>
      </c>
      <c r="D1" s="117" t="s">
        <v>3</v>
      </c>
      <c r="E1" s="118" t="s">
        <v>4</v>
      </c>
      <c r="F1" s="115" t="s">
        <v>5</v>
      </c>
      <c r="G1" s="122" t="s">
        <v>6</v>
      </c>
      <c r="M1" s="126"/>
      <c r="N1" s="126"/>
      <c r="O1" s="126"/>
      <c r="P1" s="126"/>
      <c r="Q1" s="126"/>
      <c r="R1" s="126"/>
    </row>
    <row r="2" spans="1:26">
      <c r="A2" s="127" t="s">
        <v>7</v>
      </c>
      <c r="B2" s="128"/>
      <c r="C2" s="128"/>
      <c r="D2" s="129"/>
      <c r="E2" s="130"/>
      <c r="F2" s="128"/>
      <c r="G2" s="131"/>
      <c r="H2" s="132"/>
      <c r="I2" s="132"/>
      <c r="J2" s="132"/>
      <c r="K2" s="132"/>
      <c r="L2" s="132"/>
      <c r="M2" s="133"/>
      <c r="N2" s="126"/>
      <c r="O2" s="126"/>
      <c r="P2" s="126"/>
      <c r="Q2" s="126"/>
      <c r="R2" s="126"/>
    </row>
    <row r="3" spans="1:26">
      <c r="A3" s="134" t="s">
        <v>8</v>
      </c>
      <c r="B3" s="115" t="s">
        <v>9</v>
      </c>
      <c r="C3" s="115" t="s">
        <v>10</v>
      </c>
      <c r="D3" s="117" t="s">
        <v>11</v>
      </c>
      <c r="E3" s="115" t="s">
        <v>12</v>
      </c>
      <c r="F3" s="115" t="s">
        <v>13</v>
      </c>
      <c r="G3" s="115" t="s">
        <v>14</v>
      </c>
      <c r="H3" s="115" t="s">
        <v>15</v>
      </c>
      <c r="I3" s="115" t="s">
        <v>16</v>
      </c>
      <c r="J3" s="115" t="s">
        <v>17</v>
      </c>
      <c r="K3" s="115" t="s">
        <v>18</v>
      </c>
      <c r="L3" s="115" t="s">
        <v>19</v>
      </c>
      <c r="M3" s="135"/>
      <c r="N3" s="126"/>
      <c r="O3" s="126"/>
      <c r="P3" s="126"/>
      <c r="Q3" s="126"/>
      <c r="R3" s="126"/>
    </row>
    <row r="4" spans="1:26">
      <c r="A4" s="31">
        <f>SUM(
SUMIFS($E$11:$E$275,$D$11:$D$275,"&gt;="&amp;EOMONTH($A$8,-1)+1,$D$11:$D$275,"&lt;="&amp;EOMONTH($A$8,0),$F$11:$F$275,"kp"),
SUMIFS($E$11:$E$275,$D$11:$D$275,"&gt;="&amp;EOMONTH($A$8,-1)+1,$D$11:$D$275,"&lt;="&amp;EOMONTH($A$8,0),$F$11:$F$275,"kp."),
SUMIFS($E$11:$E$275,$D$11:$D$275,"&gt;="&amp;EOMONTH($A$8,-1)+1,$D$11:$D$275,"&lt;="&amp;EOMONTH($A$8,0),$F$11:$F$275,"bk"),
SUMIFS($E$11:$E$275,$D$11:$D$275,"&gt;="&amp;EOMONTH($A$8,-1)+1,$D$11:$D$275,"&lt;="&amp;EOMONTH($A$8,0),$F$11:$F$275,"bk."),
SUMIFS($E$11:$E$275,$D$11:$D$275,"&gt;="&amp;EOMONTH($A$8,-1)+1,$D$11:$D$275,"&lt;="&amp;EOMONTH($A$8,0),$F$11:$F$275,"mgc")
)</f>
        <v>397527</v>
      </c>
      <c r="B4" s="14">
        <f>SUM(
SUMIFS($E$11:$E$275,$D$11:$D$275,"&gt;="&amp;EOMONTH(B$8,-1)+1,$D$11:$D$275,"&lt;="&amp;EOMONTH(B$8,0),$F$11:$F$275,"kp"),
SUMIFS($E$11:$E$275,$D$11:$D$275,"&gt;="&amp;EOMONTH(B$8,-1)+1,$D$11:$D$275,"&lt;="&amp;EOMONTH(B$8,0),$F$11:$F$275,"kp."),
SUMIFS($E$11:$E$275,$D$11:$D$275,"&gt;="&amp;EOMONTH(B$8,-1)+1,$D$11:$D$275,"&lt;="&amp;EOMONTH(B$8,0),$F$11:$F$275,"bk"),
SUMIFS($E$11:$E$275,$D$11:$D$275,"&gt;="&amp;EOMONTH(B$8,-1)+1,$D$11:$D$275,"&lt;="&amp;EOMONTH(B$8,0),$F$11:$F$275,"bk."),
SUMIFS($E$11:$E$275,$D$11:$D$275,"&gt;="&amp;EOMONTH(B$8,-1)+1,$D$11:$D$275,"&lt;="&amp;EOMONTH(B$8,0),$F$11:$F$275,"mgc")
)</f>
        <v>1000764</v>
      </c>
      <c r="C4" s="14">
        <f>SUM(
SUMIFS($E$11:$E$275,$D$11:$D$275,"&gt;="&amp;EOMONTH(C$8,-1)+1,$D$11:$D$275,"&lt;="&amp;EOMONTH(C$8,0),$F$11:$F$275,"kp"),
SUMIFS($E$11:$E$275,$D$11:$D$275,"&gt;="&amp;EOMONTH(C$8,-1)+1,$D$11:$D$275,"&lt;="&amp;EOMONTH(C$8,0),$F$11:$F$275,"kp."),
SUMIFS($E$11:$E$275,$D$11:$D$275,"&gt;="&amp;EOMONTH(C$8,-1)+1,$D$11:$D$275,"&lt;="&amp;EOMONTH(C$8,0),$F$11:$F$275,"bk"),
SUMIFS($E$11:$E$275,$D$11:$D$275,"&gt;="&amp;EOMONTH(C$8,-1)+1,$D$11:$D$275,"&lt;="&amp;EOMONTH(C$8,0),$F$11:$F$275,"bk."),
SUMIFS($E$11:$E$275,$D$11:$D$275,"&gt;="&amp;EOMONTH(C$8,-1)+1,$D$11:$D$275,"&lt;="&amp;EOMONTH(C$8,0),$F$11:$F$275,"mgc")
)</f>
        <v>283723</v>
      </c>
      <c r="D4" s="14">
        <f>SUM(
SUMIFS($E$11:$E$275,$D$11:$D$275,"&gt;="&amp;EOMONTH(D$8,-1)+1,$D$11:$D$275,"&lt;="&amp;EOMONTH(D$8,0),$F$11:$F$275,"kp"),
SUMIFS($E$11:$E$275,$D$11:$D$275,"&gt;="&amp;EOMONTH(D$8,-1)+1,$D$11:$D$275,"&lt;="&amp;EOMONTH(D$8,0),$F$11:$F$275,"kp."),
SUMIFS($E$11:$E$275,$D$11:$D$275,"&gt;="&amp;EOMONTH(D$8,-1)+1,$D$11:$D$275,"&lt;="&amp;EOMONTH(D$8,0),$F$11:$F$275,"bk"),
SUMIFS($E$11:$E$275,$D$11:$D$275,"&gt;="&amp;EOMONTH(D$8,-1)+1,$D$11:$D$275,"&lt;="&amp;EOMONTH(D$8,0),$F$11:$F$275,"bk."),
SUMIFS($E$11:$E$275,$D$11:$D$275,"&gt;="&amp;EOMONTH(D$8,-1)+1,$D$11:$D$275,"&lt;="&amp;EOMONTH(D$8,0),$F$11:$F$275,"mgc")
)</f>
        <v>3150</v>
      </c>
      <c r="E4" s="14">
        <f>SUM(
SUMIFS($E$11:$E$275,$D$11:$D$275,"&gt;="&amp;EOMONTH(E$8,-1)+1,$D$11:$D$275,"&lt;="&amp;EOMONTH(E$8,0),$F$11:$F$275,"kp"),
SUMIFS($E$11:$E$275,$D$11:$D$275,"&gt;="&amp;EOMONTH(E$8,-1)+1,$D$11:$D$275,"&lt;="&amp;EOMONTH(E$8,0),$F$11:$F$275,"kp."),
SUMIFS($E$11:$E$275,$D$11:$D$275,"&gt;="&amp;EOMONTH(E$8,-1)+1,$D$11:$D$275,"&lt;="&amp;EOMONTH(E$8,0),$F$11:$F$275,"bk"),
SUMIFS($E$11:$E$275,$D$11:$D$275,"&gt;="&amp;EOMONTH(E$8,-1)+1,$D$11:$D$275,"&lt;="&amp;EOMONTH(E$8,0),$F$11:$F$275,"bk."),
SUMIFS($E$11:$E$275,$D$11:$D$275,"&gt;="&amp;EOMONTH(E$8,-1)+1,$D$11:$D$275,"&lt;="&amp;EOMONTH(E$8,0),$F$11:$F$275,"mgc")
)</f>
        <v>0</v>
      </c>
      <c r="F4" s="14">
        <f>SUM(
SUMIFS($E$11:$E$275,$D$11:$D$275,"&gt;="&amp;EOMONTH(F$8,-1)+1,$D$11:$D$275,"&lt;="&amp;EOMONTH(F$8,0),$F$11:$F$275,"kp"),
SUMIFS($E$11:$E$275,$D$11:$D$275,"&gt;="&amp;EOMONTH(F$8,-1)+1,$D$11:$D$275,"&lt;="&amp;EOMONTH(F$8,0),$F$11:$F$275,"kp."),
SUMIFS($E$11:$E$275,$D$11:$D$275,"&gt;="&amp;EOMONTH(F$8,-1)+1,$D$11:$D$275,"&lt;="&amp;EOMONTH(F$8,0),$F$11:$F$275,"bk"),
SUMIFS($E$11:$E$275,$D$11:$D$275,"&gt;="&amp;EOMONTH(F$8,-1)+1,$D$11:$D$275,"&lt;="&amp;EOMONTH(F$8,0),$F$11:$F$275,"bk."),
SUMIFS($E$11:$E$275,$D$11:$D$275,"&gt;="&amp;EOMONTH(F$8,-1)+1,$D$11:$D$275,"&lt;="&amp;EOMONTH(F$8,0),$F$11:$F$275,"mgc")
)</f>
        <v>0</v>
      </c>
      <c r="G4" s="14">
        <f>SUM(
SUMIFS($E$11:$E$275,$D$11:$D$275,"&gt;="&amp;EOMONTH(G$8,-1)+1,$D$11:$D$275,"&lt;="&amp;EOMONTH(G$8,0),$F$11:$F$275,"kp"),
SUMIFS($E$11:$E$275,$D$11:$D$275,"&gt;="&amp;EOMONTH(G$8,-1)+1,$D$11:$D$275,"&lt;="&amp;EOMONTH(G$8,0),$F$11:$F$275,"kp."),
SUMIFS($E$11:$E$275,$D$11:$D$275,"&gt;="&amp;EOMONTH(G$8,-1)+1,$D$11:$D$275,"&lt;="&amp;EOMONTH(G$8,0),$F$11:$F$275,"bk"),
SUMIFS($E$11:$E$275,$D$11:$D$275,"&gt;="&amp;EOMONTH(G$8,-1)+1,$D$11:$D$275,"&lt;="&amp;EOMONTH(G$8,0),$F$11:$F$275,"bk."),
SUMIFS($E$11:$E$275,$D$11:$D$275,"&gt;="&amp;EOMONTH(G$8,-1)+1,$D$11:$D$275,"&lt;="&amp;EOMONTH(G$8,0),$F$11:$F$275,"mgc")
)</f>
        <v>0</v>
      </c>
      <c r="H4" s="14">
        <f>SUM(
SUMIFS($E$11:$E$275,$D$11:$D$275,"&gt;="&amp;EOMONTH(H$8,-1)+1,$D$11:$D$275,"&lt;="&amp;EOMONTH(H$8,0),$F$11:$F$275,"kp"),
SUMIFS($E$11:$E$275,$D$11:$D$275,"&gt;="&amp;EOMONTH(H$8,-1)+1,$D$11:$D$275,"&lt;="&amp;EOMONTH(H$8,0),$F$11:$F$275,"kp."),
SUMIFS($E$11:$E$275,$D$11:$D$275,"&gt;="&amp;EOMONTH(H$8,-1)+1,$D$11:$D$275,"&lt;="&amp;EOMONTH(H$8,0),$F$11:$F$275,"bk"),
SUMIFS($E$11:$E$275,$D$11:$D$275,"&gt;="&amp;EOMONTH(H$8,-1)+1,$D$11:$D$275,"&lt;="&amp;EOMONTH(H$8,0),$F$11:$F$275,"bk."),
SUMIFS($E$11:$E$275,$D$11:$D$275,"&gt;="&amp;EOMONTH(H$8,-1)+1,$D$11:$D$275,"&lt;="&amp;EOMONTH(H$8,0),$F$11:$F$275,"mgc")
)</f>
        <v>0</v>
      </c>
      <c r="I4" s="14">
        <f>SUM(
SUMIFS($E$11:$E$275,$D$11:$D$275,"&gt;="&amp;EOMONTH(I$8,-1)+1,$D$11:$D$275,"&lt;="&amp;EOMONTH(I$8,0),$F$11:$F$275,"kp"),
SUMIFS($E$11:$E$275,$D$11:$D$275,"&gt;="&amp;EOMONTH(I$8,-1)+1,$D$11:$D$275,"&lt;="&amp;EOMONTH(I$8,0),$F$11:$F$275,"kp."),
SUMIFS($E$11:$E$275,$D$11:$D$275,"&gt;="&amp;EOMONTH(I$8,-1)+1,$D$11:$D$275,"&lt;="&amp;EOMONTH(I$8,0),$F$11:$F$275,"bk"),
SUMIFS($E$11:$E$275,$D$11:$D$275,"&gt;="&amp;EOMONTH(I$8,-1)+1,$D$11:$D$275,"&lt;="&amp;EOMONTH(I$8,0),$F$11:$F$275,"bk."),
SUMIFS($E$11:$E$275,$D$11:$D$275,"&gt;="&amp;EOMONTH(I$8,-1)+1,$D$11:$D$275,"&lt;="&amp;EOMONTH(I$8,0),$F$11:$F$275,"mgc")
)</f>
        <v>0</v>
      </c>
      <c r="J4" s="14">
        <f>SUM(
SUMIFS($E$11:$E$275,$D$11:$D$275,"&gt;="&amp;EOMONTH(J$8,-1)+1,$D$11:$D$275,"&lt;="&amp;EOMONTH(J$8,0),$F$11:$F$275,"kp"),
SUMIFS($E$11:$E$275,$D$11:$D$275,"&gt;="&amp;EOMONTH(J$8,-1)+1,$D$11:$D$275,"&lt;="&amp;EOMONTH(J$8,0),$F$11:$F$275,"kp."),
SUMIFS($E$11:$E$275,$D$11:$D$275,"&gt;="&amp;EOMONTH(J$8,-1)+1,$D$11:$D$275,"&lt;="&amp;EOMONTH(J$8,0),$F$11:$F$275,"bk"),
SUMIFS($E$11:$E$275,$D$11:$D$275,"&gt;="&amp;EOMONTH(J$8,-1)+1,$D$11:$D$275,"&lt;="&amp;EOMONTH(J$8,0),$F$11:$F$275,"bk."),
SUMIFS($E$11:$E$275,$D$11:$D$275,"&gt;="&amp;EOMONTH(J$8,-1)+1,$D$11:$D$275,"&lt;="&amp;EOMONTH(J$8,0),$F$11:$F$275,"mgc")
)</f>
        <v>0</v>
      </c>
      <c r="K4" s="14">
        <f>SUM(
SUMIFS($E$11:$E$275,$D$11:$D$275,"&gt;="&amp;EOMONTH(K$8,-1)+1,$D$11:$D$275,"&lt;="&amp;EOMONTH(K$8,0),$F$11:$F$275,"kp"),
SUMIFS($E$11:$E$275,$D$11:$D$275,"&gt;="&amp;EOMONTH(K$8,-1)+1,$D$11:$D$275,"&lt;="&amp;EOMONTH(K$8,0),$F$11:$F$275,"kp."),
SUMIFS($E$11:$E$275,$D$11:$D$275,"&gt;="&amp;EOMONTH(K$8,-1)+1,$D$11:$D$275,"&lt;="&amp;EOMONTH(K$8,0),$F$11:$F$275,"bk"),
SUMIFS($E$11:$E$275,$D$11:$D$275,"&gt;="&amp;EOMONTH(K$8,-1)+1,$D$11:$D$275,"&lt;="&amp;EOMONTH(K$8,0),$F$11:$F$275,"bk."),
SUMIFS($E$11:$E$275,$D$11:$D$275,"&gt;="&amp;EOMONTH(K$8,-1)+1,$D$11:$D$275,"&lt;="&amp;EOMONTH(K$8,0),$F$11:$F$275,"mgc")
)</f>
        <v>0</v>
      </c>
      <c r="L4" s="14">
        <f>SUM(
SUMIFS($E$11:$E$275,$D$11:$D$275,"&gt;="&amp;EOMONTH(L$8,-1)+1,$D$11:$D$275,"&lt;="&amp;EOMONTH(L$8,0),$F$11:$F$275,"kp"),
SUMIFS($E$11:$E$275,$D$11:$D$275,"&gt;="&amp;EOMONTH(L$8,-1)+1,$D$11:$D$275,"&lt;="&amp;EOMONTH(L$8,0),$F$11:$F$275,"kp."),
SUMIFS($E$11:$E$275,$D$11:$D$275,"&gt;="&amp;EOMONTH(L$8,-1)+1,$D$11:$D$275,"&lt;="&amp;EOMONTH(L$8,0),$F$11:$F$275,"bk"),
SUMIFS($E$11:$E$275,$D$11:$D$275,"&gt;="&amp;EOMONTH(L$8,-1)+1,$D$11:$D$275,"&lt;="&amp;EOMONTH(L$8,0),$F$11:$F$275,"bk."),
SUMIFS($E$11:$E$275,$D$11:$D$275,"&gt;="&amp;EOMONTH(L$8,-1)+1,$D$11:$D$275,"&lt;="&amp;EOMONTH(L$8,0),$F$11:$F$275,"mgc")
)</f>
        <v>0</v>
      </c>
      <c r="M4" s="165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spans="1:26">
      <c r="A5" s="137">
        <f>SUMIFS(E11:E649,D11:D649,"&gt;=2025.01.01",D11:D649,"&lt;=2025.01.31",A11:A649,"HELIT*",F11:F649,"kp") + SUMIFS(E11:E649,D11:D649,"&gt;=2025.01.01",D11:D649,"&lt;=2025.01.31",A11:A649,"HELIT*",F11:F649,"kp.") + SUMIFS(E11:E649,D11:D649,"&gt;=2025.01.01",D11:D649,"&lt;=2025.01.31",A11:A649,"HELIT*",F11:F649,"bk") + SUMIFS(E11:E649,D11:D649,"&gt;=2025.01.01",D11:D649,"&lt;=2025.01.31",A11:A649,"HELIT*",F11:F649,"bk.") + SUMIFS(E11:E649,D11:D649,"&gt;=2025.01.01",D11:D649,"&lt;=2025.01.31",A11:A649,"HELIT*",F11:F649,"bankkártya")</f>
        <v>0</v>
      </c>
      <c r="B5" s="138">
        <f>SUMIFS(E11:E2149,D11:D2149,"&gt;=2025.02.01",D11:D2149,"&lt;=2025.02.28",A11:A2149,"HELIT*",F11:F2149,"kp") + SUMIFS(E11:E2149,D11:D2149,"&gt;=2025.02.01",D11:D2149,"&lt;=2025.02.28",A11:A2149,"HELIT*",F11:F2149,"kp.") + SUMIFS(E11:E2149,D11:D2149,"&gt;=2025.02.01",D11:D2149,"&lt;=2025.02.28",A11:A2149,"HELIT*",F11:F2149,"bk") + SUMIFS(E11:E2149,D11:D2149,"&gt;=2025.02.01",D11:D2149,"&lt;=2025.02.28",A11:A2149,"HELIT*",F11:F2149,"bk.") + SUMIFS(E11:E2149,D11:D2149,"&gt;=2025.02.01",D11:D2149,"&lt;=2025.02.28",A11:A2149,"HELIT*",F11:F2149,"bankkártya")</f>
        <v>0</v>
      </c>
      <c r="C5" s="138">
        <f>SUMIFS(E11:E2137,D11:D2137,"&gt;=2025.03.01",D11:D2137,"&lt;=2025.03.31",A11:A2137,"HELIT*",F11:F2137,"kp") + SUMIFS(E11:E2137,D11:D2137,"&gt;=2025.03.01",D11:D2137,"&lt;=2025.03.31",A11:A2137,"HELIT*",F11:F2137,"kp.") + SUMIFS(E11:E2137,D11:D2137,"&gt;=2025.03.01",D11:D2137,"&lt;=2025.03.31",A11:A2137,"HELIT*",F11:F2137,"bk") + SUMIFS(E11:E2137,D11:D2137,"&gt;=2025.03.01",D11:D2137,"&lt;=2025.03.31",A11:A2137,"HELIT*",F11:F2137,"bk.") + SUMIFS(E11:E2137,D11:D2137,"&gt;=2025.03.01",D11:D2137,"&lt;=2025.03.31",A11:A2137,"HELIT*",F11:F2137,"bankkártya")</f>
        <v>0</v>
      </c>
      <c r="D5" s="139">
        <f>SUMIFS(E11:E2137,D11:D2137,"&gt;=2025.04.01",D11:D2137,"&lt;=2025.04.30",A11:A2137,"HELIT*",F11:F2137,"kp") + SUMIFS(E11:E2137,D11:D2137,"&gt;=2025.04.01",D11:D2137,"&lt;=2025.04.30",A11:A2137,"HELIT*",F11:F2137,"kp.") + SUMIFS(E11:E2137,D11:D2137,"&gt;=2025.04.01",D11:D2137,"&lt;=2025.04.30",A11:A2137,"HELIT*",F11:F2137,"bk") + SUMIFS(E11:E2137,D11:D2137,"&gt;=2025.04.01",D11:D2137,"&lt;=2025.04.30",A11:A2137,"HELIT*",F11:F2137,"bk.") + SUMIFS(E11:E2137,D11:D2137,"&gt;=2025.04.01",D11:D2137,"&lt;=2025.04.30",A11:A2137,"HELIT*",F11:F2137,"bankkártya")</f>
        <v>0</v>
      </c>
      <c r="E5" s="140"/>
      <c r="F5" s="163"/>
      <c r="G5" s="141"/>
      <c r="H5" s="142"/>
      <c r="I5" s="142"/>
      <c r="J5" s="142"/>
      <c r="K5" s="142"/>
      <c r="L5" s="142"/>
      <c r="M5" s="143"/>
      <c r="N5" s="126"/>
      <c r="O5" s="126"/>
      <c r="P5" s="126"/>
      <c r="Q5" s="126"/>
      <c r="R5" s="126"/>
    </row>
    <row r="6" spans="1:26">
      <c r="A6" s="115" t="s">
        <v>20</v>
      </c>
      <c r="B6" s="115"/>
      <c r="C6" s="115"/>
      <c r="D6" s="117"/>
      <c r="E6" s="118"/>
      <c r="F6" s="115"/>
      <c r="G6" s="122"/>
      <c r="M6" s="126"/>
      <c r="N6" s="126"/>
      <c r="O6" s="126"/>
      <c r="P6" s="126"/>
      <c r="Q6" s="126"/>
      <c r="R6" s="126"/>
    </row>
    <row r="7" spans="1:26">
      <c r="A7" s="144" cm="1">
        <f t="array" ref="A7">SUM(SUMIFS($E$11:$E$2006,
$D$11:$D$2006,"&gt;="&amp;EOMONTH(A8,-1)+1,
$D$11:$D$2006,"&lt;="&amp;EOMONTH(A8,0),
$F$11:$F$2006,{"kp";"kp."}))</f>
        <v>5194</v>
      </c>
      <c r="B7" s="144" cm="1">
        <f t="array" ref="B7">SUM(SUMIFS($E$11:$E$2006,
$D$11:$D$2006,"&gt;="&amp;EOMONTH(B8,-1)+1,
$D$11:$D$2006,"&lt;="&amp;EOMONTH(B8,0),
$F$11:$F$2006,{"kp";"kp."}))</f>
        <v>72209</v>
      </c>
      <c r="C7" s="144" cm="1">
        <f t="array" ref="C7">SUM(SUMIFS($E$11:$E$2006,
$D$11:$D$2006,"&gt;="&amp;EOMONTH(C8,-1)+1,
$D$11:$D$2006,"&lt;="&amp;EOMONTH(C8,0),
$F$11:$F$2006,{"kp";"kp."}))</f>
        <v>85144</v>
      </c>
      <c r="D7" s="144" cm="1">
        <f t="array" ref="D7">SUM(SUMIFS($E$11:$E$2006,
$D$11:$D$2006,"&gt;="&amp;EOMONTH(D8,-1)+1,
$D$11:$D$2006,"&lt;="&amp;EOMONTH(D8,0),
$F$11:$F$2006,{"kp";"kp."}))</f>
        <v>0</v>
      </c>
      <c r="E7" s="144" cm="1">
        <f t="array" ref="E7">SUM(SUMIFS($E$11:$E$2006,
$D$11:$D$2006,"&gt;="&amp;EOMONTH(E8,-1)+1,
$D$11:$D$2006,"&lt;="&amp;EOMONTH(E8,0),
$F$11:$F$2006,{"kp";"kp."}))</f>
        <v>0</v>
      </c>
      <c r="F7" s="144" cm="1">
        <f t="array" ref="F7">SUM(SUMIFS($E$11:$E$2006,
$D$11:$D$2006,"&gt;="&amp;EOMONTH(F8,-1)+1,
$D$11:$D$2006,"&lt;="&amp;EOMONTH(F8,0),
$F$11:$F$2006,{"kp";"kp."}))</f>
        <v>0</v>
      </c>
      <c r="G7" s="144" cm="1">
        <f t="array" ref="G7">SUM(SUMIFS($E$11:$E$2006,
$D$11:$D$2006,"&gt;="&amp;EOMONTH(G8,-1)+1,
$D$11:$D$2006,"&lt;="&amp;EOMONTH(G8,0),
$F$11:$F$2006,{"kp";"kp."}))</f>
        <v>0</v>
      </c>
      <c r="H7" s="144" cm="1">
        <f t="array" ref="H7">SUM(SUMIFS($E$11:$E$2006,
$D$11:$D$2006,"&gt;="&amp;EOMONTH(H8,-1)+1,
$D$11:$D$2006,"&lt;="&amp;EOMONTH(H8,0),
$F$11:$F$2006,{"kp";"kp."}))</f>
        <v>0</v>
      </c>
      <c r="I7" s="144" cm="1">
        <f t="array" ref="I7">SUM(SUMIFS($E$11:$E$2006,
$D$11:$D$2006,"&gt;="&amp;EOMONTH(I8,-1)+1,
$D$11:$D$2006,"&lt;="&amp;EOMONTH(I8,0),
$F$11:$F$2006,{"kp";"kp."}))</f>
        <v>0</v>
      </c>
      <c r="J7" s="144" cm="1">
        <f t="array" ref="J7">SUM(SUMIFS($E$11:$E$2006,
$D$11:$D$2006,"&gt;="&amp;EOMONTH(J8,-1)+1,
$D$11:$D$2006,"&lt;="&amp;EOMONTH(J8,0),
$F$11:$F$2006,{"kp";"kp."}))</f>
        <v>0</v>
      </c>
      <c r="K7" s="144" cm="1">
        <f t="array" ref="K7">SUM(SUMIFS($E$11:$E$2006,
$D$11:$D$2006,"&gt;="&amp;EOMONTH(K8,-1)+1,
$D$11:$D$2006,"&lt;="&amp;EOMONTH(K8,0),
$F$11:$F$2006,{"kp";"kp."}))</f>
        <v>0</v>
      </c>
      <c r="L7" s="144" cm="1">
        <f t="array" ref="L7">SUM(SUMIFS($E$11:$E$2006,
$D$11:$D$2006,"&gt;="&amp;EOMONTH(L8,-1)+1,
$D$11:$D$2006,"&lt;="&amp;EOMONTH(L8,0),
$F$11:$F$2006,{"kp";"kp."}))</f>
        <v>0</v>
      </c>
      <c r="M7" s="126"/>
      <c r="N7" s="126"/>
      <c r="O7" s="126"/>
      <c r="P7" s="126"/>
      <c r="Q7" s="126"/>
      <c r="R7" s="126"/>
    </row>
    <row r="8" spans="1:26">
      <c r="A8" s="40">
        <v>46037</v>
      </c>
      <c r="B8" s="40">
        <v>46068</v>
      </c>
      <c r="C8" s="40">
        <v>46096</v>
      </c>
      <c r="D8" s="40">
        <v>46127</v>
      </c>
      <c r="E8" s="40">
        <v>46157</v>
      </c>
      <c r="F8" s="40">
        <v>46188</v>
      </c>
      <c r="G8" s="40">
        <v>46218</v>
      </c>
      <c r="H8" s="40">
        <v>46249</v>
      </c>
      <c r="I8" s="40">
        <v>46280</v>
      </c>
      <c r="J8" s="40">
        <v>46310</v>
      </c>
      <c r="K8" s="40">
        <v>46341</v>
      </c>
      <c r="L8" s="40">
        <v>46371</v>
      </c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spans="1:26" ht="15.6" customHeight="1">
      <c r="A9" s="193" t="s">
        <v>21</v>
      </c>
      <c r="B9" s="193"/>
      <c r="C9" s="193"/>
      <c r="D9" s="193"/>
      <c r="E9" s="193"/>
      <c r="F9" s="193"/>
      <c r="G9" s="193"/>
      <c r="M9" s="126"/>
      <c r="N9" s="126"/>
      <c r="O9" s="126"/>
      <c r="P9" s="126"/>
      <c r="Q9" s="126"/>
      <c r="R9" s="126"/>
    </row>
    <row r="10" spans="1:26" ht="15.6" customHeight="1">
      <c r="A10" s="194" t="s">
        <v>22</v>
      </c>
      <c r="B10" s="194"/>
      <c r="C10" s="194"/>
      <c r="D10" s="194"/>
      <c r="E10" s="194"/>
      <c r="F10" s="194"/>
      <c r="G10" s="194"/>
      <c r="M10" s="126"/>
      <c r="N10" s="126"/>
      <c r="O10" s="126"/>
      <c r="P10" s="126"/>
      <c r="Q10" s="126"/>
      <c r="R10" s="126"/>
    </row>
    <row r="11" spans="1:26" ht="15.6" customHeight="1">
      <c r="A11" s="111" t="s">
        <v>23</v>
      </c>
      <c r="B11" s="112">
        <v>617003757</v>
      </c>
      <c r="D11" s="113">
        <v>46031</v>
      </c>
      <c r="E11" s="114">
        <v>103387</v>
      </c>
      <c r="F11" s="111" t="s">
        <v>24</v>
      </c>
      <c r="M11" s="126"/>
      <c r="N11" s="126"/>
      <c r="O11" s="126"/>
      <c r="P11" s="126"/>
      <c r="Q11" s="126"/>
      <c r="R11" s="126"/>
    </row>
    <row r="12" spans="1:26" ht="15.75" customHeight="1">
      <c r="A12" s="111" t="s">
        <v>738</v>
      </c>
      <c r="B12" s="112" t="s">
        <v>739</v>
      </c>
      <c r="C12" s="111"/>
      <c r="D12" s="113">
        <v>46031</v>
      </c>
      <c r="E12" s="114">
        <v>182576</v>
      </c>
      <c r="F12" s="111" t="s">
        <v>24</v>
      </c>
      <c r="G12" s="111"/>
      <c r="M12" s="126"/>
      <c r="N12" s="126"/>
      <c r="O12" s="126"/>
      <c r="P12" s="126"/>
      <c r="Q12" s="126"/>
      <c r="R12" s="126"/>
    </row>
    <row r="13" spans="1:26" ht="15.6" customHeight="1">
      <c r="A13" s="115" t="s">
        <v>36</v>
      </c>
      <c r="B13" s="116" t="s">
        <v>740</v>
      </c>
      <c r="C13" s="117"/>
      <c r="D13" s="117">
        <v>46039</v>
      </c>
      <c r="E13" s="118">
        <v>22995</v>
      </c>
      <c r="F13" s="111" t="s">
        <v>24</v>
      </c>
      <c r="G13" s="111"/>
      <c r="M13" s="126"/>
      <c r="N13" s="126"/>
      <c r="O13" s="126"/>
      <c r="P13" s="126"/>
      <c r="Q13" s="126"/>
      <c r="R13" s="126"/>
    </row>
    <row r="14" spans="1:26" ht="15.6" customHeight="1">
      <c r="A14" s="115" t="s">
        <v>335</v>
      </c>
      <c r="B14" s="116" t="s">
        <v>741</v>
      </c>
      <c r="C14" s="117"/>
      <c r="D14" s="117">
        <v>46046</v>
      </c>
      <c r="E14" s="118">
        <v>5194</v>
      </c>
      <c r="F14" s="111" t="s">
        <v>29</v>
      </c>
      <c r="G14" s="111"/>
      <c r="M14" s="126"/>
      <c r="N14" s="126"/>
      <c r="O14" s="126"/>
      <c r="P14" s="126"/>
      <c r="Q14" s="126"/>
      <c r="R14" s="126"/>
    </row>
    <row r="15" spans="1:26" ht="15.6" customHeight="1">
      <c r="A15" s="115" t="s">
        <v>33</v>
      </c>
      <c r="B15" s="116" t="s">
        <v>742</v>
      </c>
      <c r="C15" s="117"/>
      <c r="D15" s="117">
        <v>46046</v>
      </c>
      <c r="E15" s="118">
        <v>64923</v>
      </c>
      <c r="F15" s="111" t="s">
        <v>24</v>
      </c>
      <c r="G15" s="111"/>
      <c r="M15" s="126"/>
      <c r="N15" s="126"/>
      <c r="O15" s="126"/>
      <c r="P15" s="126"/>
      <c r="Q15" s="126"/>
      <c r="R15" s="126"/>
    </row>
    <row r="16" spans="1:26" ht="15.6" customHeight="1">
      <c r="A16" s="111" t="s">
        <v>30</v>
      </c>
      <c r="B16" s="112" t="s">
        <v>743</v>
      </c>
      <c r="C16" s="111"/>
      <c r="D16" s="113">
        <v>46034</v>
      </c>
      <c r="E16" s="114">
        <v>11550</v>
      </c>
      <c r="F16" s="111" t="s">
        <v>24</v>
      </c>
      <c r="G16" s="111"/>
      <c r="M16" s="126"/>
      <c r="N16" s="126"/>
      <c r="O16" s="126"/>
      <c r="P16" s="126"/>
      <c r="Q16" s="126"/>
      <c r="R16" s="126"/>
    </row>
    <row r="17" spans="1:18" ht="15.6" customHeight="1">
      <c r="A17" s="111" t="s">
        <v>744</v>
      </c>
      <c r="B17" s="112" t="s">
        <v>745</v>
      </c>
      <c r="C17" s="111"/>
      <c r="D17" s="119">
        <v>46042</v>
      </c>
      <c r="E17" s="114">
        <v>1708</v>
      </c>
      <c r="F17" s="111" t="s">
        <v>746</v>
      </c>
      <c r="G17" s="111"/>
      <c r="M17" s="126"/>
      <c r="N17" s="126"/>
      <c r="O17" s="126"/>
      <c r="P17" s="126"/>
      <c r="Q17" s="126"/>
      <c r="R17" s="126"/>
    </row>
    <row r="18" spans="1:18" ht="15.6" customHeight="1">
      <c r="C18" s="111"/>
      <c r="D18" s="119"/>
      <c r="E18" s="153">
        <f>SUM(E11:E17)</f>
        <v>392333</v>
      </c>
      <c r="F18" s="111"/>
      <c r="G18" s="111"/>
      <c r="M18" s="126"/>
      <c r="N18" s="126"/>
      <c r="O18" s="126"/>
      <c r="P18" s="126"/>
      <c r="Q18" s="126"/>
      <c r="R18" s="126"/>
    </row>
    <row r="19" spans="1:18" ht="15.6" customHeight="1">
      <c r="A19" s="193" t="s">
        <v>21</v>
      </c>
      <c r="B19" s="193"/>
      <c r="C19" s="193"/>
      <c r="D19" s="193"/>
      <c r="E19" s="193"/>
      <c r="F19" s="193"/>
      <c r="G19" s="193"/>
      <c r="M19" s="126"/>
      <c r="N19" s="126"/>
      <c r="O19" s="126"/>
      <c r="P19" s="126"/>
      <c r="Q19" s="126"/>
      <c r="R19" s="126"/>
    </row>
    <row r="20" spans="1:18" ht="15.6" customHeight="1">
      <c r="A20" s="194" t="s">
        <v>43</v>
      </c>
      <c r="B20" s="194"/>
      <c r="C20" s="194"/>
      <c r="D20" s="194"/>
      <c r="E20" s="194"/>
      <c r="F20" s="194"/>
      <c r="G20" s="194"/>
      <c r="M20" s="126"/>
      <c r="N20" s="126"/>
      <c r="O20" s="126"/>
      <c r="P20" s="126"/>
      <c r="Q20" s="126"/>
      <c r="R20" s="126"/>
    </row>
    <row r="21" spans="1:18" ht="15.6" customHeight="1">
      <c r="A21" s="111" t="s">
        <v>747</v>
      </c>
      <c r="B21" s="111" t="s">
        <v>748</v>
      </c>
      <c r="C21" s="111"/>
      <c r="D21" s="113">
        <v>46023</v>
      </c>
      <c r="E21" s="114">
        <v>505512</v>
      </c>
      <c r="F21" s="113">
        <v>46031</v>
      </c>
      <c r="M21" s="126"/>
      <c r="N21" s="126"/>
      <c r="O21" s="126"/>
      <c r="P21" s="126"/>
      <c r="Q21" s="126"/>
      <c r="R21" s="126"/>
    </row>
    <row r="22" spans="1:18" ht="15.6" customHeight="1">
      <c r="A22" s="111" t="s">
        <v>749</v>
      </c>
      <c r="B22" s="111" t="s">
        <v>750</v>
      </c>
      <c r="C22" s="111"/>
      <c r="D22" s="113">
        <v>46031</v>
      </c>
      <c r="E22" s="114">
        <v>170686</v>
      </c>
      <c r="F22" s="113">
        <v>46039</v>
      </c>
      <c r="M22" s="126"/>
      <c r="N22" s="126"/>
      <c r="O22" s="126"/>
      <c r="P22" s="126"/>
      <c r="Q22" s="126"/>
      <c r="R22" s="126"/>
    </row>
    <row r="23" spans="1:18" ht="15.6" customHeight="1">
      <c r="A23" s="111" t="s">
        <v>649</v>
      </c>
      <c r="B23" s="111">
        <v>702590243</v>
      </c>
      <c r="C23" s="111"/>
      <c r="D23" s="113">
        <v>46031</v>
      </c>
      <c r="E23" s="114">
        <v>105696</v>
      </c>
      <c r="F23" s="113">
        <v>46058</v>
      </c>
      <c r="M23" s="126"/>
      <c r="N23" s="126"/>
      <c r="O23" s="126"/>
      <c r="P23" s="126"/>
      <c r="Q23" s="126"/>
      <c r="R23" s="126"/>
    </row>
    <row r="24" spans="1:18" ht="15.6" customHeight="1">
      <c r="A24" s="111" t="s">
        <v>751</v>
      </c>
      <c r="B24" s="111" t="s">
        <v>752</v>
      </c>
      <c r="C24" s="111"/>
      <c r="D24" s="113">
        <v>46046</v>
      </c>
      <c r="E24" s="114">
        <v>310977</v>
      </c>
      <c r="F24" s="113">
        <v>46054</v>
      </c>
      <c r="M24" s="126"/>
      <c r="N24" s="126"/>
      <c r="O24" s="126"/>
      <c r="P24" s="126"/>
      <c r="Q24" s="126"/>
      <c r="R24" s="126"/>
    </row>
    <row r="25" spans="1:18" ht="15.6" customHeight="1">
      <c r="A25" s="111" t="s">
        <v>753</v>
      </c>
      <c r="B25" s="111" t="s">
        <v>754</v>
      </c>
      <c r="C25" s="111"/>
      <c r="D25" s="113">
        <v>46043</v>
      </c>
      <c r="E25" s="114">
        <v>37901</v>
      </c>
      <c r="F25" s="113">
        <v>46043</v>
      </c>
      <c r="M25" s="126"/>
      <c r="N25" s="126"/>
      <c r="O25" s="126"/>
      <c r="P25" s="126"/>
      <c r="Q25" s="126"/>
      <c r="R25" s="126"/>
    </row>
    <row r="26" spans="1:18" ht="15.6" customHeight="1">
      <c r="A26" s="111" t="s">
        <v>755</v>
      </c>
      <c r="B26" s="111">
        <v>8929622559</v>
      </c>
      <c r="C26" s="111"/>
      <c r="D26" s="113">
        <v>46052</v>
      </c>
      <c r="E26" s="114">
        <v>135841</v>
      </c>
      <c r="F26" s="113">
        <v>46066</v>
      </c>
      <c r="M26" s="126"/>
      <c r="N26" s="126"/>
      <c r="O26" s="126"/>
      <c r="P26" s="126"/>
      <c r="Q26" s="126"/>
      <c r="R26" s="126"/>
    </row>
    <row r="27" spans="1:18" ht="15.6" customHeight="1">
      <c r="A27" s="111" t="s">
        <v>649</v>
      </c>
      <c r="B27" s="113">
        <v>46052</v>
      </c>
      <c r="C27" s="111"/>
      <c r="D27" s="113">
        <v>46052</v>
      </c>
      <c r="E27" s="114">
        <v>344107</v>
      </c>
      <c r="F27" s="113">
        <v>46066</v>
      </c>
      <c r="M27" s="126"/>
      <c r="N27" s="126"/>
      <c r="O27" s="126"/>
      <c r="P27" s="126"/>
      <c r="Q27" s="126"/>
      <c r="R27" s="126"/>
    </row>
    <row r="28" spans="1:18" ht="15.6" customHeight="1">
      <c r="A28" s="111" t="s">
        <v>751</v>
      </c>
      <c r="B28" s="111" t="s">
        <v>756</v>
      </c>
      <c r="C28" s="111"/>
      <c r="D28" s="113">
        <v>46052</v>
      </c>
      <c r="E28" s="114">
        <v>559385</v>
      </c>
      <c r="F28" s="113">
        <v>46060</v>
      </c>
      <c r="M28" s="126"/>
      <c r="N28" s="126"/>
      <c r="O28" s="126"/>
      <c r="P28" s="126"/>
      <c r="Q28" s="126"/>
      <c r="R28" s="126"/>
    </row>
    <row r="29" spans="1:18" ht="15.6" customHeight="1">
      <c r="A29" s="111" t="s">
        <v>757</v>
      </c>
      <c r="B29" s="111" t="s">
        <v>758</v>
      </c>
      <c r="C29" s="111"/>
      <c r="D29" s="113">
        <v>46052</v>
      </c>
      <c r="E29" s="114">
        <v>153883</v>
      </c>
      <c r="F29" s="113">
        <v>46060</v>
      </c>
      <c r="M29" s="126"/>
      <c r="N29" s="126"/>
      <c r="O29" s="126"/>
      <c r="P29" s="126"/>
      <c r="Q29" s="126"/>
      <c r="R29" s="126"/>
    </row>
    <row r="30" spans="1:18" ht="15.6" customHeight="1">
      <c r="A30" s="111" t="s">
        <v>53</v>
      </c>
      <c r="B30" s="111" t="s">
        <v>759</v>
      </c>
      <c r="C30" s="111"/>
      <c r="D30" s="113">
        <v>46052</v>
      </c>
      <c r="E30" s="114">
        <v>85656</v>
      </c>
      <c r="F30" s="113">
        <v>46060</v>
      </c>
      <c r="M30" s="126"/>
      <c r="N30" s="126"/>
      <c r="O30" s="126"/>
      <c r="P30" s="126"/>
      <c r="Q30" s="126"/>
      <c r="R30" s="126"/>
    </row>
    <row r="31" spans="1:18" ht="15.6" customHeight="1">
      <c r="A31" s="111" t="s">
        <v>335</v>
      </c>
      <c r="B31" s="111" t="s">
        <v>760</v>
      </c>
      <c r="C31" s="111"/>
      <c r="D31" s="113">
        <v>46046</v>
      </c>
      <c r="E31" s="114">
        <v>5194</v>
      </c>
      <c r="F31" s="113" t="s">
        <v>24</v>
      </c>
      <c r="M31" s="126"/>
      <c r="N31" s="126"/>
      <c r="O31" s="126"/>
      <c r="P31" s="126"/>
      <c r="Q31" s="126"/>
      <c r="R31" s="126"/>
    </row>
    <row r="32" spans="1:18" ht="15.6" customHeight="1">
      <c r="D32" s="113"/>
      <c r="E32" s="153">
        <f>SUM(E21:E31)</f>
        <v>2414838</v>
      </c>
      <c r="F32" s="145"/>
      <c r="M32" s="126"/>
      <c r="N32" s="126"/>
      <c r="O32" s="126"/>
      <c r="P32" s="126"/>
      <c r="Q32" s="126"/>
      <c r="R32" s="126"/>
    </row>
    <row r="33" spans="1:18" ht="15.6" customHeight="1">
      <c r="A33" s="193" t="s">
        <v>84</v>
      </c>
      <c r="B33" s="193"/>
      <c r="C33" s="193"/>
      <c r="D33" s="193"/>
      <c r="E33" s="193"/>
      <c r="F33" s="193"/>
      <c r="G33" s="193"/>
      <c r="M33" s="126"/>
      <c r="N33" s="126"/>
      <c r="O33" s="126"/>
      <c r="P33" s="126"/>
      <c r="Q33" s="126"/>
      <c r="R33" s="126"/>
    </row>
    <row r="34" spans="1:18" ht="15.6" customHeight="1">
      <c r="A34" s="194" t="s">
        <v>22</v>
      </c>
      <c r="B34" s="194"/>
      <c r="C34" s="194"/>
      <c r="D34" s="194"/>
      <c r="E34" s="194"/>
      <c r="F34" s="194"/>
      <c r="G34" s="194"/>
      <c r="M34" s="126"/>
      <c r="N34" s="126"/>
      <c r="O34" s="126"/>
      <c r="P34" s="126"/>
      <c r="Q34" s="126"/>
      <c r="R34" s="126"/>
    </row>
    <row r="35" spans="1:18" ht="15.6" customHeight="1">
      <c r="A35" s="111" t="s">
        <v>335</v>
      </c>
      <c r="B35" s="112" t="s">
        <v>761</v>
      </c>
      <c r="C35" s="111"/>
      <c r="D35" s="113">
        <v>46060</v>
      </c>
      <c r="E35" s="114">
        <v>3039</v>
      </c>
      <c r="F35" s="111" t="s">
        <v>24</v>
      </c>
      <c r="M35" s="126"/>
      <c r="N35" s="126"/>
      <c r="O35" s="126"/>
      <c r="P35" s="126"/>
      <c r="Q35" s="126"/>
      <c r="R35" s="126"/>
    </row>
    <row r="36" spans="1:18">
      <c r="A36" s="111" t="s">
        <v>762</v>
      </c>
      <c r="B36" s="112" t="s">
        <v>761</v>
      </c>
      <c r="C36" s="111"/>
      <c r="D36" s="113">
        <v>46056</v>
      </c>
      <c r="E36" s="114">
        <v>3500</v>
      </c>
      <c r="F36" s="111" t="s">
        <v>24</v>
      </c>
      <c r="M36" s="126"/>
      <c r="N36" s="126"/>
      <c r="O36" s="126"/>
      <c r="P36" s="126"/>
      <c r="Q36" s="126"/>
      <c r="R36" s="126"/>
    </row>
    <row r="37" spans="1:18" ht="15.6" customHeight="1">
      <c r="A37" s="111" t="s">
        <v>763</v>
      </c>
      <c r="B37" s="112">
        <v>617017087</v>
      </c>
      <c r="C37" s="111"/>
      <c r="D37" s="113">
        <v>46058</v>
      </c>
      <c r="E37" s="114">
        <v>110306</v>
      </c>
      <c r="F37" s="111" t="s">
        <v>24</v>
      </c>
      <c r="M37" s="126"/>
      <c r="N37" s="126"/>
      <c r="O37" s="126"/>
      <c r="P37" s="126"/>
      <c r="Q37" s="126"/>
      <c r="R37" s="126"/>
    </row>
    <row r="38" spans="1:18" ht="15.6" customHeight="1">
      <c r="A38" s="111" t="s">
        <v>763</v>
      </c>
      <c r="B38" s="112">
        <v>617020214</v>
      </c>
      <c r="C38" s="111"/>
      <c r="D38" s="113">
        <v>46064</v>
      </c>
      <c r="E38" s="114">
        <v>112821</v>
      </c>
      <c r="F38" s="111" t="s">
        <v>24</v>
      </c>
      <c r="M38" s="126"/>
      <c r="N38" s="126"/>
      <c r="O38" s="126"/>
      <c r="P38" s="126"/>
      <c r="Q38" s="126"/>
      <c r="R38" s="126"/>
    </row>
    <row r="39" spans="1:18" ht="15.6" customHeight="1">
      <c r="A39" s="111" t="s">
        <v>763</v>
      </c>
      <c r="B39" s="112">
        <v>617028743</v>
      </c>
      <c r="C39" s="111"/>
      <c r="D39" s="113">
        <v>46079</v>
      </c>
      <c r="E39" s="114">
        <v>144362</v>
      </c>
      <c r="F39" s="111" t="s">
        <v>24</v>
      </c>
      <c r="M39" s="126"/>
      <c r="N39" s="126"/>
      <c r="O39" s="126"/>
      <c r="P39" s="126"/>
      <c r="Q39" s="126"/>
      <c r="R39" s="126"/>
    </row>
    <row r="40" spans="1:18" s="111" customFormat="1" ht="15.75" customHeight="1">
      <c r="A40" s="111" t="s">
        <v>764</v>
      </c>
      <c r="B40" s="112" t="s">
        <v>765</v>
      </c>
      <c r="D40" s="113">
        <v>46066</v>
      </c>
      <c r="E40" s="114">
        <v>10984</v>
      </c>
      <c r="F40" s="111" t="s">
        <v>24</v>
      </c>
    </row>
    <row r="41" spans="1:18" s="111" customFormat="1" ht="15.75" customHeight="1">
      <c r="A41" s="111" t="s">
        <v>88</v>
      </c>
      <c r="B41" s="112" t="s">
        <v>766</v>
      </c>
      <c r="D41" s="113">
        <v>46074</v>
      </c>
      <c r="E41" s="114">
        <v>35079</v>
      </c>
      <c r="F41" s="111" t="s">
        <v>24</v>
      </c>
    </row>
    <row r="42" spans="1:18" s="111" customFormat="1" ht="15.75" customHeight="1">
      <c r="A42" s="111" t="s">
        <v>767</v>
      </c>
      <c r="B42" s="112" t="s">
        <v>768</v>
      </c>
      <c r="D42" s="113">
        <v>46065</v>
      </c>
      <c r="E42" s="114">
        <v>14570</v>
      </c>
      <c r="F42" s="111" t="s">
        <v>24</v>
      </c>
    </row>
    <row r="43" spans="1:18" s="111" customFormat="1" ht="15.75" customHeight="1">
      <c r="A43" s="111" t="s">
        <v>36</v>
      </c>
      <c r="B43" s="112" t="s">
        <v>769</v>
      </c>
      <c r="D43" s="113">
        <v>46079</v>
      </c>
      <c r="E43" s="114">
        <v>10107</v>
      </c>
      <c r="F43" s="111" t="s">
        <v>24</v>
      </c>
    </row>
    <row r="44" spans="1:18" s="111" customFormat="1" ht="15.75" customHeight="1">
      <c r="A44" s="111" t="s">
        <v>764</v>
      </c>
      <c r="B44" s="112" t="s">
        <v>770</v>
      </c>
      <c r="D44" s="113">
        <v>46073</v>
      </c>
      <c r="E44" s="114">
        <v>11361</v>
      </c>
      <c r="F44" s="111" t="s">
        <v>24</v>
      </c>
    </row>
    <row r="45" spans="1:18" s="111" customFormat="1" ht="15.75" customHeight="1">
      <c r="A45" s="111" t="s">
        <v>771</v>
      </c>
      <c r="B45" s="112" t="s">
        <v>772</v>
      </c>
      <c r="D45" s="113">
        <v>46080</v>
      </c>
      <c r="E45" s="114">
        <v>8994</v>
      </c>
      <c r="F45" s="111" t="s">
        <v>24</v>
      </c>
    </row>
    <row r="46" spans="1:18" s="111" customFormat="1" ht="15.75" customHeight="1">
      <c r="A46" s="157" t="s">
        <v>773</v>
      </c>
      <c r="B46" s="172" t="s">
        <v>774</v>
      </c>
      <c r="C46" s="157"/>
      <c r="D46" s="158">
        <v>46081</v>
      </c>
      <c r="E46" s="159">
        <v>5368</v>
      </c>
      <c r="F46" s="157" t="s">
        <v>601</v>
      </c>
    </row>
    <row r="47" spans="1:18" s="111" customFormat="1" ht="15.75" customHeight="1">
      <c r="A47" s="157" t="s">
        <v>775</v>
      </c>
      <c r="B47" s="172" t="s">
        <v>776</v>
      </c>
      <c r="C47" s="157" t="s">
        <v>777</v>
      </c>
      <c r="D47" s="158">
        <v>46081</v>
      </c>
      <c r="E47" s="159">
        <v>5892</v>
      </c>
      <c r="F47" s="157" t="s">
        <v>601</v>
      </c>
    </row>
    <row r="48" spans="1:18" s="111" customFormat="1" ht="15.75" customHeight="1">
      <c r="A48" s="157" t="s">
        <v>778</v>
      </c>
      <c r="B48" s="172" t="s">
        <v>779</v>
      </c>
      <c r="C48" s="157"/>
      <c r="D48" s="158">
        <v>46081</v>
      </c>
      <c r="E48" s="159">
        <v>18570</v>
      </c>
      <c r="F48" s="157" t="s">
        <v>601</v>
      </c>
    </row>
    <row r="49" spans="1:18" s="111" customFormat="1" ht="15.75" customHeight="1">
      <c r="A49" s="157" t="s">
        <v>780</v>
      </c>
      <c r="B49" s="172" t="s">
        <v>781</v>
      </c>
      <c r="C49" s="157"/>
      <c r="D49" s="158">
        <v>46081</v>
      </c>
      <c r="E49" s="159">
        <v>14208</v>
      </c>
      <c r="F49" s="157" t="s">
        <v>601</v>
      </c>
    </row>
    <row r="50" spans="1:18" s="111" customFormat="1" ht="15.75" customHeight="1">
      <c r="A50" s="157" t="s">
        <v>780</v>
      </c>
      <c r="B50" s="172" t="s">
        <v>782</v>
      </c>
      <c r="C50" s="157"/>
      <c r="D50" s="158">
        <v>46081</v>
      </c>
      <c r="E50" s="159">
        <v>237799</v>
      </c>
      <c r="F50" s="157" t="s">
        <v>601</v>
      </c>
    </row>
    <row r="51" spans="1:18" s="111" customFormat="1" ht="15.75" customHeight="1">
      <c r="A51" s="111" t="s">
        <v>783</v>
      </c>
      <c r="B51" s="112" t="s">
        <v>784</v>
      </c>
      <c r="D51" s="113">
        <v>46071</v>
      </c>
      <c r="E51" s="114">
        <v>9920</v>
      </c>
      <c r="F51" s="113" t="s">
        <v>601</v>
      </c>
    </row>
    <row r="52" spans="1:18" s="111" customFormat="1" ht="15.75" customHeight="1">
      <c r="A52" s="111" t="s">
        <v>23</v>
      </c>
      <c r="B52" s="112">
        <v>617025425</v>
      </c>
      <c r="D52" s="113">
        <v>46073</v>
      </c>
      <c r="E52" s="114">
        <v>171675</v>
      </c>
      <c r="F52" s="113" t="s">
        <v>24</v>
      </c>
    </row>
    <row r="53" spans="1:18" s="111" customFormat="1" ht="15.75" customHeight="1">
      <c r="A53" s="111" t="s">
        <v>738</v>
      </c>
      <c r="B53" s="112" t="s">
        <v>785</v>
      </c>
      <c r="D53" s="113">
        <v>46064</v>
      </c>
      <c r="E53" s="114">
        <v>-148674</v>
      </c>
      <c r="F53" s="113" t="s">
        <v>24</v>
      </c>
    </row>
    <row r="54" spans="1:18" s="111" customFormat="1" ht="15.75" customHeight="1">
      <c r="A54" s="111" t="s">
        <v>738</v>
      </c>
      <c r="B54" s="112" t="s">
        <v>786</v>
      </c>
      <c r="D54" s="113">
        <v>46064</v>
      </c>
      <c r="E54" s="114">
        <v>148674</v>
      </c>
      <c r="F54" s="113" t="s">
        <v>24</v>
      </c>
    </row>
    <row r="55" spans="1:18" s="111" customFormat="1" ht="15.75" customHeight="1">
      <c r="A55" s="111" t="s">
        <v>787</v>
      </c>
      <c r="B55" s="112" t="s">
        <v>788</v>
      </c>
      <c r="D55" s="113">
        <v>46069</v>
      </c>
      <c r="E55" s="114">
        <v>10870</v>
      </c>
      <c r="F55" s="113" t="s">
        <v>29</v>
      </c>
    </row>
    <row r="56" spans="1:18" s="111" customFormat="1" ht="15.75" customHeight="1">
      <c r="A56" s="111" t="s">
        <v>789</v>
      </c>
      <c r="B56" s="112">
        <v>260138668</v>
      </c>
      <c r="D56" s="113">
        <v>46064</v>
      </c>
      <c r="E56" s="114">
        <v>61339</v>
      </c>
      <c r="F56" s="113" t="s">
        <v>29</v>
      </c>
    </row>
    <row r="57" spans="1:18" ht="15.6" customHeight="1">
      <c r="D57" s="126"/>
      <c r="E57" s="153">
        <f>SUM(E35:E56)</f>
        <v>1000764</v>
      </c>
      <c r="M57" s="126"/>
      <c r="N57" s="126"/>
      <c r="O57" s="126"/>
      <c r="P57" s="126"/>
      <c r="Q57" s="126"/>
      <c r="R57" s="126"/>
    </row>
    <row r="58" spans="1:18" ht="15.6" customHeight="1">
      <c r="A58" s="193" t="s">
        <v>84</v>
      </c>
      <c r="B58" s="193"/>
      <c r="C58" s="193"/>
      <c r="D58" s="193"/>
      <c r="E58" s="193"/>
      <c r="F58" s="193"/>
      <c r="G58" s="193"/>
      <c r="M58" s="126"/>
      <c r="N58" s="126"/>
      <c r="O58" s="126"/>
      <c r="P58" s="126"/>
      <c r="Q58" s="126"/>
      <c r="R58" s="126"/>
    </row>
    <row r="59" spans="1:18" ht="18.75" customHeight="1">
      <c r="A59" s="194" t="s">
        <v>43</v>
      </c>
      <c r="B59" s="194"/>
      <c r="C59" s="194"/>
      <c r="D59" s="194"/>
      <c r="E59" s="194"/>
      <c r="F59" s="194"/>
      <c r="G59" s="194"/>
      <c r="M59" s="126"/>
      <c r="N59" s="126"/>
      <c r="O59" s="126"/>
      <c r="P59" s="126"/>
      <c r="Q59" s="126"/>
      <c r="R59" s="126"/>
    </row>
    <row r="60" spans="1:18" ht="15" customHeight="1">
      <c r="A60" s="111" t="s">
        <v>649</v>
      </c>
      <c r="B60" s="111"/>
      <c r="C60" s="111"/>
      <c r="D60" s="113">
        <v>46064</v>
      </c>
      <c r="E60" s="114">
        <v>382195</v>
      </c>
      <c r="F60" s="113" t="s">
        <v>193</v>
      </c>
      <c r="M60" s="126"/>
      <c r="N60" s="126"/>
      <c r="O60" s="126"/>
      <c r="P60" s="126"/>
      <c r="Q60" s="126"/>
      <c r="R60" s="126"/>
    </row>
    <row r="61" spans="1:18" ht="15.6" customHeight="1">
      <c r="A61" s="111" t="s">
        <v>753</v>
      </c>
      <c r="B61" s="111" t="s">
        <v>790</v>
      </c>
      <c r="C61" s="111"/>
      <c r="D61" s="113">
        <v>46065</v>
      </c>
      <c r="E61" s="114">
        <v>89104</v>
      </c>
      <c r="F61" s="113" t="s">
        <v>193</v>
      </c>
      <c r="M61" s="126"/>
      <c r="N61" s="126"/>
      <c r="O61" s="126"/>
      <c r="P61" s="126"/>
      <c r="Q61" s="126"/>
      <c r="R61" s="126"/>
    </row>
    <row r="62" spans="1:18" ht="15.6" customHeight="1">
      <c r="A62" s="111" t="s">
        <v>791</v>
      </c>
      <c r="B62" s="111" t="s">
        <v>792</v>
      </c>
      <c r="C62" s="111"/>
      <c r="D62" s="113">
        <v>46065</v>
      </c>
      <c r="E62" s="114">
        <v>200468</v>
      </c>
      <c r="F62" s="113" t="s">
        <v>193</v>
      </c>
      <c r="M62" s="126"/>
      <c r="N62" s="126"/>
      <c r="O62" s="126"/>
      <c r="P62" s="126"/>
      <c r="Q62" s="126"/>
      <c r="R62" s="126"/>
    </row>
    <row r="63" spans="1:18" ht="15" customHeight="1">
      <c r="A63" s="111" t="s">
        <v>793</v>
      </c>
      <c r="B63" s="111" t="s">
        <v>794</v>
      </c>
      <c r="C63" s="111"/>
      <c r="D63" s="113">
        <v>46066</v>
      </c>
      <c r="E63" s="114">
        <v>35174</v>
      </c>
      <c r="F63" s="111" t="s">
        <v>193</v>
      </c>
      <c r="M63" s="126"/>
      <c r="N63" s="126"/>
      <c r="O63" s="126"/>
      <c r="P63" s="126"/>
      <c r="Q63" s="126"/>
      <c r="R63" s="126"/>
    </row>
    <row r="64" spans="1:18" s="111" customFormat="1" ht="14.25" customHeight="1">
      <c r="A64" s="111" t="s">
        <v>649</v>
      </c>
      <c r="B64" s="111">
        <v>702599438</v>
      </c>
      <c r="D64" s="113">
        <v>46073</v>
      </c>
      <c r="E64" s="114">
        <v>195864</v>
      </c>
      <c r="F64" s="111" t="s">
        <v>193</v>
      </c>
      <c r="H64" s="120"/>
    </row>
    <row r="65" spans="1:18" s="111" customFormat="1" ht="14.25" customHeight="1">
      <c r="A65" s="111" t="s">
        <v>417</v>
      </c>
      <c r="B65" s="111">
        <v>1604864301</v>
      </c>
      <c r="D65" s="113">
        <v>46073</v>
      </c>
      <c r="E65" s="114">
        <v>276385</v>
      </c>
      <c r="F65" s="111" t="s">
        <v>193</v>
      </c>
    </row>
    <row r="66" spans="1:18" ht="15.6" customHeight="1">
      <c r="A66" s="111" t="s">
        <v>793</v>
      </c>
      <c r="B66" s="111" t="s">
        <v>795</v>
      </c>
      <c r="C66" s="111"/>
      <c r="D66" s="113">
        <v>46079</v>
      </c>
      <c r="E66" s="114">
        <v>25053</v>
      </c>
      <c r="F66" s="111" t="s">
        <v>193</v>
      </c>
      <c r="M66" s="126"/>
      <c r="N66" s="126"/>
      <c r="O66" s="126"/>
      <c r="P66" s="126"/>
      <c r="Q66" s="126"/>
      <c r="R66" s="126"/>
    </row>
    <row r="67" spans="1:18" ht="15.6" customHeight="1">
      <c r="A67" s="111" t="s">
        <v>796</v>
      </c>
      <c r="B67" s="111" t="s">
        <v>797</v>
      </c>
      <c r="C67" s="111"/>
      <c r="D67" s="113">
        <v>46079</v>
      </c>
      <c r="E67" s="114">
        <v>35956</v>
      </c>
      <c r="F67" s="111" t="s">
        <v>193</v>
      </c>
      <c r="M67" s="126"/>
      <c r="N67" s="126"/>
      <c r="O67" s="126"/>
      <c r="P67" s="126"/>
      <c r="Q67" s="126"/>
      <c r="R67" s="126"/>
    </row>
    <row r="68" spans="1:18" ht="15.6" customHeight="1">
      <c r="A68" s="111" t="s">
        <v>798</v>
      </c>
      <c r="B68" s="111">
        <v>11098359</v>
      </c>
      <c r="C68" s="111"/>
      <c r="D68" s="113">
        <v>46080</v>
      </c>
      <c r="E68" s="114">
        <v>14400</v>
      </c>
      <c r="F68" s="111" t="s">
        <v>193</v>
      </c>
      <c r="M68" s="126"/>
      <c r="N68" s="126"/>
      <c r="O68" s="126"/>
      <c r="P68" s="126"/>
      <c r="Q68" s="126"/>
      <c r="R68" s="126"/>
    </row>
    <row r="69" spans="1:18" ht="15.6" customHeight="1">
      <c r="A69" s="111" t="s">
        <v>799</v>
      </c>
      <c r="B69" s="111" t="s">
        <v>800</v>
      </c>
      <c r="C69" s="111"/>
      <c r="D69" s="113">
        <v>46080</v>
      </c>
      <c r="E69" s="114">
        <v>267369</v>
      </c>
      <c r="F69" s="111" t="s">
        <v>193</v>
      </c>
      <c r="M69" s="126"/>
      <c r="N69" s="126"/>
      <c r="O69" s="126"/>
      <c r="P69" s="126"/>
      <c r="Q69" s="126"/>
      <c r="R69" s="126"/>
    </row>
    <row r="70" spans="1:18" ht="15.6" customHeight="1">
      <c r="A70" s="157" t="s">
        <v>793</v>
      </c>
      <c r="B70" s="157" t="s">
        <v>801</v>
      </c>
      <c r="C70" s="157"/>
      <c r="D70" s="158">
        <v>46081</v>
      </c>
      <c r="E70" s="159">
        <v>338329</v>
      </c>
      <c r="F70" s="164"/>
      <c r="M70" s="126"/>
      <c r="N70" s="126"/>
      <c r="O70" s="126"/>
      <c r="P70" s="126"/>
      <c r="Q70" s="126"/>
      <c r="R70" s="126"/>
    </row>
    <row r="71" spans="1:18" ht="15.6" customHeight="1">
      <c r="A71" s="157" t="s">
        <v>802</v>
      </c>
      <c r="B71" s="157" t="s">
        <v>803</v>
      </c>
      <c r="C71" s="157"/>
      <c r="D71" s="158">
        <v>46079</v>
      </c>
      <c r="E71" s="159">
        <v>452101</v>
      </c>
      <c r="F71" s="164"/>
      <c r="M71" s="126"/>
      <c r="N71" s="126"/>
      <c r="O71" s="126"/>
      <c r="P71" s="126"/>
      <c r="Q71" s="126"/>
      <c r="R71" s="126"/>
    </row>
    <row r="72" spans="1:18" ht="15.6" customHeight="1">
      <c r="E72" s="153">
        <f>SUM(E60:E71)</f>
        <v>2312398</v>
      </c>
      <c r="M72" s="126"/>
      <c r="N72" s="126"/>
      <c r="O72" s="126"/>
      <c r="P72" s="126"/>
      <c r="Q72" s="126"/>
      <c r="R72" s="126"/>
    </row>
    <row r="73" spans="1:18" ht="15.6" customHeight="1">
      <c r="A73" s="188" t="s">
        <v>119</v>
      </c>
      <c r="B73" s="188"/>
      <c r="C73" s="188"/>
      <c r="D73" s="188"/>
      <c r="E73" s="188"/>
      <c r="F73" s="188"/>
      <c r="G73" s="188"/>
      <c r="M73" s="126"/>
      <c r="N73" s="126"/>
      <c r="O73" s="126"/>
      <c r="P73" s="126"/>
      <c r="Q73" s="126"/>
      <c r="R73" s="126"/>
    </row>
    <row r="74" spans="1:18" ht="15.6" customHeight="1">
      <c r="A74" s="189" t="s">
        <v>22</v>
      </c>
      <c r="B74" s="189"/>
      <c r="C74" s="189"/>
      <c r="D74" s="189"/>
      <c r="E74" s="189"/>
      <c r="F74" s="189"/>
      <c r="G74" s="189"/>
      <c r="M74" s="126"/>
      <c r="N74" s="126"/>
      <c r="O74" s="126"/>
      <c r="P74" s="126"/>
      <c r="Q74" s="126"/>
      <c r="R74" s="126"/>
    </row>
    <row r="75" spans="1:18" ht="15.6" customHeight="1">
      <c r="A75" s="101" t="s">
        <v>773</v>
      </c>
      <c r="B75" s="167" t="s">
        <v>804</v>
      </c>
      <c r="C75" s="101"/>
      <c r="D75" s="160">
        <v>46082</v>
      </c>
      <c r="E75" s="161">
        <v>41583</v>
      </c>
      <c r="F75" s="101" t="s">
        <v>510</v>
      </c>
      <c r="G75" s="146"/>
      <c r="M75" s="126"/>
      <c r="N75" s="126"/>
      <c r="O75" s="126"/>
      <c r="P75" s="126"/>
      <c r="Q75" s="126"/>
      <c r="R75" s="126"/>
    </row>
    <row r="76" spans="1:18" ht="15.6" customHeight="1">
      <c r="A76" s="101" t="s">
        <v>802</v>
      </c>
      <c r="B76" s="167" t="s">
        <v>805</v>
      </c>
      <c r="C76" s="101"/>
      <c r="D76" s="160">
        <v>46086</v>
      </c>
      <c r="E76" s="161">
        <v>63569</v>
      </c>
      <c r="F76" s="101" t="s">
        <v>601</v>
      </c>
      <c r="G76" s="146"/>
      <c r="M76" s="126"/>
      <c r="N76" s="126"/>
      <c r="O76" s="126"/>
      <c r="P76" s="126"/>
      <c r="Q76" s="126"/>
      <c r="R76" s="126"/>
    </row>
    <row r="77" spans="1:18" ht="15.6" customHeight="1">
      <c r="A77" s="101" t="s">
        <v>806</v>
      </c>
      <c r="B77" s="167">
        <v>617032641</v>
      </c>
      <c r="C77" s="101"/>
      <c r="D77" s="160">
        <v>46086</v>
      </c>
      <c r="E77" s="161">
        <v>79746</v>
      </c>
      <c r="F77" s="101" t="s">
        <v>601</v>
      </c>
      <c r="G77" s="146"/>
      <c r="M77" s="126"/>
      <c r="N77" s="126"/>
      <c r="O77" s="126"/>
      <c r="P77" s="126"/>
      <c r="Q77" s="126"/>
      <c r="R77" s="126"/>
    </row>
    <row r="78" spans="1:18" ht="15.6" customHeight="1">
      <c r="A78" s="101" t="s">
        <v>807</v>
      </c>
      <c r="B78" s="167" t="s">
        <v>808</v>
      </c>
      <c r="C78" s="101"/>
      <c r="D78" s="160">
        <v>46086</v>
      </c>
      <c r="E78" s="161">
        <v>11229</v>
      </c>
      <c r="F78" s="101" t="s">
        <v>601</v>
      </c>
      <c r="G78" s="146"/>
      <c r="M78" s="126"/>
      <c r="N78" s="126"/>
      <c r="O78" s="126"/>
      <c r="P78" s="126"/>
      <c r="Q78" s="126"/>
      <c r="R78" s="126"/>
    </row>
    <row r="79" spans="1:18" ht="15.6" customHeight="1">
      <c r="A79" s="101" t="s">
        <v>807</v>
      </c>
      <c r="B79" s="101" t="s">
        <v>809</v>
      </c>
      <c r="C79" s="101"/>
      <c r="D79" s="160">
        <v>46088</v>
      </c>
      <c r="E79" s="161">
        <v>2396</v>
      </c>
      <c r="F79" s="101" t="s">
        <v>510</v>
      </c>
      <c r="G79" s="146"/>
      <c r="M79" s="126"/>
      <c r="N79" s="126"/>
      <c r="O79" s="126"/>
      <c r="P79" s="126"/>
      <c r="Q79" s="126"/>
      <c r="R79" s="126"/>
    </row>
    <row r="80" spans="1:18" ht="15.6" customHeight="1">
      <c r="A80" s="101" t="s">
        <v>810</v>
      </c>
      <c r="B80" s="167" t="s">
        <v>811</v>
      </c>
      <c r="C80" s="101"/>
      <c r="D80" s="160">
        <v>46093</v>
      </c>
      <c r="E80" s="161">
        <v>41165</v>
      </c>
      <c r="F80" s="101" t="s">
        <v>510</v>
      </c>
      <c r="G80" s="146"/>
      <c r="M80" s="126"/>
      <c r="N80" s="126"/>
      <c r="O80" s="126"/>
      <c r="P80" s="126"/>
      <c r="Q80" s="126"/>
      <c r="R80" s="126"/>
    </row>
    <row r="81" spans="1:18" ht="15.6" customHeight="1">
      <c r="A81" s="101" t="s">
        <v>812</v>
      </c>
      <c r="B81" s="167" t="s">
        <v>813</v>
      </c>
      <c r="C81" s="101"/>
      <c r="D81" s="160">
        <v>46087</v>
      </c>
      <c r="E81" s="161">
        <v>20230</v>
      </c>
      <c r="F81" s="146" t="s">
        <v>24</v>
      </c>
      <c r="G81" s="146"/>
      <c r="M81" s="126"/>
      <c r="N81" s="126"/>
      <c r="O81" s="126"/>
      <c r="P81" s="126"/>
      <c r="Q81" s="126"/>
      <c r="R81" s="126"/>
    </row>
    <row r="82" spans="1:18" ht="15.6" customHeight="1">
      <c r="A82" s="101" t="s">
        <v>33</v>
      </c>
      <c r="B82" s="167" t="s">
        <v>814</v>
      </c>
      <c r="C82" s="101"/>
      <c r="D82" s="160">
        <v>46092</v>
      </c>
      <c r="E82" s="161">
        <v>20485</v>
      </c>
      <c r="F82" s="146" t="s">
        <v>24</v>
      </c>
      <c r="G82" s="146"/>
      <c r="M82" s="126"/>
      <c r="N82" s="126"/>
      <c r="O82" s="126"/>
      <c r="P82" s="126"/>
      <c r="Q82" s="126"/>
      <c r="R82" s="126"/>
    </row>
    <row r="83" spans="1:18" ht="15.6" customHeight="1">
      <c r="A83" s="101" t="s">
        <v>815</v>
      </c>
      <c r="B83" s="167" t="s">
        <v>816</v>
      </c>
      <c r="C83" s="101"/>
      <c r="D83" s="160">
        <v>46102</v>
      </c>
      <c r="E83" s="161">
        <v>1887</v>
      </c>
      <c r="F83" s="146" t="s">
        <v>817</v>
      </c>
      <c r="G83" s="146"/>
      <c r="M83" s="126"/>
      <c r="N83" s="126"/>
      <c r="O83" s="126"/>
      <c r="P83" s="126"/>
      <c r="Q83" s="126"/>
      <c r="R83" s="126"/>
    </row>
    <row r="84" spans="1:18" ht="15.6" customHeight="1">
      <c r="A84" s="101" t="s">
        <v>818</v>
      </c>
      <c r="B84" s="167" t="s">
        <v>819</v>
      </c>
      <c r="C84" s="101"/>
      <c r="D84" s="160">
        <v>46106</v>
      </c>
      <c r="E84" s="161">
        <v>46405</v>
      </c>
      <c r="F84" s="146" t="s">
        <v>817</v>
      </c>
      <c r="G84" s="146"/>
      <c r="M84" s="126"/>
      <c r="N84" s="126"/>
      <c r="O84" s="126"/>
      <c r="P84" s="126"/>
      <c r="Q84" s="126"/>
      <c r="R84" s="126"/>
    </row>
    <row r="85" spans="1:18" ht="15.6" customHeight="1">
      <c r="A85" s="101" t="s">
        <v>806</v>
      </c>
      <c r="B85" s="167">
        <v>617044889</v>
      </c>
      <c r="C85" s="101"/>
      <c r="D85" s="160">
        <v>46106</v>
      </c>
      <c r="E85" s="161">
        <v>141771</v>
      </c>
      <c r="F85" s="146" t="s">
        <v>817</v>
      </c>
      <c r="G85" s="146"/>
      <c r="M85" s="126"/>
      <c r="N85" s="126"/>
      <c r="O85" s="126"/>
      <c r="P85" s="126"/>
      <c r="Q85" s="126"/>
      <c r="R85" s="126"/>
    </row>
    <row r="86" spans="1:18" ht="15.6" customHeight="1">
      <c r="A86" s="101" t="s">
        <v>820</v>
      </c>
      <c r="B86" s="167" t="s">
        <v>821</v>
      </c>
      <c r="C86" s="101"/>
      <c r="D86" s="160">
        <v>46107</v>
      </c>
      <c r="E86" s="161">
        <v>16709</v>
      </c>
      <c r="F86" s="146" t="s">
        <v>817</v>
      </c>
      <c r="G86" s="146"/>
      <c r="M86" s="126"/>
      <c r="N86" s="126"/>
      <c r="O86" s="126"/>
      <c r="P86" s="126"/>
      <c r="Q86" s="126"/>
      <c r="R86" s="126"/>
    </row>
    <row r="87" spans="1:18" ht="15.6" customHeight="1">
      <c r="A87" s="101" t="s">
        <v>822</v>
      </c>
      <c r="B87" s="167">
        <v>414367</v>
      </c>
      <c r="C87" s="101"/>
      <c r="D87" s="160">
        <v>46107</v>
      </c>
      <c r="E87" s="161">
        <v>73938</v>
      </c>
      <c r="F87" s="146" t="s">
        <v>817</v>
      </c>
      <c r="G87" s="146"/>
      <c r="M87" s="126"/>
      <c r="N87" s="126"/>
      <c r="O87" s="126"/>
      <c r="P87" s="126"/>
      <c r="Q87" s="126"/>
      <c r="R87" s="126"/>
    </row>
    <row r="88" spans="1:18" ht="15.6" customHeight="1">
      <c r="A88" s="101" t="s">
        <v>773</v>
      </c>
      <c r="B88" s="167" t="s">
        <v>823</v>
      </c>
      <c r="C88" s="101"/>
      <c r="D88" s="160">
        <v>46101</v>
      </c>
      <c r="E88" s="161">
        <v>3320</v>
      </c>
      <c r="F88" s="146" t="s">
        <v>601</v>
      </c>
      <c r="G88" s="146"/>
      <c r="M88" s="126"/>
      <c r="N88" s="126"/>
      <c r="O88" s="126"/>
      <c r="P88" s="126"/>
      <c r="Q88" s="126"/>
      <c r="R88" s="126"/>
    </row>
    <row r="89" spans="1:18" ht="15.6" customHeight="1">
      <c r="A89" s="101"/>
      <c r="B89" s="101"/>
      <c r="C89" s="101"/>
      <c r="D89" s="160"/>
      <c r="E89" s="183">
        <f>SUM(E75:E88)</f>
        <v>564433</v>
      </c>
      <c r="F89" s="146"/>
      <c r="G89" s="146"/>
      <c r="M89" s="126"/>
      <c r="N89" s="126"/>
      <c r="O89" s="126"/>
      <c r="P89" s="126"/>
      <c r="Q89" s="126"/>
      <c r="R89" s="126"/>
    </row>
    <row r="90" spans="1:18" ht="15.6" customHeight="1">
      <c r="A90" s="188" t="s">
        <v>824</v>
      </c>
      <c r="B90" s="188"/>
      <c r="C90" s="188"/>
      <c r="D90" s="188"/>
      <c r="E90" s="188"/>
      <c r="F90" s="188"/>
      <c r="G90" s="188"/>
      <c r="M90" s="126"/>
      <c r="N90" s="126"/>
      <c r="O90" s="126"/>
      <c r="P90" s="126"/>
      <c r="Q90" s="126"/>
      <c r="R90" s="126"/>
    </row>
    <row r="91" spans="1:18" ht="15.6" customHeight="1">
      <c r="A91" s="189" t="s">
        <v>43</v>
      </c>
      <c r="B91" s="189"/>
      <c r="C91" s="189"/>
      <c r="D91" s="189"/>
      <c r="E91" s="189"/>
      <c r="F91" s="189"/>
      <c r="G91" s="189"/>
      <c r="M91" s="126"/>
      <c r="N91" s="126"/>
      <c r="O91" s="126"/>
      <c r="P91" s="126"/>
      <c r="Q91" s="126"/>
      <c r="R91" s="126"/>
    </row>
    <row r="92" spans="1:18" ht="15.6" customHeight="1">
      <c r="A92" s="111" t="s">
        <v>649</v>
      </c>
      <c r="B92" s="101">
        <v>702602447</v>
      </c>
      <c r="C92" s="111"/>
      <c r="D92" s="113">
        <v>46086</v>
      </c>
      <c r="E92" s="114">
        <v>155812</v>
      </c>
      <c r="F92" s="113">
        <v>46104</v>
      </c>
      <c r="M92" s="126"/>
      <c r="N92" s="126"/>
      <c r="O92" s="126"/>
      <c r="P92" s="126"/>
      <c r="Q92" s="126"/>
      <c r="R92" s="126"/>
    </row>
    <row r="93" spans="1:18" ht="15.6" customHeight="1">
      <c r="A93" s="111" t="s">
        <v>825</v>
      </c>
      <c r="B93" s="111" t="s">
        <v>826</v>
      </c>
      <c r="C93" s="111"/>
      <c r="D93" s="113">
        <v>46086</v>
      </c>
      <c r="E93" s="114">
        <v>121152</v>
      </c>
      <c r="F93" s="113">
        <v>46094</v>
      </c>
      <c r="M93" s="126"/>
      <c r="N93" s="126"/>
      <c r="O93" s="126"/>
      <c r="P93" s="126"/>
      <c r="Q93" s="126"/>
      <c r="R93" s="126"/>
    </row>
    <row r="94" spans="1:18" ht="15.6" customHeight="1">
      <c r="A94" s="111" t="s">
        <v>827</v>
      </c>
      <c r="B94" s="111" t="s">
        <v>828</v>
      </c>
      <c r="C94" s="111"/>
      <c r="D94" s="113">
        <v>46086</v>
      </c>
      <c r="E94" s="114">
        <v>192990</v>
      </c>
      <c r="F94" s="113">
        <v>46094</v>
      </c>
      <c r="M94" s="126"/>
      <c r="N94" s="126"/>
      <c r="O94" s="126"/>
      <c r="P94" s="126"/>
      <c r="Q94" s="126"/>
      <c r="R94" s="126"/>
    </row>
    <row r="95" spans="1:18" ht="15.6" customHeight="1">
      <c r="A95" s="111" t="s">
        <v>829</v>
      </c>
      <c r="B95" s="111" t="s">
        <v>830</v>
      </c>
      <c r="C95" s="111"/>
      <c r="D95" s="113">
        <v>46086</v>
      </c>
      <c r="E95" s="114">
        <v>33002</v>
      </c>
      <c r="F95" s="113">
        <v>46094</v>
      </c>
      <c r="M95" s="126"/>
      <c r="N95" s="126"/>
      <c r="O95" s="126"/>
      <c r="P95" s="126"/>
      <c r="Q95" s="126"/>
      <c r="R95" s="126"/>
    </row>
    <row r="96" spans="1:18" ht="15" customHeight="1">
      <c r="A96" s="111" t="s">
        <v>831</v>
      </c>
      <c r="B96" s="101" t="s">
        <v>832</v>
      </c>
      <c r="C96" s="111"/>
      <c r="D96" s="113">
        <v>46086</v>
      </c>
      <c r="E96" s="114">
        <v>183992</v>
      </c>
      <c r="F96" s="113">
        <v>46097</v>
      </c>
      <c r="M96" s="126"/>
      <c r="N96" s="126"/>
      <c r="O96" s="126"/>
      <c r="P96" s="126"/>
      <c r="Q96" s="126"/>
      <c r="R96" s="126"/>
    </row>
    <row r="97" spans="1:18" s="111" customFormat="1" ht="15.6" customHeight="1">
      <c r="A97" s="111" t="s">
        <v>833</v>
      </c>
      <c r="D97" s="113">
        <v>46090</v>
      </c>
      <c r="E97" s="114">
        <v>71470</v>
      </c>
      <c r="F97" s="113">
        <v>46105</v>
      </c>
      <c r="G97" s="126"/>
    </row>
    <row r="98" spans="1:18" s="111" customFormat="1" ht="15.6" customHeight="1">
      <c r="A98" s="111" t="s">
        <v>834</v>
      </c>
      <c r="B98" s="111">
        <v>702603582</v>
      </c>
      <c r="D98" s="113">
        <v>46090</v>
      </c>
      <c r="E98" s="114">
        <v>345965</v>
      </c>
      <c r="F98" s="113">
        <v>46111</v>
      </c>
      <c r="G98" s="126"/>
    </row>
    <row r="99" spans="1:18" s="111" customFormat="1" ht="15.6" customHeight="1">
      <c r="A99" s="111" t="s">
        <v>835</v>
      </c>
      <c r="B99" s="111">
        <v>1604872890</v>
      </c>
      <c r="D99" s="113">
        <v>46087</v>
      </c>
      <c r="E99" s="114">
        <v>121833</v>
      </c>
      <c r="F99" s="113">
        <v>46101</v>
      </c>
      <c r="G99" s="126"/>
    </row>
    <row r="100" spans="1:18" s="111" customFormat="1" ht="15.6" customHeight="1">
      <c r="A100" s="111" t="s">
        <v>836</v>
      </c>
      <c r="B100" s="111" t="s">
        <v>837</v>
      </c>
      <c r="D100" s="113">
        <v>46106</v>
      </c>
      <c r="E100" s="114">
        <v>121633</v>
      </c>
      <c r="F100" s="113">
        <v>46114</v>
      </c>
      <c r="G100" s="126"/>
    </row>
    <row r="101" spans="1:18" ht="15.6" customHeight="1">
      <c r="A101" s="111" t="s">
        <v>838</v>
      </c>
      <c r="B101" s="111" t="s">
        <v>839</v>
      </c>
      <c r="C101" s="111"/>
      <c r="D101" s="113">
        <v>46107</v>
      </c>
      <c r="E101" s="114">
        <v>38996</v>
      </c>
      <c r="F101" s="113">
        <v>46115</v>
      </c>
      <c r="M101" s="126"/>
      <c r="N101" s="126"/>
      <c r="O101" s="126"/>
      <c r="P101" s="126"/>
      <c r="Q101" s="126"/>
      <c r="R101" s="126"/>
    </row>
    <row r="102" spans="1:18" ht="15.6" customHeight="1">
      <c r="A102" s="111" t="s">
        <v>836</v>
      </c>
      <c r="B102" s="111" t="s">
        <v>840</v>
      </c>
      <c r="C102" s="111"/>
      <c r="D102" s="113">
        <v>46108</v>
      </c>
      <c r="E102" s="114">
        <v>-19080</v>
      </c>
      <c r="F102" s="111" t="s">
        <v>841</v>
      </c>
      <c r="M102" s="126"/>
      <c r="N102" s="126"/>
      <c r="O102" s="126"/>
      <c r="P102" s="126"/>
      <c r="Q102" s="126"/>
      <c r="R102" s="126"/>
    </row>
    <row r="103" spans="1:18" ht="15.6" customHeight="1">
      <c r="A103" s="111" t="s">
        <v>649</v>
      </c>
      <c r="B103" s="111">
        <v>702609584</v>
      </c>
      <c r="C103" s="111"/>
      <c r="D103" s="113">
        <v>46109</v>
      </c>
      <c r="E103" s="114">
        <v>120865</v>
      </c>
      <c r="F103" s="113">
        <v>46130</v>
      </c>
      <c r="M103" s="126"/>
      <c r="N103" s="126"/>
      <c r="O103" s="126"/>
      <c r="P103" s="126"/>
      <c r="Q103" s="126"/>
      <c r="R103" s="126"/>
    </row>
    <row r="104" spans="1:18" ht="15.6" customHeight="1">
      <c r="A104" s="111" t="s">
        <v>417</v>
      </c>
      <c r="B104" s="111">
        <v>1604886883</v>
      </c>
      <c r="C104" s="111"/>
      <c r="D104" s="113">
        <v>46108</v>
      </c>
      <c r="E104" s="114">
        <v>125397</v>
      </c>
      <c r="F104" s="113">
        <v>46122</v>
      </c>
      <c r="M104" s="126"/>
      <c r="N104" s="126"/>
      <c r="O104" s="126"/>
      <c r="P104" s="126"/>
      <c r="Q104" s="126"/>
      <c r="R104" s="126"/>
    </row>
    <row r="105" spans="1:18" ht="15.6" customHeight="1">
      <c r="A105" s="111" t="s">
        <v>842</v>
      </c>
      <c r="B105" s="111">
        <v>261031067</v>
      </c>
      <c r="C105" s="111"/>
      <c r="D105" s="113">
        <v>46112</v>
      </c>
      <c r="E105" s="114">
        <v>36429</v>
      </c>
      <c r="F105" s="113">
        <v>46127</v>
      </c>
      <c r="M105" s="126"/>
      <c r="N105" s="126"/>
      <c r="O105" s="126"/>
      <c r="P105" s="126"/>
      <c r="Q105" s="126"/>
      <c r="R105" s="126"/>
    </row>
    <row r="106" spans="1:18" ht="15.6" customHeight="1">
      <c r="E106" s="153">
        <f>SUM(E92:E105)</f>
        <v>1650456</v>
      </c>
      <c r="F106" s="145"/>
      <c r="M106" s="126"/>
      <c r="N106" s="126"/>
      <c r="O106" s="126"/>
      <c r="P106" s="126"/>
      <c r="Q106" s="126"/>
      <c r="R106" s="126"/>
    </row>
    <row r="107" spans="1:18" ht="15.6" customHeight="1">
      <c r="A107" s="188" t="s">
        <v>170</v>
      </c>
      <c r="B107" s="188"/>
      <c r="C107" s="188"/>
      <c r="D107" s="188"/>
      <c r="E107" s="188"/>
      <c r="F107" s="188"/>
      <c r="G107" s="188"/>
      <c r="H107"/>
      <c r="I107"/>
      <c r="J107"/>
      <c r="K107"/>
      <c r="L107"/>
      <c r="M107"/>
      <c r="N107"/>
      <c r="O107"/>
      <c r="P107"/>
      <c r="Q107"/>
      <c r="R107"/>
    </row>
    <row r="108" spans="1:18" ht="15.6" customHeight="1">
      <c r="A108" s="189" t="s">
        <v>22</v>
      </c>
      <c r="B108" s="189"/>
      <c r="C108" s="189"/>
      <c r="D108" s="189"/>
      <c r="E108" s="189"/>
      <c r="F108" s="189"/>
      <c r="G108" s="189"/>
      <c r="H108"/>
      <c r="I108"/>
      <c r="J108"/>
      <c r="K108"/>
      <c r="L108"/>
      <c r="M108"/>
      <c r="N108"/>
      <c r="O108"/>
      <c r="P108"/>
      <c r="Q108"/>
      <c r="R108"/>
    </row>
    <row r="109" spans="1:18" ht="15.6" customHeight="1">
      <c r="A109" s="126" t="s">
        <v>843</v>
      </c>
      <c r="B109" s="126" t="s">
        <v>844</v>
      </c>
      <c r="D109" s="145">
        <v>46114</v>
      </c>
      <c r="E109" s="126">
        <v>3150</v>
      </c>
      <c r="F109" t="s">
        <v>601</v>
      </c>
      <c r="G109"/>
      <c r="H109"/>
      <c r="I109"/>
      <c r="J109"/>
      <c r="K109"/>
      <c r="L109"/>
      <c r="M109"/>
      <c r="N109"/>
      <c r="O109"/>
      <c r="P109"/>
      <c r="Q109"/>
      <c r="R109"/>
    </row>
    <row r="110" spans="1:18" ht="15.6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</row>
    <row r="111" spans="1:18" ht="15.6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</row>
    <row r="112" spans="1:18" ht="15.6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</row>
    <row r="113" spans="1:18" ht="15.6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</row>
    <row r="114" spans="1:18" ht="22.5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</row>
    <row r="115" spans="1:18" ht="15.6" customHeight="1">
      <c r="A115" s="188" t="s">
        <v>170</v>
      </c>
      <c r="B115" s="188"/>
      <c r="C115" s="188"/>
      <c r="D115" s="188"/>
      <c r="E115" s="188"/>
      <c r="F115" s="188"/>
      <c r="G115" s="188"/>
      <c r="H115"/>
      <c r="I115"/>
      <c r="J115"/>
      <c r="K115"/>
      <c r="L115"/>
      <c r="M115"/>
      <c r="N115"/>
      <c r="O115"/>
      <c r="P115"/>
      <c r="Q115"/>
      <c r="R115"/>
    </row>
    <row r="116" spans="1:18" ht="15.6" customHeight="1">
      <c r="A116" s="189" t="s">
        <v>43</v>
      </c>
      <c r="B116" s="189"/>
      <c r="C116" s="189"/>
      <c r="D116" s="189"/>
      <c r="E116" s="189"/>
      <c r="F116" s="189"/>
      <c r="G116" s="189"/>
      <c r="H116"/>
      <c r="I116"/>
      <c r="J116"/>
      <c r="K116"/>
      <c r="L116"/>
      <c r="M116"/>
      <c r="N116"/>
      <c r="O116"/>
      <c r="P116"/>
      <c r="Q116"/>
      <c r="R116"/>
    </row>
    <row r="117" spans="1:18" ht="15.6" customHeight="1">
      <c r="A117" s="126" t="s">
        <v>836</v>
      </c>
      <c r="B117" s="126" t="s">
        <v>845</v>
      </c>
      <c r="D117" s="145">
        <v>46113</v>
      </c>
      <c r="E117" s="126">
        <v>5055</v>
      </c>
      <c r="F117" s="145">
        <v>46121</v>
      </c>
      <c r="M117" s="126"/>
      <c r="N117" s="126"/>
      <c r="O117" s="126"/>
      <c r="P117" s="126"/>
      <c r="Q117" s="126"/>
      <c r="R117" s="126"/>
    </row>
    <row r="118" spans="1:18" ht="15.6" customHeight="1">
      <c r="M118" s="126"/>
      <c r="N118" s="126"/>
      <c r="O118" s="126"/>
      <c r="P118" s="126"/>
      <c r="Q118" s="126"/>
      <c r="R118" s="126"/>
    </row>
    <row r="119" spans="1:18" ht="15.6" customHeight="1">
      <c r="M119" s="126"/>
      <c r="N119" s="126"/>
      <c r="O119" s="126"/>
      <c r="P119" s="126"/>
      <c r="Q119" s="126"/>
      <c r="R119" s="126"/>
    </row>
    <row r="120" spans="1:18" ht="15.6" customHeight="1">
      <c r="M120" s="126"/>
      <c r="N120" s="126"/>
      <c r="O120" s="126"/>
      <c r="P120" s="126"/>
      <c r="Q120" s="126"/>
      <c r="R120" s="126"/>
    </row>
    <row r="121" spans="1:18" ht="15.6" customHeight="1">
      <c r="M121" s="126"/>
      <c r="N121" s="126"/>
      <c r="O121" s="126"/>
      <c r="P121" s="126"/>
      <c r="Q121" s="126"/>
      <c r="R121" s="126"/>
    </row>
    <row r="122" spans="1:18" ht="15.6" customHeight="1">
      <c r="M122" s="126"/>
      <c r="N122" s="126"/>
      <c r="O122" s="126"/>
      <c r="P122" s="126"/>
      <c r="Q122" s="126"/>
      <c r="R122" s="126"/>
    </row>
    <row r="123" spans="1:18" ht="15.6" customHeight="1">
      <c r="M123" s="126"/>
      <c r="N123" s="126"/>
      <c r="O123" s="126"/>
      <c r="P123" s="126"/>
      <c r="Q123" s="126"/>
      <c r="R123" s="126"/>
    </row>
    <row r="124" spans="1:18" ht="15.6" customHeight="1">
      <c r="M124" s="126"/>
      <c r="N124" s="126"/>
      <c r="O124" s="126"/>
      <c r="P124" s="126"/>
      <c r="Q124" s="126"/>
      <c r="R124" s="126"/>
    </row>
    <row r="125" spans="1:18" ht="15.6" customHeight="1">
      <c r="M125" s="126"/>
      <c r="N125" s="126"/>
      <c r="O125" s="126"/>
      <c r="P125" s="126"/>
      <c r="Q125" s="126"/>
      <c r="R125" s="126"/>
    </row>
    <row r="126" spans="1:18" ht="15.6" customHeight="1">
      <c r="M126" s="126"/>
      <c r="N126" s="126"/>
      <c r="O126" s="126"/>
      <c r="P126" s="126"/>
      <c r="Q126" s="126"/>
      <c r="R126" s="126"/>
    </row>
    <row r="127" spans="1:18" ht="15.6" customHeight="1">
      <c r="M127" s="126"/>
      <c r="N127" s="126"/>
      <c r="O127" s="126"/>
      <c r="P127" s="126"/>
      <c r="Q127" s="126"/>
      <c r="R127" s="126"/>
    </row>
    <row r="128" spans="1:18" ht="18.75" customHeight="1">
      <c r="M128" s="126"/>
      <c r="N128" s="126"/>
      <c r="O128" s="126"/>
      <c r="P128" s="126"/>
      <c r="Q128" s="126"/>
      <c r="R128" s="126"/>
    </row>
    <row r="129" spans="13:18" ht="18" customHeight="1">
      <c r="M129" s="126"/>
      <c r="N129" s="126"/>
      <c r="O129" s="126"/>
      <c r="P129" s="126"/>
      <c r="Q129" s="126"/>
      <c r="R129" s="126"/>
    </row>
    <row r="130" spans="13:18" ht="15.6" customHeight="1">
      <c r="M130" s="126"/>
      <c r="N130" s="126"/>
      <c r="O130" s="126"/>
      <c r="P130" s="126"/>
      <c r="Q130" s="126"/>
      <c r="R130" s="126"/>
    </row>
    <row r="131" spans="13:18" ht="16.5" customHeight="1">
      <c r="M131" s="126"/>
      <c r="N131" s="126"/>
      <c r="O131" s="126"/>
      <c r="P131" s="126"/>
      <c r="Q131" s="126"/>
      <c r="R131" s="126"/>
    </row>
    <row r="132" spans="13:18" ht="15.6" customHeight="1">
      <c r="M132" s="126"/>
      <c r="N132" s="126"/>
      <c r="O132" s="126"/>
      <c r="P132" s="126"/>
      <c r="Q132" s="126"/>
      <c r="R132" s="126"/>
    </row>
    <row r="133" spans="13:18" ht="15.6" customHeight="1">
      <c r="M133" s="126"/>
      <c r="N133" s="126"/>
      <c r="O133" s="126"/>
      <c r="P133" s="126"/>
      <c r="Q133" s="126"/>
      <c r="R133" s="126"/>
    </row>
    <row r="134" spans="13:18" ht="15.6" customHeight="1">
      <c r="M134" s="126"/>
      <c r="N134" s="126"/>
      <c r="O134" s="126"/>
      <c r="P134" s="126"/>
      <c r="Q134" s="126"/>
      <c r="R134" s="126"/>
    </row>
    <row r="135" spans="13:18" ht="15.6" customHeight="1">
      <c r="M135" s="126"/>
      <c r="N135" s="126"/>
      <c r="O135" s="126"/>
      <c r="P135" s="126"/>
      <c r="Q135" s="126"/>
      <c r="R135" s="126"/>
    </row>
    <row r="136" spans="13:18" ht="15.6" customHeight="1">
      <c r="M136" s="126"/>
      <c r="N136" s="126"/>
      <c r="O136" s="126"/>
      <c r="P136" s="126"/>
      <c r="Q136" s="126"/>
      <c r="R136" s="126"/>
    </row>
    <row r="137" spans="13:18" ht="15.6" customHeight="1">
      <c r="M137" s="126"/>
      <c r="N137" s="126"/>
      <c r="O137" s="126"/>
      <c r="P137" s="126"/>
      <c r="Q137" s="126"/>
      <c r="R137" s="126"/>
    </row>
    <row r="138" spans="13:18" ht="15.6" customHeight="1">
      <c r="M138" s="126"/>
      <c r="N138" s="126"/>
      <c r="O138" s="126"/>
      <c r="P138" s="126"/>
      <c r="Q138" s="126"/>
      <c r="R138" s="126"/>
    </row>
    <row r="139" spans="13:18" ht="15.6" customHeight="1">
      <c r="M139" s="126"/>
      <c r="N139" s="126"/>
      <c r="O139" s="126"/>
      <c r="P139" s="126"/>
      <c r="Q139" s="126"/>
      <c r="R139" s="126"/>
    </row>
    <row r="140" spans="13:18" ht="15.6" customHeight="1">
      <c r="M140" s="126"/>
      <c r="N140" s="126"/>
      <c r="O140" s="126"/>
      <c r="P140" s="126"/>
      <c r="Q140" s="126"/>
      <c r="R140" s="126"/>
    </row>
    <row r="141" spans="13:18" ht="15.6" customHeight="1">
      <c r="M141" s="126"/>
      <c r="N141" s="126"/>
      <c r="O141" s="126"/>
      <c r="P141" s="126"/>
      <c r="Q141" s="126"/>
      <c r="R141" s="126"/>
    </row>
    <row r="142" spans="13:18" ht="15.6" customHeight="1">
      <c r="M142" s="126"/>
      <c r="N142" s="126"/>
      <c r="O142" s="126"/>
      <c r="P142" s="126"/>
      <c r="Q142" s="126"/>
      <c r="R142" s="126"/>
    </row>
    <row r="143" spans="13:18" ht="15.6" customHeight="1">
      <c r="M143" s="126"/>
      <c r="N143" s="126"/>
      <c r="O143" s="126"/>
      <c r="P143" s="126"/>
      <c r="Q143" s="126"/>
      <c r="R143" s="126"/>
    </row>
    <row r="144" spans="13:18" ht="15.6" customHeight="1">
      <c r="M144" s="126"/>
      <c r="N144" s="126"/>
      <c r="O144" s="126"/>
      <c r="P144" s="126"/>
      <c r="Q144" s="126"/>
      <c r="R144" s="126"/>
    </row>
    <row r="145" spans="13:18" ht="15.6" customHeight="1">
      <c r="M145" s="126"/>
      <c r="N145" s="126"/>
      <c r="O145" s="126"/>
      <c r="P145" s="126"/>
      <c r="Q145" s="126"/>
      <c r="R145" s="126"/>
    </row>
    <row r="146" spans="13:18" ht="15.6" customHeight="1">
      <c r="M146" s="126"/>
      <c r="N146" s="126"/>
      <c r="O146" s="126"/>
      <c r="P146" s="126"/>
      <c r="Q146" s="126"/>
      <c r="R146" s="126"/>
    </row>
    <row r="147" spans="13:18">
      <c r="M147" s="126"/>
      <c r="N147" s="126"/>
      <c r="O147" s="126"/>
      <c r="P147" s="126"/>
      <c r="Q147" s="126"/>
      <c r="R147" s="126"/>
    </row>
    <row r="148" spans="13:18" ht="15.6" customHeight="1">
      <c r="M148" s="126"/>
      <c r="N148" s="126"/>
      <c r="O148" s="126"/>
      <c r="P148" s="126"/>
      <c r="Q148" s="126"/>
      <c r="R148" s="126"/>
    </row>
    <row r="149" spans="13:18" ht="15.6" customHeight="1">
      <c r="M149" s="126"/>
      <c r="N149" s="126"/>
      <c r="O149" s="126"/>
      <c r="P149" s="126"/>
      <c r="Q149" s="126"/>
      <c r="R149" s="126"/>
    </row>
    <row r="150" spans="13:18" ht="15.6" customHeight="1">
      <c r="M150" s="126"/>
      <c r="N150" s="126"/>
      <c r="O150" s="126"/>
      <c r="P150" s="126"/>
      <c r="Q150" s="126"/>
      <c r="R150" s="126"/>
    </row>
    <row r="151" spans="13:18" ht="15.6" customHeight="1">
      <c r="M151" s="126"/>
      <c r="N151" s="126"/>
      <c r="O151" s="126"/>
      <c r="P151" s="126"/>
      <c r="Q151" s="126"/>
      <c r="R151" s="126"/>
    </row>
    <row r="152" spans="13:18" ht="15.6" customHeight="1">
      <c r="M152" s="126"/>
      <c r="N152" s="126"/>
      <c r="O152" s="126"/>
      <c r="P152" s="126"/>
      <c r="Q152" s="126"/>
      <c r="R152" s="126"/>
    </row>
    <row r="153" spans="13:18" ht="15.6" customHeight="1">
      <c r="M153" s="126"/>
      <c r="N153" s="126"/>
      <c r="O153" s="126"/>
      <c r="P153" s="126"/>
      <c r="Q153" s="126"/>
      <c r="R153" s="126"/>
    </row>
    <row r="154" spans="13:18" ht="15.6" customHeight="1">
      <c r="M154" s="126"/>
      <c r="N154" s="126"/>
      <c r="O154" s="126"/>
      <c r="P154" s="126"/>
      <c r="Q154" s="126"/>
      <c r="R154" s="126"/>
    </row>
    <row r="155" spans="13:18" ht="15.6" customHeight="1">
      <c r="M155" s="126"/>
      <c r="N155" s="126"/>
      <c r="O155" s="126"/>
      <c r="P155" s="126"/>
      <c r="Q155" s="126"/>
      <c r="R155" s="126"/>
    </row>
    <row r="156" spans="13:18" ht="15.6" customHeight="1">
      <c r="M156" s="126"/>
      <c r="N156" s="126"/>
      <c r="O156" s="126"/>
      <c r="P156" s="126"/>
      <c r="Q156" s="126"/>
      <c r="R156" s="126"/>
    </row>
    <row r="157" spans="13:18" ht="15.6" customHeight="1">
      <c r="M157" s="126"/>
      <c r="N157" s="126"/>
      <c r="O157" s="126"/>
      <c r="P157" s="126"/>
      <c r="Q157" s="126"/>
      <c r="R157" s="126"/>
    </row>
    <row r="158" spans="13:18" ht="15.6" customHeight="1">
      <c r="M158" s="126"/>
      <c r="N158" s="126"/>
      <c r="O158" s="126"/>
      <c r="P158" s="126"/>
      <c r="Q158" s="126"/>
      <c r="R158" s="126"/>
    </row>
    <row r="159" spans="13:18" ht="15.6" customHeight="1">
      <c r="M159" s="126"/>
      <c r="N159" s="126"/>
      <c r="O159" s="126"/>
      <c r="P159" s="126"/>
      <c r="Q159" s="126"/>
      <c r="R159" s="126"/>
    </row>
    <row r="160" spans="13:18" ht="15.6" customHeight="1">
      <c r="M160" s="126"/>
      <c r="N160" s="126"/>
      <c r="O160" s="126"/>
      <c r="P160" s="126"/>
      <c r="Q160" s="126"/>
      <c r="R160" s="126"/>
    </row>
    <row r="161" spans="13:18" ht="15.6" customHeight="1">
      <c r="M161" s="126"/>
      <c r="N161" s="126"/>
      <c r="O161" s="126"/>
      <c r="P161" s="126"/>
      <c r="Q161" s="126"/>
      <c r="R161" s="126"/>
    </row>
    <row r="162" spans="13:18" ht="15.6" customHeight="1">
      <c r="M162" s="126"/>
      <c r="N162" s="126"/>
      <c r="O162" s="126"/>
      <c r="P162" s="126"/>
      <c r="Q162" s="126"/>
      <c r="R162" s="126"/>
    </row>
    <row r="163" spans="13:18" ht="15.6" customHeight="1">
      <c r="M163" s="126"/>
      <c r="N163" s="126"/>
      <c r="O163" s="126"/>
      <c r="P163" s="126"/>
      <c r="Q163" s="126"/>
      <c r="R163" s="126"/>
    </row>
    <row r="164" spans="13:18" ht="15.6" customHeight="1">
      <c r="M164" s="126"/>
      <c r="N164" s="126"/>
      <c r="O164" s="126"/>
      <c r="P164" s="126"/>
      <c r="Q164" s="126"/>
      <c r="R164" s="126"/>
    </row>
    <row r="165" spans="13:18">
      <c r="M165" s="126"/>
      <c r="N165" s="126"/>
      <c r="O165" s="126"/>
      <c r="P165" s="126"/>
      <c r="Q165" s="126"/>
      <c r="R165" s="126"/>
    </row>
    <row r="166" spans="13:18" ht="15.6" customHeight="1">
      <c r="M166" s="126"/>
      <c r="N166" s="126"/>
      <c r="O166" s="126"/>
      <c r="P166" s="126"/>
      <c r="Q166" s="126"/>
      <c r="R166" s="126"/>
    </row>
    <row r="167" spans="13:18" ht="15.6" customHeight="1">
      <c r="M167" s="126"/>
      <c r="N167" s="126"/>
      <c r="O167" s="126"/>
      <c r="P167" s="126"/>
      <c r="Q167" s="126"/>
      <c r="R167" s="126"/>
    </row>
    <row r="168" spans="13:18" ht="15.6" customHeight="1">
      <c r="M168" s="126"/>
      <c r="N168" s="126"/>
      <c r="O168" s="126"/>
      <c r="P168" s="126"/>
      <c r="Q168" s="126"/>
      <c r="R168" s="126"/>
    </row>
    <row r="169" spans="13:18" ht="15.6" customHeight="1">
      <c r="M169" s="126"/>
      <c r="N169" s="126"/>
      <c r="O169" s="126"/>
      <c r="P169" s="126"/>
      <c r="Q169" s="126"/>
      <c r="R169" s="126"/>
    </row>
    <row r="170" spans="13:18" ht="15.6" customHeight="1">
      <c r="M170" s="126"/>
      <c r="N170" s="126"/>
      <c r="O170" s="126"/>
      <c r="P170" s="126"/>
      <c r="Q170" s="126"/>
      <c r="R170" s="126"/>
    </row>
    <row r="171" spans="13:18">
      <c r="M171" s="126"/>
      <c r="N171" s="126"/>
      <c r="O171" s="126"/>
      <c r="P171" s="126"/>
      <c r="Q171" s="126"/>
      <c r="R171" s="126"/>
    </row>
    <row r="172" spans="13:18">
      <c r="M172" s="126"/>
      <c r="N172" s="126"/>
      <c r="O172" s="126"/>
      <c r="P172" s="126"/>
      <c r="Q172" s="126"/>
      <c r="R172" s="126"/>
    </row>
    <row r="173" spans="13:18">
      <c r="M173" s="126"/>
      <c r="N173" s="126"/>
      <c r="O173" s="126"/>
      <c r="P173" s="126"/>
      <c r="Q173" s="126"/>
      <c r="R173" s="126"/>
    </row>
    <row r="174" spans="13:18" ht="15.6" customHeight="1">
      <c r="M174" s="126"/>
      <c r="N174" s="126"/>
      <c r="O174" s="126"/>
      <c r="P174" s="126"/>
      <c r="Q174" s="126"/>
      <c r="R174" s="126"/>
    </row>
    <row r="175" spans="13:18" ht="15.6" customHeight="1">
      <c r="M175" s="126"/>
      <c r="N175" s="126"/>
      <c r="O175" s="126"/>
      <c r="P175" s="126"/>
      <c r="Q175" s="126"/>
      <c r="R175" s="126"/>
    </row>
    <row r="176" spans="13:18">
      <c r="M176" s="126"/>
      <c r="N176" s="126"/>
      <c r="O176" s="126"/>
      <c r="P176" s="126"/>
      <c r="Q176" s="126"/>
      <c r="R176" s="126"/>
    </row>
    <row r="177" spans="1:26">
      <c r="M177" s="126"/>
      <c r="N177" s="126"/>
      <c r="O177" s="126"/>
      <c r="P177" s="126"/>
      <c r="Q177" s="126"/>
      <c r="R177" s="126"/>
    </row>
    <row r="178" spans="1:26">
      <c r="M178" s="126"/>
      <c r="N178" s="126"/>
      <c r="O178" s="126"/>
      <c r="P178" s="126"/>
      <c r="Q178" s="126"/>
      <c r="R178" s="126"/>
    </row>
    <row r="179" spans="1:26" ht="15.6" customHeight="1">
      <c r="M179" s="126"/>
      <c r="N179" s="126"/>
      <c r="O179" s="126"/>
      <c r="P179" s="126"/>
      <c r="Q179" s="126"/>
      <c r="R179" s="126"/>
    </row>
    <row r="180" spans="1:26" ht="15.6" customHeight="1">
      <c r="M180" s="126"/>
      <c r="N180" s="126"/>
      <c r="O180" s="126"/>
      <c r="P180" s="126"/>
      <c r="Q180" s="126"/>
      <c r="R180" s="126"/>
    </row>
    <row r="181" spans="1:26" ht="15.6" customHeight="1">
      <c r="M181" s="126"/>
      <c r="N181" s="126"/>
      <c r="O181" s="126"/>
      <c r="P181" s="126"/>
      <c r="Q181" s="126"/>
      <c r="R181" s="126"/>
    </row>
    <row r="182" spans="1:26" ht="15.6" customHeight="1">
      <c r="M182" s="126"/>
      <c r="N182" s="126"/>
      <c r="O182" s="126"/>
      <c r="P182" s="126"/>
      <c r="Q182" s="126"/>
      <c r="R182" s="126"/>
    </row>
    <row r="183" spans="1:26">
      <c r="M183" s="126"/>
      <c r="N183" s="126"/>
      <c r="O183" s="126"/>
      <c r="P183" s="126"/>
      <c r="Q183" s="126"/>
      <c r="R183" s="126"/>
    </row>
    <row r="184" spans="1:26" ht="15.6" customHeight="1">
      <c r="M184" s="126"/>
      <c r="N184" s="126"/>
      <c r="O184" s="126"/>
      <c r="P184" s="126"/>
      <c r="Q184" s="126"/>
      <c r="R184" s="126"/>
    </row>
    <row r="185" spans="1:26" ht="15.6" customHeight="1">
      <c r="M185" s="126"/>
      <c r="N185" s="126"/>
      <c r="O185" s="126"/>
      <c r="P185" s="126"/>
      <c r="Q185" s="126"/>
      <c r="R185" s="126"/>
    </row>
    <row r="186" spans="1:26" s="121" customFormat="1" ht="15.6" customHeight="1">
      <c r="A186" s="126"/>
      <c r="B186" s="126"/>
      <c r="C186" s="126"/>
      <c r="D186" s="145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spans="1:26" ht="15.6" customHeight="1">
      <c r="M187" s="126"/>
      <c r="N187" s="126"/>
      <c r="O187" s="126"/>
      <c r="P187" s="126"/>
      <c r="Q187" s="126"/>
      <c r="R187" s="126"/>
    </row>
    <row r="188" spans="1:26" ht="15.6" customHeight="1">
      <c r="M188" s="126"/>
      <c r="N188" s="126"/>
      <c r="O188" s="126"/>
      <c r="P188" s="126"/>
      <c r="Q188" s="126"/>
      <c r="R188" s="126"/>
    </row>
    <row r="189" spans="1:26" ht="15.6" customHeight="1">
      <c r="M189" s="126"/>
      <c r="N189" s="126"/>
      <c r="O189" s="126"/>
      <c r="P189" s="126"/>
      <c r="Q189" s="126"/>
      <c r="R189" s="126"/>
    </row>
    <row r="190" spans="1:26" ht="15.6" customHeight="1">
      <c r="M190" s="126"/>
      <c r="N190" s="126"/>
      <c r="O190" s="126"/>
      <c r="P190" s="126"/>
      <c r="Q190" s="126"/>
      <c r="R190" s="126"/>
    </row>
    <row r="191" spans="1:26" ht="15.6" customHeight="1">
      <c r="M191" s="126"/>
      <c r="N191" s="126"/>
      <c r="O191" s="126"/>
      <c r="P191" s="126"/>
      <c r="Q191" s="126"/>
      <c r="R191" s="126"/>
    </row>
    <row r="192" spans="1:26" ht="15.6" customHeight="1">
      <c r="M192" s="126"/>
      <c r="N192" s="126"/>
      <c r="O192" s="126"/>
      <c r="P192" s="126"/>
      <c r="Q192" s="126"/>
      <c r="R192" s="126"/>
    </row>
    <row r="193" spans="13:18" ht="15.6" customHeight="1">
      <c r="M193" s="126"/>
      <c r="N193" s="126"/>
      <c r="O193" s="126"/>
      <c r="P193" s="126"/>
      <c r="Q193" s="126"/>
      <c r="R193" s="126"/>
    </row>
    <row r="194" spans="13:18" ht="15.6" customHeight="1">
      <c r="M194" s="126"/>
      <c r="N194" s="126"/>
      <c r="O194" s="126"/>
      <c r="P194" s="126"/>
      <c r="Q194" s="126"/>
      <c r="R194" s="126"/>
    </row>
    <row r="195" spans="13:18" ht="15.6" customHeight="1">
      <c r="M195" s="126"/>
      <c r="N195" s="126"/>
      <c r="O195" s="126"/>
      <c r="P195" s="126"/>
      <c r="Q195" s="126"/>
      <c r="R195" s="126"/>
    </row>
    <row r="196" spans="13:18" ht="15.6" customHeight="1">
      <c r="M196" s="126"/>
      <c r="N196" s="126"/>
      <c r="O196" s="126"/>
      <c r="P196" s="126"/>
      <c r="Q196" s="126"/>
      <c r="R196" s="126"/>
    </row>
    <row r="197" spans="13:18" ht="15.6" customHeight="1">
      <c r="M197" s="126"/>
      <c r="N197" s="126"/>
      <c r="O197" s="126"/>
      <c r="P197" s="126"/>
      <c r="Q197" s="126"/>
      <c r="R197" s="126"/>
    </row>
    <row r="198" spans="13:18" ht="15.6" customHeight="1">
      <c r="M198" s="126"/>
      <c r="N198" s="126"/>
      <c r="O198" s="126"/>
      <c r="P198" s="126"/>
      <c r="Q198" s="126"/>
      <c r="R198" s="126"/>
    </row>
    <row r="199" spans="13:18" ht="15.6" customHeight="1">
      <c r="M199" s="126"/>
      <c r="N199" s="126"/>
      <c r="O199" s="126"/>
      <c r="P199" s="126"/>
      <c r="Q199" s="126"/>
      <c r="R199" s="126"/>
    </row>
    <row r="200" spans="13:18" ht="15.6" customHeight="1">
      <c r="M200" s="126"/>
      <c r="N200" s="126"/>
      <c r="O200" s="126"/>
      <c r="P200" s="126"/>
      <c r="Q200" s="126"/>
      <c r="R200" s="126"/>
    </row>
    <row r="201" spans="13:18" ht="15.6" customHeight="1">
      <c r="M201" s="126"/>
      <c r="N201" s="126"/>
      <c r="O201" s="126"/>
      <c r="P201" s="126"/>
      <c r="Q201" s="126"/>
      <c r="R201" s="126"/>
    </row>
    <row r="202" spans="13:18" ht="15.6" customHeight="1">
      <c r="M202" s="126"/>
      <c r="N202" s="126"/>
      <c r="O202" s="126"/>
      <c r="P202" s="126"/>
      <c r="Q202" s="126"/>
      <c r="R202" s="126"/>
    </row>
    <row r="203" spans="13:18" ht="15.6" customHeight="1">
      <c r="M203" s="126"/>
      <c r="N203" s="126"/>
      <c r="O203" s="126"/>
      <c r="P203" s="126"/>
      <c r="Q203" s="126"/>
      <c r="R203" s="126"/>
    </row>
    <row r="204" spans="13:18" ht="15.6" customHeight="1">
      <c r="M204" s="126"/>
      <c r="N204" s="126"/>
      <c r="O204" s="126"/>
      <c r="P204" s="126"/>
      <c r="Q204" s="126"/>
      <c r="R204" s="126"/>
    </row>
    <row r="205" spans="13:18" ht="15.6" customHeight="1">
      <c r="M205" s="126"/>
      <c r="N205" s="126"/>
      <c r="O205" s="126"/>
      <c r="P205" s="126"/>
      <c r="Q205" s="126"/>
      <c r="R205" s="126"/>
    </row>
    <row r="206" spans="13:18" ht="15.6" customHeight="1">
      <c r="M206" s="126"/>
      <c r="N206" s="126"/>
      <c r="O206" s="126"/>
      <c r="P206" s="126"/>
      <c r="Q206" s="126"/>
      <c r="R206" s="126"/>
    </row>
    <row r="207" spans="13:18" ht="15.6" customHeight="1">
      <c r="M207" s="126"/>
      <c r="N207" s="126"/>
      <c r="O207" s="126"/>
      <c r="P207" s="126"/>
      <c r="Q207" s="126"/>
      <c r="R207" s="126"/>
    </row>
    <row r="208" spans="13:18" ht="15.6" customHeight="1">
      <c r="M208" s="126"/>
      <c r="N208" s="126"/>
      <c r="O208" s="126"/>
      <c r="P208" s="126"/>
      <c r="Q208" s="126"/>
      <c r="R208" s="126"/>
    </row>
    <row r="209" spans="13:18" ht="15.6" customHeight="1">
      <c r="M209" s="126"/>
      <c r="N209" s="126"/>
      <c r="O209" s="126"/>
      <c r="P209" s="126"/>
      <c r="Q209" s="126"/>
      <c r="R209" s="126"/>
    </row>
    <row r="210" spans="13:18" ht="15.6" customHeight="1">
      <c r="M210" s="126"/>
      <c r="N210" s="126"/>
      <c r="O210" s="126"/>
      <c r="P210" s="126"/>
      <c r="Q210" s="126"/>
      <c r="R210" s="126"/>
    </row>
    <row r="211" spans="13:18">
      <c r="M211" s="126"/>
      <c r="N211" s="126"/>
      <c r="O211" s="126"/>
      <c r="P211" s="126"/>
      <c r="Q211" s="126"/>
      <c r="R211" s="126"/>
    </row>
    <row r="212" spans="13:18">
      <c r="M212" s="126"/>
      <c r="N212" s="126"/>
      <c r="O212" s="126"/>
      <c r="P212" s="126"/>
      <c r="Q212" s="126"/>
      <c r="R212" s="126"/>
    </row>
    <row r="213" spans="13:18">
      <c r="M213" s="126"/>
      <c r="N213" s="126"/>
      <c r="O213" s="126"/>
      <c r="P213" s="126"/>
      <c r="Q213" s="126"/>
      <c r="R213" s="126"/>
    </row>
    <row r="214" spans="13:18">
      <c r="M214" s="126"/>
      <c r="N214" s="126"/>
      <c r="O214" s="126"/>
      <c r="P214" s="126"/>
      <c r="Q214" s="126"/>
      <c r="R214" s="126"/>
    </row>
    <row r="215" spans="13:18">
      <c r="M215" s="126"/>
      <c r="N215" s="126"/>
      <c r="O215" s="126"/>
      <c r="P215" s="126"/>
      <c r="Q215" s="126"/>
      <c r="R215" s="126"/>
    </row>
    <row r="216" spans="13:18">
      <c r="M216" s="126"/>
      <c r="N216" s="126"/>
      <c r="O216" s="126"/>
      <c r="P216" s="126"/>
      <c r="Q216" s="126"/>
      <c r="R216" s="126"/>
    </row>
    <row r="217" spans="13:18">
      <c r="M217" s="126"/>
      <c r="N217" s="126"/>
      <c r="O217" s="126"/>
      <c r="P217" s="126"/>
      <c r="Q217" s="126"/>
      <c r="R217" s="126"/>
    </row>
    <row r="218" spans="13:18">
      <c r="M218" s="126"/>
      <c r="N218" s="126"/>
      <c r="O218" s="126"/>
      <c r="P218" s="126"/>
      <c r="Q218" s="126"/>
      <c r="R218" s="126"/>
    </row>
    <row r="219" spans="13:18">
      <c r="M219" s="126"/>
      <c r="N219" s="126"/>
      <c r="O219" s="126"/>
      <c r="P219" s="126"/>
      <c r="Q219" s="126"/>
      <c r="R219" s="126"/>
    </row>
    <row r="220" spans="13:18">
      <c r="M220" s="126"/>
      <c r="N220" s="126"/>
      <c r="O220" s="126"/>
      <c r="P220" s="126"/>
      <c r="Q220" s="126"/>
      <c r="R220" s="126"/>
    </row>
    <row r="221" spans="13:18">
      <c r="M221" s="126"/>
      <c r="N221" s="126"/>
      <c r="O221" s="126"/>
      <c r="P221" s="126"/>
      <c r="Q221" s="126"/>
      <c r="R221" s="126"/>
    </row>
    <row r="222" spans="13:18">
      <c r="M222" s="126"/>
      <c r="N222" s="126"/>
      <c r="O222" s="126"/>
      <c r="P222" s="126"/>
      <c r="Q222" s="126"/>
      <c r="R222" s="126"/>
    </row>
    <row r="223" spans="13:18">
      <c r="M223" s="126"/>
      <c r="N223" s="126"/>
      <c r="O223" s="126"/>
      <c r="P223" s="126"/>
      <c r="Q223" s="126"/>
      <c r="R223" s="126"/>
    </row>
    <row r="224" spans="13:18">
      <c r="M224" s="126"/>
      <c r="N224" s="126"/>
      <c r="O224" s="126"/>
      <c r="P224" s="126"/>
      <c r="Q224" s="126"/>
      <c r="R224" s="126"/>
    </row>
    <row r="225" spans="8:18">
      <c r="M225" s="126"/>
      <c r="N225" s="126"/>
      <c r="O225" s="126"/>
      <c r="P225" s="126"/>
      <c r="Q225" s="126"/>
      <c r="R225" s="126"/>
    </row>
    <row r="226" spans="8:18">
      <c r="M226" s="126"/>
      <c r="N226" s="126"/>
      <c r="O226" s="126"/>
      <c r="P226" s="126"/>
      <c r="Q226" s="126"/>
      <c r="R226" s="126"/>
    </row>
    <row r="227" spans="8:18">
      <c r="M227" s="126"/>
      <c r="N227" s="126"/>
      <c r="O227" s="126"/>
      <c r="P227" s="126"/>
      <c r="Q227" s="126"/>
      <c r="R227" s="126"/>
    </row>
    <row r="228" spans="8:18">
      <c r="M228" s="126"/>
      <c r="N228" s="126"/>
      <c r="O228" s="126"/>
      <c r="P228" s="126"/>
      <c r="Q228" s="126"/>
      <c r="R228" s="126"/>
    </row>
    <row r="229" spans="8:18">
      <c r="M229" s="126"/>
      <c r="N229" s="126"/>
      <c r="O229" s="126"/>
      <c r="P229" s="126"/>
      <c r="Q229" s="126"/>
      <c r="R229" s="126"/>
    </row>
    <row r="230" spans="8:18">
      <c r="M230" s="126"/>
      <c r="N230" s="126"/>
      <c r="O230" s="126"/>
      <c r="P230" s="126"/>
      <c r="Q230" s="126"/>
      <c r="R230" s="126"/>
    </row>
    <row r="231" spans="8:18">
      <c r="M231" s="126"/>
      <c r="N231" s="126"/>
      <c r="O231" s="126"/>
      <c r="P231" s="126"/>
      <c r="Q231" s="126"/>
      <c r="R231" s="126"/>
    </row>
    <row r="232" spans="8:18">
      <c r="M232" s="126"/>
      <c r="N232" s="126"/>
      <c r="O232" s="126"/>
      <c r="P232" s="126"/>
      <c r="Q232" s="126"/>
      <c r="R232" s="126"/>
    </row>
    <row r="233" spans="8:18">
      <c r="M233" s="126"/>
      <c r="N233" s="126"/>
      <c r="O233" s="126"/>
      <c r="P233" s="126"/>
      <c r="Q233" s="126"/>
      <c r="R233" s="126"/>
    </row>
    <row r="234" spans="8:18">
      <c r="H234" s="122"/>
      <c r="M234" s="126"/>
      <c r="N234" s="126"/>
      <c r="O234" s="126"/>
      <c r="P234" s="126"/>
      <c r="Q234" s="126"/>
      <c r="R234" s="126"/>
    </row>
    <row r="235" spans="8:18">
      <c r="H235" s="122"/>
      <c r="M235" s="126"/>
      <c r="N235" s="126"/>
      <c r="O235" s="126"/>
      <c r="P235" s="126"/>
      <c r="Q235" s="126"/>
      <c r="R235" s="126"/>
    </row>
    <row r="236" spans="8:18">
      <c r="M236" s="126"/>
      <c r="N236" s="126"/>
      <c r="O236" s="126"/>
      <c r="P236" s="126"/>
      <c r="Q236" s="126"/>
      <c r="R236" s="126"/>
    </row>
    <row r="237" spans="8:18">
      <c r="M237" s="126"/>
      <c r="N237" s="126"/>
      <c r="O237" s="126"/>
      <c r="P237" s="126"/>
      <c r="Q237" s="126"/>
      <c r="R237" s="126"/>
    </row>
    <row r="238" spans="8:18">
      <c r="M238" s="126"/>
      <c r="N238" s="126"/>
      <c r="O238" s="126"/>
      <c r="P238" s="126"/>
      <c r="Q238" s="126"/>
      <c r="R238" s="126"/>
    </row>
    <row r="239" spans="8:18">
      <c r="M239" s="126"/>
      <c r="N239" s="126"/>
      <c r="O239" s="126"/>
      <c r="P239" s="126"/>
      <c r="Q239" s="126"/>
      <c r="R239" s="126"/>
    </row>
    <row r="240" spans="8:18">
      <c r="M240" s="126"/>
      <c r="N240" s="126"/>
      <c r="O240" s="126"/>
      <c r="P240" s="126"/>
      <c r="Q240" s="126"/>
      <c r="R240" s="126"/>
    </row>
    <row r="241" spans="13:18">
      <c r="M241" s="126"/>
      <c r="N241" s="126"/>
      <c r="O241" s="126"/>
      <c r="P241" s="126"/>
      <c r="Q241" s="126"/>
      <c r="R241" s="126"/>
    </row>
    <row r="242" spans="13:18">
      <c r="M242" s="126"/>
      <c r="N242" s="126"/>
      <c r="O242" s="126"/>
      <c r="P242" s="126"/>
      <c r="Q242" s="126"/>
      <c r="R242" s="126"/>
    </row>
    <row r="243" spans="13:18">
      <c r="M243" s="126"/>
      <c r="N243" s="126"/>
      <c r="O243" s="126"/>
      <c r="P243" s="126"/>
      <c r="Q243" s="126"/>
      <c r="R243" s="126"/>
    </row>
    <row r="244" spans="13:18">
      <c r="M244" s="126"/>
      <c r="N244" s="126"/>
      <c r="O244" s="126"/>
      <c r="P244" s="126"/>
      <c r="Q244" s="126"/>
      <c r="R244" s="126"/>
    </row>
    <row r="245" spans="13:18">
      <c r="M245" s="126"/>
      <c r="N245" s="126"/>
      <c r="O245" s="126"/>
      <c r="P245" s="126"/>
      <c r="Q245" s="126"/>
      <c r="R245" s="126"/>
    </row>
    <row r="246" spans="13:18">
      <c r="M246" s="126"/>
      <c r="N246" s="126"/>
      <c r="O246" s="126"/>
      <c r="P246" s="126"/>
      <c r="Q246" s="126"/>
      <c r="R246" s="126"/>
    </row>
    <row r="247" spans="13:18">
      <c r="M247" s="126"/>
      <c r="N247" s="126"/>
      <c r="O247" s="126"/>
      <c r="P247" s="126"/>
      <c r="Q247" s="126"/>
      <c r="R247" s="126"/>
    </row>
    <row r="248" spans="13:18">
      <c r="M248" s="126"/>
      <c r="N248" s="126"/>
      <c r="O248" s="126"/>
      <c r="P248" s="126"/>
      <c r="Q248" s="126"/>
      <c r="R248" s="126"/>
    </row>
    <row r="249" spans="13:18">
      <c r="M249" s="126"/>
      <c r="N249" s="126"/>
      <c r="O249" s="126"/>
      <c r="P249" s="126"/>
      <c r="Q249" s="126"/>
      <c r="R249" s="126"/>
    </row>
    <row r="250" spans="13:18">
      <c r="M250" s="126"/>
      <c r="N250" s="126"/>
      <c r="O250" s="126"/>
      <c r="P250" s="126"/>
      <c r="Q250" s="126"/>
      <c r="R250" s="126"/>
    </row>
    <row r="251" spans="13:18">
      <c r="M251" s="126"/>
      <c r="N251" s="126"/>
      <c r="O251" s="126"/>
      <c r="P251" s="126"/>
      <c r="Q251" s="126"/>
      <c r="R251" s="126"/>
    </row>
    <row r="252" spans="13:18">
      <c r="M252" s="126"/>
      <c r="N252" s="126"/>
      <c r="O252" s="126"/>
      <c r="P252" s="126"/>
      <c r="Q252" s="126"/>
      <c r="R252" s="126"/>
    </row>
    <row r="253" spans="13:18">
      <c r="M253" s="126"/>
      <c r="N253" s="126"/>
      <c r="O253" s="126"/>
      <c r="P253" s="126"/>
      <c r="Q253" s="126"/>
      <c r="R253" s="126"/>
    </row>
    <row r="254" spans="13:18">
      <c r="M254" s="126"/>
      <c r="N254" s="126"/>
      <c r="O254" s="126"/>
      <c r="P254" s="126"/>
      <c r="Q254" s="126"/>
      <c r="R254" s="126"/>
    </row>
    <row r="255" spans="13:18">
      <c r="M255" s="126"/>
      <c r="N255" s="126"/>
      <c r="O255" s="126"/>
      <c r="P255" s="126"/>
      <c r="Q255" s="126"/>
      <c r="R255" s="126"/>
    </row>
    <row r="256" spans="13:18">
      <c r="M256" s="126"/>
      <c r="N256" s="126"/>
      <c r="O256" s="126"/>
      <c r="P256" s="126"/>
      <c r="Q256" s="126"/>
      <c r="R256" s="126"/>
    </row>
    <row r="257" spans="13:18">
      <c r="M257" s="126"/>
      <c r="N257" s="126"/>
      <c r="O257" s="126"/>
      <c r="P257" s="126"/>
      <c r="Q257" s="126"/>
      <c r="R257" s="126"/>
    </row>
    <row r="258" spans="13:18">
      <c r="M258" s="126"/>
      <c r="N258" s="126"/>
      <c r="O258" s="126"/>
      <c r="P258" s="126"/>
      <c r="Q258" s="126"/>
      <c r="R258" s="126"/>
    </row>
    <row r="259" spans="13:18">
      <c r="M259" s="126"/>
      <c r="N259" s="126"/>
      <c r="O259" s="126"/>
      <c r="P259" s="126"/>
      <c r="Q259" s="126"/>
      <c r="R259" s="126"/>
    </row>
    <row r="260" spans="13:18">
      <c r="M260" s="126"/>
      <c r="N260" s="126"/>
      <c r="O260" s="126"/>
      <c r="P260" s="126"/>
      <c r="Q260" s="126"/>
      <c r="R260" s="126"/>
    </row>
    <row r="261" spans="13:18">
      <c r="M261" s="126"/>
      <c r="N261" s="126"/>
      <c r="O261" s="126"/>
      <c r="P261" s="126"/>
      <c r="Q261" s="126"/>
      <c r="R261" s="126"/>
    </row>
    <row r="262" spans="13:18">
      <c r="M262" s="126"/>
      <c r="N262" s="126"/>
      <c r="O262" s="126"/>
      <c r="P262" s="126"/>
      <c r="Q262" s="126"/>
      <c r="R262" s="126"/>
    </row>
    <row r="263" spans="13:18">
      <c r="M263" s="126"/>
      <c r="N263" s="126"/>
      <c r="O263" s="126"/>
      <c r="P263" s="126"/>
      <c r="Q263" s="126"/>
      <c r="R263" s="126"/>
    </row>
    <row r="264" spans="13:18">
      <c r="M264" s="126"/>
      <c r="N264" s="126"/>
      <c r="O264" s="126"/>
      <c r="P264" s="126"/>
      <c r="Q264" s="126"/>
      <c r="R264" s="126"/>
    </row>
    <row r="265" spans="13:18">
      <c r="M265" s="126"/>
      <c r="N265" s="126"/>
      <c r="O265" s="126"/>
      <c r="P265" s="126"/>
      <c r="Q265" s="126"/>
      <c r="R265" s="126"/>
    </row>
    <row r="266" spans="13:18">
      <c r="M266" s="126"/>
      <c r="N266" s="126"/>
      <c r="O266" s="126"/>
      <c r="P266" s="126"/>
      <c r="Q266" s="126"/>
      <c r="R266" s="126"/>
    </row>
    <row r="267" spans="13:18">
      <c r="M267" s="126"/>
      <c r="N267" s="126"/>
      <c r="O267" s="126"/>
      <c r="P267" s="126"/>
      <c r="Q267" s="126"/>
      <c r="R267" s="126"/>
    </row>
    <row r="268" spans="13:18">
      <c r="M268" s="126"/>
      <c r="N268" s="126"/>
      <c r="O268" s="126"/>
      <c r="P268" s="126"/>
      <c r="Q268" s="126"/>
      <c r="R268" s="126"/>
    </row>
    <row r="269" spans="13:18">
      <c r="M269" s="126"/>
      <c r="N269" s="126"/>
      <c r="O269" s="126"/>
      <c r="P269" s="126"/>
      <c r="Q269" s="126"/>
      <c r="R269" s="126"/>
    </row>
    <row r="270" spans="13:18">
      <c r="M270" s="126"/>
      <c r="N270" s="126"/>
      <c r="O270" s="126"/>
      <c r="P270" s="126"/>
      <c r="Q270" s="126"/>
      <c r="R270" s="126"/>
    </row>
    <row r="271" spans="13:18">
      <c r="M271" s="126"/>
      <c r="N271" s="126"/>
      <c r="O271" s="126"/>
      <c r="P271" s="126"/>
      <c r="Q271" s="126"/>
      <c r="R271" s="126"/>
    </row>
    <row r="272" spans="13:18">
      <c r="M272" s="126"/>
      <c r="N272" s="126"/>
      <c r="O272" s="126"/>
      <c r="P272" s="126"/>
      <c r="Q272" s="126"/>
      <c r="R272" s="126"/>
    </row>
    <row r="273" spans="8:18">
      <c r="M273" s="126"/>
      <c r="N273" s="126"/>
      <c r="O273" s="126"/>
      <c r="P273" s="126"/>
      <c r="Q273" s="126"/>
      <c r="R273" s="126"/>
    </row>
    <row r="274" spans="8:18">
      <c r="M274" s="126"/>
      <c r="N274" s="126"/>
      <c r="O274" s="126"/>
      <c r="P274" s="126"/>
      <c r="Q274" s="126"/>
      <c r="R274" s="126"/>
    </row>
    <row r="275" spans="8:18">
      <c r="M275" s="126"/>
      <c r="N275" s="126"/>
      <c r="O275" s="126"/>
      <c r="P275" s="126"/>
      <c r="Q275" s="126"/>
      <c r="R275" s="126"/>
    </row>
    <row r="276" spans="8:18">
      <c r="M276" s="126"/>
      <c r="N276" s="126"/>
      <c r="O276" s="126"/>
      <c r="P276" s="126"/>
      <c r="Q276" s="126"/>
      <c r="R276" s="126"/>
    </row>
    <row r="277" spans="8:18">
      <c r="M277" s="126"/>
      <c r="N277" s="126"/>
      <c r="O277" s="126"/>
      <c r="P277" s="126"/>
      <c r="Q277" s="126"/>
      <c r="R277" s="126"/>
    </row>
    <row r="278" spans="8:18">
      <c r="M278" s="126"/>
      <c r="N278" s="126"/>
      <c r="O278" s="126"/>
      <c r="P278" s="126"/>
      <c r="Q278" s="126"/>
      <c r="R278" s="126"/>
    </row>
    <row r="279" spans="8:18">
      <c r="M279" s="126"/>
      <c r="N279" s="126"/>
      <c r="O279" s="126"/>
      <c r="P279" s="126"/>
      <c r="Q279" s="126"/>
      <c r="R279" s="126"/>
    </row>
    <row r="280" spans="8:18">
      <c r="M280" s="126"/>
      <c r="N280" s="126"/>
      <c r="O280" s="126"/>
      <c r="P280" s="126"/>
      <c r="Q280" s="126"/>
      <c r="R280" s="126"/>
    </row>
    <row r="281" spans="8:18">
      <c r="M281" s="126"/>
      <c r="N281" s="126"/>
      <c r="O281" s="126"/>
      <c r="P281" s="126"/>
      <c r="Q281" s="126"/>
      <c r="R281" s="126"/>
    </row>
    <row r="282" spans="8:18">
      <c r="M282" s="126"/>
      <c r="N282" s="126"/>
      <c r="O282" s="126"/>
      <c r="P282" s="126"/>
      <c r="Q282" s="126"/>
      <c r="R282" s="126"/>
    </row>
    <row r="283" spans="8:18">
      <c r="M283" s="126"/>
      <c r="N283" s="126"/>
      <c r="O283" s="126"/>
      <c r="P283" s="126"/>
      <c r="Q283" s="126"/>
      <c r="R283" s="126"/>
    </row>
    <row r="284" spans="8:18">
      <c r="M284" s="126"/>
      <c r="N284" s="126"/>
      <c r="O284" s="126"/>
      <c r="P284" s="126"/>
      <c r="Q284" s="126"/>
      <c r="R284" s="126"/>
    </row>
    <row r="285" spans="8:18">
      <c r="H285" s="122"/>
      <c r="M285" s="126"/>
      <c r="N285" s="126"/>
      <c r="O285" s="126"/>
      <c r="P285" s="126"/>
      <c r="Q285" s="126"/>
      <c r="R285" s="126"/>
    </row>
    <row r="286" spans="8:18">
      <c r="H286" s="122"/>
      <c r="M286" s="126"/>
      <c r="N286" s="126"/>
      <c r="O286" s="126"/>
      <c r="P286" s="126"/>
      <c r="Q286" s="126"/>
      <c r="R286" s="126"/>
    </row>
    <row r="287" spans="8:18">
      <c r="H287" s="136"/>
      <c r="M287" s="126"/>
      <c r="N287" s="126"/>
      <c r="O287" s="126"/>
      <c r="P287" s="126"/>
      <c r="Q287" s="126"/>
      <c r="R287" s="126"/>
    </row>
    <row r="288" spans="8:18">
      <c r="M288" s="126"/>
      <c r="N288" s="126"/>
      <c r="O288" s="126"/>
      <c r="P288" s="126"/>
      <c r="Q288" s="126"/>
      <c r="R288" s="126"/>
    </row>
    <row r="289" spans="13:18">
      <c r="M289" s="126"/>
      <c r="N289" s="126"/>
      <c r="O289" s="126"/>
      <c r="P289" s="126"/>
      <c r="Q289" s="126"/>
      <c r="R289" s="126"/>
    </row>
    <row r="290" spans="13:18">
      <c r="M290" s="126"/>
      <c r="N290" s="126"/>
      <c r="O290" s="126"/>
      <c r="P290" s="126"/>
      <c r="Q290" s="126"/>
      <c r="R290" s="126"/>
    </row>
    <row r="291" spans="13:18">
      <c r="M291" s="126"/>
      <c r="N291" s="126"/>
      <c r="O291" s="126"/>
      <c r="P291" s="126"/>
      <c r="Q291" s="126"/>
      <c r="R291" s="126"/>
    </row>
    <row r="292" spans="13:18">
      <c r="M292" s="126"/>
      <c r="N292" s="126"/>
      <c r="O292" s="126"/>
      <c r="P292" s="126"/>
      <c r="Q292" s="126"/>
      <c r="R292" s="126"/>
    </row>
    <row r="293" spans="13:18">
      <c r="M293" s="126"/>
      <c r="N293" s="126"/>
      <c r="O293" s="126"/>
      <c r="P293" s="126"/>
      <c r="Q293" s="126"/>
      <c r="R293" s="126"/>
    </row>
    <row r="294" spans="13:18">
      <c r="M294" s="126"/>
      <c r="N294" s="126"/>
      <c r="O294" s="126"/>
      <c r="P294" s="126"/>
      <c r="Q294" s="126"/>
      <c r="R294" s="126"/>
    </row>
    <row r="295" spans="13:18">
      <c r="M295" s="126"/>
      <c r="N295" s="126"/>
      <c r="O295" s="126"/>
      <c r="P295" s="126"/>
      <c r="Q295" s="126"/>
      <c r="R295" s="126"/>
    </row>
    <row r="296" spans="13:18">
      <c r="M296" s="126"/>
      <c r="N296" s="126"/>
      <c r="O296" s="126"/>
      <c r="P296" s="126"/>
      <c r="Q296" s="126"/>
      <c r="R296" s="126"/>
    </row>
    <row r="297" spans="13:18">
      <c r="M297" s="126"/>
      <c r="N297" s="126"/>
      <c r="O297" s="126"/>
      <c r="P297" s="126"/>
      <c r="Q297" s="126"/>
      <c r="R297" s="126"/>
    </row>
    <row r="298" spans="13:18">
      <c r="M298" s="126"/>
      <c r="N298" s="126"/>
      <c r="O298" s="126"/>
      <c r="P298" s="126"/>
      <c r="Q298" s="126"/>
      <c r="R298" s="126"/>
    </row>
    <row r="299" spans="13:18">
      <c r="M299" s="126"/>
      <c r="N299" s="126"/>
      <c r="O299" s="126"/>
      <c r="P299" s="126"/>
      <c r="Q299" s="126"/>
      <c r="R299" s="126"/>
    </row>
    <row r="300" spans="13:18">
      <c r="M300" s="126"/>
      <c r="N300" s="126"/>
      <c r="O300" s="126"/>
      <c r="P300" s="126"/>
      <c r="Q300" s="126"/>
      <c r="R300" s="126"/>
    </row>
    <row r="301" spans="13:18">
      <c r="M301" s="126"/>
      <c r="N301" s="126"/>
      <c r="O301" s="126"/>
      <c r="P301" s="126"/>
      <c r="Q301" s="126"/>
      <c r="R301" s="126"/>
    </row>
    <row r="302" spans="13:18">
      <c r="M302" s="126"/>
      <c r="N302" s="126"/>
      <c r="O302" s="126"/>
      <c r="P302" s="126"/>
      <c r="Q302" s="126"/>
      <c r="R302" s="126"/>
    </row>
    <row r="303" spans="13:18">
      <c r="M303" s="126"/>
      <c r="N303" s="126"/>
      <c r="O303" s="126"/>
      <c r="P303" s="126"/>
      <c r="Q303" s="126"/>
      <c r="R303" s="126"/>
    </row>
    <row r="304" spans="13:18">
      <c r="M304" s="126"/>
      <c r="N304" s="126"/>
      <c r="O304" s="126"/>
      <c r="P304" s="126"/>
      <c r="Q304" s="126"/>
      <c r="R304" s="126"/>
    </row>
    <row r="305" spans="8:18">
      <c r="M305" s="126"/>
      <c r="N305" s="126"/>
      <c r="O305" s="126"/>
      <c r="P305" s="126"/>
      <c r="Q305" s="126"/>
      <c r="R305" s="126"/>
    </row>
    <row r="306" spans="8:18">
      <c r="M306" s="126"/>
      <c r="N306" s="126"/>
      <c r="O306" s="126"/>
      <c r="P306" s="126"/>
      <c r="Q306" s="126"/>
      <c r="R306" s="126"/>
    </row>
    <row r="307" spans="8:18">
      <c r="M307" s="126"/>
      <c r="N307" s="126"/>
      <c r="O307" s="126"/>
      <c r="P307" s="126"/>
      <c r="Q307" s="126"/>
      <c r="R307" s="126"/>
    </row>
    <row r="308" spans="8:18">
      <c r="M308" s="126"/>
      <c r="N308" s="126"/>
      <c r="O308" s="126"/>
      <c r="P308" s="126"/>
      <c r="Q308" s="126"/>
      <c r="R308" s="126"/>
    </row>
    <row r="309" spans="8:18">
      <c r="M309" s="126"/>
      <c r="N309" s="126"/>
      <c r="O309" s="126"/>
      <c r="P309" s="126"/>
      <c r="Q309" s="126"/>
      <c r="R309" s="126"/>
    </row>
    <row r="310" spans="8:18">
      <c r="M310" s="126"/>
      <c r="N310" s="126"/>
      <c r="O310" s="126"/>
      <c r="P310" s="126"/>
      <c r="Q310" s="126"/>
      <c r="R310" s="126"/>
    </row>
    <row r="311" spans="8:18">
      <c r="M311" s="126"/>
      <c r="N311" s="126"/>
      <c r="O311" s="126"/>
      <c r="P311" s="126"/>
      <c r="Q311" s="126"/>
      <c r="R311" s="126"/>
    </row>
    <row r="312" spans="8:18">
      <c r="M312" s="126"/>
      <c r="N312" s="126"/>
      <c r="O312" s="126"/>
      <c r="P312" s="126"/>
      <c r="Q312" s="126"/>
      <c r="R312" s="126"/>
    </row>
    <row r="313" spans="8:18">
      <c r="M313" s="126"/>
      <c r="N313" s="126"/>
      <c r="O313" s="126"/>
      <c r="P313" s="126"/>
      <c r="Q313" s="126"/>
      <c r="R313" s="126"/>
    </row>
    <row r="314" spans="8:18">
      <c r="M314" s="126"/>
      <c r="N314" s="126"/>
      <c r="O314" s="126"/>
      <c r="P314" s="126"/>
      <c r="Q314" s="126"/>
      <c r="R314" s="126"/>
    </row>
    <row r="315" spans="8:18">
      <c r="M315" s="126"/>
      <c r="N315" s="126"/>
      <c r="O315" s="126"/>
      <c r="P315" s="126"/>
      <c r="Q315" s="126"/>
      <c r="R315" s="126"/>
    </row>
    <row r="316" spans="8:18">
      <c r="M316" s="126"/>
      <c r="N316" s="126"/>
      <c r="O316" s="126"/>
      <c r="P316" s="126"/>
      <c r="Q316" s="126"/>
      <c r="R316" s="126"/>
    </row>
    <row r="317" spans="8:18">
      <c r="M317" s="126"/>
      <c r="N317" s="126"/>
      <c r="O317" s="126"/>
      <c r="P317" s="126"/>
      <c r="Q317" s="126"/>
      <c r="R317" s="126"/>
    </row>
    <row r="318" spans="8:18">
      <c r="M318" s="126"/>
      <c r="N318" s="126"/>
      <c r="O318" s="126"/>
      <c r="P318" s="126"/>
      <c r="Q318" s="126"/>
      <c r="R318" s="126"/>
    </row>
    <row r="319" spans="8:18">
      <c r="H319" s="123"/>
      <c r="M319" s="126"/>
      <c r="N319" s="126"/>
      <c r="O319" s="126"/>
      <c r="P319" s="126"/>
      <c r="Q319" s="126"/>
      <c r="R319" s="126"/>
    </row>
    <row r="320" spans="8:18">
      <c r="H320" s="123"/>
      <c r="M320" s="126"/>
      <c r="N320" s="126"/>
      <c r="O320" s="126"/>
      <c r="P320" s="126"/>
      <c r="Q320" s="126"/>
      <c r="R320" s="126"/>
    </row>
    <row r="321" spans="13:18">
      <c r="M321" s="126"/>
      <c r="N321" s="126"/>
      <c r="O321" s="126"/>
      <c r="P321" s="126"/>
      <c r="Q321" s="126"/>
      <c r="R321" s="126"/>
    </row>
    <row r="322" spans="13:18">
      <c r="M322" s="126"/>
      <c r="N322" s="126"/>
      <c r="O322" s="126"/>
      <c r="P322" s="126"/>
      <c r="Q322" s="126"/>
      <c r="R322" s="126"/>
    </row>
    <row r="323" spans="13:18">
      <c r="M323" s="126"/>
      <c r="N323" s="126"/>
      <c r="O323" s="126"/>
      <c r="P323" s="126"/>
      <c r="Q323" s="126"/>
      <c r="R323" s="126"/>
    </row>
    <row r="324" spans="13:18">
      <c r="M324" s="126"/>
      <c r="N324" s="126"/>
      <c r="O324" s="126"/>
      <c r="P324" s="126"/>
      <c r="Q324" s="126"/>
      <c r="R324" s="126"/>
    </row>
    <row r="325" spans="13:18">
      <c r="M325" s="126"/>
      <c r="N325" s="126"/>
      <c r="O325" s="126"/>
      <c r="P325" s="126"/>
      <c r="Q325" s="126"/>
      <c r="R325" s="126"/>
    </row>
    <row r="326" spans="13:18">
      <c r="M326" s="126"/>
      <c r="N326" s="126"/>
      <c r="O326" s="126"/>
      <c r="P326" s="126"/>
      <c r="Q326" s="126"/>
      <c r="R326" s="126"/>
    </row>
    <row r="327" spans="13:18">
      <c r="M327" s="126"/>
      <c r="N327" s="126"/>
      <c r="O327" s="126"/>
      <c r="P327" s="126"/>
      <c r="Q327" s="126"/>
      <c r="R327" s="126"/>
    </row>
    <row r="328" spans="13:18">
      <c r="M328" s="126"/>
      <c r="N328" s="126"/>
      <c r="O328" s="126"/>
      <c r="P328" s="126"/>
      <c r="Q328" s="126"/>
      <c r="R328" s="126"/>
    </row>
    <row r="329" spans="13:18">
      <c r="M329" s="126"/>
      <c r="N329" s="126"/>
      <c r="O329" s="126"/>
      <c r="P329" s="126"/>
      <c r="Q329" s="126"/>
      <c r="R329" s="126"/>
    </row>
    <row r="330" spans="13:18">
      <c r="M330" s="126"/>
      <c r="N330" s="126"/>
      <c r="O330" s="126"/>
      <c r="P330" s="126"/>
      <c r="Q330" s="126"/>
      <c r="R330" s="126"/>
    </row>
    <row r="331" spans="13:18">
      <c r="M331" s="126"/>
      <c r="N331" s="126"/>
      <c r="O331" s="126"/>
      <c r="P331" s="126"/>
      <c r="Q331" s="126"/>
      <c r="R331" s="126"/>
    </row>
    <row r="332" spans="13:18">
      <c r="M332" s="126"/>
      <c r="N332" s="126"/>
      <c r="O332" s="126"/>
      <c r="P332" s="126"/>
      <c r="Q332" s="126"/>
      <c r="R332" s="126"/>
    </row>
    <row r="333" spans="13:18">
      <c r="M333" s="126"/>
      <c r="N333" s="126"/>
      <c r="O333" s="126"/>
      <c r="P333" s="126"/>
      <c r="Q333" s="126"/>
      <c r="R333" s="126"/>
    </row>
    <row r="334" spans="13:18">
      <c r="M334" s="126"/>
      <c r="N334" s="126"/>
      <c r="O334" s="126"/>
      <c r="P334" s="126"/>
      <c r="Q334" s="126"/>
      <c r="R334" s="126"/>
    </row>
    <row r="335" spans="13:18">
      <c r="M335" s="126"/>
      <c r="N335" s="126"/>
      <c r="O335" s="126"/>
      <c r="P335" s="126"/>
      <c r="Q335" s="126"/>
      <c r="R335" s="126"/>
    </row>
    <row r="336" spans="13:18">
      <c r="M336" s="126"/>
      <c r="N336" s="126"/>
      <c r="O336" s="126"/>
      <c r="P336" s="126"/>
      <c r="Q336" s="126"/>
      <c r="R336" s="126"/>
    </row>
    <row r="337" spans="13:18">
      <c r="M337" s="126"/>
      <c r="N337" s="126"/>
      <c r="O337" s="126"/>
      <c r="P337" s="126"/>
      <c r="Q337" s="126"/>
      <c r="R337" s="126"/>
    </row>
    <row r="338" spans="13:18">
      <c r="M338" s="126"/>
      <c r="N338" s="126"/>
      <c r="O338" s="126"/>
      <c r="P338" s="126"/>
      <c r="Q338" s="126"/>
      <c r="R338" s="126"/>
    </row>
    <row r="339" spans="13:18">
      <c r="M339" s="126"/>
      <c r="N339" s="126"/>
      <c r="O339" s="126"/>
      <c r="P339" s="126"/>
      <c r="Q339" s="126"/>
      <c r="R339" s="126"/>
    </row>
    <row r="340" spans="13:18">
      <c r="M340" s="126"/>
      <c r="N340" s="126"/>
      <c r="O340" s="126"/>
      <c r="P340" s="126"/>
      <c r="Q340" s="126"/>
      <c r="R340" s="126"/>
    </row>
    <row r="341" spans="13:18">
      <c r="M341" s="126"/>
      <c r="N341" s="126"/>
      <c r="O341" s="126"/>
      <c r="P341" s="126"/>
      <c r="Q341" s="126"/>
      <c r="R341" s="126"/>
    </row>
    <row r="342" spans="13:18">
      <c r="M342" s="126"/>
      <c r="N342" s="126"/>
      <c r="O342" s="126"/>
      <c r="P342" s="126"/>
      <c r="Q342" s="126"/>
      <c r="R342" s="126"/>
    </row>
    <row r="343" spans="13:18">
      <c r="M343" s="126"/>
      <c r="N343" s="126"/>
      <c r="O343" s="126"/>
      <c r="P343" s="126"/>
      <c r="Q343" s="126"/>
      <c r="R343" s="126"/>
    </row>
    <row r="344" spans="13:18">
      <c r="M344" s="126"/>
      <c r="N344" s="126"/>
      <c r="O344" s="126"/>
      <c r="P344" s="126"/>
      <c r="Q344" s="126"/>
      <c r="R344" s="126"/>
    </row>
    <row r="345" spans="13:18">
      <c r="M345" s="126"/>
      <c r="N345" s="126"/>
      <c r="O345" s="126"/>
      <c r="P345" s="126"/>
      <c r="Q345" s="126"/>
      <c r="R345" s="126"/>
    </row>
    <row r="346" spans="13:18">
      <c r="M346" s="126"/>
      <c r="N346" s="126"/>
      <c r="O346" s="126"/>
      <c r="P346" s="126"/>
      <c r="Q346" s="126"/>
      <c r="R346" s="126"/>
    </row>
    <row r="347" spans="13:18">
      <c r="M347" s="126"/>
      <c r="N347" s="126"/>
      <c r="O347" s="126"/>
      <c r="P347" s="126"/>
      <c r="Q347" s="126"/>
      <c r="R347" s="126"/>
    </row>
    <row r="348" spans="13:18">
      <c r="M348" s="126"/>
      <c r="N348" s="126"/>
      <c r="O348" s="126"/>
      <c r="P348" s="126"/>
      <c r="Q348" s="126"/>
      <c r="R348" s="126"/>
    </row>
    <row r="349" spans="13:18">
      <c r="M349" s="126"/>
      <c r="N349" s="126"/>
      <c r="O349" s="126"/>
      <c r="P349" s="126"/>
      <c r="Q349" s="126"/>
      <c r="R349" s="126"/>
    </row>
    <row r="350" spans="13:18">
      <c r="M350" s="126"/>
      <c r="N350" s="126"/>
      <c r="O350" s="126"/>
      <c r="P350" s="126"/>
      <c r="Q350" s="126"/>
      <c r="R350" s="126"/>
    </row>
    <row r="351" spans="13:18">
      <c r="M351" s="126"/>
      <c r="N351" s="126"/>
      <c r="O351" s="126"/>
      <c r="P351" s="126"/>
      <c r="Q351" s="126"/>
      <c r="R351" s="126"/>
    </row>
    <row r="352" spans="13:18">
      <c r="M352" s="126"/>
      <c r="N352" s="126"/>
      <c r="O352" s="126"/>
      <c r="P352" s="126"/>
      <c r="Q352" s="126"/>
      <c r="R352" s="126"/>
    </row>
    <row r="353" spans="8:18">
      <c r="M353" s="126"/>
      <c r="N353" s="126"/>
      <c r="O353" s="126"/>
      <c r="P353" s="126"/>
      <c r="Q353" s="126"/>
      <c r="R353" s="126"/>
    </row>
    <row r="354" spans="8:18">
      <c r="M354" s="126"/>
      <c r="N354" s="126"/>
      <c r="O354" s="126"/>
      <c r="P354" s="126"/>
      <c r="Q354" s="126"/>
      <c r="R354" s="126"/>
    </row>
    <row r="355" spans="8:18">
      <c r="M355" s="126"/>
      <c r="N355" s="126"/>
      <c r="O355" s="126"/>
      <c r="P355" s="126"/>
      <c r="Q355" s="126"/>
      <c r="R355" s="126"/>
    </row>
    <row r="356" spans="8:18">
      <c r="M356" s="126"/>
      <c r="N356" s="126"/>
      <c r="O356" s="126"/>
      <c r="P356" s="126"/>
      <c r="Q356" s="126"/>
      <c r="R356" s="126"/>
    </row>
    <row r="357" spans="8:18">
      <c r="M357" s="126"/>
      <c r="N357" s="126"/>
      <c r="O357" s="126"/>
      <c r="P357" s="126"/>
      <c r="Q357" s="126"/>
      <c r="R357" s="126"/>
    </row>
    <row r="358" spans="8:18">
      <c r="M358" s="126"/>
      <c r="N358" s="126"/>
      <c r="O358" s="126"/>
      <c r="P358" s="126"/>
      <c r="Q358" s="126"/>
      <c r="R358" s="126"/>
    </row>
    <row r="359" spans="8:18">
      <c r="M359" s="126"/>
      <c r="N359" s="126"/>
      <c r="O359" s="126"/>
      <c r="P359" s="126"/>
      <c r="Q359" s="126"/>
      <c r="R359" s="126"/>
    </row>
    <row r="360" spans="8:18">
      <c r="M360" s="126"/>
      <c r="N360" s="126"/>
      <c r="O360" s="126"/>
      <c r="P360" s="126"/>
      <c r="Q360" s="126"/>
      <c r="R360" s="126"/>
    </row>
    <row r="361" spans="8:18">
      <c r="M361" s="126"/>
      <c r="N361" s="126"/>
      <c r="O361" s="126"/>
      <c r="P361" s="126"/>
      <c r="Q361" s="126"/>
      <c r="R361" s="126"/>
    </row>
    <row r="362" spans="8:18">
      <c r="M362" s="126"/>
      <c r="N362" s="126"/>
      <c r="O362" s="126"/>
      <c r="P362" s="126"/>
      <c r="Q362" s="126"/>
      <c r="R362" s="126"/>
    </row>
    <row r="363" spans="8:18">
      <c r="M363" s="126"/>
      <c r="N363" s="126"/>
      <c r="O363" s="126"/>
      <c r="P363" s="126"/>
      <c r="Q363" s="126"/>
      <c r="R363" s="126"/>
    </row>
    <row r="364" spans="8:18">
      <c r="M364" s="126"/>
      <c r="N364" s="126"/>
      <c r="O364" s="126"/>
      <c r="P364" s="126"/>
      <c r="Q364" s="126"/>
      <c r="R364" s="126"/>
    </row>
    <row r="365" spans="8:18">
      <c r="M365" s="126"/>
      <c r="N365" s="126"/>
      <c r="O365" s="126"/>
      <c r="P365" s="126"/>
      <c r="Q365" s="126"/>
      <c r="R365" s="126"/>
    </row>
    <row r="366" spans="8:18">
      <c r="M366" s="126"/>
      <c r="N366" s="126"/>
      <c r="O366" s="126"/>
      <c r="P366" s="126"/>
      <c r="Q366" s="126"/>
      <c r="R366" s="126"/>
    </row>
    <row r="367" spans="8:18">
      <c r="H367" s="122"/>
      <c r="M367" s="126"/>
      <c r="N367" s="126"/>
      <c r="O367" s="126"/>
      <c r="P367" s="126"/>
      <c r="Q367" s="126"/>
      <c r="R367" s="126"/>
    </row>
    <row r="368" spans="8:18">
      <c r="H368" s="122"/>
      <c r="M368" s="126"/>
      <c r="N368" s="126"/>
      <c r="O368" s="126"/>
      <c r="P368" s="126"/>
      <c r="Q368" s="126"/>
      <c r="R368" s="126"/>
    </row>
    <row r="369" spans="13:18">
      <c r="M369" s="126"/>
      <c r="N369" s="126"/>
      <c r="O369" s="126"/>
      <c r="P369" s="126"/>
      <c r="Q369" s="126"/>
      <c r="R369" s="126"/>
    </row>
    <row r="370" spans="13:18">
      <c r="M370" s="126"/>
      <c r="N370" s="126"/>
      <c r="O370" s="126"/>
      <c r="P370" s="126"/>
      <c r="Q370" s="126"/>
      <c r="R370" s="126"/>
    </row>
    <row r="371" spans="13:18">
      <c r="M371" s="126"/>
      <c r="N371" s="126"/>
      <c r="O371" s="126"/>
      <c r="P371" s="126"/>
      <c r="Q371" s="126"/>
      <c r="R371" s="126"/>
    </row>
    <row r="372" spans="13:18">
      <c r="M372" s="126"/>
      <c r="N372" s="126"/>
      <c r="O372" s="126"/>
      <c r="P372" s="126"/>
      <c r="Q372" s="126"/>
      <c r="R372" s="126"/>
    </row>
    <row r="373" spans="13:18">
      <c r="M373" s="126"/>
      <c r="N373" s="126"/>
      <c r="O373" s="126"/>
      <c r="P373" s="126"/>
      <c r="Q373" s="126"/>
      <c r="R373" s="126"/>
    </row>
    <row r="374" spans="13:18">
      <c r="M374" s="126"/>
      <c r="N374" s="126"/>
      <c r="O374" s="126"/>
      <c r="P374" s="126"/>
      <c r="Q374" s="126"/>
      <c r="R374" s="126"/>
    </row>
    <row r="375" spans="13:18">
      <c r="M375" s="126"/>
      <c r="N375" s="126"/>
      <c r="O375" s="126"/>
      <c r="P375" s="126"/>
      <c r="Q375" s="126"/>
      <c r="R375" s="126"/>
    </row>
    <row r="376" spans="13:18">
      <c r="M376" s="126"/>
      <c r="N376" s="126"/>
      <c r="O376" s="126"/>
      <c r="P376" s="126"/>
      <c r="Q376" s="126"/>
      <c r="R376" s="126"/>
    </row>
    <row r="377" spans="13:18">
      <c r="M377" s="126"/>
      <c r="N377" s="126"/>
      <c r="O377" s="126"/>
      <c r="P377" s="126"/>
      <c r="Q377" s="126"/>
      <c r="R377" s="126"/>
    </row>
    <row r="378" spans="13:18">
      <c r="M378" s="126"/>
      <c r="N378" s="126"/>
      <c r="O378" s="126"/>
      <c r="P378" s="126"/>
      <c r="Q378" s="126"/>
      <c r="R378" s="126"/>
    </row>
    <row r="379" spans="13:18">
      <c r="M379" s="126"/>
      <c r="N379" s="126"/>
      <c r="O379" s="126"/>
      <c r="P379" s="126"/>
      <c r="Q379" s="126"/>
      <c r="R379" s="126"/>
    </row>
    <row r="380" spans="13:18">
      <c r="M380" s="126"/>
      <c r="N380" s="126"/>
      <c r="O380" s="126"/>
      <c r="P380" s="126"/>
      <c r="Q380" s="126"/>
      <c r="R380" s="126"/>
    </row>
    <row r="381" spans="13:18">
      <c r="M381" s="126"/>
      <c r="N381" s="126"/>
      <c r="O381" s="126"/>
      <c r="P381" s="126"/>
      <c r="Q381" s="126"/>
      <c r="R381" s="126"/>
    </row>
    <row r="382" spans="13:18">
      <c r="M382" s="126"/>
      <c r="N382" s="126"/>
      <c r="O382" s="126"/>
      <c r="P382" s="126"/>
      <c r="Q382" s="126"/>
      <c r="R382" s="126"/>
    </row>
    <row r="383" spans="13:18">
      <c r="M383" s="126"/>
      <c r="N383" s="126"/>
      <c r="O383" s="126"/>
      <c r="P383" s="126"/>
      <c r="Q383" s="126"/>
      <c r="R383" s="126"/>
    </row>
    <row r="384" spans="13:18">
      <c r="M384" s="126"/>
      <c r="N384" s="126"/>
      <c r="O384" s="126"/>
      <c r="P384" s="126"/>
      <c r="Q384" s="126"/>
      <c r="R384" s="126"/>
    </row>
    <row r="385" spans="13:18">
      <c r="M385" s="126"/>
      <c r="N385" s="126"/>
      <c r="O385" s="126"/>
      <c r="P385" s="126"/>
      <c r="Q385" s="126"/>
      <c r="R385" s="126"/>
    </row>
    <row r="386" spans="13:18">
      <c r="M386" s="126"/>
      <c r="N386" s="126"/>
      <c r="O386" s="126"/>
      <c r="P386" s="126"/>
      <c r="Q386" s="126"/>
      <c r="R386" s="126"/>
    </row>
    <row r="387" spans="13:18">
      <c r="M387" s="126"/>
      <c r="N387" s="126"/>
      <c r="O387" s="126"/>
      <c r="P387" s="126"/>
      <c r="Q387" s="126"/>
      <c r="R387" s="126"/>
    </row>
    <row r="388" spans="13:18">
      <c r="M388" s="126"/>
      <c r="N388" s="126"/>
      <c r="O388" s="126"/>
      <c r="P388" s="126"/>
      <c r="Q388" s="126"/>
      <c r="R388" s="126"/>
    </row>
    <row r="389" spans="13:18">
      <c r="M389" s="126"/>
      <c r="N389" s="126"/>
      <c r="O389" s="126"/>
      <c r="P389" s="126"/>
      <c r="Q389" s="126"/>
      <c r="R389" s="126"/>
    </row>
    <row r="390" spans="13:18">
      <c r="M390" s="126"/>
      <c r="N390" s="126"/>
      <c r="O390" s="126"/>
      <c r="P390" s="126"/>
      <c r="Q390" s="126"/>
      <c r="R390" s="126"/>
    </row>
    <row r="391" spans="13:18">
      <c r="M391" s="126"/>
      <c r="N391" s="126"/>
      <c r="O391" s="126"/>
      <c r="P391" s="126"/>
      <c r="Q391" s="126"/>
      <c r="R391" s="126"/>
    </row>
    <row r="392" spans="13:18">
      <c r="M392" s="126"/>
      <c r="N392" s="126"/>
      <c r="O392" s="126"/>
      <c r="P392" s="126"/>
      <c r="Q392" s="126"/>
      <c r="R392" s="126"/>
    </row>
    <row r="393" spans="13:18">
      <c r="M393" s="126"/>
      <c r="N393" s="126"/>
      <c r="O393" s="126"/>
      <c r="P393" s="126"/>
      <c r="Q393" s="126"/>
      <c r="R393" s="126"/>
    </row>
    <row r="394" spans="13:18">
      <c r="M394" s="126"/>
      <c r="N394" s="126"/>
      <c r="O394" s="126"/>
      <c r="P394" s="126"/>
      <c r="Q394" s="126"/>
      <c r="R394" s="126"/>
    </row>
    <row r="395" spans="13:18">
      <c r="M395" s="126"/>
      <c r="N395" s="126"/>
      <c r="O395" s="126"/>
      <c r="P395" s="126"/>
      <c r="Q395" s="126"/>
      <c r="R395" s="126"/>
    </row>
    <row r="396" spans="13:18">
      <c r="M396" s="126"/>
      <c r="N396" s="126"/>
      <c r="O396" s="126"/>
      <c r="P396" s="126"/>
      <c r="Q396" s="126"/>
      <c r="R396" s="126"/>
    </row>
    <row r="397" spans="13:18">
      <c r="M397" s="126"/>
      <c r="N397" s="126"/>
      <c r="O397" s="126"/>
      <c r="P397" s="126"/>
      <c r="Q397" s="126"/>
      <c r="R397" s="126"/>
    </row>
    <row r="398" spans="13:18">
      <c r="M398" s="126"/>
      <c r="N398" s="126"/>
      <c r="O398" s="126"/>
      <c r="P398" s="126"/>
      <c r="Q398" s="126"/>
      <c r="R398" s="126"/>
    </row>
    <row r="399" spans="13:18">
      <c r="M399" s="126"/>
      <c r="N399" s="126"/>
      <c r="O399" s="126"/>
      <c r="P399" s="126"/>
      <c r="Q399" s="126"/>
      <c r="R399" s="126"/>
    </row>
    <row r="400" spans="13:18">
      <c r="M400" s="126"/>
      <c r="N400" s="126"/>
      <c r="O400" s="126"/>
      <c r="P400" s="126"/>
      <c r="Q400" s="126"/>
      <c r="R400" s="126"/>
    </row>
    <row r="401" spans="13:18">
      <c r="M401" s="126"/>
      <c r="N401" s="126"/>
      <c r="O401" s="126"/>
      <c r="P401" s="126"/>
      <c r="Q401" s="126"/>
      <c r="R401" s="126"/>
    </row>
    <row r="402" spans="13:18">
      <c r="M402" s="126"/>
      <c r="N402" s="126"/>
      <c r="O402" s="126"/>
      <c r="P402" s="126"/>
      <c r="Q402" s="126"/>
      <c r="R402" s="126"/>
    </row>
    <row r="403" spans="13:18">
      <c r="M403" s="126"/>
      <c r="N403" s="126"/>
      <c r="O403" s="126"/>
      <c r="P403" s="126"/>
      <c r="Q403" s="126"/>
      <c r="R403" s="126"/>
    </row>
    <row r="404" spans="13:18">
      <c r="M404" s="126"/>
      <c r="N404" s="126"/>
      <c r="O404" s="126"/>
      <c r="P404" s="126"/>
      <c r="Q404" s="126"/>
      <c r="R404" s="126"/>
    </row>
    <row r="405" spans="13:18">
      <c r="M405" s="126"/>
      <c r="N405" s="126"/>
      <c r="O405" s="126"/>
      <c r="P405" s="126"/>
      <c r="Q405" s="126"/>
      <c r="R405" s="126"/>
    </row>
    <row r="406" spans="13:18">
      <c r="M406" s="126"/>
      <c r="N406" s="126"/>
      <c r="O406" s="126"/>
      <c r="P406" s="126"/>
      <c r="Q406" s="126"/>
      <c r="R406" s="126"/>
    </row>
    <row r="407" spans="13:18">
      <c r="M407" s="126"/>
      <c r="N407" s="126"/>
      <c r="O407" s="126"/>
      <c r="P407" s="126"/>
      <c r="Q407" s="126"/>
      <c r="R407" s="126"/>
    </row>
    <row r="408" spans="13:18">
      <c r="M408" s="126"/>
      <c r="N408" s="126"/>
      <c r="O408" s="126"/>
      <c r="P408" s="126"/>
      <c r="Q408" s="126"/>
      <c r="R408" s="126"/>
    </row>
    <row r="409" spans="13:18">
      <c r="M409" s="126"/>
      <c r="N409" s="126"/>
      <c r="O409" s="126"/>
      <c r="P409" s="126"/>
      <c r="Q409" s="126"/>
      <c r="R409" s="126"/>
    </row>
    <row r="410" spans="13:18">
      <c r="M410" s="126"/>
      <c r="N410" s="126"/>
      <c r="O410" s="126"/>
      <c r="P410" s="126"/>
      <c r="Q410" s="126"/>
      <c r="R410" s="126"/>
    </row>
    <row r="411" spans="13:18">
      <c r="M411" s="126"/>
      <c r="N411" s="126"/>
      <c r="O411" s="126"/>
      <c r="P411" s="126"/>
      <c r="Q411" s="126"/>
      <c r="R411" s="126"/>
    </row>
    <row r="412" spans="13:18">
      <c r="M412" s="126"/>
      <c r="N412" s="126"/>
      <c r="O412" s="126"/>
      <c r="P412" s="126"/>
      <c r="Q412" s="126"/>
      <c r="R412" s="126"/>
    </row>
    <row r="413" spans="13:18">
      <c r="M413" s="126"/>
      <c r="N413" s="126"/>
      <c r="O413" s="126"/>
      <c r="P413" s="126"/>
      <c r="Q413" s="126"/>
      <c r="R413" s="126"/>
    </row>
    <row r="414" spans="13:18">
      <c r="M414" s="126"/>
      <c r="N414" s="126"/>
      <c r="O414" s="126"/>
      <c r="P414" s="126"/>
      <c r="Q414" s="126"/>
      <c r="R414" s="126"/>
    </row>
    <row r="415" spans="13:18">
      <c r="M415" s="126"/>
      <c r="N415" s="126"/>
      <c r="O415" s="126"/>
      <c r="P415" s="126"/>
      <c r="Q415" s="126"/>
      <c r="R415" s="126"/>
    </row>
    <row r="416" spans="13:18">
      <c r="M416" s="126"/>
      <c r="N416" s="126"/>
      <c r="O416" s="126"/>
      <c r="P416" s="126"/>
      <c r="Q416" s="126"/>
      <c r="R416" s="126"/>
    </row>
    <row r="417" spans="13:18">
      <c r="M417" s="126"/>
      <c r="N417" s="126"/>
      <c r="O417" s="126"/>
      <c r="P417" s="126"/>
      <c r="Q417" s="126"/>
      <c r="R417" s="126"/>
    </row>
    <row r="418" spans="13:18">
      <c r="M418" s="126"/>
      <c r="N418" s="126"/>
      <c r="O418" s="126"/>
      <c r="P418" s="126"/>
      <c r="Q418" s="126"/>
      <c r="R418" s="126"/>
    </row>
    <row r="419" spans="13:18">
      <c r="M419" s="126"/>
      <c r="N419" s="126"/>
      <c r="O419" s="126"/>
      <c r="P419" s="126"/>
      <c r="Q419" s="126"/>
      <c r="R419" s="126"/>
    </row>
    <row r="420" spans="13:18">
      <c r="M420" s="126"/>
      <c r="N420" s="126"/>
      <c r="O420" s="126"/>
      <c r="P420" s="126"/>
      <c r="Q420" s="126"/>
      <c r="R420" s="126"/>
    </row>
    <row r="421" spans="13:18">
      <c r="M421" s="126"/>
      <c r="N421" s="126"/>
      <c r="O421" s="126"/>
      <c r="P421" s="126"/>
      <c r="Q421" s="126"/>
      <c r="R421" s="126"/>
    </row>
    <row r="422" spans="13:18">
      <c r="M422" s="126"/>
      <c r="N422" s="126"/>
      <c r="O422" s="126"/>
      <c r="P422" s="126"/>
      <c r="Q422" s="126"/>
      <c r="R422" s="126"/>
    </row>
    <row r="423" spans="13:18">
      <c r="M423" s="126"/>
      <c r="N423" s="126"/>
      <c r="O423" s="126"/>
      <c r="P423" s="126"/>
      <c r="Q423" s="126"/>
      <c r="R423" s="126"/>
    </row>
    <row r="424" spans="13:18">
      <c r="M424" s="126"/>
      <c r="N424" s="126"/>
      <c r="O424" s="126"/>
      <c r="P424" s="126"/>
      <c r="Q424" s="126"/>
      <c r="R424" s="126"/>
    </row>
    <row r="425" spans="13:18">
      <c r="M425" s="126"/>
      <c r="N425" s="126"/>
      <c r="O425" s="126"/>
      <c r="P425" s="126"/>
      <c r="Q425" s="126"/>
      <c r="R425" s="126"/>
    </row>
    <row r="426" spans="13:18">
      <c r="M426" s="126"/>
      <c r="N426" s="126"/>
      <c r="O426" s="126"/>
      <c r="P426" s="126"/>
      <c r="Q426" s="126"/>
      <c r="R426" s="126"/>
    </row>
    <row r="427" spans="13:18">
      <c r="M427" s="126"/>
      <c r="N427" s="126"/>
      <c r="O427" s="126"/>
      <c r="P427" s="126"/>
      <c r="Q427" s="126"/>
      <c r="R427" s="126"/>
    </row>
    <row r="428" spans="13:18">
      <c r="M428" s="126"/>
      <c r="N428" s="126"/>
      <c r="O428" s="126"/>
      <c r="P428" s="126"/>
      <c r="Q428" s="126"/>
      <c r="R428" s="126"/>
    </row>
    <row r="429" spans="13:18">
      <c r="M429" s="126"/>
      <c r="N429" s="126"/>
      <c r="O429" s="126"/>
      <c r="P429" s="126"/>
      <c r="Q429" s="126"/>
      <c r="R429" s="126"/>
    </row>
    <row r="430" spans="13:18">
      <c r="M430" s="126"/>
      <c r="N430" s="126"/>
      <c r="O430" s="126"/>
      <c r="P430" s="126"/>
      <c r="Q430" s="126"/>
      <c r="R430" s="126"/>
    </row>
    <row r="431" spans="13:18">
      <c r="M431" s="126"/>
      <c r="N431" s="126"/>
      <c r="O431" s="126"/>
      <c r="P431" s="126"/>
      <c r="Q431" s="126"/>
      <c r="R431" s="126"/>
    </row>
    <row r="432" spans="13:18">
      <c r="M432" s="126"/>
      <c r="N432" s="126"/>
      <c r="O432" s="126"/>
      <c r="P432" s="126"/>
      <c r="Q432" s="126"/>
      <c r="R432" s="126"/>
    </row>
    <row r="433" spans="13:18">
      <c r="M433" s="126"/>
      <c r="N433" s="126"/>
      <c r="O433" s="126"/>
      <c r="P433" s="126"/>
      <c r="Q433" s="126"/>
      <c r="R433" s="126"/>
    </row>
    <row r="434" spans="13:18" ht="16.5" customHeight="1">
      <c r="M434" s="126"/>
      <c r="N434" s="126"/>
      <c r="O434" s="126"/>
      <c r="P434" s="126"/>
      <c r="Q434" s="126"/>
      <c r="R434" s="126"/>
    </row>
    <row r="435" spans="13:18">
      <c r="M435" s="126"/>
      <c r="N435" s="126"/>
      <c r="O435" s="126"/>
      <c r="P435" s="126"/>
      <c r="Q435" s="126"/>
      <c r="R435" s="126"/>
    </row>
    <row r="436" spans="13:18">
      <c r="M436" s="126"/>
      <c r="N436" s="126"/>
      <c r="O436" s="126"/>
      <c r="P436" s="126"/>
      <c r="Q436" s="126"/>
      <c r="R436" s="126"/>
    </row>
    <row r="437" spans="13:18">
      <c r="M437" s="126"/>
      <c r="N437" s="126"/>
      <c r="O437" s="126"/>
      <c r="P437" s="126"/>
      <c r="Q437" s="126"/>
      <c r="R437" s="126"/>
    </row>
    <row r="438" spans="13:18">
      <c r="M438" s="126"/>
      <c r="N438" s="126"/>
      <c r="O438" s="126"/>
      <c r="P438" s="126"/>
      <c r="Q438" s="126"/>
      <c r="R438" s="126"/>
    </row>
    <row r="439" spans="13:18">
      <c r="M439" s="126"/>
      <c r="N439" s="126"/>
      <c r="O439" s="126"/>
      <c r="P439" s="126"/>
      <c r="Q439" s="126"/>
      <c r="R439" s="126"/>
    </row>
    <row r="440" spans="13:18">
      <c r="M440" s="126"/>
      <c r="N440" s="126"/>
      <c r="O440" s="126"/>
      <c r="P440" s="126"/>
      <c r="Q440" s="126"/>
      <c r="R440" s="126"/>
    </row>
    <row r="441" spans="13:18">
      <c r="M441" s="126"/>
      <c r="N441" s="126"/>
      <c r="O441" s="126"/>
      <c r="P441" s="126"/>
      <c r="Q441" s="126"/>
      <c r="R441" s="126"/>
    </row>
    <row r="442" spans="13:18">
      <c r="M442" s="126"/>
      <c r="N442" s="126"/>
      <c r="O442" s="126"/>
      <c r="P442" s="126"/>
      <c r="Q442" s="126"/>
      <c r="R442" s="126"/>
    </row>
    <row r="443" spans="13:18">
      <c r="M443" s="126"/>
      <c r="N443" s="126"/>
      <c r="O443" s="126"/>
      <c r="P443" s="126"/>
      <c r="Q443" s="126"/>
      <c r="R443" s="126"/>
    </row>
    <row r="444" spans="13:18">
      <c r="M444" s="126"/>
      <c r="N444" s="126"/>
      <c r="O444" s="126"/>
      <c r="P444" s="126"/>
      <c r="Q444" s="126"/>
      <c r="R444" s="126"/>
    </row>
    <row r="445" spans="13:18">
      <c r="M445" s="126"/>
      <c r="N445" s="126"/>
      <c r="O445" s="126"/>
      <c r="P445" s="126"/>
      <c r="Q445" s="126"/>
      <c r="R445" s="126"/>
    </row>
    <row r="446" spans="13:18">
      <c r="M446" s="126"/>
      <c r="N446" s="126"/>
      <c r="O446" s="126"/>
      <c r="P446" s="126"/>
      <c r="Q446" s="126"/>
      <c r="R446" s="126"/>
    </row>
    <row r="447" spans="13:18">
      <c r="M447" s="126"/>
      <c r="N447" s="126"/>
      <c r="O447" s="126"/>
      <c r="P447" s="126"/>
      <c r="Q447" s="126"/>
      <c r="R447" s="126"/>
    </row>
    <row r="448" spans="13:18">
      <c r="M448" s="126"/>
      <c r="N448" s="126"/>
      <c r="O448" s="126"/>
      <c r="P448" s="126"/>
      <c r="Q448" s="126"/>
      <c r="R448" s="126"/>
    </row>
    <row r="449" spans="13:18">
      <c r="M449" s="126"/>
      <c r="N449" s="126"/>
      <c r="O449" s="126"/>
      <c r="P449" s="126"/>
      <c r="Q449" s="126"/>
      <c r="R449" s="126"/>
    </row>
    <row r="450" spans="13:18">
      <c r="M450" s="126"/>
      <c r="N450" s="126"/>
      <c r="O450" s="126"/>
      <c r="P450" s="126"/>
      <c r="Q450" s="126"/>
      <c r="R450" s="126"/>
    </row>
    <row r="451" spans="13:18">
      <c r="M451" s="126"/>
      <c r="N451" s="126"/>
      <c r="O451" s="126"/>
      <c r="P451" s="126"/>
      <c r="Q451" s="126"/>
      <c r="R451" s="126"/>
    </row>
    <row r="452" spans="13:18">
      <c r="M452" s="126"/>
      <c r="N452" s="126"/>
      <c r="O452" s="126"/>
      <c r="P452" s="126"/>
      <c r="Q452" s="126"/>
      <c r="R452" s="126"/>
    </row>
    <row r="453" spans="13:18">
      <c r="M453" s="126"/>
      <c r="N453" s="126"/>
      <c r="O453" s="126"/>
      <c r="P453" s="126"/>
      <c r="Q453" s="126"/>
      <c r="R453" s="126"/>
    </row>
    <row r="454" spans="13:18">
      <c r="M454" s="126"/>
      <c r="N454" s="126"/>
      <c r="O454" s="126"/>
      <c r="P454" s="126"/>
      <c r="Q454" s="126"/>
      <c r="R454" s="126"/>
    </row>
    <row r="455" spans="13:18">
      <c r="M455" s="126"/>
      <c r="N455" s="126"/>
      <c r="O455" s="126"/>
      <c r="P455" s="126"/>
      <c r="Q455" s="126"/>
      <c r="R455" s="126"/>
    </row>
    <row r="456" spans="13:18">
      <c r="M456" s="126"/>
      <c r="N456" s="126"/>
      <c r="O456" s="126"/>
      <c r="P456" s="126"/>
      <c r="Q456" s="126"/>
      <c r="R456" s="126"/>
    </row>
    <row r="457" spans="13:18">
      <c r="M457" s="126"/>
      <c r="N457" s="126"/>
      <c r="O457" s="126"/>
      <c r="P457" s="126"/>
      <c r="Q457" s="126"/>
      <c r="R457" s="126"/>
    </row>
    <row r="458" spans="13:18">
      <c r="M458" s="126"/>
      <c r="N458" s="126"/>
      <c r="O458" s="126"/>
      <c r="P458" s="126"/>
      <c r="Q458" s="126"/>
      <c r="R458" s="126"/>
    </row>
    <row r="459" spans="13:18">
      <c r="M459" s="126"/>
      <c r="N459" s="126"/>
      <c r="O459" s="126"/>
      <c r="P459" s="126"/>
      <c r="Q459" s="126"/>
      <c r="R459" s="126"/>
    </row>
    <row r="460" spans="13:18">
      <c r="M460" s="126"/>
      <c r="N460" s="126"/>
      <c r="O460" s="126"/>
      <c r="P460" s="126"/>
      <c r="Q460" s="126"/>
      <c r="R460" s="126"/>
    </row>
    <row r="461" spans="13:18">
      <c r="M461" s="126"/>
      <c r="N461" s="126"/>
      <c r="O461" s="126"/>
      <c r="P461" s="126"/>
      <c r="Q461" s="126"/>
      <c r="R461" s="126"/>
    </row>
    <row r="462" spans="13:18">
      <c r="M462" s="126"/>
      <c r="N462" s="126"/>
      <c r="O462" s="126"/>
      <c r="P462" s="126"/>
      <c r="Q462" s="126"/>
      <c r="R462" s="126"/>
    </row>
    <row r="463" spans="13:18">
      <c r="M463" s="126"/>
      <c r="N463" s="126"/>
      <c r="O463" s="126"/>
      <c r="P463" s="126"/>
      <c r="Q463" s="126"/>
      <c r="R463" s="126"/>
    </row>
    <row r="464" spans="13:18">
      <c r="M464" s="126"/>
      <c r="N464" s="126"/>
      <c r="O464" s="126"/>
      <c r="P464" s="126"/>
      <c r="Q464" s="126"/>
      <c r="R464" s="126"/>
    </row>
    <row r="465" spans="13:18">
      <c r="M465" s="126"/>
      <c r="N465" s="126"/>
      <c r="O465" s="126"/>
      <c r="P465" s="126"/>
      <c r="Q465" s="126"/>
      <c r="R465" s="126"/>
    </row>
    <row r="466" spans="13:18">
      <c r="M466" s="126"/>
      <c r="N466" s="126"/>
      <c r="O466" s="126"/>
      <c r="P466" s="126"/>
      <c r="Q466" s="126"/>
      <c r="R466" s="126"/>
    </row>
    <row r="467" spans="13:18">
      <c r="M467" s="126"/>
      <c r="N467" s="126"/>
      <c r="O467" s="126"/>
      <c r="P467" s="126"/>
      <c r="Q467" s="126"/>
      <c r="R467" s="126"/>
    </row>
    <row r="468" spans="13:18">
      <c r="M468" s="126"/>
      <c r="N468" s="126"/>
      <c r="O468" s="126"/>
      <c r="P468" s="126"/>
      <c r="Q468" s="126"/>
      <c r="R468" s="126"/>
    </row>
    <row r="469" spans="13:18">
      <c r="M469" s="126"/>
      <c r="N469" s="126"/>
      <c r="O469" s="126"/>
      <c r="P469" s="126"/>
      <c r="Q469" s="126"/>
      <c r="R469" s="126"/>
    </row>
    <row r="470" spans="13:18">
      <c r="M470" s="126"/>
      <c r="N470" s="126"/>
      <c r="O470" s="126"/>
      <c r="P470" s="126"/>
      <c r="Q470" s="126"/>
      <c r="R470" s="126"/>
    </row>
    <row r="471" spans="13:18">
      <c r="M471" s="126"/>
      <c r="N471" s="126"/>
      <c r="O471" s="126"/>
      <c r="P471" s="126"/>
      <c r="Q471" s="126"/>
      <c r="R471" s="126"/>
    </row>
    <row r="472" spans="13:18">
      <c r="M472" s="126"/>
      <c r="N472" s="126"/>
      <c r="O472" s="126"/>
      <c r="P472" s="126"/>
      <c r="Q472" s="126"/>
      <c r="R472" s="126"/>
    </row>
    <row r="473" spans="13:18">
      <c r="M473" s="126"/>
      <c r="N473" s="126"/>
      <c r="O473" s="126"/>
      <c r="P473" s="126"/>
      <c r="Q473" s="126"/>
      <c r="R473" s="126"/>
    </row>
    <row r="474" spans="13:18">
      <c r="M474" s="126"/>
      <c r="N474" s="126"/>
      <c r="O474" s="126"/>
      <c r="P474" s="126"/>
      <c r="Q474" s="126"/>
      <c r="R474" s="126"/>
    </row>
    <row r="475" spans="13:18">
      <c r="M475" s="126"/>
      <c r="N475" s="126"/>
      <c r="O475" s="126"/>
      <c r="P475" s="126"/>
      <c r="Q475" s="126"/>
      <c r="R475" s="126"/>
    </row>
    <row r="476" spans="13:18">
      <c r="M476" s="126"/>
      <c r="N476" s="126"/>
      <c r="O476" s="126"/>
      <c r="P476" s="126"/>
      <c r="Q476" s="126"/>
      <c r="R476" s="126"/>
    </row>
    <row r="477" spans="13:18">
      <c r="M477" s="126"/>
      <c r="N477" s="126"/>
      <c r="O477" s="126"/>
      <c r="P477" s="126"/>
      <c r="Q477" s="126"/>
      <c r="R477" s="126"/>
    </row>
    <row r="478" spans="13:18">
      <c r="M478" s="126"/>
      <c r="N478" s="126"/>
      <c r="O478" s="126"/>
      <c r="P478" s="126"/>
      <c r="Q478" s="126"/>
      <c r="R478" s="126"/>
    </row>
    <row r="479" spans="13:18">
      <c r="M479" s="126"/>
      <c r="N479" s="126"/>
      <c r="O479" s="126"/>
      <c r="P479" s="126"/>
      <c r="Q479" s="126"/>
      <c r="R479" s="126"/>
    </row>
    <row r="480" spans="13:18">
      <c r="M480" s="126"/>
      <c r="N480" s="126"/>
      <c r="O480" s="126"/>
      <c r="P480" s="126"/>
      <c r="Q480" s="126"/>
      <c r="R480" s="126"/>
    </row>
    <row r="481" spans="8:18">
      <c r="M481" s="126"/>
      <c r="N481" s="126"/>
      <c r="O481" s="126"/>
      <c r="P481" s="126"/>
      <c r="Q481" s="126"/>
      <c r="R481" s="126"/>
    </row>
    <row r="482" spans="8:18">
      <c r="H482" s="111"/>
      <c r="M482" s="126"/>
      <c r="N482" s="126"/>
      <c r="O482" s="126"/>
      <c r="P482" s="126"/>
      <c r="Q482" s="126"/>
      <c r="R482" s="126"/>
    </row>
    <row r="483" spans="8:18">
      <c r="H483" s="111"/>
      <c r="M483" s="126"/>
      <c r="N483" s="126"/>
      <c r="O483" s="126"/>
      <c r="P483" s="126"/>
      <c r="Q483" s="126"/>
      <c r="R483" s="126"/>
    </row>
    <row r="484" spans="8:18">
      <c r="H484" s="111"/>
      <c r="M484" s="126"/>
      <c r="N484" s="126"/>
      <c r="O484" s="126"/>
      <c r="P484" s="126"/>
      <c r="Q484" s="126"/>
      <c r="R484" s="126"/>
    </row>
    <row r="485" spans="8:18">
      <c r="H485" s="111"/>
      <c r="M485" s="126"/>
      <c r="N485" s="126"/>
      <c r="O485" s="126"/>
      <c r="P485" s="126"/>
      <c r="Q485" s="126"/>
      <c r="R485" s="126"/>
    </row>
    <row r="486" spans="8:18">
      <c r="H486" s="111"/>
      <c r="M486" s="126"/>
      <c r="N486" s="126"/>
      <c r="O486" s="126"/>
      <c r="P486" s="126"/>
      <c r="Q486" s="126"/>
      <c r="R486" s="126"/>
    </row>
    <row r="487" spans="8:18">
      <c r="H487" s="111"/>
      <c r="M487" s="126"/>
      <c r="N487" s="126"/>
      <c r="O487" s="126"/>
      <c r="P487" s="126"/>
      <c r="Q487" s="126"/>
      <c r="R487" s="126"/>
    </row>
    <row r="488" spans="8:18">
      <c r="H488" s="111"/>
      <c r="M488" s="126"/>
      <c r="N488" s="126"/>
      <c r="O488" s="126"/>
      <c r="P488" s="126"/>
      <c r="Q488" s="126"/>
      <c r="R488" s="126"/>
    </row>
    <row r="489" spans="8:18">
      <c r="H489" s="111"/>
      <c r="M489" s="126"/>
      <c r="N489" s="126"/>
      <c r="O489" s="126"/>
      <c r="P489" s="126"/>
      <c r="Q489" s="126"/>
      <c r="R489" s="126"/>
    </row>
    <row r="490" spans="8:18">
      <c r="H490" s="111"/>
      <c r="M490" s="126"/>
      <c r="N490" s="126"/>
      <c r="O490" s="126"/>
      <c r="P490" s="126"/>
      <c r="Q490" s="126"/>
      <c r="R490" s="126"/>
    </row>
    <row r="491" spans="8:18">
      <c r="H491" s="111"/>
      <c r="M491" s="126"/>
      <c r="N491" s="126"/>
      <c r="O491" s="126"/>
      <c r="P491" s="126"/>
      <c r="Q491" s="126"/>
      <c r="R491" s="126"/>
    </row>
    <row r="492" spans="8:18">
      <c r="H492" s="111"/>
      <c r="M492" s="126"/>
      <c r="N492" s="126"/>
      <c r="O492" s="126"/>
      <c r="P492" s="126"/>
      <c r="Q492" s="126"/>
      <c r="R492" s="126"/>
    </row>
    <row r="493" spans="8:18">
      <c r="M493" s="126"/>
      <c r="N493" s="126"/>
      <c r="O493" s="126"/>
      <c r="P493" s="126"/>
      <c r="Q493" s="126"/>
      <c r="R493" s="126"/>
    </row>
    <row r="494" spans="8:18">
      <c r="M494" s="126"/>
      <c r="N494" s="126"/>
      <c r="O494" s="126"/>
      <c r="P494" s="126"/>
      <c r="Q494" s="126"/>
      <c r="R494" s="126"/>
    </row>
    <row r="495" spans="8:18">
      <c r="M495" s="126"/>
      <c r="N495" s="126"/>
      <c r="O495" s="126"/>
      <c r="P495" s="126"/>
      <c r="Q495" s="126"/>
      <c r="R495" s="126"/>
    </row>
    <row r="496" spans="8:18">
      <c r="M496" s="126"/>
      <c r="N496" s="126"/>
      <c r="O496" s="126"/>
      <c r="P496" s="126"/>
      <c r="Q496" s="126"/>
      <c r="R496" s="126"/>
    </row>
    <row r="497" spans="13:18">
      <c r="M497" s="126"/>
      <c r="N497" s="126"/>
      <c r="O497" s="126"/>
      <c r="P497" s="126"/>
      <c r="Q497" s="126"/>
      <c r="R497" s="126"/>
    </row>
    <row r="498" spans="13:18">
      <c r="M498" s="126"/>
      <c r="N498" s="126"/>
      <c r="O498" s="126"/>
      <c r="P498" s="126"/>
      <c r="Q498" s="126"/>
      <c r="R498" s="126"/>
    </row>
    <row r="499" spans="13:18">
      <c r="M499" s="126"/>
      <c r="N499" s="126"/>
      <c r="O499" s="126"/>
      <c r="P499" s="126"/>
      <c r="Q499" s="126"/>
      <c r="R499" s="126"/>
    </row>
    <row r="500" spans="13:18">
      <c r="M500" s="126"/>
      <c r="N500" s="126"/>
      <c r="O500" s="126"/>
      <c r="P500" s="126"/>
      <c r="Q500" s="126"/>
      <c r="R500" s="126"/>
    </row>
    <row r="501" spans="13:18">
      <c r="M501" s="126"/>
      <c r="N501" s="126"/>
      <c r="O501" s="126"/>
      <c r="P501" s="126"/>
      <c r="Q501" s="126"/>
      <c r="R501" s="126"/>
    </row>
    <row r="502" spans="13:18">
      <c r="M502" s="126"/>
      <c r="N502" s="126"/>
      <c r="O502" s="126"/>
      <c r="P502" s="126"/>
      <c r="Q502" s="126"/>
      <c r="R502" s="126"/>
    </row>
    <row r="503" spans="13:18">
      <c r="M503" s="126"/>
      <c r="N503" s="126"/>
      <c r="O503" s="126"/>
      <c r="P503" s="126"/>
      <c r="Q503" s="126"/>
      <c r="R503" s="126"/>
    </row>
    <row r="504" spans="13:18">
      <c r="M504" s="126"/>
      <c r="N504" s="126"/>
      <c r="O504" s="126"/>
      <c r="P504" s="126"/>
      <c r="Q504" s="126"/>
      <c r="R504" s="126"/>
    </row>
    <row r="505" spans="13:18">
      <c r="M505" s="126"/>
      <c r="N505" s="126"/>
      <c r="O505" s="126"/>
      <c r="P505" s="126"/>
      <c r="Q505" s="126"/>
      <c r="R505" s="126"/>
    </row>
    <row r="506" spans="13:18">
      <c r="M506" s="126"/>
      <c r="N506" s="126"/>
      <c r="O506" s="126"/>
      <c r="P506" s="126"/>
      <c r="Q506" s="126"/>
      <c r="R506" s="126"/>
    </row>
    <row r="507" spans="13:18">
      <c r="M507" s="126"/>
      <c r="N507" s="126"/>
      <c r="O507" s="126"/>
      <c r="P507" s="126"/>
      <c r="Q507" s="126"/>
      <c r="R507" s="126"/>
    </row>
    <row r="508" spans="13:18">
      <c r="M508" s="126"/>
      <c r="N508" s="126"/>
      <c r="O508" s="126"/>
      <c r="P508" s="126"/>
      <c r="Q508" s="126"/>
      <c r="R508" s="126"/>
    </row>
    <row r="509" spans="13:18">
      <c r="M509" s="126"/>
      <c r="N509" s="126"/>
      <c r="O509" s="126"/>
      <c r="P509" s="126"/>
      <c r="Q509" s="126"/>
      <c r="R509" s="126"/>
    </row>
    <row r="510" spans="13:18">
      <c r="M510" s="126"/>
      <c r="N510" s="126"/>
      <c r="O510" s="126"/>
      <c r="P510" s="126"/>
      <c r="Q510" s="126"/>
      <c r="R510" s="126"/>
    </row>
    <row r="511" spans="13:18">
      <c r="M511" s="126"/>
      <c r="N511" s="126"/>
      <c r="O511" s="126"/>
      <c r="P511" s="126"/>
      <c r="Q511" s="126"/>
      <c r="R511" s="126"/>
    </row>
    <row r="512" spans="13:18">
      <c r="M512" s="126"/>
      <c r="N512" s="126"/>
      <c r="O512" s="126"/>
      <c r="P512" s="126"/>
      <c r="Q512" s="126"/>
      <c r="R512" s="126"/>
    </row>
    <row r="513" spans="13:18">
      <c r="M513" s="126"/>
      <c r="N513" s="126"/>
      <c r="O513" s="126"/>
      <c r="P513" s="126"/>
      <c r="Q513" s="126"/>
      <c r="R513" s="126"/>
    </row>
    <row r="514" spans="13:18">
      <c r="M514" s="126"/>
      <c r="N514" s="126"/>
      <c r="O514" s="126"/>
      <c r="P514" s="126"/>
      <c r="Q514" s="126"/>
      <c r="R514" s="126"/>
    </row>
    <row r="515" spans="13:18">
      <c r="M515" s="126"/>
      <c r="N515" s="126"/>
      <c r="O515" s="126"/>
      <c r="P515" s="126"/>
      <c r="Q515" s="126"/>
      <c r="R515" s="126"/>
    </row>
    <row r="516" spans="13:18">
      <c r="M516" s="126"/>
      <c r="N516" s="126"/>
      <c r="O516" s="126"/>
      <c r="P516" s="126"/>
      <c r="Q516" s="126"/>
      <c r="R516" s="126"/>
    </row>
    <row r="517" spans="13:18">
      <c r="M517" s="126"/>
      <c r="N517" s="126"/>
      <c r="O517" s="126"/>
      <c r="P517" s="126"/>
      <c r="Q517" s="126"/>
      <c r="R517" s="126"/>
    </row>
    <row r="518" spans="13:18">
      <c r="M518" s="126"/>
      <c r="N518" s="126"/>
      <c r="O518" s="126"/>
      <c r="P518" s="126"/>
      <c r="Q518" s="126"/>
      <c r="R518" s="126"/>
    </row>
    <row r="519" spans="13:18">
      <c r="M519" s="126"/>
      <c r="N519" s="126"/>
      <c r="O519" s="126"/>
      <c r="P519" s="126"/>
      <c r="Q519" s="126"/>
      <c r="R519" s="126"/>
    </row>
    <row r="520" spans="13:18">
      <c r="M520" s="126"/>
      <c r="N520" s="126"/>
      <c r="O520" s="126"/>
      <c r="P520" s="126"/>
      <c r="Q520" s="126"/>
      <c r="R520" s="126"/>
    </row>
    <row r="521" spans="13:18">
      <c r="M521" s="126"/>
      <c r="N521" s="126"/>
      <c r="O521" s="126"/>
      <c r="P521" s="126"/>
      <c r="Q521" s="126"/>
      <c r="R521" s="126"/>
    </row>
    <row r="522" spans="13:18">
      <c r="M522" s="126"/>
      <c r="N522" s="126"/>
      <c r="O522" s="126"/>
      <c r="P522" s="126"/>
      <c r="Q522" s="126"/>
      <c r="R522" s="126"/>
    </row>
    <row r="523" spans="13:18">
      <c r="M523" s="126"/>
      <c r="N523" s="126"/>
      <c r="O523" s="126"/>
      <c r="P523" s="126"/>
      <c r="Q523" s="126"/>
      <c r="R523" s="126"/>
    </row>
    <row r="524" spans="13:18">
      <c r="M524" s="126"/>
      <c r="N524" s="126"/>
      <c r="O524" s="126"/>
      <c r="P524" s="126"/>
      <c r="Q524" s="126"/>
      <c r="R524" s="126"/>
    </row>
    <row r="525" spans="13:18">
      <c r="M525" s="126"/>
      <c r="N525" s="126"/>
      <c r="O525" s="126"/>
      <c r="P525" s="126"/>
      <c r="Q525" s="126"/>
      <c r="R525" s="126"/>
    </row>
    <row r="526" spans="13:18">
      <c r="M526" s="126"/>
      <c r="N526" s="126"/>
      <c r="O526" s="126"/>
      <c r="P526" s="126"/>
      <c r="Q526" s="126"/>
      <c r="R526" s="126"/>
    </row>
    <row r="527" spans="13:18">
      <c r="M527" s="126"/>
      <c r="N527" s="126"/>
      <c r="O527" s="126"/>
      <c r="P527" s="126"/>
      <c r="Q527" s="126"/>
      <c r="R527" s="126"/>
    </row>
    <row r="528" spans="13:18">
      <c r="M528" s="126"/>
      <c r="N528" s="126"/>
      <c r="O528" s="126"/>
      <c r="P528" s="126"/>
      <c r="Q528" s="126"/>
      <c r="R528" s="126"/>
    </row>
    <row r="529" spans="13:18">
      <c r="M529" s="126"/>
      <c r="N529" s="126"/>
      <c r="O529" s="126"/>
      <c r="P529" s="126"/>
      <c r="Q529" s="126"/>
      <c r="R529" s="126"/>
    </row>
    <row r="530" spans="13:18">
      <c r="M530" s="126"/>
      <c r="N530" s="126"/>
      <c r="O530" s="126"/>
      <c r="P530" s="126"/>
      <c r="Q530" s="126"/>
      <c r="R530" s="126"/>
    </row>
    <row r="531" spans="13:18">
      <c r="M531" s="126"/>
      <c r="N531" s="126"/>
      <c r="O531" s="126"/>
      <c r="P531" s="126"/>
      <c r="Q531" s="126"/>
      <c r="R531" s="126"/>
    </row>
    <row r="532" spans="13:18">
      <c r="M532" s="126"/>
      <c r="N532" s="126"/>
      <c r="O532" s="126"/>
      <c r="P532" s="126"/>
      <c r="Q532" s="126"/>
      <c r="R532" s="126"/>
    </row>
    <row r="533" spans="13:18">
      <c r="M533" s="126"/>
      <c r="N533" s="126"/>
      <c r="O533" s="126"/>
      <c r="P533" s="126"/>
      <c r="Q533" s="126"/>
      <c r="R533" s="126"/>
    </row>
    <row r="534" spans="13:18">
      <c r="M534" s="126"/>
      <c r="N534" s="126"/>
      <c r="O534" s="126"/>
      <c r="P534" s="126"/>
      <c r="Q534" s="126"/>
      <c r="R534" s="126"/>
    </row>
    <row r="535" spans="13:18">
      <c r="M535" s="126"/>
      <c r="N535" s="126"/>
      <c r="O535" s="126"/>
      <c r="P535" s="126"/>
      <c r="Q535" s="126"/>
      <c r="R535" s="126"/>
    </row>
    <row r="536" spans="13:18">
      <c r="M536" s="126"/>
      <c r="N536" s="126"/>
      <c r="O536" s="126"/>
      <c r="P536" s="126"/>
      <c r="Q536" s="126"/>
      <c r="R536" s="126"/>
    </row>
    <row r="537" spans="13:18">
      <c r="M537" s="126"/>
      <c r="N537" s="126"/>
      <c r="O537" s="126"/>
      <c r="P537" s="126"/>
      <c r="Q537" s="126"/>
      <c r="R537" s="126"/>
    </row>
    <row r="538" spans="13:18">
      <c r="M538" s="126"/>
      <c r="N538" s="126"/>
      <c r="O538" s="126"/>
      <c r="P538" s="126"/>
      <c r="Q538" s="126"/>
      <c r="R538" s="126"/>
    </row>
    <row r="539" spans="13:18">
      <c r="M539" s="126"/>
      <c r="N539" s="126"/>
      <c r="O539" s="126"/>
      <c r="P539" s="126"/>
      <c r="Q539" s="126"/>
      <c r="R539" s="126"/>
    </row>
    <row r="540" spans="13:18">
      <c r="M540" s="126"/>
      <c r="N540" s="126"/>
      <c r="O540" s="126"/>
      <c r="P540" s="126"/>
      <c r="Q540" s="126"/>
      <c r="R540" s="126"/>
    </row>
    <row r="541" spans="13:18">
      <c r="M541" s="126"/>
      <c r="N541" s="126"/>
      <c r="O541" s="126"/>
      <c r="P541" s="126"/>
      <c r="Q541" s="126"/>
      <c r="R541" s="126"/>
    </row>
    <row r="542" spans="13:18">
      <c r="M542" s="126"/>
      <c r="N542" s="126"/>
      <c r="O542" s="126"/>
      <c r="P542" s="126"/>
      <c r="Q542" s="126"/>
      <c r="R542" s="126"/>
    </row>
    <row r="543" spans="13:18">
      <c r="M543" s="126"/>
      <c r="N543" s="126"/>
      <c r="O543" s="126"/>
      <c r="P543" s="126"/>
      <c r="Q543" s="126"/>
      <c r="R543" s="126"/>
    </row>
    <row r="544" spans="13:18">
      <c r="M544" s="126"/>
      <c r="N544" s="126"/>
      <c r="O544" s="126"/>
      <c r="P544" s="126"/>
      <c r="Q544" s="126"/>
      <c r="R544" s="126"/>
    </row>
    <row r="545" spans="13:18">
      <c r="M545" s="126"/>
      <c r="N545" s="126"/>
      <c r="O545" s="126"/>
      <c r="P545" s="126"/>
      <c r="Q545" s="126"/>
      <c r="R545" s="126"/>
    </row>
    <row r="546" spans="13:18">
      <c r="M546" s="126"/>
      <c r="N546" s="126"/>
      <c r="O546" s="126"/>
      <c r="P546" s="126"/>
      <c r="Q546" s="126"/>
      <c r="R546" s="126"/>
    </row>
    <row r="547" spans="13:18">
      <c r="M547" s="126"/>
      <c r="N547" s="126"/>
      <c r="O547" s="126"/>
      <c r="P547" s="126"/>
      <c r="Q547" s="126"/>
      <c r="R547" s="126"/>
    </row>
    <row r="548" spans="13:18">
      <c r="M548" s="126"/>
      <c r="N548" s="126"/>
      <c r="O548" s="126"/>
      <c r="P548" s="126"/>
      <c r="Q548" s="126"/>
      <c r="R548" s="126"/>
    </row>
    <row r="549" spans="13:18">
      <c r="M549" s="126"/>
      <c r="N549" s="126"/>
      <c r="O549" s="126"/>
      <c r="P549" s="126"/>
      <c r="Q549" s="126"/>
      <c r="R549" s="126"/>
    </row>
    <row r="550" spans="13:18">
      <c r="M550" s="126"/>
      <c r="N550" s="126"/>
      <c r="O550" s="126"/>
      <c r="P550" s="126"/>
      <c r="Q550" s="126"/>
      <c r="R550" s="126"/>
    </row>
    <row r="551" spans="13:18">
      <c r="M551" s="126"/>
      <c r="N551" s="126"/>
      <c r="O551" s="126"/>
      <c r="P551" s="126"/>
      <c r="Q551" s="126"/>
      <c r="R551" s="126"/>
    </row>
    <row r="552" spans="13:18">
      <c r="M552" s="126"/>
      <c r="N552" s="126"/>
      <c r="O552" s="126"/>
      <c r="P552" s="126"/>
      <c r="Q552" s="126"/>
      <c r="R552" s="126"/>
    </row>
    <row r="553" spans="13:18">
      <c r="M553" s="126"/>
      <c r="N553" s="126"/>
      <c r="O553" s="126"/>
      <c r="P553" s="126"/>
      <c r="Q553" s="126"/>
      <c r="R553" s="126"/>
    </row>
    <row r="554" spans="13:18">
      <c r="M554" s="126"/>
      <c r="N554" s="126"/>
      <c r="O554" s="126"/>
      <c r="P554" s="126"/>
      <c r="Q554" s="126"/>
      <c r="R554" s="126"/>
    </row>
    <row r="555" spans="13:18">
      <c r="M555" s="126"/>
      <c r="N555" s="126"/>
      <c r="O555" s="126"/>
      <c r="P555" s="126"/>
      <c r="Q555" s="126"/>
      <c r="R555" s="126"/>
    </row>
    <row r="556" spans="13:18">
      <c r="M556" s="126"/>
      <c r="N556" s="126"/>
      <c r="O556" s="126"/>
      <c r="P556" s="126"/>
      <c r="Q556" s="126"/>
      <c r="R556" s="126"/>
    </row>
    <row r="557" spans="13:18">
      <c r="M557" s="126"/>
      <c r="N557" s="126"/>
      <c r="O557" s="126"/>
      <c r="P557" s="126"/>
      <c r="Q557" s="126"/>
      <c r="R557" s="126"/>
    </row>
    <row r="558" spans="13:18">
      <c r="M558" s="126"/>
      <c r="N558" s="126"/>
      <c r="O558" s="126"/>
      <c r="P558" s="126"/>
      <c r="Q558" s="126"/>
      <c r="R558" s="126"/>
    </row>
    <row r="559" spans="13:18">
      <c r="M559" s="126"/>
      <c r="N559" s="126"/>
      <c r="O559" s="126"/>
      <c r="P559" s="126"/>
      <c r="Q559" s="126"/>
      <c r="R559" s="126"/>
    </row>
    <row r="560" spans="13:18">
      <c r="M560" s="126"/>
      <c r="N560" s="126"/>
      <c r="O560" s="126"/>
      <c r="P560" s="126"/>
      <c r="Q560" s="126"/>
      <c r="R560" s="126"/>
    </row>
    <row r="561" spans="13:18">
      <c r="M561" s="126"/>
      <c r="N561" s="126"/>
      <c r="O561" s="126"/>
      <c r="P561" s="126"/>
      <c r="Q561" s="126"/>
      <c r="R561" s="126"/>
    </row>
    <row r="562" spans="13:18">
      <c r="M562" s="126"/>
      <c r="N562" s="126"/>
      <c r="O562" s="126"/>
      <c r="P562" s="126"/>
      <c r="Q562" s="126"/>
      <c r="R562" s="126"/>
    </row>
    <row r="563" spans="13:18">
      <c r="M563" s="126"/>
      <c r="N563" s="126"/>
      <c r="O563" s="126"/>
      <c r="P563" s="126"/>
      <c r="Q563" s="126"/>
      <c r="R563" s="126"/>
    </row>
    <row r="564" spans="13:18">
      <c r="M564" s="126"/>
      <c r="N564" s="126"/>
      <c r="O564" s="126"/>
      <c r="P564" s="126"/>
      <c r="Q564" s="126"/>
      <c r="R564" s="126"/>
    </row>
    <row r="565" spans="13:18">
      <c r="M565" s="126"/>
      <c r="N565" s="126"/>
      <c r="O565" s="126"/>
      <c r="P565" s="126"/>
      <c r="Q565" s="126"/>
      <c r="R565" s="126"/>
    </row>
    <row r="566" spans="13:18">
      <c r="M566" s="126"/>
      <c r="N566" s="126"/>
      <c r="O566" s="126"/>
      <c r="P566" s="126"/>
      <c r="Q566" s="126"/>
      <c r="R566" s="126"/>
    </row>
    <row r="567" spans="13:18">
      <c r="M567" s="126"/>
      <c r="N567" s="126"/>
      <c r="O567" s="126"/>
      <c r="P567" s="126"/>
      <c r="Q567" s="126"/>
      <c r="R567" s="126"/>
    </row>
    <row r="568" spans="13:18">
      <c r="M568" s="126"/>
      <c r="N568" s="126"/>
      <c r="O568" s="126"/>
      <c r="P568" s="126"/>
      <c r="Q568" s="126"/>
      <c r="R568" s="126"/>
    </row>
    <row r="569" spans="13:18">
      <c r="M569" s="126"/>
      <c r="N569" s="126"/>
      <c r="O569" s="126"/>
      <c r="P569" s="126"/>
      <c r="Q569" s="126"/>
      <c r="R569" s="126"/>
    </row>
    <row r="570" spans="13:18">
      <c r="M570" s="126"/>
      <c r="N570" s="126"/>
      <c r="O570" s="126"/>
      <c r="P570" s="126"/>
      <c r="Q570" s="126"/>
      <c r="R570" s="126"/>
    </row>
    <row r="571" spans="13:18">
      <c r="M571" s="126"/>
      <c r="N571" s="126"/>
      <c r="O571" s="126"/>
      <c r="P571" s="126"/>
      <c r="Q571" s="126"/>
      <c r="R571" s="126"/>
    </row>
    <row r="572" spans="13:18">
      <c r="M572" s="126"/>
      <c r="N572" s="126"/>
      <c r="O572" s="126"/>
      <c r="P572" s="126"/>
      <c r="Q572" s="126"/>
      <c r="R572" s="126"/>
    </row>
    <row r="573" spans="13:18">
      <c r="M573" s="126"/>
      <c r="N573" s="126"/>
      <c r="O573" s="126"/>
      <c r="P573" s="126"/>
      <c r="Q573" s="126"/>
      <c r="R573" s="126"/>
    </row>
    <row r="574" spans="13:18">
      <c r="M574" s="126"/>
      <c r="N574" s="126"/>
      <c r="O574" s="126"/>
      <c r="P574" s="126"/>
      <c r="Q574" s="126"/>
      <c r="R574" s="126"/>
    </row>
    <row r="575" spans="13:18">
      <c r="M575" s="126"/>
      <c r="N575" s="126"/>
      <c r="O575" s="126"/>
      <c r="P575" s="126"/>
      <c r="Q575" s="126"/>
      <c r="R575" s="126"/>
    </row>
    <row r="576" spans="13:18">
      <c r="M576" s="126"/>
      <c r="N576" s="126"/>
      <c r="O576" s="126"/>
      <c r="P576" s="126"/>
      <c r="Q576" s="126"/>
      <c r="R576" s="126"/>
    </row>
    <row r="577" spans="13:18">
      <c r="M577" s="126"/>
      <c r="N577" s="126"/>
      <c r="O577" s="126"/>
      <c r="P577" s="126"/>
      <c r="Q577" s="126"/>
      <c r="R577" s="126"/>
    </row>
    <row r="578" spans="13:18">
      <c r="M578" s="126"/>
      <c r="N578" s="126"/>
      <c r="O578" s="126"/>
      <c r="P578" s="126"/>
      <c r="Q578" s="126"/>
      <c r="R578" s="126"/>
    </row>
    <row r="579" spans="13:18">
      <c r="M579" s="126"/>
      <c r="N579" s="126"/>
      <c r="O579" s="126"/>
      <c r="P579" s="126"/>
      <c r="Q579" s="126"/>
      <c r="R579" s="126"/>
    </row>
    <row r="580" spans="13:18">
      <c r="M580" s="126"/>
      <c r="N580" s="126"/>
      <c r="O580" s="126"/>
      <c r="P580" s="126"/>
      <c r="Q580" s="126"/>
      <c r="R580" s="126"/>
    </row>
    <row r="581" spans="13:18">
      <c r="M581" s="126"/>
      <c r="N581" s="126"/>
      <c r="O581" s="126"/>
      <c r="P581" s="126"/>
      <c r="Q581" s="126"/>
      <c r="R581" s="126"/>
    </row>
    <row r="582" spans="13:18">
      <c r="M582" s="126"/>
      <c r="N582" s="126"/>
      <c r="O582" s="126"/>
      <c r="P582" s="126"/>
      <c r="Q582" s="126"/>
      <c r="R582" s="126"/>
    </row>
    <row r="583" spans="13:18">
      <c r="M583" s="126"/>
      <c r="N583" s="126"/>
      <c r="O583" s="126"/>
      <c r="P583" s="126"/>
      <c r="Q583" s="126"/>
      <c r="R583" s="126"/>
    </row>
    <row r="584" spans="13:18">
      <c r="M584" s="126"/>
      <c r="N584" s="126"/>
      <c r="O584" s="126"/>
      <c r="P584" s="126"/>
      <c r="Q584" s="126"/>
      <c r="R584" s="126"/>
    </row>
    <row r="585" spans="13:18">
      <c r="M585" s="126"/>
      <c r="N585" s="126"/>
      <c r="O585" s="126"/>
      <c r="P585" s="126"/>
      <c r="Q585" s="126"/>
      <c r="R585" s="126"/>
    </row>
    <row r="586" spans="13:18">
      <c r="M586" s="126"/>
      <c r="N586" s="126"/>
      <c r="O586" s="126"/>
      <c r="P586" s="126"/>
      <c r="Q586" s="126"/>
      <c r="R586" s="126"/>
    </row>
    <row r="587" spans="13:18">
      <c r="M587" s="126"/>
      <c r="N587" s="126"/>
      <c r="O587" s="126"/>
      <c r="P587" s="126"/>
      <c r="Q587" s="126"/>
      <c r="R587" s="126"/>
    </row>
    <row r="588" spans="13:18">
      <c r="M588" s="126"/>
      <c r="N588" s="126"/>
      <c r="O588" s="126"/>
      <c r="P588" s="126"/>
      <c r="Q588" s="126"/>
      <c r="R588" s="126"/>
    </row>
    <row r="589" spans="13:18">
      <c r="M589" s="126"/>
      <c r="N589" s="126"/>
      <c r="O589" s="126"/>
      <c r="P589" s="126"/>
      <c r="Q589" s="126"/>
      <c r="R589" s="126"/>
    </row>
    <row r="590" spans="13:18">
      <c r="M590" s="126"/>
      <c r="N590" s="126"/>
      <c r="O590" s="126"/>
      <c r="P590" s="126"/>
      <c r="Q590" s="126"/>
      <c r="R590" s="126"/>
    </row>
    <row r="591" spans="13:18">
      <c r="M591" s="126"/>
      <c r="N591" s="126"/>
      <c r="O591" s="126"/>
      <c r="P591" s="126"/>
      <c r="Q591" s="126"/>
      <c r="R591" s="126"/>
    </row>
    <row r="592" spans="13:18">
      <c r="M592" s="126"/>
      <c r="N592" s="126"/>
      <c r="O592" s="126"/>
      <c r="P592" s="126"/>
      <c r="Q592" s="126"/>
      <c r="R592" s="126"/>
    </row>
    <row r="593" spans="13:18">
      <c r="M593" s="126"/>
      <c r="N593" s="126"/>
      <c r="O593" s="126"/>
      <c r="P593" s="126"/>
      <c r="Q593" s="126"/>
      <c r="R593" s="126"/>
    </row>
    <row r="594" spans="13:18">
      <c r="M594" s="126"/>
      <c r="N594" s="126"/>
      <c r="O594" s="126"/>
      <c r="P594" s="126"/>
      <c r="Q594" s="126"/>
      <c r="R594" s="126"/>
    </row>
    <row r="595" spans="13:18">
      <c r="M595" s="126"/>
      <c r="N595" s="126"/>
      <c r="O595" s="126"/>
      <c r="P595" s="126"/>
      <c r="Q595" s="126"/>
      <c r="R595" s="126"/>
    </row>
    <row r="596" spans="13:18">
      <c r="M596" s="126"/>
      <c r="N596" s="126"/>
      <c r="O596" s="126"/>
      <c r="P596" s="126"/>
      <c r="Q596" s="126"/>
      <c r="R596" s="126"/>
    </row>
    <row r="597" spans="13:18">
      <c r="M597" s="126"/>
      <c r="N597" s="126"/>
      <c r="O597" s="126"/>
      <c r="P597" s="126"/>
      <c r="Q597" s="126"/>
      <c r="R597" s="126"/>
    </row>
    <row r="598" spans="13:18">
      <c r="M598" s="126"/>
      <c r="N598" s="126"/>
      <c r="O598" s="126"/>
      <c r="P598" s="126"/>
      <c r="Q598" s="126"/>
      <c r="R598" s="126"/>
    </row>
    <row r="599" spans="13:18">
      <c r="M599" s="126"/>
      <c r="N599" s="126"/>
      <c r="O599" s="126"/>
      <c r="P599" s="126"/>
      <c r="Q599" s="126"/>
      <c r="R599" s="126"/>
    </row>
    <row r="600" spans="13:18">
      <c r="M600" s="126"/>
      <c r="N600" s="126"/>
      <c r="O600" s="126"/>
      <c r="P600" s="126"/>
      <c r="Q600" s="126"/>
      <c r="R600" s="126"/>
    </row>
    <row r="601" spans="13:18">
      <c r="M601" s="126"/>
      <c r="N601" s="126"/>
      <c r="O601" s="126"/>
      <c r="P601" s="126"/>
      <c r="Q601" s="126"/>
      <c r="R601" s="126"/>
    </row>
    <row r="602" spans="13:18">
      <c r="M602" s="126"/>
      <c r="N602" s="126"/>
      <c r="O602" s="126"/>
      <c r="P602" s="126"/>
      <c r="Q602" s="126"/>
      <c r="R602" s="126"/>
    </row>
    <row r="603" spans="13:18">
      <c r="M603" s="126"/>
      <c r="N603" s="126"/>
      <c r="O603" s="126"/>
      <c r="P603" s="126"/>
      <c r="Q603" s="126"/>
      <c r="R603" s="126"/>
    </row>
    <row r="604" spans="13:18">
      <c r="M604" s="126"/>
      <c r="N604" s="126"/>
      <c r="O604" s="126"/>
      <c r="P604" s="126"/>
      <c r="Q604" s="126"/>
      <c r="R604" s="126"/>
    </row>
    <row r="605" spans="13:18">
      <c r="M605" s="126"/>
      <c r="N605" s="126"/>
      <c r="O605" s="126"/>
      <c r="P605" s="126"/>
      <c r="Q605" s="126"/>
      <c r="R605" s="126"/>
    </row>
    <row r="606" spans="13:18">
      <c r="M606" s="126"/>
      <c r="N606" s="126"/>
      <c r="O606" s="126"/>
      <c r="P606" s="126"/>
      <c r="Q606" s="126"/>
      <c r="R606" s="126"/>
    </row>
    <row r="607" spans="13:18">
      <c r="M607" s="126"/>
      <c r="N607" s="126"/>
      <c r="O607" s="126"/>
      <c r="P607" s="126"/>
      <c r="Q607" s="126"/>
      <c r="R607" s="126"/>
    </row>
    <row r="608" spans="13:18">
      <c r="M608" s="126"/>
      <c r="N608" s="126"/>
      <c r="O608" s="126"/>
      <c r="P608" s="126"/>
      <c r="Q608" s="126"/>
      <c r="R608" s="126"/>
    </row>
    <row r="609" spans="13:18">
      <c r="M609" s="126"/>
      <c r="N609" s="126"/>
      <c r="O609" s="126"/>
      <c r="P609" s="126"/>
      <c r="Q609" s="126"/>
      <c r="R609" s="126"/>
    </row>
    <row r="610" spans="13:18">
      <c r="M610" s="126"/>
      <c r="N610" s="126"/>
      <c r="O610" s="126"/>
      <c r="P610" s="126"/>
      <c r="Q610" s="126"/>
      <c r="R610" s="126"/>
    </row>
    <row r="611" spans="13:18">
      <c r="M611" s="126"/>
      <c r="N611" s="126"/>
      <c r="O611" s="126"/>
      <c r="P611" s="126"/>
      <c r="Q611" s="126"/>
      <c r="R611" s="126"/>
    </row>
    <row r="612" spans="13:18">
      <c r="M612" s="126"/>
      <c r="N612" s="126"/>
      <c r="O612" s="126"/>
      <c r="P612" s="126"/>
      <c r="Q612" s="126"/>
      <c r="R612" s="126"/>
    </row>
    <row r="613" spans="13:18">
      <c r="M613" s="126"/>
      <c r="N613" s="126"/>
      <c r="O613" s="126"/>
      <c r="P613" s="126"/>
      <c r="Q613" s="126"/>
      <c r="R613" s="126"/>
    </row>
    <row r="614" spans="13:18">
      <c r="M614" s="126"/>
      <c r="N614" s="126"/>
      <c r="O614" s="126"/>
      <c r="P614" s="126"/>
      <c r="Q614" s="126"/>
      <c r="R614" s="126"/>
    </row>
    <row r="615" spans="13:18">
      <c r="M615" s="126"/>
      <c r="N615" s="126"/>
      <c r="O615" s="126"/>
      <c r="P615" s="126"/>
      <c r="Q615" s="126"/>
      <c r="R615" s="126"/>
    </row>
    <row r="616" spans="13:18">
      <c r="M616" s="126"/>
      <c r="N616" s="126"/>
      <c r="O616" s="126"/>
      <c r="P616" s="126"/>
      <c r="Q616" s="126"/>
      <c r="R616" s="126"/>
    </row>
    <row r="617" spans="13:18">
      <c r="M617" s="126"/>
      <c r="N617" s="126"/>
      <c r="O617" s="126"/>
      <c r="P617" s="126"/>
      <c r="Q617" s="126"/>
      <c r="R617" s="126"/>
    </row>
    <row r="618" spans="13:18">
      <c r="M618" s="126"/>
      <c r="N618" s="126"/>
      <c r="O618" s="126"/>
      <c r="P618" s="126"/>
      <c r="Q618" s="126"/>
      <c r="R618" s="126"/>
    </row>
    <row r="619" spans="13:18">
      <c r="M619" s="126"/>
      <c r="N619" s="126"/>
      <c r="O619" s="126"/>
      <c r="P619" s="126"/>
      <c r="Q619" s="126"/>
      <c r="R619" s="126"/>
    </row>
    <row r="620" spans="13:18">
      <c r="M620" s="126"/>
      <c r="N620" s="126"/>
      <c r="O620" s="126"/>
      <c r="P620" s="126"/>
      <c r="Q620" s="126"/>
      <c r="R620" s="126"/>
    </row>
    <row r="621" spans="13:18">
      <c r="M621" s="126"/>
      <c r="N621" s="126"/>
      <c r="O621" s="126"/>
      <c r="P621" s="126"/>
      <c r="Q621" s="126"/>
      <c r="R621" s="126"/>
    </row>
    <row r="622" spans="13:18">
      <c r="M622" s="126"/>
      <c r="N622" s="126"/>
      <c r="O622" s="126"/>
      <c r="P622" s="126"/>
      <c r="Q622" s="126"/>
      <c r="R622" s="126"/>
    </row>
    <row r="623" spans="13:18">
      <c r="M623" s="126"/>
      <c r="N623" s="126"/>
      <c r="O623" s="126"/>
      <c r="P623" s="126"/>
      <c r="Q623" s="126"/>
      <c r="R623" s="126"/>
    </row>
    <row r="681" ht="15.6" customHeight="1"/>
    <row r="682" ht="15.6" customHeight="1"/>
    <row r="683" ht="15.6" customHeight="1"/>
    <row r="684" ht="15.6" customHeight="1"/>
    <row r="685" ht="15.6" customHeight="1"/>
    <row r="686" ht="15.6" customHeight="1"/>
    <row r="687" ht="15.6" customHeight="1"/>
    <row r="688" ht="15.6" customHeight="1"/>
    <row r="689" ht="15.6" customHeight="1"/>
    <row r="690" ht="15.6" customHeight="1"/>
    <row r="691" ht="15.6" customHeight="1"/>
    <row r="692" ht="15.6" customHeight="1"/>
    <row r="693" ht="15.6" customHeight="1"/>
    <row r="694" ht="15.6" customHeight="1"/>
    <row r="695" ht="15.6" customHeight="1"/>
    <row r="696" ht="15.6" customHeight="1"/>
    <row r="697" ht="15.6" customHeight="1"/>
    <row r="698" ht="15.6" customHeight="1"/>
    <row r="699" ht="15.6" customHeight="1"/>
    <row r="700" ht="15.6" customHeight="1"/>
    <row r="701" ht="15.6" customHeight="1"/>
    <row r="702" ht="15.6" customHeight="1"/>
    <row r="703" ht="15.6" customHeight="1"/>
    <row r="704" ht="15.6" customHeight="1"/>
    <row r="705" ht="15.6" customHeight="1"/>
    <row r="706" ht="15.6" customHeight="1"/>
    <row r="707" ht="15.6" customHeight="1"/>
    <row r="708" ht="15.6" customHeight="1"/>
    <row r="709" ht="15.6" customHeight="1"/>
    <row r="710" ht="15.6" customHeight="1"/>
    <row r="711" ht="15.6" customHeight="1"/>
    <row r="712" ht="15.6" customHeight="1"/>
    <row r="713" ht="15.6" customHeight="1"/>
    <row r="714" ht="15.6" customHeight="1"/>
    <row r="715" ht="15.6" customHeight="1"/>
    <row r="716" ht="15.6" customHeight="1"/>
    <row r="717" ht="15.6" customHeight="1"/>
    <row r="718" ht="15.6" customHeight="1"/>
    <row r="719" ht="15.6" customHeight="1"/>
    <row r="720" ht="15.6" customHeight="1"/>
    <row r="721" ht="15.6" customHeight="1"/>
    <row r="722" ht="15.6" customHeight="1"/>
    <row r="723" ht="15.6" customHeight="1"/>
    <row r="724" ht="15.6" customHeight="1"/>
    <row r="725" ht="15.6" customHeight="1"/>
    <row r="726" ht="15.6" customHeight="1"/>
    <row r="727" ht="15.6" customHeight="1"/>
    <row r="728" ht="15.6" customHeight="1"/>
    <row r="729" ht="15.6" customHeight="1"/>
    <row r="730" ht="15.6" customHeight="1"/>
    <row r="731" ht="15.6" customHeight="1"/>
    <row r="732" ht="15.6" customHeight="1"/>
    <row r="733" ht="15.6" customHeight="1"/>
    <row r="734" ht="15.6" customHeight="1"/>
    <row r="735" ht="15.6" customHeight="1"/>
    <row r="736" ht="15.6" customHeight="1"/>
    <row r="737" ht="15.6" customHeight="1"/>
    <row r="738" ht="15.6" customHeight="1"/>
    <row r="739" ht="15.6" customHeight="1"/>
    <row r="740" ht="15.6" customHeight="1"/>
    <row r="741" ht="15.6" customHeight="1"/>
    <row r="742" ht="15.6" customHeight="1"/>
    <row r="743" ht="15.6" customHeight="1"/>
    <row r="744" ht="15.6" customHeight="1"/>
    <row r="745" ht="15.6" customHeight="1"/>
    <row r="746" ht="15.6" customHeight="1"/>
    <row r="747" ht="15.6" customHeight="1"/>
    <row r="748" ht="15.6" customHeight="1"/>
    <row r="749" ht="15.6" customHeight="1"/>
    <row r="750" ht="15.6" customHeight="1"/>
    <row r="751" ht="15.6" customHeight="1"/>
    <row r="752" ht="15.6" customHeight="1"/>
    <row r="753" ht="15.6" customHeight="1"/>
    <row r="754" ht="15.6" customHeight="1"/>
    <row r="755" ht="15.6" customHeight="1"/>
    <row r="756" ht="15.6" customHeight="1"/>
    <row r="757" ht="15.6" customHeight="1"/>
    <row r="758" ht="15.6" customHeight="1"/>
    <row r="759" ht="15.6" customHeight="1"/>
    <row r="760" ht="15.6" customHeight="1"/>
    <row r="761" ht="15.6" customHeight="1"/>
    <row r="762" ht="15.6" customHeight="1"/>
    <row r="763" ht="15.6" customHeight="1"/>
    <row r="764" ht="15.6" customHeight="1"/>
    <row r="765" ht="15.6" customHeight="1"/>
    <row r="766" ht="15.6" customHeight="1"/>
    <row r="767" ht="15.6" customHeight="1"/>
    <row r="768" ht="15.6" customHeight="1"/>
    <row r="769" ht="15.6" customHeight="1"/>
    <row r="770" ht="15.6" customHeight="1"/>
    <row r="771" ht="15.6" customHeight="1"/>
    <row r="772" ht="15.6" customHeight="1"/>
    <row r="773" ht="15.6" customHeight="1"/>
    <row r="774" ht="15.6" customHeight="1"/>
    <row r="775" ht="15.6" customHeight="1"/>
    <row r="776" ht="15.6" customHeight="1"/>
    <row r="777" ht="15.6" customHeight="1"/>
    <row r="778" ht="15.6" customHeight="1"/>
    <row r="779" ht="15.6" customHeight="1"/>
    <row r="780" ht="15.6" customHeight="1"/>
    <row r="781" ht="15.6" customHeight="1"/>
    <row r="782" ht="15.6" customHeight="1"/>
    <row r="783" ht="15.6" customHeight="1"/>
    <row r="784" ht="15.6" customHeight="1"/>
    <row r="785" ht="15.6" customHeight="1"/>
    <row r="786" ht="15.6" customHeight="1"/>
    <row r="787" ht="15.6" customHeight="1"/>
    <row r="788" ht="15.6" customHeight="1"/>
    <row r="789" ht="15.6" customHeight="1"/>
    <row r="790" ht="15.6" customHeight="1"/>
    <row r="791" ht="15.6" customHeight="1"/>
    <row r="792" ht="15.6" customHeight="1"/>
    <row r="793" ht="15.6" customHeight="1"/>
    <row r="794" ht="15.6" customHeight="1"/>
    <row r="795" ht="15.6" customHeight="1"/>
    <row r="796" ht="15.6" customHeight="1"/>
    <row r="797" ht="15.6" customHeight="1"/>
    <row r="798" ht="15.6" customHeight="1"/>
    <row r="799" ht="15.6" customHeight="1"/>
    <row r="800" ht="15.6" customHeight="1"/>
    <row r="801" ht="15.6" customHeight="1"/>
    <row r="802" ht="15.6" customHeight="1"/>
    <row r="803" ht="15.6" customHeight="1"/>
    <row r="804" ht="15.6" customHeight="1"/>
    <row r="805" ht="15.6" customHeight="1"/>
    <row r="806" ht="15.6" customHeight="1"/>
    <row r="807" ht="15.6" customHeight="1"/>
    <row r="808" ht="15.6" customHeight="1"/>
    <row r="809" ht="15.6" customHeight="1"/>
    <row r="810" ht="15.6" customHeight="1"/>
    <row r="811" ht="15.6" customHeight="1"/>
    <row r="812" ht="15.6" customHeight="1"/>
    <row r="813" ht="15.6" customHeight="1"/>
    <row r="814" ht="15.6" customHeight="1"/>
    <row r="815" ht="15.6" customHeight="1"/>
    <row r="816" ht="15.6" customHeight="1"/>
    <row r="817" ht="15.6" customHeight="1"/>
    <row r="818" ht="15.6" customHeight="1"/>
    <row r="819" ht="15.6" customHeight="1"/>
    <row r="820" ht="15.6" customHeight="1"/>
    <row r="821" ht="15.6" customHeight="1"/>
    <row r="822" ht="15.6" customHeight="1"/>
    <row r="823" ht="15.6" customHeight="1"/>
    <row r="824" ht="15.6" customHeight="1"/>
    <row r="825" ht="15.6" customHeight="1"/>
    <row r="826" ht="15.6" customHeight="1"/>
    <row r="827" ht="15.6" customHeight="1"/>
    <row r="828" ht="15.6" customHeight="1"/>
    <row r="829" ht="15.6" customHeight="1"/>
    <row r="830" ht="15.6" customHeight="1"/>
    <row r="831" ht="15.6" customHeight="1"/>
    <row r="832" ht="15.6" customHeight="1"/>
    <row r="833" ht="15.6" customHeight="1"/>
    <row r="834" ht="15.6" customHeight="1"/>
    <row r="835" ht="15.6" customHeight="1"/>
    <row r="836" ht="15.6" customHeight="1"/>
    <row r="837" ht="15.6" customHeight="1"/>
    <row r="838" ht="15.6" customHeight="1"/>
    <row r="839" ht="15.6" customHeight="1"/>
    <row r="840" ht="15.6" customHeight="1"/>
    <row r="841" ht="15.6" customHeight="1"/>
    <row r="842" ht="15.6" customHeight="1"/>
    <row r="843" ht="15.6" customHeight="1"/>
    <row r="844" ht="15.6" customHeight="1"/>
    <row r="845" ht="15.6" customHeight="1"/>
    <row r="846" ht="15.6" customHeight="1"/>
    <row r="847" ht="15.6" customHeight="1"/>
    <row r="848" ht="15.6" customHeight="1"/>
    <row r="849" ht="15.6" customHeight="1"/>
    <row r="850" ht="15.6" customHeight="1"/>
    <row r="851" ht="15.6" customHeight="1"/>
    <row r="852" ht="15.6" customHeight="1"/>
    <row r="853" ht="15.6" customHeight="1"/>
    <row r="854" ht="15.6" customHeight="1"/>
    <row r="855" ht="15.6" customHeight="1"/>
    <row r="856" ht="15.6" customHeight="1"/>
    <row r="857" ht="15.6" customHeight="1"/>
    <row r="858" ht="15.6" customHeight="1"/>
    <row r="859" ht="15.6" customHeight="1"/>
    <row r="860" ht="15.6" customHeight="1"/>
    <row r="861" ht="15.6" customHeight="1"/>
    <row r="862" ht="15.6" customHeight="1"/>
    <row r="863" ht="15.6" customHeight="1"/>
    <row r="864" ht="15.6" customHeight="1"/>
    <row r="865" ht="15.6" customHeight="1"/>
    <row r="866" ht="15.6" customHeight="1"/>
    <row r="867" ht="15.6" customHeight="1"/>
    <row r="868" ht="15.6" customHeight="1"/>
    <row r="869" ht="15.6" customHeight="1"/>
    <row r="870" ht="15.6" customHeight="1"/>
    <row r="871" ht="15.6" customHeight="1"/>
    <row r="872" ht="15.6" customHeight="1"/>
    <row r="873" ht="15.6" customHeight="1"/>
    <row r="874" ht="15.6" customHeight="1"/>
    <row r="875" ht="15.6" customHeight="1"/>
    <row r="876" ht="15.6" customHeight="1"/>
    <row r="877" ht="15.6" customHeight="1"/>
    <row r="878" ht="15.6" customHeight="1"/>
    <row r="879" ht="15.6" customHeight="1"/>
    <row r="880" ht="15.6" customHeight="1"/>
    <row r="881" ht="15.6" customHeight="1"/>
    <row r="882" ht="15.6" customHeight="1"/>
    <row r="883" ht="15.6" customHeight="1"/>
    <row r="884" ht="15.6" customHeight="1"/>
    <row r="885" ht="15.6" customHeight="1"/>
    <row r="886" ht="15.6" customHeight="1"/>
    <row r="887" ht="15.6" customHeight="1"/>
    <row r="888" ht="15.6" customHeight="1"/>
    <row r="889" ht="15.6" customHeight="1"/>
    <row r="890" ht="15.6" customHeight="1"/>
    <row r="891" ht="15.6" customHeight="1"/>
    <row r="892" ht="15.6" customHeight="1"/>
    <row r="893" ht="15.6" customHeight="1"/>
    <row r="894" ht="15.6" customHeight="1"/>
    <row r="895" ht="15.6" customHeight="1"/>
    <row r="896" ht="15.6" customHeight="1"/>
    <row r="897" ht="15.6" customHeight="1"/>
    <row r="898" ht="15.6" customHeight="1"/>
    <row r="899" ht="15.6" customHeight="1"/>
    <row r="900" ht="15.6" customHeight="1"/>
    <row r="901" ht="15.6" customHeight="1"/>
    <row r="902" ht="15.6" customHeight="1"/>
    <row r="903" ht="15.6" customHeight="1"/>
    <row r="904" ht="15.6" customHeight="1"/>
    <row r="905" ht="15.6" customHeight="1"/>
    <row r="906" ht="15.6" customHeight="1"/>
    <row r="907" ht="15.6" customHeight="1"/>
    <row r="908" ht="15.6" customHeight="1"/>
    <row r="909" ht="15.6" customHeight="1"/>
    <row r="910" ht="15.6" customHeight="1"/>
    <row r="911" ht="15.6" customHeight="1"/>
    <row r="912" ht="15.6" customHeight="1"/>
    <row r="913" ht="15.6" customHeight="1"/>
    <row r="914" ht="15.6" customHeight="1"/>
    <row r="915" ht="15.6" customHeight="1"/>
    <row r="916" ht="15.6" customHeight="1"/>
    <row r="917" ht="15.6" customHeight="1"/>
    <row r="918" ht="15.6" customHeight="1"/>
    <row r="919" ht="15.6" customHeight="1"/>
    <row r="920" ht="15.6" customHeight="1"/>
    <row r="921" ht="15.6" customHeight="1"/>
    <row r="922" ht="15.6" customHeight="1"/>
    <row r="923" ht="15.6" customHeight="1"/>
    <row r="924" ht="15.6" customHeight="1"/>
    <row r="925" ht="15.6" customHeight="1"/>
    <row r="926" ht="15.6" customHeight="1"/>
    <row r="927" ht="15.6" customHeight="1"/>
    <row r="928" ht="15.6" customHeight="1"/>
    <row r="929" ht="15.6" customHeight="1"/>
    <row r="930" ht="15.6" customHeight="1"/>
    <row r="931" ht="15.6" customHeight="1"/>
    <row r="932" ht="15.6" customHeight="1"/>
    <row r="933" ht="15.6" customHeight="1"/>
    <row r="934" ht="15.6" customHeight="1"/>
    <row r="935" ht="15.6" customHeight="1"/>
    <row r="936" ht="15.6" customHeight="1"/>
    <row r="937" ht="15.6" customHeight="1"/>
    <row r="938" ht="15.6" customHeight="1"/>
    <row r="939" ht="15.6" customHeight="1"/>
    <row r="940" ht="15.6" customHeight="1"/>
    <row r="941" ht="15.6" customHeight="1"/>
    <row r="942" ht="15.6" customHeight="1"/>
    <row r="943" ht="15.6" customHeight="1"/>
    <row r="944" ht="15.6" customHeight="1"/>
    <row r="945" ht="15.6" customHeight="1"/>
    <row r="946" ht="15.6" customHeight="1"/>
    <row r="947" ht="15.6" customHeight="1"/>
    <row r="948" ht="15.6" customHeight="1"/>
    <row r="949" ht="15.6" customHeight="1"/>
    <row r="950" ht="15.6" customHeight="1"/>
    <row r="951" ht="15.6" customHeight="1"/>
    <row r="952" ht="15.6" customHeight="1"/>
    <row r="953" ht="15.6" customHeight="1"/>
    <row r="954" ht="15.6" customHeight="1"/>
    <row r="955" ht="15.6" customHeight="1"/>
    <row r="956" ht="15.6" customHeight="1"/>
    <row r="957" ht="15.6" customHeight="1"/>
    <row r="958" ht="15.6" customHeight="1"/>
    <row r="959" ht="15.6" customHeight="1"/>
    <row r="960" ht="15.6" customHeight="1"/>
    <row r="961" ht="15.6" customHeight="1"/>
    <row r="962" ht="15.6" customHeight="1"/>
    <row r="963" ht="15.6" customHeight="1"/>
    <row r="964" ht="15.6" customHeight="1"/>
    <row r="965" ht="15.6" customHeight="1"/>
    <row r="966" ht="15.6" customHeight="1"/>
    <row r="967" ht="15.6" customHeight="1"/>
    <row r="968" ht="15.6" customHeight="1"/>
    <row r="969" ht="15.6" customHeight="1"/>
    <row r="970" ht="15.6" customHeight="1"/>
    <row r="971" ht="15.6" customHeight="1"/>
    <row r="972" ht="15.6" customHeight="1"/>
    <row r="973" ht="15.6" customHeight="1"/>
    <row r="974" ht="15.6" customHeight="1"/>
    <row r="975" ht="15.6" customHeight="1"/>
    <row r="976" ht="15.6" customHeight="1"/>
    <row r="977" ht="15.6" customHeight="1"/>
    <row r="978" ht="15.6" customHeight="1"/>
    <row r="979" ht="15.6" customHeight="1"/>
    <row r="980" ht="15.6" customHeight="1"/>
    <row r="981" ht="15.6" customHeight="1"/>
    <row r="982" ht="15.6" customHeight="1"/>
    <row r="983" ht="15.6" customHeight="1"/>
    <row r="984" ht="15.6" customHeight="1"/>
    <row r="985" ht="15.6" customHeight="1"/>
    <row r="986" ht="15.6" customHeight="1"/>
    <row r="987" ht="15.6" customHeight="1"/>
    <row r="988" ht="15.6" customHeight="1"/>
    <row r="989" ht="15.6" customHeight="1"/>
    <row r="990" ht="15.6" customHeight="1"/>
    <row r="991" ht="15.6" customHeight="1"/>
    <row r="992" ht="15.6" customHeight="1"/>
    <row r="993" ht="15.6" customHeight="1"/>
    <row r="994" ht="15.6" customHeight="1"/>
    <row r="995" ht="15.6" customHeight="1"/>
    <row r="996" ht="15.6" customHeight="1"/>
    <row r="997" ht="15.6" customHeight="1"/>
    <row r="998" ht="15.6" customHeight="1"/>
    <row r="999" ht="15.6" customHeight="1"/>
    <row r="1000" ht="15.6" customHeight="1"/>
    <row r="1001" ht="15.6" customHeight="1"/>
    <row r="1002" ht="15.6" customHeight="1"/>
    <row r="1003" ht="15.6" customHeight="1"/>
    <row r="1004" ht="15.6" customHeight="1"/>
    <row r="1005" ht="15.6" customHeight="1"/>
    <row r="1006" ht="15.6" customHeight="1"/>
    <row r="1007" ht="15.6" customHeight="1"/>
    <row r="1008" ht="15.6" customHeight="1"/>
    <row r="1009" ht="15.6" customHeight="1"/>
    <row r="1010" ht="15.6" customHeight="1"/>
    <row r="1011" ht="15.6" customHeight="1"/>
    <row r="1012" ht="15.6" customHeight="1"/>
    <row r="1013" ht="15.6" customHeight="1"/>
    <row r="1014" ht="15.6" customHeight="1"/>
    <row r="1015" ht="15.6" customHeight="1"/>
    <row r="1016" ht="15.6" customHeight="1"/>
    <row r="1017" ht="15.6" customHeight="1"/>
    <row r="1018" ht="15.6" customHeight="1"/>
    <row r="1019" ht="15.6" customHeight="1"/>
    <row r="1020" ht="15.6" customHeight="1"/>
    <row r="1021" ht="15.6" customHeight="1"/>
    <row r="1022" ht="15.6" customHeight="1"/>
    <row r="1023" ht="15.6" customHeight="1"/>
    <row r="1024" ht="15.6" customHeight="1"/>
    <row r="1025" ht="15.6" customHeight="1"/>
    <row r="1026" ht="15.6" customHeight="1"/>
    <row r="1027" ht="15.6" customHeight="1"/>
    <row r="1028" ht="15.6" customHeight="1"/>
    <row r="1029" ht="15.6" customHeight="1"/>
    <row r="1030" ht="15.6" customHeight="1"/>
    <row r="1031" ht="15.6" customHeight="1"/>
    <row r="1032" ht="15.6" customHeight="1"/>
    <row r="1033" ht="15.6" customHeight="1"/>
    <row r="1034" ht="15.6" customHeight="1"/>
    <row r="1035" ht="15.6" customHeight="1"/>
    <row r="1036" ht="15.6" customHeight="1"/>
    <row r="1037" ht="15.6" customHeight="1"/>
    <row r="1038" ht="15.6" customHeight="1"/>
    <row r="1039" ht="15.6" customHeight="1"/>
    <row r="1040" ht="15.6" customHeight="1"/>
    <row r="1041" ht="15.6" customHeight="1"/>
    <row r="1042" ht="15.6" customHeight="1"/>
    <row r="1043" ht="15.6" customHeight="1"/>
    <row r="1044" ht="15.6" customHeight="1"/>
    <row r="1045" ht="15.6" customHeight="1"/>
    <row r="1046" ht="15.6" customHeight="1"/>
    <row r="1047" ht="15.6" customHeight="1"/>
    <row r="1048" ht="15.6" customHeight="1"/>
    <row r="1049" ht="15.6" customHeight="1"/>
    <row r="1050" ht="15.6" customHeight="1"/>
    <row r="1051" ht="15.6" customHeight="1"/>
    <row r="1052" ht="15.6" customHeight="1"/>
  </sheetData>
  <mergeCells count="16">
    <mergeCell ref="A107:G107"/>
    <mergeCell ref="A108:G108"/>
    <mergeCell ref="A115:G115"/>
    <mergeCell ref="A116:G116"/>
    <mergeCell ref="A9:G9"/>
    <mergeCell ref="A10:G10"/>
    <mergeCell ref="A19:G19"/>
    <mergeCell ref="A20:G20"/>
    <mergeCell ref="A33:G33"/>
    <mergeCell ref="A73:G73"/>
    <mergeCell ref="A74:G74"/>
    <mergeCell ref="A90:G90"/>
    <mergeCell ref="A91:G91"/>
    <mergeCell ref="A34:G34"/>
    <mergeCell ref="A58:G58"/>
    <mergeCell ref="A59:G59"/>
  </mergeCells>
  <conditionalFormatting sqref="A96 C96:F96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1146-56C3-4EBE-AF5D-5814C8ED4D15}">
  <sheetPr>
    <tabColor theme="9" tint="0.59999389629810485"/>
  </sheetPr>
  <dimension ref="A1:Z1051"/>
  <sheetViews>
    <sheetView workbookViewId="0">
      <pane ySplit="1" topLeftCell="A101" activePane="bottomLeft" state="frozen"/>
      <selection pane="bottomLeft" activeCell="K108" sqref="K108"/>
    </sheetView>
  </sheetViews>
  <sheetFormatPr defaultColWidth="9" defaultRowHeight="14.45"/>
  <cols>
    <col min="1" max="1" width="25.5" style="7" customWidth="1"/>
    <col min="2" max="2" width="27.375" style="7" customWidth="1"/>
    <col min="3" max="3" width="18.625" style="7" customWidth="1"/>
    <col min="4" max="4" width="14.125" style="8" customWidth="1"/>
    <col min="5" max="5" width="15.75" style="7" customWidth="1"/>
    <col min="6" max="6" width="16.375" style="7" customWidth="1"/>
    <col min="7" max="7" width="13.75" style="7" customWidth="1"/>
    <col min="8" max="8" width="9.125" style="7" customWidth="1"/>
    <col min="9" max="12" width="9" style="7" customWidth="1"/>
    <col min="13" max="13" width="39.25" style="7" customWidth="1"/>
    <col min="14" max="15" width="23" style="7" customWidth="1"/>
    <col min="16" max="16" width="14.375" style="7" customWidth="1"/>
    <col min="17" max="17" width="13.75" style="9" customWidth="1"/>
    <col min="18" max="18" width="17.5" style="12" customWidth="1"/>
    <col min="19" max="19" width="17.5" style="7" customWidth="1"/>
    <col min="20" max="20" width="10.875" style="7" customWidth="1"/>
    <col min="21" max="16384" width="9" style="7"/>
  </cols>
  <sheetData>
    <row r="1" spans="1:26" ht="15.6">
      <c r="A1" s="1" t="s">
        <v>0</v>
      </c>
      <c r="B1" s="1" t="s">
        <v>1</v>
      </c>
      <c r="C1" s="1" t="s">
        <v>2</v>
      </c>
      <c r="D1" s="13" t="s">
        <v>3</v>
      </c>
      <c r="E1" s="14" t="s">
        <v>4</v>
      </c>
      <c r="F1" s="1" t="s">
        <v>5</v>
      </c>
      <c r="G1" s="3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6">
      <c r="A2" s="15" t="s">
        <v>7</v>
      </c>
      <c r="B2" s="16"/>
      <c r="C2" s="16"/>
      <c r="D2" s="17"/>
      <c r="E2" s="18"/>
      <c r="F2" s="16"/>
      <c r="G2" s="19"/>
      <c r="H2" s="20"/>
      <c r="I2" s="20"/>
      <c r="J2" s="20"/>
      <c r="K2" s="20"/>
      <c r="L2" s="20"/>
      <c r="M2" s="2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6">
      <c r="A3" s="22" t="s">
        <v>8</v>
      </c>
      <c r="B3" s="1" t="s">
        <v>9</v>
      </c>
      <c r="C3" s="1" t="s">
        <v>10</v>
      </c>
      <c r="D3" s="13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2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>
      <c r="A4" s="31">
        <f>SUM(
SUMIFS($E$11:$E$273,$D$11:$D$273,"&gt;="&amp;EOMONTH($A$8,-1)+1,$D$11:$D$273,"&lt;="&amp;EOMONTH($A$8,0),$F$11:$F$273,"kp"),
SUMIFS($E$11:$E$273,$D$11:$D$273,"&gt;="&amp;EOMONTH($A$8,-1)+1,$D$11:$D$273,"&lt;="&amp;EOMONTH($A$8,0),$F$11:$F$273,"kp."),
SUMIFS($E$11:$E$273,$D$11:$D$273,"&gt;="&amp;EOMONTH($A$8,-1)+1,$D$11:$D$273,"&lt;="&amp;EOMONTH($A$8,0),$F$11:$F$273,"bk"),
SUMIFS($E$11:$E$273,$D$11:$D$273,"&gt;="&amp;EOMONTH($A$8,-1)+1,$D$11:$D$273,"&lt;="&amp;EOMONTH($A$8,0),$F$11:$F$273,"bk."),
SUMIFS($E$11:$E$273,$D$11:$D$273,"&gt;="&amp;EOMONTH($A$8,-1)+1,$D$11:$D$273,"&lt;="&amp;EOMONTH($A$8,0),$F$11:$F$273,"mgc")
)</f>
        <v>657105</v>
      </c>
      <c r="B4" s="14">
        <f>SUM(
SUMIFS($E$11:$E$273,$D$11:$D$273,"&gt;="&amp;EOMONTH(B$8,-1)+1,$D$11:$D$273,"&lt;="&amp;EOMONTH(B$8,0),$F$11:$F$273,"kp"),
SUMIFS($E$11:$E$273,$D$11:$D$273,"&gt;="&amp;EOMONTH(B$8,-1)+1,$D$11:$D$273,"&lt;="&amp;EOMONTH(B$8,0),$F$11:$F$273,"kp."),
SUMIFS($E$11:$E$273,$D$11:$D$273,"&gt;="&amp;EOMONTH(B$8,-1)+1,$D$11:$D$273,"&lt;="&amp;EOMONTH(B$8,0),$F$11:$F$273,"bk"),
SUMIFS($E$11:$E$273,$D$11:$D$273,"&gt;="&amp;EOMONTH(B$8,-1)+1,$D$11:$D$273,"&lt;="&amp;EOMONTH(B$8,0),$F$11:$F$273,"bk."),
SUMIFS($E$11:$E$273,$D$11:$D$273,"&gt;="&amp;EOMONTH(B$8,-1)+1,$D$11:$D$273,"&lt;="&amp;EOMONTH(B$8,0),$F$11:$F$273,"mgc")
)</f>
        <v>961501</v>
      </c>
      <c r="C4" s="14">
        <f>SUM(
SUMIFS($E$11:$E$273,$D$11:$D$273,"&gt;="&amp;EOMONTH(C$8,-1)+1,$D$11:$D$273,"&lt;="&amp;EOMONTH(C$8,0),$F$11:$F$273,"kp"),
SUMIFS($E$11:$E$273,$D$11:$D$273,"&gt;="&amp;EOMONTH(C$8,-1)+1,$D$11:$D$273,"&lt;="&amp;EOMONTH(C$8,0),$F$11:$F$273,"kp."),
SUMIFS($E$11:$E$273,$D$11:$D$273,"&gt;="&amp;EOMONTH(C$8,-1)+1,$D$11:$D$273,"&lt;="&amp;EOMONTH(C$8,0),$F$11:$F$273,"bk"),
SUMIFS($E$11:$E$273,$D$11:$D$273,"&gt;="&amp;EOMONTH(C$8,-1)+1,$D$11:$D$273,"&lt;="&amp;EOMONTH(C$8,0),$F$11:$F$273,"bk."),
SUMIFS($E$11:$E$273,$D$11:$D$273,"&gt;="&amp;EOMONTH(C$8,-1)+1,$D$11:$D$273,"&lt;="&amp;EOMONTH(C$8,0),$F$11:$F$273,"mgc")
)</f>
        <v>1145290</v>
      </c>
      <c r="D4" s="14">
        <f>SUM(
SUMIFS($E$11:$E$273,$D$11:$D$273,"&gt;="&amp;EOMONTH(D$8,-1)+1,$D$11:$D$273,"&lt;="&amp;EOMONTH(D$8,0),$F$11:$F$273,"kp"),
SUMIFS($E$11:$E$273,$D$11:$D$273,"&gt;="&amp;EOMONTH(D$8,-1)+1,$D$11:$D$273,"&lt;="&amp;EOMONTH(D$8,0),$F$11:$F$273,"kp."),
SUMIFS($E$11:$E$273,$D$11:$D$273,"&gt;="&amp;EOMONTH(D$8,-1)+1,$D$11:$D$273,"&lt;="&amp;EOMONTH(D$8,0),$F$11:$F$273,"bk"),
SUMIFS($E$11:$E$273,$D$11:$D$273,"&gt;="&amp;EOMONTH(D$8,-1)+1,$D$11:$D$273,"&lt;="&amp;EOMONTH(D$8,0),$F$11:$F$273,"bk."),
SUMIFS($E$11:$E$273,$D$11:$D$273,"&gt;="&amp;EOMONTH(D$8,-1)+1,$D$11:$D$273,"&lt;="&amp;EOMONTH(D$8,0),$F$11:$F$273,"mgc")
)</f>
        <v>0</v>
      </c>
      <c r="E4" s="14">
        <f>SUM(
SUMIFS($E$11:$E$273,$D$11:$D$273,"&gt;="&amp;EOMONTH(E$8,-1)+1,$D$11:$D$273,"&lt;="&amp;EOMONTH(E$8,0),$F$11:$F$273,"kp"),
SUMIFS($E$11:$E$273,$D$11:$D$273,"&gt;="&amp;EOMONTH(E$8,-1)+1,$D$11:$D$273,"&lt;="&amp;EOMONTH(E$8,0),$F$11:$F$273,"kp."),
SUMIFS($E$11:$E$273,$D$11:$D$273,"&gt;="&amp;EOMONTH(E$8,-1)+1,$D$11:$D$273,"&lt;="&amp;EOMONTH(E$8,0),$F$11:$F$273,"bk"),
SUMIFS($E$11:$E$273,$D$11:$D$273,"&gt;="&amp;EOMONTH(E$8,-1)+1,$D$11:$D$273,"&lt;="&amp;EOMONTH(E$8,0),$F$11:$F$273,"bk."),
SUMIFS($E$11:$E$273,$D$11:$D$273,"&gt;="&amp;EOMONTH(E$8,-1)+1,$D$11:$D$273,"&lt;="&amp;EOMONTH(E$8,0),$F$11:$F$273,"mgc")
)</f>
        <v>0</v>
      </c>
      <c r="F4" s="14">
        <f>SUM(
SUMIFS($E$11:$E$273,$D$11:$D$273,"&gt;="&amp;EOMONTH(F$8,-1)+1,$D$11:$D$273,"&lt;="&amp;EOMONTH(F$8,0),$F$11:$F$273,"kp"),
SUMIFS($E$11:$E$273,$D$11:$D$273,"&gt;="&amp;EOMONTH(F$8,-1)+1,$D$11:$D$273,"&lt;="&amp;EOMONTH(F$8,0),$F$11:$F$273,"kp."),
SUMIFS($E$11:$E$273,$D$11:$D$273,"&gt;="&amp;EOMONTH(F$8,-1)+1,$D$11:$D$273,"&lt;="&amp;EOMONTH(F$8,0),$F$11:$F$273,"bk"),
SUMIFS($E$11:$E$273,$D$11:$D$273,"&gt;="&amp;EOMONTH(F$8,-1)+1,$D$11:$D$273,"&lt;="&amp;EOMONTH(F$8,0),$F$11:$F$273,"bk."),
SUMIFS($E$11:$E$273,$D$11:$D$273,"&gt;="&amp;EOMONTH(F$8,-1)+1,$D$11:$D$273,"&lt;="&amp;EOMONTH(F$8,0),$F$11:$F$273,"mgc")
)</f>
        <v>0</v>
      </c>
      <c r="G4" s="14">
        <f>SUM(
SUMIFS($E$11:$E$273,$D$11:$D$273,"&gt;="&amp;EOMONTH(G$8,-1)+1,$D$11:$D$273,"&lt;="&amp;EOMONTH(G$8,0),$F$11:$F$273,"kp"),
SUMIFS($E$11:$E$273,$D$11:$D$273,"&gt;="&amp;EOMONTH(G$8,-1)+1,$D$11:$D$273,"&lt;="&amp;EOMONTH(G$8,0),$F$11:$F$273,"kp."),
SUMIFS($E$11:$E$273,$D$11:$D$273,"&gt;="&amp;EOMONTH(G$8,-1)+1,$D$11:$D$273,"&lt;="&amp;EOMONTH(G$8,0),$F$11:$F$273,"bk"),
SUMIFS($E$11:$E$273,$D$11:$D$273,"&gt;="&amp;EOMONTH(G$8,-1)+1,$D$11:$D$273,"&lt;="&amp;EOMONTH(G$8,0),$F$11:$F$273,"bk."),
SUMIFS($E$11:$E$273,$D$11:$D$273,"&gt;="&amp;EOMONTH(G$8,-1)+1,$D$11:$D$273,"&lt;="&amp;EOMONTH(G$8,0),$F$11:$F$273,"mgc")
)</f>
        <v>0</v>
      </c>
      <c r="H4" s="14">
        <f>SUM(
SUMIFS($E$11:$E$273,$D$11:$D$273,"&gt;="&amp;EOMONTH(H$8,-1)+1,$D$11:$D$273,"&lt;="&amp;EOMONTH(H$8,0),$F$11:$F$273,"kp"),
SUMIFS($E$11:$E$273,$D$11:$D$273,"&gt;="&amp;EOMONTH(H$8,-1)+1,$D$11:$D$273,"&lt;="&amp;EOMONTH(H$8,0),$F$11:$F$273,"kp."),
SUMIFS($E$11:$E$273,$D$11:$D$273,"&gt;="&amp;EOMONTH(H$8,-1)+1,$D$11:$D$273,"&lt;="&amp;EOMONTH(H$8,0),$F$11:$F$273,"bk"),
SUMIFS($E$11:$E$273,$D$11:$D$273,"&gt;="&amp;EOMONTH(H$8,-1)+1,$D$11:$D$273,"&lt;="&amp;EOMONTH(H$8,0),$F$11:$F$273,"bk."),
SUMIFS($E$11:$E$273,$D$11:$D$273,"&gt;="&amp;EOMONTH(H$8,-1)+1,$D$11:$D$273,"&lt;="&amp;EOMONTH(H$8,0),$F$11:$F$273,"mgc")
)</f>
        <v>0</v>
      </c>
      <c r="I4" s="14">
        <f>SUM(
SUMIFS($E$11:$E$273,$D$11:$D$273,"&gt;="&amp;EOMONTH(I$8,-1)+1,$D$11:$D$273,"&lt;="&amp;EOMONTH(I$8,0),$F$11:$F$273,"kp"),
SUMIFS($E$11:$E$273,$D$11:$D$273,"&gt;="&amp;EOMONTH(I$8,-1)+1,$D$11:$D$273,"&lt;="&amp;EOMONTH(I$8,0),$F$11:$F$273,"kp."),
SUMIFS($E$11:$E$273,$D$11:$D$273,"&gt;="&amp;EOMONTH(I$8,-1)+1,$D$11:$D$273,"&lt;="&amp;EOMONTH(I$8,0),$F$11:$F$273,"bk"),
SUMIFS($E$11:$E$273,$D$11:$D$273,"&gt;="&amp;EOMONTH(I$8,-1)+1,$D$11:$D$273,"&lt;="&amp;EOMONTH(I$8,0),$F$11:$F$273,"bk."),
SUMIFS($E$11:$E$273,$D$11:$D$273,"&gt;="&amp;EOMONTH(I$8,-1)+1,$D$11:$D$273,"&lt;="&amp;EOMONTH(I$8,0),$F$11:$F$273,"mgc")
)</f>
        <v>0</v>
      </c>
      <c r="J4" s="14">
        <f>SUM(
SUMIFS($E$11:$E$273,$D$11:$D$273,"&gt;="&amp;EOMONTH(J$8,-1)+1,$D$11:$D$273,"&lt;="&amp;EOMONTH(J$8,0),$F$11:$F$273,"kp"),
SUMIFS($E$11:$E$273,$D$11:$D$273,"&gt;="&amp;EOMONTH(J$8,-1)+1,$D$11:$D$273,"&lt;="&amp;EOMONTH(J$8,0),$F$11:$F$273,"kp."),
SUMIFS($E$11:$E$273,$D$11:$D$273,"&gt;="&amp;EOMONTH(J$8,-1)+1,$D$11:$D$273,"&lt;="&amp;EOMONTH(J$8,0),$F$11:$F$273,"bk"),
SUMIFS($E$11:$E$273,$D$11:$D$273,"&gt;="&amp;EOMONTH(J$8,-1)+1,$D$11:$D$273,"&lt;="&amp;EOMONTH(J$8,0),$F$11:$F$273,"bk."),
SUMIFS($E$11:$E$273,$D$11:$D$273,"&gt;="&amp;EOMONTH(J$8,-1)+1,$D$11:$D$273,"&lt;="&amp;EOMONTH(J$8,0),$F$11:$F$273,"mgc")
)</f>
        <v>0</v>
      </c>
      <c r="K4" s="14">
        <f>SUM(
SUMIFS($E$11:$E$273,$D$11:$D$273,"&gt;="&amp;EOMONTH(K$8,-1)+1,$D$11:$D$273,"&lt;="&amp;EOMONTH(K$8,0),$F$11:$F$273,"kp"),
SUMIFS($E$11:$E$273,$D$11:$D$273,"&gt;="&amp;EOMONTH(K$8,-1)+1,$D$11:$D$273,"&lt;="&amp;EOMONTH(K$8,0),$F$11:$F$273,"kp."),
SUMIFS($E$11:$E$273,$D$11:$D$273,"&gt;="&amp;EOMONTH(K$8,-1)+1,$D$11:$D$273,"&lt;="&amp;EOMONTH(K$8,0),$F$11:$F$273,"bk"),
SUMIFS($E$11:$E$273,$D$11:$D$273,"&gt;="&amp;EOMONTH(K$8,-1)+1,$D$11:$D$273,"&lt;="&amp;EOMONTH(K$8,0),$F$11:$F$273,"bk."),
SUMIFS($E$11:$E$273,$D$11:$D$273,"&gt;="&amp;EOMONTH(K$8,-1)+1,$D$11:$D$273,"&lt;="&amp;EOMONTH(K$8,0),$F$11:$F$273,"mgc")
)</f>
        <v>0</v>
      </c>
      <c r="L4" s="14">
        <f>SUM(
SUMIFS($E$11:$E$273,$D$11:$D$273,"&gt;="&amp;EOMONTH(L$8,-1)+1,$D$11:$D$273,"&lt;="&amp;EOMONTH(L$8,0),$F$11:$F$273,"kp"),
SUMIFS($E$11:$E$273,$D$11:$D$273,"&gt;="&amp;EOMONTH(L$8,-1)+1,$D$11:$D$273,"&lt;="&amp;EOMONTH(L$8,0),$F$11:$F$273,"kp."),
SUMIFS($E$11:$E$273,$D$11:$D$273,"&gt;="&amp;EOMONTH(L$8,-1)+1,$D$11:$D$273,"&lt;="&amp;EOMONTH(L$8,0),$F$11:$F$273,"bk"),
SUMIFS($E$11:$E$273,$D$11:$D$273,"&gt;="&amp;EOMONTH(L$8,-1)+1,$D$11:$D$273,"&lt;="&amp;EOMONTH(L$8,0),$F$11:$F$273,"bk."),
SUMIFS($E$11:$E$273,$D$11:$D$273,"&gt;="&amp;EOMONTH(L$8,-1)+1,$D$11:$D$273,"&lt;="&amp;EOMONTH(L$8,0),$F$11:$F$273,"mgc")
)</f>
        <v>0</v>
      </c>
      <c r="M4" s="2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6">
      <c r="A5" s="33">
        <f>SUMIFS(E11:E609,D11:D609,"&gt;=2025.01.01",D11:D609,"&lt;=2025.01.31",A11:A609,"HELIT*",F11:F609,"kp") + SUMIFS(E11:E609,D11:D609,"&gt;=2025.01.01",D11:D609,"&lt;=2025.01.31",A11:A609,"HELIT*",F11:F609,"kp.") + SUMIFS(E11:E609,D11:D609,"&gt;=2025.01.01",D11:D609,"&lt;=2025.01.31",A11:A609,"HELIT*",F11:F609,"bk") + SUMIFS(E11:E609,D11:D609,"&gt;=2025.01.01",D11:D609,"&lt;=2025.01.31",A11:A609,"HELIT*",F11:F609,"bk.") + SUMIFS(E11:E609,D11:D609,"&gt;=2025.01.01",D11:D609,"&lt;=2025.01.31",A11:A609,"HELIT*",F11:F609,"bankkártya")</f>
        <v>0</v>
      </c>
      <c r="B5" s="34">
        <f>SUMIFS(E11:E2108,D11:D2108,"&gt;=2025.02.01",D11:D2108,"&lt;=2025.02.28",A11:A2108,"HELIT*",F11:F2108,"kp") + SUMIFS(E11:E2108,D11:D2108,"&gt;=2025.02.01",D11:D2108,"&lt;=2025.02.28",A11:A2108,"HELIT*",F11:F2108,"kp.") + SUMIFS(E11:E2108,D11:D2108,"&gt;=2025.02.01",D11:D2108,"&lt;=2025.02.28",A11:A2108,"HELIT*",F11:F2108,"bk") + SUMIFS(E11:E2108,D11:D2108,"&gt;=2025.02.01",D11:D2108,"&lt;=2025.02.28",A11:A2108,"HELIT*",F11:F2108,"bk.") + SUMIFS(E11:E2108,D11:D2108,"&gt;=2025.02.01",D11:D2108,"&lt;=2025.02.28",A11:A2108,"HELIT*",F11:F2108,"bankkártya")</f>
        <v>0</v>
      </c>
      <c r="C5" s="34">
        <f>SUMIFS(E11:E2060,D11:D2060,"&gt;=2025.03.01",D11:D2060,"&lt;=2025.03.31",A11:A2060,"HELIT*",F11:F2060,"kp") + SUMIFS(E11:E2060,D11:D2060,"&gt;=2025.03.01",D11:D2060,"&lt;=2025.03.31",A11:A2060,"HELIT*",F11:F2060,"kp.") + SUMIFS(E11:E2060,D11:D2060,"&gt;=2025.03.01",D11:D2060,"&lt;=2025.03.31",A11:A2060,"HELIT*",F11:F2060,"bk") + SUMIFS(E11:E2060,D11:D2060,"&gt;=2025.03.01",D11:D2060,"&lt;=2025.03.31",A11:A2060,"HELIT*",F11:F2060,"bk.") + SUMIFS(E11:E2060,D11:D2060,"&gt;=2025.03.01",D11:D2060,"&lt;=2025.03.31",A11:A2060,"HELIT*",F11:F2060,"bankkártya")</f>
        <v>0</v>
      </c>
      <c r="D5" s="38">
        <f>SUMIFS(E11:E2060,D11:D2060,"&gt;=2025.04.01",D11:D2060,"&lt;=2025.04.30",A11:A2060,"HELIT*",F11:F2060,"kp") + SUMIFS(E11:E2060,D11:D2060,"&gt;=2025.04.01",D11:D2060,"&lt;=2025.04.30",A11:A2060,"HELIT*",F11:F2060,"kp.") + SUMIFS(E11:E2060,D11:D2060,"&gt;=2025.04.01",D11:D2060,"&lt;=2025.04.30",A11:A2060,"HELIT*",F11:F2060,"bk") + SUMIFS(E11:E2060,D11:D2060,"&gt;=2025.04.01",D11:D2060,"&lt;=2025.04.30",A11:A2060,"HELIT*",F11:F2060,"bk.") + SUMIFS(E11:E2060,D11:D2060,"&gt;=2025.04.01",D11:D2060,"&lt;=2025.04.30",A11:A2060,"HELIT*",F11:F2060,"bankkártya")</f>
        <v>0</v>
      </c>
      <c r="E5" s="25"/>
      <c r="F5" s="24"/>
      <c r="G5" s="26"/>
      <c r="H5" s="27"/>
      <c r="I5" s="27"/>
      <c r="J5" s="27"/>
      <c r="K5" s="27"/>
      <c r="L5" s="27"/>
      <c r="M5" s="2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6">
      <c r="A6" s="29" t="s">
        <v>20</v>
      </c>
      <c r="B6" s="29"/>
      <c r="C6" s="29"/>
      <c r="D6" s="40"/>
      <c r="E6" s="14"/>
      <c r="F6" s="1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144" cm="1">
        <f t="array" ref="A7">SUM(SUMIFS($E$11:$E$2016,
$D$11:$D$2016,"&gt;="&amp;EOMONTH(A8,-1)+1,
$D$11:$D$2016,"&lt;="&amp;EOMONTH(A8,0),
$F$11:$F$2016,{"kp";"kp."}))</f>
        <v>11667</v>
      </c>
      <c r="B7" s="144" cm="1">
        <f t="array" ref="B7">SUM(SUMIFS($E$11:$E$2016,
$D$11:$D$2016,"&gt;="&amp;EOMONTH(B8,-1)+1,
$D$11:$D$2016,"&lt;="&amp;EOMONTH(B8,0),
$F$11:$F$2016,{"kp";"kp."}))</f>
        <v>0</v>
      </c>
      <c r="C7" s="144" cm="1">
        <f t="array" ref="C7">SUM(SUMIFS($E$11:$E$2016,
$D$11:$D$2016,"&gt;="&amp;EOMONTH(C8,-1)+1,
$D$11:$D$2016,"&lt;="&amp;EOMONTH(C8,0),
$F$11:$F$2016,{"kp";"kp."}))</f>
        <v>28553</v>
      </c>
      <c r="D7" s="144" cm="1">
        <f t="array" ref="D7">SUM(SUMIFS($E$11:$E$2016,
$D$11:$D$2016,"&gt;="&amp;EOMONTH(D8,-1)+1,
$D$11:$D$2016,"&lt;="&amp;EOMONTH(D8,0),
$F$11:$F$2016,{"kp";"kp."}))</f>
        <v>0</v>
      </c>
      <c r="E7" s="144" cm="1">
        <f t="array" ref="E7">SUM(SUMIFS($E$11:$E$2016,
$D$11:$D$2016,"&gt;="&amp;EOMONTH(E8,-1)+1,
$D$11:$D$2016,"&lt;="&amp;EOMONTH(E8,0),
$F$11:$F$2016,{"kp";"kp."}))</f>
        <v>0</v>
      </c>
      <c r="F7" s="144" cm="1">
        <f t="array" ref="F7">SUM(SUMIFS($E$11:$E$2016,
$D$11:$D$2016,"&gt;="&amp;EOMONTH(F8,-1)+1,
$D$11:$D$2016,"&lt;="&amp;EOMONTH(F8,0),
$F$11:$F$2016,{"kp";"kp."}))</f>
        <v>0</v>
      </c>
      <c r="G7" s="144" cm="1">
        <f t="array" ref="G7">SUM(SUMIFS($E$11:$E$2016,
$D$11:$D$2016,"&gt;="&amp;EOMONTH(G8,-1)+1,
$D$11:$D$2016,"&lt;="&amp;EOMONTH(G8,0),
$F$11:$F$2016,{"kp";"kp."}))</f>
        <v>0</v>
      </c>
      <c r="H7" s="144" cm="1">
        <f t="array" ref="H7">SUM(SUMIFS($E$11:$E$2016,
$D$11:$D$2016,"&gt;="&amp;EOMONTH(H8,-1)+1,
$D$11:$D$2016,"&lt;="&amp;EOMONTH(H8,0),
$F$11:$F$2016,{"kp";"kp."}))</f>
        <v>0</v>
      </c>
      <c r="I7" s="144" cm="1">
        <f t="array" ref="I7">SUM(SUMIFS($E$11:$E$2016,
$D$11:$D$2016,"&gt;="&amp;EOMONTH(I8,-1)+1,
$D$11:$D$2016,"&lt;="&amp;EOMONTH(I8,0),
$F$11:$F$2016,{"kp";"kp."}))</f>
        <v>0</v>
      </c>
      <c r="J7" s="144" cm="1">
        <f t="array" ref="J7">SUM(SUMIFS($E$11:$E$2016,
$D$11:$D$2016,"&gt;="&amp;EOMONTH(J8,-1)+1,
$D$11:$D$2016,"&lt;="&amp;EOMONTH(J8,0),
$F$11:$F$2016,{"kp";"kp."}))</f>
        <v>0</v>
      </c>
      <c r="K7" s="144" cm="1">
        <f t="array" ref="K7">SUM(SUMIFS($E$11:$E$2016,
$D$11:$D$2016,"&gt;="&amp;EOMONTH(K8,-1)+1,
$D$11:$D$2016,"&lt;="&amp;EOMONTH(K8,0),
$F$11:$F$2016,{"kp";"kp."}))</f>
        <v>0</v>
      </c>
      <c r="L7" s="144" cm="1">
        <f t="array" ref="L7">SUM(SUMIFS($E$11:$E$2016,
$D$11:$D$2016,"&gt;="&amp;EOMONTH(L8,-1)+1,
$D$11:$D$2016,"&lt;="&amp;EOMONTH(L8,0),
$F$11:$F$2016,{"kp";"kp."}))</f>
        <v>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40">
        <v>46037</v>
      </c>
      <c r="B8" s="40">
        <v>46068</v>
      </c>
      <c r="C8" s="40">
        <v>46096</v>
      </c>
      <c r="D8" s="40">
        <v>46127</v>
      </c>
      <c r="E8" s="40">
        <v>46157</v>
      </c>
      <c r="F8" s="40">
        <v>46188</v>
      </c>
      <c r="G8" s="40">
        <v>46218</v>
      </c>
      <c r="H8" s="40">
        <v>46249</v>
      </c>
      <c r="I8" s="40">
        <v>46280</v>
      </c>
      <c r="J8" s="40">
        <v>46310</v>
      </c>
      <c r="K8" s="40">
        <v>46341</v>
      </c>
      <c r="L8" s="40">
        <v>46371</v>
      </c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spans="1:26" ht="15.6" customHeight="1">
      <c r="A9" s="188" t="s">
        <v>21</v>
      </c>
      <c r="B9" s="188"/>
      <c r="C9" s="188"/>
      <c r="D9" s="188"/>
      <c r="E9" s="188"/>
      <c r="F9" s="188"/>
      <c r="G9" s="18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6" customHeight="1">
      <c r="A10" s="189" t="s">
        <v>22</v>
      </c>
      <c r="B10" s="189"/>
      <c r="C10" s="189"/>
      <c r="D10" s="189"/>
      <c r="E10" s="189"/>
      <c r="F10" s="189"/>
      <c r="G10" s="18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customHeight="1">
      <c r="A11" s="5" t="s">
        <v>846</v>
      </c>
      <c r="B11" s="5" t="s">
        <v>847</v>
      </c>
      <c r="C11" s="5"/>
      <c r="D11" s="6">
        <v>46030</v>
      </c>
      <c r="E11" s="10">
        <v>6597</v>
      </c>
      <c r="F11" s="5" t="s">
        <v>29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customHeight="1">
      <c r="A12" s="5" t="s">
        <v>23</v>
      </c>
      <c r="B12" s="5">
        <v>617000699</v>
      </c>
      <c r="C12" s="5"/>
      <c r="D12" s="6">
        <v>46027</v>
      </c>
      <c r="E12" s="10">
        <v>54314</v>
      </c>
      <c r="F12" s="5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customHeight="1">
      <c r="A13" s="5" t="s">
        <v>23</v>
      </c>
      <c r="B13" s="84">
        <v>617008166</v>
      </c>
      <c r="C13" s="5"/>
      <c r="D13" s="6">
        <v>46041</v>
      </c>
      <c r="E13" s="10">
        <v>144454</v>
      </c>
      <c r="F13" s="5" t="s">
        <v>746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 customHeight="1">
      <c r="A14" s="5" t="s">
        <v>23</v>
      </c>
      <c r="B14" s="84">
        <v>617004302</v>
      </c>
      <c r="C14" s="5"/>
      <c r="D14" s="6">
        <v>46034</v>
      </c>
      <c r="E14" s="10">
        <v>140518</v>
      </c>
      <c r="F14" s="5" t="s">
        <v>746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 customHeight="1">
      <c r="A15" s="5" t="s">
        <v>23</v>
      </c>
      <c r="B15" s="84">
        <v>617012145</v>
      </c>
      <c r="C15" s="5"/>
      <c r="D15" s="6">
        <v>46049</v>
      </c>
      <c r="E15" s="10">
        <v>199002</v>
      </c>
      <c r="F15" s="5" t="s">
        <v>746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 customHeight="1">
      <c r="A16" s="5" t="s">
        <v>744</v>
      </c>
      <c r="B16" s="84" t="s">
        <v>848</v>
      </c>
      <c r="C16" s="5"/>
      <c r="D16" s="6">
        <v>46036</v>
      </c>
      <c r="E16" s="10">
        <v>1999</v>
      </c>
      <c r="F16" s="5" t="s">
        <v>849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 customHeight="1">
      <c r="A17" s="5" t="s">
        <v>744</v>
      </c>
      <c r="B17" s="84" t="s">
        <v>850</v>
      </c>
      <c r="C17" s="5"/>
      <c r="D17" s="6">
        <v>46035</v>
      </c>
      <c r="E17" s="10">
        <v>3071</v>
      </c>
      <c r="F17" s="5" t="s">
        <v>849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 customHeight="1">
      <c r="A18" s="5" t="s">
        <v>33</v>
      </c>
      <c r="B18" s="84" t="s">
        <v>851</v>
      </c>
      <c r="C18" s="5"/>
      <c r="D18" s="6">
        <v>46035</v>
      </c>
      <c r="E18" s="10">
        <v>15685</v>
      </c>
      <c r="F18" s="5" t="s">
        <v>746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 customHeight="1">
      <c r="A19" s="5" t="s">
        <v>763</v>
      </c>
      <c r="B19" s="84">
        <v>617013982</v>
      </c>
      <c r="C19" s="5"/>
      <c r="D19" s="6">
        <v>46052</v>
      </c>
      <c r="E19" s="10">
        <v>101358</v>
      </c>
      <c r="F19" s="5" t="s">
        <v>24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 customHeight="1">
      <c r="A20" s="5" t="s">
        <v>763</v>
      </c>
      <c r="B20" s="84">
        <v>261800809</v>
      </c>
      <c r="C20" s="5"/>
      <c r="D20" s="6">
        <v>46052</v>
      </c>
      <c r="E20" s="10">
        <v>-7428</v>
      </c>
      <c r="F20" s="5" t="s">
        <v>24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6" customHeight="1">
      <c r="A21" s="5" t="s">
        <v>763</v>
      </c>
      <c r="B21" s="84">
        <v>261800816</v>
      </c>
      <c r="C21" s="5"/>
      <c r="D21" s="6">
        <v>46052</v>
      </c>
      <c r="E21" s="10">
        <v>-2465</v>
      </c>
      <c r="F21" s="5" t="s">
        <v>24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 customHeight="1">
      <c r="A22" s="2"/>
      <c r="B22" s="2"/>
      <c r="C22" s="2"/>
      <c r="D22" s="41"/>
      <c r="E22" s="91">
        <f>SUM(E11:E21)</f>
        <v>657105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6" customHeight="1">
      <c r="A23" s="188" t="s">
        <v>21</v>
      </c>
      <c r="B23" s="188"/>
      <c r="C23" s="188"/>
      <c r="D23" s="188"/>
      <c r="E23" s="188"/>
      <c r="F23" s="188"/>
      <c r="G23" s="18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6" customHeight="1">
      <c r="A24" s="189" t="s">
        <v>43</v>
      </c>
      <c r="B24" s="189"/>
      <c r="C24" s="189"/>
      <c r="D24" s="189"/>
      <c r="E24" s="189"/>
      <c r="F24" s="189"/>
      <c r="G24" s="18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6" customHeight="1">
      <c r="A25" s="5" t="s">
        <v>852</v>
      </c>
      <c r="B25" s="5" t="s">
        <v>853</v>
      </c>
      <c r="C25" s="5"/>
      <c r="D25" s="6">
        <v>46041</v>
      </c>
      <c r="E25" s="10">
        <v>28728</v>
      </c>
      <c r="F25" s="85">
        <v>46049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" customHeight="1">
      <c r="A26" s="5" t="s">
        <v>852</v>
      </c>
      <c r="B26" s="5" t="s">
        <v>854</v>
      </c>
      <c r="C26" s="5"/>
      <c r="D26" s="6">
        <v>46048</v>
      </c>
      <c r="E26" s="10">
        <v>28728</v>
      </c>
      <c r="F26" s="85">
        <v>46056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6" customHeight="1">
      <c r="A27" s="5" t="s">
        <v>855</v>
      </c>
      <c r="B27" s="5" t="s">
        <v>856</v>
      </c>
      <c r="C27" s="5"/>
      <c r="D27" s="6">
        <v>46037</v>
      </c>
      <c r="E27" s="10">
        <v>183579</v>
      </c>
      <c r="F27" s="85">
        <v>46045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6" customHeight="1">
      <c r="A28" s="5" t="s">
        <v>753</v>
      </c>
      <c r="B28" s="5" t="s">
        <v>857</v>
      </c>
      <c r="C28" s="5"/>
      <c r="D28" s="6">
        <v>46043</v>
      </c>
      <c r="E28" s="10">
        <v>90880</v>
      </c>
      <c r="F28" s="85">
        <v>46051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6" customHeight="1">
      <c r="A29" s="5" t="s">
        <v>753</v>
      </c>
      <c r="B29" s="5" t="s">
        <v>858</v>
      </c>
      <c r="C29" s="5"/>
      <c r="D29" s="6">
        <v>46029</v>
      </c>
      <c r="E29" s="10">
        <v>58093</v>
      </c>
      <c r="F29" s="85">
        <v>46037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6" customHeight="1">
      <c r="A30" s="5" t="s">
        <v>649</v>
      </c>
      <c r="B30" s="5">
        <v>702590244</v>
      </c>
      <c r="C30" s="5"/>
      <c r="D30" s="6">
        <v>46034</v>
      </c>
      <c r="E30" s="10">
        <v>58511</v>
      </c>
      <c r="F30" s="85">
        <v>46058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6" customHeight="1">
      <c r="A31" s="5" t="s">
        <v>649</v>
      </c>
      <c r="B31" s="5">
        <v>702592220</v>
      </c>
      <c r="C31" s="5"/>
      <c r="D31" s="6">
        <v>46044</v>
      </c>
      <c r="E31" s="10">
        <v>41250</v>
      </c>
      <c r="F31" s="85">
        <v>46067</v>
      </c>
      <c r="G31" s="5" t="s">
        <v>859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6" customHeight="1">
      <c r="A32" s="5" t="s">
        <v>860</v>
      </c>
      <c r="B32" s="5" t="s">
        <v>861</v>
      </c>
      <c r="C32" s="5"/>
      <c r="D32" s="6">
        <v>46033</v>
      </c>
      <c r="E32" s="10">
        <v>35144</v>
      </c>
      <c r="F32" s="85">
        <v>46038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6" customHeight="1">
      <c r="A33" s="5" t="s">
        <v>860</v>
      </c>
      <c r="B33" s="5" t="s">
        <v>862</v>
      </c>
      <c r="C33" s="5"/>
      <c r="D33" s="6">
        <v>46048</v>
      </c>
      <c r="E33" s="10">
        <v>45947</v>
      </c>
      <c r="F33" s="85">
        <v>46053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6" customHeight="1">
      <c r="A34" s="5" t="s">
        <v>860</v>
      </c>
      <c r="B34" s="5" t="s">
        <v>863</v>
      </c>
      <c r="C34" s="2"/>
      <c r="D34" s="6">
        <v>46040</v>
      </c>
      <c r="E34" s="10">
        <v>36350</v>
      </c>
      <c r="F34" s="85">
        <v>46045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6" customHeight="1">
      <c r="A35" s="5" t="s">
        <v>864</v>
      </c>
      <c r="B35" s="5" t="s">
        <v>865</v>
      </c>
      <c r="C35" s="2"/>
      <c r="D35" s="6">
        <v>46043</v>
      </c>
      <c r="E35" s="10">
        <v>55341</v>
      </c>
      <c r="F35" s="85">
        <v>46051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6" customHeight="1">
      <c r="A36" s="5" t="s">
        <v>864</v>
      </c>
      <c r="B36" s="5" t="s">
        <v>580</v>
      </c>
      <c r="C36" s="2"/>
      <c r="D36" s="6">
        <v>46029</v>
      </c>
      <c r="E36" s="10">
        <v>38999</v>
      </c>
      <c r="F36" s="85">
        <v>46037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6" customHeight="1">
      <c r="A37" s="5" t="s">
        <v>864</v>
      </c>
      <c r="B37" s="5" t="s">
        <v>866</v>
      </c>
      <c r="C37" s="2"/>
      <c r="D37" s="6">
        <v>46029</v>
      </c>
      <c r="E37" s="10">
        <v>7528</v>
      </c>
      <c r="F37" s="85">
        <v>46037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6" customHeight="1">
      <c r="A38" s="5"/>
      <c r="B38" s="5"/>
      <c r="C38" s="2"/>
      <c r="D38" s="41"/>
      <c r="E38" s="91">
        <f>SUM(E25:E37)</f>
        <v>709078</v>
      </c>
      <c r="F38" s="8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6" customHeight="1">
      <c r="A39" s="188" t="s">
        <v>84</v>
      </c>
      <c r="B39" s="188"/>
      <c r="C39" s="188"/>
      <c r="D39" s="188"/>
      <c r="E39" s="188"/>
      <c r="F39" s="188"/>
      <c r="G39" s="188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15.6" customHeight="1">
      <c r="A40" s="189" t="s">
        <v>22</v>
      </c>
      <c r="B40" s="189"/>
      <c r="C40" s="189"/>
      <c r="D40" s="189"/>
      <c r="E40" s="189"/>
      <c r="F40" s="189"/>
      <c r="G40" s="189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15.6" customHeight="1">
      <c r="A41" s="5" t="s">
        <v>23</v>
      </c>
      <c r="B41" s="84">
        <v>617015770</v>
      </c>
      <c r="C41" s="5"/>
      <c r="D41" s="6">
        <v>46056</v>
      </c>
      <c r="E41" s="10">
        <v>148657</v>
      </c>
      <c r="F41" s="5" t="s">
        <v>746</v>
      </c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15.6" customHeight="1">
      <c r="A42" s="5" t="s">
        <v>23</v>
      </c>
      <c r="B42" s="84">
        <v>617018908</v>
      </c>
      <c r="C42" s="5"/>
      <c r="D42" s="6">
        <v>46062</v>
      </c>
      <c r="E42" s="10">
        <v>137670</v>
      </c>
      <c r="F42" s="5" t="s">
        <v>746</v>
      </c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15.6" customHeight="1">
      <c r="A43" s="5" t="s">
        <v>23</v>
      </c>
      <c r="B43" s="84">
        <v>617021778</v>
      </c>
      <c r="C43" s="5"/>
      <c r="D43" s="6">
        <v>46066</v>
      </c>
      <c r="E43" s="10">
        <v>89301</v>
      </c>
      <c r="F43" s="5" t="s">
        <v>746</v>
      </c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15.6" customHeight="1">
      <c r="A44" s="5" t="s">
        <v>23</v>
      </c>
      <c r="B44" s="84">
        <v>617022594</v>
      </c>
      <c r="C44" s="5"/>
      <c r="D44" s="6">
        <v>46069</v>
      </c>
      <c r="E44" s="10">
        <v>185965</v>
      </c>
      <c r="F44" s="5" t="s">
        <v>746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15.6" customHeight="1">
      <c r="A45" s="5" t="s">
        <v>23</v>
      </c>
      <c r="B45" s="84">
        <v>617025689</v>
      </c>
      <c r="C45" s="5"/>
      <c r="D45" s="6">
        <v>46073</v>
      </c>
      <c r="E45" s="10">
        <v>154170</v>
      </c>
      <c r="F45" s="5" t="s">
        <v>746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15.6" customHeight="1">
      <c r="A46" s="5" t="s">
        <v>23</v>
      </c>
      <c r="B46" s="84">
        <v>617027062</v>
      </c>
      <c r="C46" s="5"/>
      <c r="D46" s="6">
        <v>46076</v>
      </c>
      <c r="E46" s="10">
        <v>154128</v>
      </c>
      <c r="F46" s="5" t="s">
        <v>746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ht="15.6" customHeight="1">
      <c r="A47" s="5" t="s">
        <v>25</v>
      </c>
      <c r="B47" s="84" t="s">
        <v>867</v>
      </c>
      <c r="C47" s="5"/>
      <c r="D47" s="6">
        <v>46070</v>
      </c>
      <c r="E47" s="10">
        <v>4838</v>
      </c>
      <c r="F47" s="5" t="s">
        <v>746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ht="15.6" customHeight="1">
      <c r="A48" s="5" t="s">
        <v>744</v>
      </c>
      <c r="B48" s="84" t="s">
        <v>868</v>
      </c>
      <c r="C48" s="5"/>
      <c r="D48" s="6">
        <v>46070</v>
      </c>
      <c r="E48" s="10">
        <v>1367</v>
      </c>
      <c r="F48" s="5" t="s">
        <v>746</v>
      </c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ht="15.6" customHeight="1">
      <c r="A49" s="5" t="s">
        <v>869</v>
      </c>
      <c r="B49" s="84" t="s">
        <v>870</v>
      </c>
      <c r="C49" s="5"/>
      <c r="D49" s="6">
        <v>46059</v>
      </c>
      <c r="E49" s="10">
        <v>2285</v>
      </c>
      <c r="F49" s="5" t="s">
        <v>746</v>
      </c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ht="15.6" customHeight="1">
      <c r="A50" s="103" t="s">
        <v>33</v>
      </c>
      <c r="B50" s="84" t="s">
        <v>871</v>
      </c>
      <c r="C50" s="5"/>
      <c r="D50" s="6">
        <v>46077</v>
      </c>
      <c r="E50" s="10">
        <v>72820</v>
      </c>
      <c r="F50" s="5" t="s">
        <v>24</v>
      </c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ht="15.6" customHeight="1">
      <c r="A51" s="103" t="s">
        <v>872</v>
      </c>
      <c r="B51" s="84" t="s">
        <v>873</v>
      </c>
      <c r="C51" s="5"/>
      <c r="D51" s="6">
        <v>46065</v>
      </c>
      <c r="E51" s="10">
        <v>10300</v>
      </c>
      <c r="F51" s="5" t="s">
        <v>24</v>
      </c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ht="15.6" customHeight="1">
      <c r="A52"/>
      <c r="B52" t="s">
        <v>777</v>
      </c>
      <c r="C52"/>
      <c r="D52"/>
      <c r="E52" s="90">
        <f>SUM(E41:E51)</f>
        <v>961501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ht="15.6" customHeight="1">
      <c r="A53" s="188" t="s">
        <v>84</v>
      </c>
      <c r="B53" s="188"/>
      <c r="C53" s="188"/>
      <c r="D53" s="188"/>
      <c r="E53" s="188"/>
      <c r="F53" s="188"/>
      <c r="G53" s="188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ht="15.6" customHeight="1">
      <c r="A54" s="189" t="s">
        <v>43</v>
      </c>
      <c r="B54" s="189"/>
      <c r="C54" s="189"/>
      <c r="D54" s="189"/>
      <c r="E54" s="189"/>
      <c r="F54" s="189"/>
      <c r="G54" s="189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ht="15.6" customHeight="1">
      <c r="A55" s="5" t="s">
        <v>511</v>
      </c>
      <c r="B55" s="5" t="s">
        <v>874</v>
      </c>
      <c r="C55" s="5"/>
      <c r="D55" s="6">
        <v>46078</v>
      </c>
      <c r="E55" s="10">
        <v>5715</v>
      </c>
      <c r="F55" s="6">
        <v>46078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6" customHeight="1">
      <c r="A56" s="5" t="s">
        <v>649</v>
      </c>
      <c r="B56" s="5">
        <v>702596575</v>
      </c>
      <c r="C56" s="5"/>
      <c r="D56" s="6">
        <v>46063</v>
      </c>
      <c r="E56" s="10">
        <v>18323</v>
      </c>
      <c r="F56" s="6">
        <v>46086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6" customHeight="1">
      <c r="A57" s="5" t="s">
        <v>649</v>
      </c>
      <c r="B57" s="5">
        <v>702599437</v>
      </c>
      <c r="C57" s="5"/>
      <c r="D57" s="6">
        <v>46072</v>
      </c>
      <c r="E57" s="10">
        <v>81235</v>
      </c>
      <c r="F57" s="6">
        <v>46094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6" customHeight="1">
      <c r="A58" s="5" t="s">
        <v>649</v>
      </c>
      <c r="B58" s="5">
        <v>702595361</v>
      </c>
      <c r="C58" s="5"/>
      <c r="D58" s="6">
        <v>46056</v>
      </c>
      <c r="E58" s="10">
        <v>66776</v>
      </c>
      <c r="F58" s="6">
        <v>46084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6" customHeight="1">
      <c r="A59" s="5" t="s">
        <v>649</v>
      </c>
      <c r="B59" s="5">
        <v>702599436</v>
      </c>
      <c r="C59" s="5"/>
      <c r="D59" s="6">
        <v>46072</v>
      </c>
      <c r="E59" s="10">
        <v>300</v>
      </c>
      <c r="F59" s="6">
        <v>46094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6" customHeight="1">
      <c r="A60" s="5" t="s">
        <v>649</v>
      </c>
      <c r="B60" s="5">
        <v>702595360</v>
      </c>
      <c r="C60" s="5"/>
      <c r="D60" s="6">
        <v>46056</v>
      </c>
      <c r="E60" s="10">
        <v>300</v>
      </c>
      <c r="F60" s="6">
        <v>46083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" customHeight="1">
      <c r="A61" s="5" t="s">
        <v>852</v>
      </c>
      <c r="B61" s="5" t="s">
        <v>875</v>
      </c>
      <c r="C61" s="5"/>
      <c r="D61" s="6">
        <v>46069</v>
      </c>
      <c r="E61" s="10">
        <v>28728</v>
      </c>
      <c r="F61" s="6">
        <v>46077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6" customHeight="1">
      <c r="A62" s="5" t="s">
        <v>864</v>
      </c>
      <c r="B62" s="5" t="s">
        <v>876</v>
      </c>
      <c r="C62" s="5"/>
      <c r="D62" s="6">
        <v>46058</v>
      </c>
      <c r="E62" s="10">
        <v>10231</v>
      </c>
      <c r="F62" s="6">
        <v>46066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6" customHeight="1">
      <c r="A63" s="5" t="s">
        <v>864</v>
      </c>
      <c r="B63" s="5" t="s">
        <v>877</v>
      </c>
      <c r="C63" s="5"/>
      <c r="D63" s="6">
        <v>46071</v>
      </c>
      <c r="E63" s="10">
        <v>52120</v>
      </c>
      <c r="F63" s="6">
        <v>46079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" customHeight="1">
      <c r="A64" s="5" t="s">
        <v>864</v>
      </c>
      <c r="B64" s="5" t="s">
        <v>878</v>
      </c>
      <c r="C64" s="5"/>
      <c r="D64" s="6">
        <v>46058</v>
      </c>
      <c r="E64" s="10">
        <v>47367</v>
      </c>
      <c r="F64" s="6">
        <v>46066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" customHeight="1">
      <c r="A65" s="5" t="s">
        <v>860</v>
      </c>
      <c r="B65" s="5" t="s">
        <v>879</v>
      </c>
      <c r="C65" s="5"/>
      <c r="D65" s="6">
        <v>46075</v>
      </c>
      <c r="E65" s="10">
        <v>99293</v>
      </c>
      <c r="F65" s="6">
        <v>46080</v>
      </c>
      <c r="G65" s="2" t="s">
        <v>777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" customHeight="1">
      <c r="A66" s="5" t="s">
        <v>860</v>
      </c>
      <c r="B66" s="5" t="s">
        <v>880</v>
      </c>
      <c r="C66" s="5"/>
      <c r="D66" s="6">
        <v>46061</v>
      </c>
      <c r="E66" s="10">
        <v>87972</v>
      </c>
      <c r="F66" s="6">
        <v>46066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6" customHeight="1">
      <c r="A67" s="5" t="s">
        <v>860</v>
      </c>
      <c r="B67" s="5" t="s">
        <v>881</v>
      </c>
      <c r="C67" s="5"/>
      <c r="D67" s="6">
        <v>46068</v>
      </c>
      <c r="E67" s="10">
        <v>87972</v>
      </c>
      <c r="F67" s="6">
        <v>46073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6" customHeight="1">
      <c r="A68" s="5" t="s">
        <v>882</v>
      </c>
      <c r="B68" s="5" t="s">
        <v>883</v>
      </c>
      <c r="C68" s="5"/>
      <c r="D68" s="6">
        <v>46057</v>
      </c>
      <c r="E68" s="10">
        <v>62126</v>
      </c>
      <c r="F68" s="6">
        <v>46065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 customHeight="1">
      <c r="A69" s="2"/>
      <c r="B69" s="2"/>
      <c r="C69" s="2"/>
      <c r="D69" s="41"/>
      <c r="E69" s="90">
        <f>SUM(E55:E68)</f>
        <v>648458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 customHeight="1">
      <c r="A70" s="188" t="s">
        <v>119</v>
      </c>
      <c r="B70" s="188"/>
      <c r="C70" s="188"/>
      <c r="D70" s="188"/>
      <c r="E70" s="188"/>
      <c r="F70" s="188"/>
      <c r="G70" s="18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 customHeight="1">
      <c r="A71" s="189" t="s">
        <v>22</v>
      </c>
      <c r="B71" s="189"/>
      <c r="C71" s="189"/>
      <c r="D71" s="189"/>
      <c r="E71" s="189"/>
      <c r="F71" s="189"/>
      <c r="G71" s="189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 customHeight="1">
      <c r="A72" s="5" t="s">
        <v>744</v>
      </c>
      <c r="B72" s="84" t="s">
        <v>884</v>
      </c>
      <c r="C72" s="108"/>
      <c r="D72" s="6">
        <v>46083</v>
      </c>
      <c r="E72" s="10">
        <v>3608</v>
      </c>
      <c r="F72" s="5" t="s">
        <v>849</v>
      </c>
      <c r="G7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 customHeight="1">
      <c r="A73" s="5" t="s">
        <v>885</v>
      </c>
      <c r="B73" s="84" t="s">
        <v>886</v>
      </c>
      <c r="C73" s="108"/>
      <c r="D73" s="6">
        <v>46089</v>
      </c>
      <c r="E73" s="10">
        <v>12826</v>
      </c>
      <c r="F73" s="5" t="s">
        <v>849</v>
      </c>
      <c r="G7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 customHeight="1">
      <c r="A74" s="5" t="s">
        <v>887</v>
      </c>
      <c r="B74" s="84" t="s">
        <v>888</v>
      </c>
      <c r="C74" s="5"/>
      <c r="D74" s="6">
        <v>46098</v>
      </c>
      <c r="E74" s="10">
        <v>8169</v>
      </c>
      <c r="F74" s="5" t="s">
        <v>746</v>
      </c>
      <c r="G7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 customHeight="1">
      <c r="A75" s="5" t="s">
        <v>425</v>
      </c>
      <c r="B75" s="84">
        <v>617042724</v>
      </c>
      <c r="C75" s="108"/>
      <c r="D75" s="6">
        <v>46104</v>
      </c>
      <c r="E75" s="10">
        <v>208879</v>
      </c>
      <c r="F75" s="5" t="s">
        <v>746</v>
      </c>
      <c r="G7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 customHeight="1">
      <c r="A76" s="5" t="s">
        <v>425</v>
      </c>
      <c r="B76" s="84">
        <v>617034952</v>
      </c>
      <c r="C76" s="108"/>
      <c r="D76" s="6">
        <v>46090</v>
      </c>
      <c r="E76" s="10">
        <v>17466</v>
      </c>
      <c r="F76" s="5" t="s">
        <v>746</v>
      </c>
      <c r="G76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 customHeight="1">
      <c r="A77" s="5" t="s">
        <v>425</v>
      </c>
      <c r="B77" s="84">
        <v>617038987</v>
      </c>
      <c r="C77" s="108"/>
      <c r="D77" s="6">
        <v>46097</v>
      </c>
      <c r="E77" s="10">
        <v>146139</v>
      </c>
      <c r="F77" s="5" t="s">
        <v>746</v>
      </c>
      <c r="G7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 customHeight="1">
      <c r="A78" s="5" t="s">
        <v>425</v>
      </c>
      <c r="B78" s="84">
        <v>617035636</v>
      </c>
      <c r="C78" s="108"/>
      <c r="D78" s="6">
        <v>46091</v>
      </c>
      <c r="E78" s="10">
        <v>79541</v>
      </c>
      <c r="F78" s="5" t="s">
        <v>746</v>
      </c>
      <c r="G7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 customHeight="1">
      <c r="A79" s="5" t="s">
        <v>425</v>
      </c>
      <c r="B79" s="84">
        <v>617033898</v>
      </c>
      <c r="C79" s="108"/>
      <c r="D79" s="6">
        <v>46087</v>
      </c>
      <c r="E79" s="10">
        <v>226170</v>
      </c>
      <c r="F79" s="5" t="s">
        <v>746</v>
      </c>
      <c r="G79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 customHeight="1">
      <c r="A80" s="5" t="s">
        <v>425</v>
      </c>
      <c r="B80" s="84">
        <v>617030685</v>
      </c>
      <c r="C80" s="108"/>
      <c r="D80" s="6">
        <v>46083</v>
      </c>
      <c r="E80" s="10">
        <v>174200</v>
      </c>
      <c r="F80" s="5" t="s">
        <v>746</v>
      </c>
      <c r="G80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 customHeight="1">
      <c r="A81" s="5" t="s">
        <v>425</v>
      </c>
      <c r="B81" s="84">
        <v>617034953</v>
      </c>
      <c r="C81" s="108"/>
      <c r="D81" s="6">
        <v>46090</v>
      </c>
      <c r="E81" s="10">
        <v>126204</v>
      </c>
      <c r="F81" s="5" t="s">
        <v>746</v>
      </c>
      <c r="G8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 customHeight="1">
      <c r="A82" s="5" t="s">
        <v>425</v>
      </c>
      <c r="B82" s="84">
        <v>617046854</v>
      </c>
      <c r="C82" s="108"/>
      <c r="D82" s="6">
        <v>46111</v>
      </c>
      <c r="E82" s="10">
        <v>128326</v>
      </c>
      <c r="F82" s="5" t="s">
        <v>746</v>
      </c>
      <c r="G8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 customHeight="1">
      <c r="A83" s="5" t="s">
        <v>889</v>
      </c>
      <c r="B83" s="84">
        <v>20260509</v>
      </c>
      <c r="C83" s="108"/>
      <c r="D83" s="6">
        <v>46105</v>
      </c>
      <c r="E83" s="10">
        <v>12119</v>
      </c>
      <c r="F83" s="5" t="s">
        <v>849</v>
      </c>
      <c r="G8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 customHeight="1">
      <c r="A84" s="5" t="s">
        <v>890</v>
      </c>
      <c r="B84" s="84" t="s">
        <v>891</v>
      </c>
      <c r="C84" s="108"/>
      <c r="D84" s="6">
        <v>46112</v>
      </c>
      <c r="E84" s="10">
        <v>17894</v>
      </c>
      <c r="F84" s="5" t="s">
        <v>746</v>
      </c>
      <c r="G8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 customHeight="1">
      <c r="A85" s="5" t="s">
        <v>892</v>
      </c>
      <c r="B85" s="84">
        <v>261801931</v>
      </c>
      <c r="C85" s="108"/>
      <c r="D85" s="6">
        <v>46090</v>
      </c>
      <c r="E85" s="10">
        <v>-16251</v>
      </c>
      <c r="F85" s="5" t="s">
        <v>24</v>
      </c>
      <c r="G8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 customHeight="1">
      <c r="A86" s="5"/>
      <c r="B86" s="5"/>
      <c r="C86" s="108"/>
      <c r="D86" s="6"/>
      <c r="E86" s="90">
        <f>SUM(E72:E85)</f>
        <v>1145290</v>
      </c>
      <c r="F86" s="5"/>
      <c r="G86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 customHeight="1">
      <c r="A87" s="188" t="s">
        <v>119</v>
      </c>
      <c r="B87" s="188"/>
      <c r="C87" s="188"/>
      <c r="D87" s="188"/>
      <c r="E87" s="188"/>
      <c r="F87" s="188"/>
      <c r="G87" s="18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 customHeight="1">
      <c r="A88" s="189" t="s">
        <v>43</v>
      </c>
      <c r="B88" s="189"/>
      <c r="C88" s="189"/>
      <c r="D88" s="189"/>
      <c r="E88" s="189"/>
      <c r="F88" s="189"/>
      <c r="G88" s="189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 customHeight="1">
      <c r="A89" s="5" t="s">
        <v>753</v>
      </c>
      <c r="B89" s="5" t="s">
        <v>893</v>
      </c>
      <c r="C89" s="5"/>
      <c r="D89" s="6">
        <v>46092</v>
      </c>
      <c r="E89" s="10">
        <v>50510</v>
      </c>
      <c r="F89" s="6">
        <v>46100</v>
      </c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 customHeight="1">
      <c r="A90" s="5" t="s">
        <v>753</v>
      </c>
      <c r="B90" s="5" t="s">
        <v>894</v>
      </c>
      <c r="C90" s="5"/>
      <c r="D90" s="6">
        <v>46085</v>
      </c>
      <c r="E90" s="10">
        <v>11100</v>
      </c>
      <c r="F90" s="6">
        <v>46093</v>
      </c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 customHeight="1">
      <c r="A91" s="5" t="s">
        <v>753</v>
      </c>
      <c r="B91" s="5" t="s">
        <v>895</v>
      </c>
      <c r="C91" s="5"/>
      <c r="D91" s="6">
        <v>46111</v>
      </c>
      <c r="E91" s="10">
        <v>64460</v>
      </c>
      <c r="F91" s="6">
        <v>46119</v>
      </c>
      <c r="G91" s="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 customHeight="1">
      <c r="A92" s="5" t="s">
        <v>511</v>
      </c>
      <c r="B92" s="5" t="s">
        <v>896</v>
      </c>
      <c r="C92" s="5"/>
      <c r="D92" s="6">
        <v>46087</v>
      </c>
      <c r="E92" s="10">
        <v>5715</v>
      </c>
      <c r="F92" s="6">
        <v>46102</v>
      </c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 customHeight="1">
      <c r="A93" s="5" t="s">
        <v>897</v>
      </c>
      <c r="B93" s="5" t="s">
        <v>898</v>
      </c>
      <c r="C93" s="5"/>
      <c r="D93" s="6">
        <v>46085</v>
      </c>
      <c r="E93" s="10">
        <v>38405</v>
      </c>
      <c r="F93" s="6">
        <v>46085</v>
      </c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 customHeight="1">
      <c r="A94" s="5" t="s">
        <v>498</v>
      </c>
      <c r="B94" s="5" t="s">
        <v>899</v>
      </c>
      <c r="C94" s="5"/>
      <c r="D94" s="6">
        <v>46090</v>
      </c>
      <c r="E94" s="10">
        <v>27008</v>
      </c>
      <c r="F94" s="6">
        <v>46098</v>
      </c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 customHeight="1">
      <c r="A95" s="5" t="s">
        <v>860</v>
      </c>
      <c r="B95" s="5" t="s">
        <v>900</v>
      </c>
      <c r="C95" s="5"/>
      <c r="D95" s="6">
        <v>46089</v>
      </c>
      <c r="E95" s="10">
        <v>88047</v>
      </c>
      <c r="F95" s="6">
        <v>46094</v>
      </c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 customHeight="1">
      <c r="A96" s="5" t="s">
        <v>860</v>
      </c>
      <c r="B96" s="5" t="s">
        <v>901</v>
      </c>
      <c r="C96" s="5"/>
      <c r="D96" s="6">
        <v>46096</v>
      </c>
      <c r="E96" s="10">
        <v>49160</v>
      </c>
      <c r="F96" s="6">
        <v>46101</v>
      </c>
      <c r="G96" s="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" customHeight="1">
      <c r="A97" s="5" t="s">
        <v>860</v>
      </c>
      <c r="B97" s="5" t="s">
        <v>902</v>
      </c>
      <c r="C97" s="5"/>
      <c r="D97" s="6">
        <v>46103</v>
      </c>
      <c r="E97" s="10">
        <v>30906</v>
      </c>
      <c r="F97" s="6">
        <v>46108</v>
      </c>
      <c r="G97" s="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" customHeight="1">
      <c r="A98" s="5" t="s">
        <v>860</v>
      </c>
      <c r="B98" s="5" t="s">
        <v>903</v>
      </c>
      <c r="C98" s="5"/>
      <c r="D98" s="6">
        <v>46110</v>
      </c>
      <c r="E98" s="10">
        <v>29871</v>
      </c>
      <c r="F98" s="6">
        <v>46110</v>
      </c>
      <c r="G98" s="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" customHeight="1">
      <c r="A99" s="5" t="s">
        <v>855</v>
      </c>
      <c r="B99" s="5" t="s">
        <v>904</v>
      </c>
      <c r="C99" s="5"/>
      <c r="D99" s="6">
        <v>46097</v>
      </c>
      <c r="E99" s="10">
        <v>92831</v>
      </c>
      <c r="F99" s="6">
        <v>46105</v>
      </c>
      <c r="G99" s="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" customHeight="1">
      <c r="A100" s="5" t="s">
        <v>649</v>
      </c>
      <c r="B100" s="5">
        <v>702603289</v>
      </c>
      <c r="C100" s="5"/>
      <c r="D100" s="6">
        <v>46085</v>
      </c>
      <c r="E100" s="10">
        <v>74028</v>
      </c>
      <c r="F100" s="6">
        <v>46109</v>
      </c>
      <c r="G100" s="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" customHeight="1">
      <c r="A101" s="5" t="s">
        <v>649</v>
      </c>
      <c r="B101" s="5">
        <v>702607569</v>
      </c>
      <c r="C101" s="5"/>
      <c r="D101" s="6">
        <v>46101</v>
      </c>
      <c r="E101" s="10">
        <v>63030</v>
      </c>
      <c r="F101" s="6">
        <v>46125</v>
      </c>
      <c r="G101" s="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" customHeight="1">
      <c r="A102" s="5" t="s">
        <v>852</v>
      </c>
      <c r="B102" s="5" t="s">
        <v>905</v>
      </c>
      <c r="C102" s="5"/>
      <c r="D102" s="6">
        <v>46090</v>
      </c>
      <c r="E102" s="10">
        <v>27972</v>
      </c>
      <c r="F102" s="6">
        <v>46098</v>
      </c>
      <c r="G102" s="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" customHeight="1">
      <c r="A103" s="5" t="s">
        <v>852</v>
      </c>
      <c r="B103" s="5" t="s">
        <v>906</v>
      </c>
      <c r="C103" s="5"/>
      <c r="D103" s="6">
        <v>46104</v>
      </c>
      <c r="E103" s="10">
        <v>27972</v>
      </c>
      <c r="F103" s="6">
        <v>46112</v>
      </c>
      <c r="G103" s="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" customHeight="1">
      <c r="A104" s="5" t="s">
        <v>864</v>
      </c>
      <c r="B104" s="5" t="s">
        <v>907</v>
      </c>
      <c r="C104" s="5"/>
      <c r="D104" s="6">
        <v>46085</v>
      </c>
      <c r="E104" s="10">
        <v>60980</v>
      </c>
      <c r="F104" s="6">
        <v>46093</v>
      </c>
      <c r="G104" s="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" customHeight="1">
      <c r="A105" s="5" t="s">
        <v>864</v>
      </c>
      <c r="B105" s="5" t="s">
        <v>908</v>
      </c>
      <c r="C105" s="5"/>
      <c r="D105" s="6">
        <v>46099</v>
      </c>
      <c r="E105" s="10">
        <v>32449</v>
      </c>
      <c r="F105" s="6">
        <v>46107</v>
      </c>
      <c r="G105" s="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" customHeight="1">
      <c r="A106" s="5" t="s">
        <v>864</v>
      </c>
      <c r="B106" s="5" t="s">
        <v>909</v>
      </c>
      <c r="C106" s="5"/>
      <c r="D106" s="6">
        <v>46099</v>
      </c>
      <c r="E106" s="10">
        <v>7528</v>
      </c>
      <c r="F106" s="6">
        <v>46107</v>
      </c>
      <c r="G106" s="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" customHeight="1">
      <c r="A107" s="5" t="s">
        <v>882</v>
      </c>
      <c r="B107" s="5" t="s">
        <v>910</v>
      </c>
      <c r="C107" s="5"/>
      <c r="D107" s="6">
        <v>46099</v>
      </c>
      <c r="E107" s="10">
        <v>82700</v>
      </c>
      <c r="F107" s="6">
        <v>46107</v>
      </c>
      <c r="G107" s="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" customHeight="1">
      <c r="A108" s="5"/>
      <c r="B108" s="5"/>
      <c r="C108" s="5"/>
      <c r="D108" s="6"/>
      <c r="E108" s="90">
        <f>SUM(E89:E107)</f>
        <v>864672</v>
      </c>
      <c r="F108" s="6"/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" customHeight="1">
      <c r="A109" s="188" t="s">
        <v>170</v>
      </c>
      <c r="B109" s="188"/>
      <c r="C109" s="188"/>
      <c r="D109" s="188"/>
      <c r="E109" s="188"/>
      <c r="F109" s="188"/>
      <c r="G109" s="188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15.6" customHeight="1">
      <c r="A110" s="189" t="s">
        <v>22</v>
      </c>
      <c r="B110" s="189"/>
      <c r="C110" s="189"/>
      <c r="D110" s="189"/>
      <c r="E110" s="189"/>
      <c r="F110" s="189"/>
      <c r="G110" s="189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15.6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15.6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ht="15.6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ht="15.6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ht="15.6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ht="15.6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ht="15.6" customHeight="1">
      <c r="A117" s="188" t="s">
        <v>170</v>
      </c>
      <c r="B117" s="188"/>
      <c r="C117" s="188"/>
      <c r="D117" s="188"/>
      <c r="E117" s="188"/>
      <c r="F117" s="188"/>
      <c r="G117" s="188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ht="15.6" customHeight="1">
      <c r="A118" s="189" t="s">
        <v>43</v>
      </c>
      <c r="B118" s="189"/>
      <c r="C118" s="189"/>
      <c r="D118" s="189"/>
      <c r="E118" s="189"/>
      <c r="F118" s="189"/>
      <c r="G118" s="189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ht="15.6" customHeight="1">
      <c r="A119" s="2"/>
      <c r="B119" s="2"/>
      <c r="C119" s="2"/>
      <c r="D119" s="4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" customHeight="1">
      <c r="A120" s="2"/>
      <c r="B120" s="2"/>
      <c r="C120" s="2"/>
      <c r="D120" s="4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" customHeight="1">
      <c r="A121" s="2"/>
      <c r="B121" s="2"/>
      <c r="C121" s="2"/>
      <c r="D121" s="4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" customHeight="1">
      <c r="A122" s="2"/>
      <c r="B122" s="2"/>
      <c r="C122" s="2"/>
      <c r="D122" s="4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" customHeight="1">
      <c r="A123" s="2"/>
      <c r="B123" s="2"/>
      <c r="C123" s="2"/>
      <c r="D123" s="4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" customHeight="1">
      <c r="A124" s="2"/>
      <c r="B124" s="2"/>
      <c r="C124" s="2"/>
      <c r="D124" s="4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" customHeight="1">
      <c r="A125" s="2"/>
      <c r="B125" s="2"/>
      <c r="C125" s="2"/>
      <c r="D125" s="4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" customHeight="1">
      <c r="A126" s="2"/>
      <c r="B126" s="2"/>
      <c r="C126" s="2"/>
      <c r="D126" s="4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" customHeight="1">
      <c r="A127" s="2"/>
      <c r="B127" s="2"/>
      <c r="C127" s="2"/>
      <c r="D127" s="4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" customHeight="1">
      <c r="A128" s="2"/>
      <c r="B128" s="2"/>
      <c r="C128" s="2"/>
      <c r="D128" s="4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6" customHeight="1">
      <c r="A129" s="2"/>
      <c r="B129" s="2"/>
      <c r="C129" s="2"/>
      <c r="D129" s="4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6" customHeight="1">
      <c r="A130" s="2"/>
      <c r="B130" s="2"/>
      <c r="C130" s="2"/>
      <c r="D130" s="4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6" customHeight="1">
      <c r="A131" s="2"/>
      <c r="B131" s="2"/>
      <c r="C131" s="2"/>
      <c r="D131" s="4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6" customHeight="1">
      <c r="A132" s="2"/>
      <c r="B132" s="2"/>
      <c r="C132" s="2"/>
      <c r="D132" s="4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6" customHeight="1">
      <c r="A133" s="2"/>
      <c r="B133" s="2"/>
      <c r="C133" s="2"/>
      <c r="D133" s="4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6" customHeight="1">
      <c r="A134" s="2"/>
      <c r="B134" s="2"/>
      <c r="C134" s="2"/>
      <c r="D134" s="4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6" customHeight="1">
      <c r="A135" s="2"/>
      <c r="B135" s="2"/>
      <c r="C135" s="2"/>
      <c r="D135" s="4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6" customHeight="1">
      <c r="A136" s="2"/>
      <c r="B136" s="2"/>
      <c r="C136" s="2"/>
      <c r="D136" s="4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6" customHeight="1">
      <c r="A137" s="2"/>
      <c r="B137" s="2"/>
      <c r="C137" s="2"/>
      <c r="D137" s="4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6" customHeight="1">
      <c r="A138" s="2"/>
      <c r="B138" s="2"/>
      <c r="C138" s="2"/>
      <c r="D138" s="4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6" customHeight="1">
      <c r="A139" s="2"/>
      <c r="B139" s="2"/>
      <c r="C139" s="2"/>
      <c r="D139" s="4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6" customHeight="1">
      <c r="A140" s="2"/>
      <c r="B140" s="2"/>
      <c r="C140" s="2"/>
      <c r="D140" s="4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6" customHeight="1">
      <c r="A141" s="2"/>
      <c r="B141" s="2"/>
      <c r="C141" s="2"/>
      <c r="D141" s="4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6" customHeight="1">
      <c r="A142" s="2"/>
      <c r="B142" s="2"/>
      <c r="C142" s="2"/>
      <c r="D142" s="4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6" customHeight="1">
      <c r="A143" s="2"/>
      <c r="B143" s="2"/>
      <c r="C143" s="2"/>
      <c r="D143" s="4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6" customHeight="1">
      <c r="A144" s="2"/>
      <c r="B144" s="2"/>
      <c r="C144" s="2"/>
      <c r="D144" s="4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6" customHeight="1">
      <c r="A145" s="2"/>
      <c r="B145" s="2"/>
      <c r="C145" s="2"/>
      <c r="D145" s="4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6" customHeight="1">
      <c r="A146" s="2"/>
      <c r="B146" s="2"/>
      <c r="C146" s="2"/>
      <c r="D146" s="4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6" customHeight="1">
      <c r="A147" s="2"/>
      <c r="B147" s="2"/>
      <c r="C147" s="2"/>
      <c r="D147" s="4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6" customHeight="1">
      <c r="A148" s="2"/>
      <c r="B148" s="2"/>
      <c r="C148" s="2"/>
      <c r="D148" s="4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6" customHeight="1">
      <c r="A149" s="2"/>
      <c r="B149" s="2"/>
      <c r="C149" s="2"/>
      <c r="D149" s="4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6" customHeight="1">
      <c r="A150" s="2"/>
      <c r="B150" s="2"/>
      <c r="C150" s="2"/>
      <c r="D150" s="4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6" customHeight="1">
      <c r="A151" s="2"/>
      <c r="B151" s="2"/>
      <c r="C151" s="2"/>
      <c r="D151" s="4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6" customHeight="1">
      <c r="A152" s="2"/>
      <c r="B152" s="2"/>
      <c r="C152" s="2"/>
      <c r="D152" s="4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6" customHeight="1">
      <c r="A153" s="2"/>
      <c r="B153" s="2"/>
      <c r="C153" s="2"/>
      <c r="D153" s="4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6" customHeight="1">
      <c r="A154" s="2"/>
      <c r="B154" s="2"/>
      <c r="C154" s="2"/>
      <c r="D154" s="4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6" customHeight="1">
      <c r="A155" s="2"/>
      <c r="B155" s="2"/>
      <c r="C155" s="2"/>
      <c r="D155" s="4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6" customHeight="1">
      <c r="A156" s="2"/>
      <c r="B156" s="2"/>
      <c r="C156" s="2"/>
      <c r="D156" s="4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6" customHeight="1">
      <c r="A157" s="2"/>
      <c r="B157" s="2"/>
      <c r="C157" s="2"/>
      <c r="D157" s="4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6" customHeight="1">
      <c r="A158" s="2"/>
      <c r="B158" s="2"/>
      <c r="C158" s="2"/>
      <c r="D158" s="4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6" customHeight="1">
      <c r="A159" s="2"/>
      <c r="B159" s="2"/>
      <c r="C159" s="2"/>
      <c r="D159" s="41"/>
      <c r="E159" s="2"/>
      <c r="F159" s="2"/>
      <c r="G159" s="2"/>
      <c r="H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6" customHeight="1">
      <c r="A160" s="2"/>
      <c r="B160" s="2"/>
      <c r="C160" s="2"/>
      <c r="D160" s="4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6" customHeight="1">
      <c r="A161" s="2"/>
      <c r="B161" s="2"/>
      <c r="C161" s="2"/>
      <c r="D161" s="4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6" customHeight="1">
      <c r="A162" s="2"/>
      <c r="B162" s="2"/>
      <c r="C162" s="2"/>
      <c r="D162" s="4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6" customHeight="1">
      <c r="A163" s="2"/>
      <c r="B163" s="2"/>
      <c r="C163" s="2"/>
      <c r="D163" s="4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6" customHeight="1">
      <c r="A164" s="2"/>
      <c r="B164" s="2"/>
      <c r="C164" s="2"/>
      <c r="D164" s="4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6" customHeight="1">
      <c r="A165" s="2"/>
      <c r="B165" s="2"/>
      <c r="C165" s="2"/>
      <c r="D165" s="4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6" customHeight="1">
      <c r="A166" s="2"/>
      <c r="B166" s="2"/>
      <c r="C166" s="2"/>
      <c r="D166" s="4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6" customHeight="1">
      <c r="A167" s="2"/>
      <c r="B167" s="2"/>
      <c r="C167" s="2"/>
      <c r="D167" s="4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6" customHeight="1">
      <c r="A168" s="2"/>
      <c r="B168" s="2"/>
      <c r="C168" s="2"/>
      <c r="D168" s="4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6" customHeight="1">
      <c r="A169" s="2"/>
      <c r="B169" s="2"/>
      <c r="C169" s="2"/>
      <c r="D169" s="4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6" customHeight="1">
      <c r="A170" s="2"/>
      <c r="B170" s="2"/>
      <c r="C170" s="2"/>
      <c r="D170" s="41"/>
      <c r="E170" s="2"/>
      <c r="F170" s="2"/>
      <c r="G170" s="2"/>
      <c r="H170" s="2"/>
      <c r="I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6" customHeight="1">
      <c r="A171" s="2"/>
      <c r="B171" s="2"/>
      <c r="C171" s="2"/>
      <c r="D171" s="4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6" customHeight="1">
      <c r="A172" s="2"/>
      <c r="B172" s="2"/>
      <c r="C172" s="2"/>
      <c r="D172" s="4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6" customHeight="1">
      <c r="A173" s="2"/>
      <c r="B173" s="2"/>
      <c r="C173" s="2"/>
      <c r="D173" s="4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6" customHeight="1">
      <c r="A174" s="2"/>
      <c r="B174" s="2"/>
      <c r="C174" s="2"/>
      <c r="D174" s="4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6" customHeight="1">
      <c r="A175" s="2"/>
      <c r="B175" s="2"/>
      <c r="C175" s="2"/>
      <c r="D175" s="4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6" customHeight="1">
      <c r="A176" s="2"/>
      <c r="B176" s="2"/>
      <c r="C176" s="2"/>
      <c r="D176" s="4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6" customHeight="1">
      <c r="A177" s="2"/>
      <c r="B177" s="2"/>
      <c r="C177" s="2"/>
      <c r="D177" s="4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6" customHeight="1">
      <c r="A178" s="2"/>
      <c r="B178" s="2"/>
      <c r="C178" s="2"/>
      <c r="D178" s="4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6" customHeight="1">
      <c r="A179" s="2"/>
      <c r="B179" s="2"/>
      <c r="C179" s="2"/>
      <c r="D179" s="4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6" customHeight="1">
      <c r="A180" s="2"/>
      <c r="B180" s="2"/>
      <c r="C180" s="2"/>
      <c r="D180" s="4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6" customHeight="1">
      <c r="A181" s="2"/>
      <c r="B181" s="2"/>
      <c r="C181" s="2"/>
      <c r="D181" s="4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6" customHeight="1">
      <c r="A182" s="2"/>
      <c r="B182" s="2"/>
      <c r="C182" s="2"/>
      <c r="D182" s="4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6" customHeight="1">
      <c r="A183" s="2"/>
      <c r="B183" s="2"/>
      <c r="C183" s="2"/>
      <c r="D183" s="4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6" customHeight="1">
      <c r="A184" s="2"/>
      <c r="B184" s="2"/>
      <c r="C184" s="2"/>
      <c r="D184" s="4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6" customHeight="1">
      <c r="A185" s="2"/>
      <c r="B185" s="2"/>
      <c r="C185" s="2"/>
      <c r="D185" s="4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6" customHeight="1">
      <c r="A186" s="2"/>
      <c r="B186" s="2"/>
      <c r="C186" s="2"/>
      <c r="D186" s="4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>
      <c r="A187" s="2"/>
      <c r="B187" s="2"/>
      <c r="C187" s="2"/>
      <c r="D187" s="4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6" customHeight="1">
      <c r="A188" s="2"/>
      <c r="B188" s="2"/>
      <c r="C188" s="2"/>
      <c r="D188" s="4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6" customHeight="1">
      <c r="A189" s="2"/>
      <c r="B189" s="2"/>
      <c r="C189" s="2"/>
      <c r="D189" s="4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6" customHeight="1">
      <c r="A190" s="2"/>
      <c r="B190" s="2"/>
      <c r="C190" s="2"/>
      <c r="D190" s="4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6" customHeight="1">
      <c r="A191" s="2"/>
      <c r="B191" s="2"/>
      <c r="C191" s="2"/>
      <c r="D191" s="4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6" customHeight="1">
      <c r="A192" s="2"/>
      <c r="B192" s="2"/>
      <c r="C192" s="2"/>
      <c r="D192" s="4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6" customHeight="1">
      <c r="A193" s="2"/>
      <c r="B193" s="2"/>
      <c r="C193" s="2"/>
      <c r="D193" s="4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6" customHeight="1">
      <c r="A194" s="2"/>
      <c r="B194" s="2"/>
      <c r="C194" s="2"/>
      <c r="D194" s="4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6" customHeight="1">
      <c r="A195" s="2"/>
      <c r="B195" s="2"/>
      <c r="C195" s="2"/>
      <c r="D195" s="4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6" customHeight="1">
      <c r="A196" s="2"/>
      <c r="B196" s="2"/>
      <c r="C196" s="2"/>
      <c r="D196" s="4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6" customHeight="1">
      <c r="A197" s="2"/>
      <c r="B197" s="2"/>
      <c r="C197" s="2"/>
      <c r="D197" s="4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6" customHeight="1">
      <c r="A198" s="2"/>
      <c r="B198" s="2"/>
      <c r="C198" s="2"/>
      <c r="D198" s="4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6" customHeight="1">
      <c r="A199" s="2"/>
      <c r="B199" s="2"/>
      <c r="C199" s="2"/>
      <c r="D199" s="4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6" customHeight="1">
      <c r="A200" s="2"/>
      <c r="B200" s="2"/>
      <c r="C200" s="2"/>
      <c r="D200" s="4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6" customHeight="1">
      <c r="A201" s="2"/>
      <c r="B201" s="2"/>
      <c r="C201" s="2"/>
      <c r="D201" s="4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6" customHeight="1">
      <c r="A202" s="2"/>
      <c r="B202" s="2"/>
      <c r="C202" s="2"/>
      <c r="D202" s="4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6" customHeight="1">
      <c r="A203" s="2"/>
      <c r="B203" s="2"/>
      <c r="C203" s="2"/>
      <c r="D203" s="4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6" customHeight="1">
      <c r="A204" s="2"/>
      <c r="B204" s="2"/>
      <c r="C204" s="2"/>
      <c r="D204" s="4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6" customHeight="1">
      <c r="A205" s="2"/>
      <c r="B205" s="2"/>
      <c r="C205" s="2"/>
      <c r="D205" s="4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6" customHeight="1">
      <c r="A206" s="2"/>
      <c r="B206" s="2"/>
      <c r="C206" s="2"/>
      <c r="D206" s="4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6" customHeight="1">
      <c r="A207" s="2"/>
      <c r="B207" s="2"/>
      <c r="C207" s="2"/>
      <c r="D207" s="4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>
      <c r="A208" s="2"/>
      <c r="B208" s="2"/>
      <c r="C208" s="2"/>
      <c r="D208" s="4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6" customHeight="1">
      <c r="A209" s="2"/>
      <c r="B209" s="2"/>
      <c r="C209" s="2"/>
      <c r="D209" s="4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>
      <c r="A210" s="2"/>
      <c r="B210" s="2"/>
      <c r="C210" s="2"/>
      <c r="D210" s="4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>
      <c r="A211" s="2"/>
      <c r="B211" s="2"/>
      <c r="C211" s="2"/>
      <c r="D211" s="4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6" customHeight="1">
      <c r="A212" s="2"/>
      <c r="B212" s="2"/>
      <c r="C212" s="2"/>
      <c r="D212" s="4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6" customHeight="1">
      <c r="A213" s="2"/>
      <c r="B213" s="2"/>
      <c r="C213" s="2"/>
      <c r="D213" s="4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6" customHeight="1">
      <c r="A214" s="2"/>
      <c r="B214" s="2"/>
      <c r="C214" s="2"/>
      <c r="D214" s="4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6" customHeight="1">
      <c r="A215" s="2"/>
      <c r="B215" s="2"/>
      <c r="C215" s="2"/>
      <c r="D215" s="4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6" customHeight="1">
      <c r="A216" s="2"/>
      <c r="B216" s="2"/>
      <c r="C216" s="2"/>
      <c r="D216" s="4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6" customHeight="1">
      <c r="A217" s="2"/>
      <c r="B217" s="2"/>
      <c r="C217" s="2"/>
      <c r="D217" s="4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6" customHeight="1">
      <c r="A218" s="2"/>
      <c r="B218" s="2"/>
      <c r="C218" s="2"/>
      <c r="D218" s="4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>
      <c r="A219" s="2"/>
      <c r="B219" s="2"/>
      <c r="C219" s="2"/>
      <c r="D219" s="4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>
      <c r="A220" s="2"/>
      <c r="B220" s="2"/>
      <c r="C220" s="2"/>
      <c r="D220" s="4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>
      <c r="A221" s="2"/>
      <c r="B221" s="2"/>
      <c r="C221" s="2"/>
      <c r="D221" s="4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>
      <c r="A222" s="2"/>
      <c r="B222" s="2"/>
      <c r="C222" s="2"/>
      <c r="D222" s="4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>
      <c r="A223" s="2"/>
      <c r="B223" s="2"/>
      <c r="C223" s="2"/>
      <c r="D223" s="4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6" customHeight="1">
      <c r="A224" s="2"/>
      <c r="B224" s="2"/>
      <c r="C224" s="2"/>
      <c r="D224" s="4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6" customHeight="1">
      <c r="A225" s="2"/>
      <c r="B225" s="2"/>
      <c r="C225" s="2"/>
      <c r="D225" s="4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>
      <c r="A226" s="2"/>
      <c r="B226" s="2"/>
      <c r="C226" s="2"/>
      <c r="D226" s="4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6" customHeight="1">
      <c r="A227" s="2"/>
      <c r="B227" s="2"/>
      <c r="C227" s="2"/>
      <c r="D227" s="4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>
      <c r="A228" s="2"/>
      <c r="B228" s="2"/>
      <c r="C228" s="2"/>
      <c r="D228" s="4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>
      <c r="A229" s="2"/>
      <c r="B229" s="2"/>
      <c r="C229" s="2"/>
      <c r="D229" s="4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>
      <c r="A230" s="2"/>
      <c r="B230" s="2"/>
      <c r="C230" s="2"/>
      <c r="D230" s="4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>
      <c r="A231" s="2"/>
      <c r="B231" s="2"/>
      <c r="C231" s="2"/>
      <c r="D231" s="4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>
      <c r="A232" s="2"/>
      <c r="B232" s="2"/>
      <c r="C232" s="2"/>
      <c r="D232" s="4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>
      <c r="A233" s="2"/>
      <c r="B233" s="2"/>
      <c r="C233" s="2"/>
      <c r="D233" s="4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>
      <c r="A234" s="2"/>
      <c r="B234" s="2"/>
      <c r="C234" s="2"/>
      <c r="D234" s="4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6" customHeight="1">
      <c r="A235" s="2"/>
      <c r="B235" s="2"/>
      <c r="C235" s="2"/>
      <c r="D235" s="4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hidden="1" customHeight="1">
      <c r="A236" s="2"/>
      <c r="B236" s="2"/>
      <c r="C236" s="2"/>
      <c r="D236" s="4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6" customHeight="1">
      <c r="A237" s="2"/>
      <c r="B237" s="2"/>
      <c r="C237" s="2"/>
      <c r="D237" s="4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>
      <c r="A238" s="2"/>
      <c r="B238" s="2"/>
      <c r="C238" s="2"/>
      <c r="D238" s="4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6" customHeight="1">
      <c r="A239" s="2"/>
      <c r="B239" s="2"/>
      <c r="C239" s="2"/>
      <c r="D239" s="4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6" customHeight="1">
      <c r="A240" s="2"/>
      <c r="B240" s="2"/>
      <c r="C240" s="2"/>
      <c r="D240" s="4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6" customHeight="1">
      <c r="A241" s="2"/>
      <c r="B241" s="2"/>
      <c r="C241" s="2"/>
      <c r="D241" s="4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6" customHeight="1">
      <c r="A242" s="2"/>
      <c r="B242" s="2"/>
      <c r="C242" s="2"/>
      <c r="D242" s="4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6" customHeight="1">
      <c r="A243" s="2"/>
      <c r="B243" s="2"/>
      <c r="C243" s="2"/>
      <c r="D243" s="4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6" customHeight="1">
      <c r="A244" s="2"/>
      <c r="B244" s="2"/>
      <c r="C244" s="2"/>
      <c r="D244" s="4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6" customHeight="1">
      <c r="A245" s="2"/>
      <c r="B245" s="2"/>
      <c r="C245" s="2"/>
      <c r="D245" s="4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>
      <c r="A246" s="2"/>
      <c r="B246" s="2"/>
      <c r="C246" s="2"/>
      <c r="D246" s="4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>
      <c r="A247" s="2"/>
      <c r="B247" s="2"/>
      <c r="C247" s="2"/>
      <c r="D247" s="4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>
      <c r="A248" s="2"/>
      <c r="B248" s="2"/>
      <c r="C248" s="2"/>
      <c r="D248" s="4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>
      <c r="A249" s="2"/>
      <c r="B249" s="2"/>
      <c r="C249" s="2"/>
      <c r="D249" s="4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>
      <c r="A250" s="2"/>
      <c r="B250" s="2"/>
      <c r="C250" s="2"/>
      <c r="D250" s="4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>
      <c r="A251" s="2"/>
      <c r="B251" s="2"/>
      <c r="C251" s="2"/>
      <c r="D251" s="4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>
      <c r="A252" s="2"/>
      <c r="B252" s="2"/>
      <c r="C252" s="2"/>
      <c r="D252" s="4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>
      <c r="A253" s="2"/>
      <c r="B253" s="2"/>
      <c r="C253" s="2"/>
      <c r="D253" s="4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>
      <c r="A254" s="2"/>
      <c r="B254" s="2"/>
      <c r="C254" s="2"/>
      <c r="D254" s="4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>
      <c r="A255" s="2"/>
      <c r="B255" s="2"/>
      <c r="C255" s="2"/>
      <c r="D255" s="4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6" customHeight="1">
      <c r="A256" s="2"/>
      <c r="B256" s="2"/>
      <c r="C256" s="2"/>
      <c r="D256" s="4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>
      <c r="A257" s="2"/>
      <c r="B257" s="2"/>
      <c r="C257" s="2"/>
      <c r="D257" s="4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>
      <c r="A258" s="2"/>
      <c r="B258" s="2"/>
      <c r="C258" s="2"/>
      <c r="D258" s="4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>
      <c r="A259" s="2"/>
      <c r="B259" s="2"/>
      <c r="C259" s="2"/>
      <c r="D259" s="4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>
      <c r="A260" s="2"/>
      <c r="B260" s="2"/>
      <c r="C260" s="2"/>
      <c r="D260" s="4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>
      <c r="A261" s="2"/>
      <c r="B261" s="2"/>
      <c r="C261" s="2"/>
      <c r="D261" s="4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6" customHeight="1">
      <c r="A262" s="2"/>
      <c r="B262" s="2"/>
      <c r="C262" s="2"/>
      <c r="D262" s="4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6" customHeight="1">
      <c r="A263" s="2"/>
      <c r="B263" s="2"/>
      <c r="C263" s="2"/>
      <c r="D263" s="4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6" customHeight="1">
      <c r="A264" s="2"/>
      <c r="B264" s="2"/>
      <c r="C264" s="2"/>
      <c r="D264" s="4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6" customHeight="1">
      <c r="A265" s="2"/>
      <c r="B265" s="2"/>
      <c r="C265" s="2"/>
      <c r="D265" s="4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6" customHeight="1">
      <c r="A266" s="2"/>
      <c r="B266" s="2"/>
      <c r="C266" s="2"/>
      <c r="D266" s="4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6" customHeight="1">
      <c r="A267" s="2"/>
      <c r="B267" s="2"/>
      <c r="C267" s="2"/>
      <c r="D267" s="4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>
      <c r="A268" s="2"/>
      <c r="B268" s="2"/>
      <c r="C268" s="2"/>
      <c r="D268" s="4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>
      <c r="A269" s="2"/>
      <c r="B269" s="2"/>
      <c r="C269" s="2"/>
      <c r="D269" s="4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>
      <c r="A270" s="2"/>
      <c r="B270" s="2"/>
      <c r="C270" s="2"/>
      <c r="D270" s="4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>
      <c r="A271" s="2"/>
      <c r="B271" s="2"/>
      <c r="C271" s="2"/>
      <c r="D271" s="4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>
      <c r="A272" s="2"/>
      <c r="B272" s="2"/>
      <c r="C272" s="2"/>
      <c r="D272" s="4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>
      <c r="A273" s="2"/>
      <c r="B273" s="2"/>
      <c r="C273" s="2"/>
      <c r="D273" s="4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>
      <c r="A274" s="2"/>
      <c r="B274" s="2"/>
      <c r="C274" s="2"/>
      <c r="D274" s="4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>
      <c r="A275" s="2"/>
      <c r="B275" s="2"/>
      <c r="C275" s="2"/>
      <c r="D275" s="4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>
      <c r="A276" s="2"/>
      <c r="B276" s="2"/>
      <c r="C276" s="2"/>
      <c r="D276" s="4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>
      <c r="A277" s="2"/>
      <c r="B277" s="2"/>
      <c r="C277" s="2"/>
      <c r="D277" s="4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>
      <c r="A278" s="2"/>
      <c r="B278" s="2"/>
      <c r="C278" s="2"/>
      <c r="D278" s="4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>
      <c r="A279" s="2"/>
      <c r="B279" s="2"/>
      <c r="C279" s="2"/>
      <c r="D279" s="4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>
      <c r="A280" s="2"/>
      <c r="B280" s="2"/>
      <c r="C280" s="2"/>
      <c r="D280" s="4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>
      <c r="A281" s="2"/>
      <c r="B281" s="2"/>
      <c r="C281" s="2"/>
      <c r="D281" s="4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>
      <c r="A282" s="2"/>
      <c r="B282" s="2"/>
      <c r="C282" s="2"/>
      <c r="D282" s="4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>
      <c r="A283" s="2"/>
      <c r="B283" s="2"/>
      <c r="C283" s="2"/>
      <c r="D283" s="4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>
      <c r="A284" s="2"/>
      <c r="B284" s="2"/>
      <c r="C284" s="2"/>
      <c r="D284" s="41"/>
      <c r="E284" s="2"/>
      <c r="F284" s="2"/>
      <c r="G284" s="2"/>
      <c r="H284" s="3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6" customHeight="1">
      <c r="A285" s="2"/>
      <c r="B285" s="2"/>
      <c r="C285" s="2"/>
      <c r="D285" s="4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6" customHeight="1">
      <c r="A286" s="2"/>
      <c r="B286" s="2"/>
      <c r="C286" s="2"/>
      <c r="D286" s="4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6" customHeight="1">
      <c r="A287" s="2"/>
      <c r="B287" s="2"/>
      <c r="C287" s="2"/>
      <c r="D287" s="4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6" customHeight="1">
      <c r="A288" s="2"/>
      <c r="B288" s="2"/>
      <c r="C288" s="2"/>
      <c r="D288" s="4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>
      <c r="A289" s="2"/>
      <c r="B289" s="2"/>
      <c r="C289" s="2"/>
      <c r="D289" s="4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>
      <c r="A290" s="2"/>
      <c r="B290" s="2"/>
      <c r="C290" s="2"/>
      <c r="D290" s="4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>
      <c r="A291" s="2"/>
      <c r="B291" s="2"/>
      <c r="C291" s="2"/>
      <c r="D291" s="4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6" customHeight="1">
      <c r="A292" s="2"/>
      <c r="B292" s="2"/>
      <c r="C292" s="2"/>
      <c r="D292" s="4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>
      <c r="A293" s="2"/>
      <c r="B293" s="2"/>
      <c r="C293" s="2"/>
      <c r="D293" s="4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6" customHeight="1">
      <c r="A294" s="2"/>
      <c r="B294" s="2"/>
      <c r="C294" s="2"/>
      <c r="D294" s="4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6" customHeight="1">
      <c r="A295" s="2"/>
      <c r="B295" s="2"/>
      <c r="C295" s="2"/>
      <c r="D295" s="4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6" customHeight="1">
      <c r="A296" s="2"/>
      <c r="B296" s="2"/>
      <c r="C296" s="2"/>
      <c r="D296" s="4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>
      <c r="A297" s="2"/>
      <c r="B297" s="2"/>
      <c r="C297" s="2"/>
      <c r="D297" s="4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>
      <c r="A298" s="2"/>
      <c r="B298" s="2"/>
      <c r="C298" s="2"/>
      <c r="D298" s="4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>
      <c r="A299" s="2"/>
      <c r="B299" s="2"/>
      <c r="C299" s="2"/>
      <c r="D299" s="4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>
      <c r="A300" s="2"/>
      <c r="B300" s="2"/>
      <c r="C300" s="2"/>
      <c r="D300" s="4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>
      <c r="A301" s="2"/>
      <c r="B301" s="2"/>
      <c r="C301" s="2"/>
      <c r="D301" s="4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>
      <c r="A302" s="2"/>
      <c r="B302" s="2"/>
      <c r="C302" s="2"/>
      <c r="D302" s="4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>
      <c r="A303" s="2"/>
      <c r="B303" s="2"/>
      <c r="C303" s="2"/>
      <c r="D303" s="4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6" customHeight="1">
      <c r="A304" s="2"/>
      <c r="B304" s="2"/>
      <c r="C304" s="2"/>
      <c r="D304" s="4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>
      <c r="A305" s="2"/>
      <c r="B305" s="2"/>
      <c r="C305" s="2"/>
      <c r="D305" s="4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>
      <c r="A306" s="2"/>
      <c r="B306" s="2"/>
      <c r="C306" s="2"/>
      <c r="D306" s="4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>
      <c r="A307" s="2"/>
      <c r="B307" s="2"/>
      <c r="C307" s="2"/>
      <c r="D307" s="4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>
      <c r="A308" s="2"/>
      <c r="B308" s="2"/>
      <c r="C308" s="2"/>
      <c r="D308" s="4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>
      <c r="A309" s="2"/>
      <c r="B309" s="2"/>
      <c r="C309" s="2"/>
      <c r="D309" s="4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>
      <c r="A310" s="2"/>
      <c r="B310" s="2"/>
      <c r="C310" s="2"/>
      <c r="D310" s="4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>
      <c r="A311" s="2"/>
      <c r="B311" s="2"/>
      <c r="C311" s="2"/>
      <c r="D311" s="4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>
      <c r="A312" s="2"/>
      <c r="B312" s="2"/>
      <c r="C312" s="2"/>
      <c r="D312" s="4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>
      <c r="A313" s="2"/>
      <c r="B313" s="2"/>
      <c r="C313" s="2"/>
      <c r="D313" s="4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>
      <c r="A314" s="2"/>
      <c r="B314" s="2"/>
      <c r="C314" s="2"/>
      <c r="D314" s="4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>
      <c r="A315" s="2"/>
      <c r="B315" s="2"/>
      <c r="C315" s="2"/>
      <c r="D315" s="4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>
      <c r="A316" s="2"/>
      <c r="B316" s="2"/>
      <c r="C316" s="2"/>
      <c r="D316" s="4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>
      <c r="A317" s="2"/>
      <c r="B317" s="2"/>
      <c r="C317" s="2"/>
      <c r="D317" s="4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>
      <c r="A318" s="2"/>
      <c r="B318" s="2"/>
      <c r="C318" s="2"/>
      <c r="D318" s="4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>
      <c r="A319" s="2"/>
      <c r="B319" s="2"/>
      <c r="C319" s="2"/>
      <c r="D319" s="4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>
      <c r="A320" s="2"/>
      <c r="B320" s="2"/>
      <c r="C320" s="2"/>
      <c r="D320" s="4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>
      <c r="A321" s="2"/>
      <c r="B321" s="2"/>
      <c r="C321" s="2"/>
      <c r="D321" s="4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>
      <c r="A322" s="2"/>
      <c r="B322" s="2"/>
      <c r="C322" s="2"/>
      <c r="D322" s="4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>
      <c r="A323" s="2"/>
      <c r="B323" s="2"/>
      <c r="C323" s="2"/>
      <c r="D323" s="4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6" customHeight="1">
      <c r="A324" s="2"/>
      <c r="B324" s="2"/>
      <c r="C324" s="2"/>
      <c r="D324" s="41"/>
      <c r="E324" s="2"/>
      <c r="F324" s="2"/>
      <c r="G324" s="2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4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4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6" customHeight="1">
      <c r="A327" s="2"/>
      <c r="B327" s="2"/>
      <c r="C327" s="2"/>
      <c r="D327" s="4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6" customHeight="1">
      <c r="A328" s="2"/>
      <c r="B328" s="2"/>
      <c r="C328" s="2"/>
      <c r="D328" s="4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6" customHeight="1">
      <c r="A329" s="2"/>
      <c r="B329" s="2"/>
      <c r="C329" s="2"/>
      <c r="D329" s="4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6" customHeight="1">
      <c r="A330" s="2"/>
      <c r="B330" s="2"/>
      <c r="C330" s="2"/>
      <c r="D330" s="4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6" customHeight="1">
      <c r="A331" s="2"/>
      <c r="B331" s="2"/>
      <c r="C331" s="2"/>
      <c r="D331" s="4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6" customHeight="1">
      <c r="A332" s="2"/>
      <c r="B332" s="2"/>
      <c r="C332" s="2"/>
      <c r="D332" s="4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>
      <c r="A333" s="2"/>
      <c r="B333" s="2"/>
      <c r="C333" s="2"/>
      <c r="D333" s="41"/>
      <c r="E333" s="2"/>
      <c r="F333" s="2"/>
      <c r="G333" s="2"/>
      <c r="H333" s="39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>
      <c r="A334" s="2"/>
      <c r="B334" s="2"/>
      <c r="C334" s="2"/>
      <c r="D334" s="41"/>
      <c r="E334" s="2"/>
      <c r="F334" s="2"/>
      <c r="G334" s="2"/>
      <c r="H334" s="39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>
      <c r="A335" s="2"/>
      <c r="B335" s="2"/>
      <c r="C335" s="2"/>
      <c r="D335" s="41"/>
      <c r="E335" s="2"/>
      <c r="F335" s="2"/>
      <c r="G335" s="2"/>
      <c r="H335" s="39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>
      <c r="A336" s="2"/>
      <c r="B336" s="2"/>
      <c r="C336" s="2"/>
      <c r="D336" s="41"/>
      <c r="E336" s="2"/>
      <c r="F336" s="2"/>
      <c r="G336" s="2"/>
      <c r="H336" s="39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>
      <c r="A337" s="2"/>
      <c r="B337" s="2"/>
      <c r="C337" s="2"/>
      <c r="D337" s="41"/>
      <c r="E337" s="2"/>
      <c r="F337" s="2"/>
      <c r="G337" s="2"/>
      <c r="H337" s="39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>
      <c r="A338" s="2"/>
      <c r="B338" s="2"/>
      <c r="C338" s="2"/>
      <c r="D338" s="41"/>
      <c r="E338" s="2"/>
      <c r="F338" s="2"/>
      <c r="G338" s="2"/>
      <c r="H338" s="39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>
      <c r="A339" s="2"/>
      <c r="B339" s="2"/>
      <c r="C339" s="2"/>
      <c r="D339" s="41"/>
      <c r="E339" s="2"/>
      <c r="F339" s="2"/>
      <c r="G339" s="2"/>
      <c r="H339" s="39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>
      <c r="A340" s="2"/>
      <c r="B340" s="2"/>
      <c r="C340" s="2"/>
      <c r="D340" s="41"/>
      <c r="E340" s="2"/>
      <c r="F340" s="2"/>
      <c r="G340" s="2"/>
      <c r="H340" s="39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>
      <c r="A341" s="2"/>
      <c r="B341" s="2"/>
      <c r="C341" s="2"/>
      <c r="D341" s="41"/>
      <c r="E341" s="2"/>
      <c r="F341" s="2"/>
      <c r="G341" s="2"/>
      <c r="H341" s="39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>
      <c r="A342" s="2"/>
      <c r="B342" s="2"/>
      <c r="C342" s="2"/>
      <c r="D342" s="41"/>
      <c r="E342" s="2"/>
      <c r="F342" s="2"/>
      <c r="G342" s="2"/>
      <c r="H342" s="39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>
      <c r="A343" s="2"/>
      <c r="B343" s="2"/>
      <c r="C343" s="2"/>
      <c r="D343" s="41"/>
      <c r="E343" s="2"/>
      <c r="F343" s="2"/>
      <c r="G343" s="2"/>
      <c r="H343" s="39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>
      <c r="A344" s="2"/>
      <c r="B344" s="2"/>
      <c r="C344" s="2"/>
      <c r="D344" s="41"/>
      <c r="E344" s="2"/>
      <c r="F344" s="2"/>
      <c r="G344" s="2"/>
      <c r="H344" s="39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>
      <c r="A345" s="2"/>
      <c r="B345" s="2"/>
      <c r="C345" s="2"/>
      <c r="D345" s="41"/>
      <c r="E345" s="2"/>
      <c r="F345" s="2"/>
      <c r="G345" s="2"/>
      <c r="H345" s="39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6" customHeight="1">
      <c r="A346" s="2"/>
      <c r="B346" s="2"/>
      <c r="C346" s="2"/>
      <c r="D346" s="4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>
      <c r="A347" s="2"/>
      <c r="B347" s="2"/>
      <c r="C347" s="2"/>
      <c r="D347" s="4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4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4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>
      <c r="A350" s="2"/>
      <c r="B350" s="2"/>
      <c r="C350" s="2"/>
      <c r="D350" s="4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>
      <c r="A351" s="2"/>
      <c r="B351" s="2"/>
      <c r="C351" s="2"/>
      <c r="D351" s="4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>
      <c r="A352" s="2"/>
      <c r="B352" s="2"/>
      <c r="C352" s="2"/>
      <c r="D352" s="4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>
      <c r="A353" s="2"/>
      <c r="B353" s="2"/>
      <c r="C353" s="2"/>
      <c r="D353" s="4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>
      <c r="A354" s="2"/>
      <c r="B354" s="2"/>
      <c r="C354" s="2"/>
      <c r="D354" s="4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>
      <c r="A355" s="2"/>
      <c r="B355" s="2"/>
      <c r="C355" s="2"/>
      <c r="D355" s="4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>
      <c r="A356" s="2"/>
      <c r="B356" s="2"/>
      <c r="C356" s="2"/>
      <c r="D356" s="4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>
      <c r="A357" s="2"/>
      <c r="B357" s="2"/>
      <c r="C357" s="2"/>
      <c r="D357" s="4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>
      <c r="A358" s="2"/>
      <c r="B358" s="2"/>
      <c r="C358" s="2"/>
      <c r="D358" s="4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>
      <c r="A359" s="2"/>
      <c r="B359" s="2"/>
      <c r="C359" s="2"/>
      <c r="D359" s="4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>
      <c r="A360" s="2"/>
      <c r="B360" s="2"/>
      <c r="C360" s="2"/>
      <c r="D360" s="4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>
      <c r="A361" s="2"/>
      <c r="B361" s="2"/>
      <c r="C361" s="2"/>
      <c r="D361" s="4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>
      <c r="A362" s="2"/>
      <c r="B362" s="2"/>
      <c r="C362" s="2"/>
      <c r="D362" s="4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>
      <c r="A363" s="2"/>
      <c r="B363" s="2"/>
      <c r="C363" s="2"/>
      <c r="D363" s="4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>
      <c r="A364" s="2"/>
      <c r="B364" s="2"/>
      <c r="C364" s="2"/>
      <c r="D364" s="4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6" customHeight="1">
      <c r="A365" s="2"/>
      <c r="B365" s="2"/>
      <c r="C365" s="2"/>
      <c r="D365" s="4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6" customHeight="1">
      <c r="A366" s="2"/>
      <c r="B366" s="2"/>
      <c r="C366" s="2"/>
      <c r="D366" s="4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>
      <c r="A367" s="2"/>
      <c r="B367" s="2"/>
      <c r="C367" s="2"/>
      <c r="D367" s="4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6" customHeight="1">
      <c r="A368" s="2"/>
      <c r="B368" s="2"/>
      <c r="C368" s="2"/>
      <c r="D368" s="4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6" customHeight="1">
      <c r="A369" s="2"/>
      <c r="B369" s="2"/>
      <c r="C369" s="2"/>
      <c r="D369" s="4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6" customHeight="1">
      <c r="A370" s="2"/>
      <c r="B370" s="2"/>
      <c r="C370" s="2"/>
      <c r="D370" s="4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6" customHeight="1">
      <c r="A371" s="2"/>
      <c r="B371" s="2"/>
      <c r="C371" s="2"/>
      <c r="D371" s="4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6" customHeight="1">
      <c r="A372" s="2"/>
      <c r="B372" s="2"/>
      <c r="C372" s="2"/>
      <c r="D372" s="4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6" customHeight="1">
      <c r="A373" s="2"/>
      <c r="B373" s="2"/>
      <c r="C373" s="2"/>
      <c r="D373" s="4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6" customHeight="1">
      <c r="A374" s="2"/>
      <c r="B374" s="2"/>
      <c r="C374" s="2"/>
      <c r="D374" s="4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6" customHeight="1">
      <c r="A375" s="2"/>
      <c r="B375" s="2"/>
      <c r="C375" s="2"/>
      <c r="D375" s="4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6" customHeight="1">
      <c r="A376" s="2"/>
      <c r="B376" s="2"/>
      <c r="C376" s="2"/>
      <c r="D376" s="4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6" customHeight="1">
      <c r="A377" s="2"/>
      <c r="B377" s="2"/>
      <c r="C377" s="2"/>
      <c r="D377" s="4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6" customHeight="1">
      <c r="A378" s="2"/>
      <c r="B378" s="2"/>
      <c r="C378" s="2"/>
      <c r="D378" s="4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6" customHeight="1">
      <c r="A379" s="2"/>
      <c r="B379" s="2"/>
      <c r="C379" s="2"/>
      <c r="D379" s="4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6" customHeight="1">
      <c r="A380" s="2"/>
      <c r="B380" s="2"/>
      <c r="C380" s="2"/>
      <c r="D380" s="4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6" customHeight="1">
      <c r="A381" s="2"/>
      <c r="B381" s="2"/>
      <c r="C381" s="2"/>
      <c r="D381" s="4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6" customHeight="1">
      <c r="A382" s="2"/>
      <c r="B382" s="2"/>
      <c r="C382" s="2"/>
      <c r="D382" s="4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6" customHeight="1">
      <c r="A383" s="2"/>
      <c r="B383" s="2"/>
      <c r="C383" s="2"/>
      <c r="D383" s="4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6" customHeight="1">
      <c r="A384" s="2"/>
      <c r="B384" s="2"/>
      <c r="C384" s="2"/>
      <c r="D384" s="4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6" customHeight="1">
      <c r="A385" s="2"/>
      <c r="B385" s="2"/>
      <c r="C385" s="2"/>
      <c r="D385" s="4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6" customHeight="1">
      <c r="A386" s="2"/>
      <c r="B386" s="2"/>
      <c r="C386" s="2"/>
      <c r="D386" s="4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6" customHeight="1">
      <c r="A387" s="2"/>
      <c r="B387" s="2"/>
      <c r="C387" s="2"/>
      <c r="D387" s="4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6" customHeight="1">
      <c r="A388" s="2"/>
      <c r="B388" s="2"/>
      <c r="C388" s="2"/>
      <c r="D388" s="4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6" customHeight="1">
      <c r="A389" s="2"/>
      <c r="B389" s="2"/>
      <c r="C389" s="2"/>
      <c r="D389" s="4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6" customHeight="1">
      <c r="A390" s="2"/>
      <c r="B390" s="2"/>
      <c r="C390" s="2"/>
      <c r="D390" s="4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6" customHeight="1">
      <c r="A391" s="2"/>
      <c r="B391" s="2"/>
      <c r="C391" s="2"/>
      <c r="D391" s="4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6" customHeight="1">
      <c r="A392" s="2"/>
      <c r="B392" s="2"/>
      <c r="C392" s="2"/>
      <c r="D392" s="4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6" customHeight="1">
      <c r="A393" s="2"/>
      <c r="B393" s="2"/>
      <c r="C393" s="2"/>
      <c r="D393" s="4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6" customHeight="1">
      <c r="A394" s="2"/>
      <c r="B394" s="2"/>
      <c r="C394" s="2"/>
      <c r="D394" s="4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6" customHeight="1">
      <c r="A395" s="2"/>
      <c r="B395" s="2"/>
      <c r="C395" s="2"/>
      <c r="D395" s="4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6" customHeight="1">
      <c r="A396" s="2"/>
      <c r="B396" s="2"/>
      <c r="C396" s="2"/>
      <c r="D396" s="4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6" customHeight="1">
      <c r="A397" s="2"/>
      <c r="B397" s="2"/>
      <c r="C397" s="2"/>
      <c r="D397" s="4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>
      <c r="A398" s="2"/>
      <c r="B398" s="2"/>
      <c r="C398" s="2"/>
      <c r="D398" s="4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6" customHeight="1">
      <c r="A399" s="2"/>
      <c r="B399" s="2"/>
      <c r="C399" s="2"/>
      <c r="D399" s="4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>
      <c r="A400" s="2"/>
      <c r="B400" s="2"/>
      <c r="C400" s="2"/>
      <c r="D400" s="4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>
      <c r="A401" s="2"/>
      <c r="B401" s="2"/>
      <c r="C401" s="2"/>
      <c r="D401" s="4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>
      <c r="A402" s="2"/>
      <c r="B402" s="2"/>
      <c r="C402" s="2"/>
      <c r="D402" s="4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>
      <c r="A403" s="2"/>
      <c r="B403" s="2"/>
      <c r="C403" s="2"/>
      <c r="D403" s="4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>
      <c r="A404" s="2"/>
      <c r="B404" s="2"/>
      <c r="C404" s="2"/>
      <c r="D404" s="4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>
      <c r="A405" s="2"/>
      <c r="B405" s="2"/>
      <c r="C405" s="2"/>
      <c r="D405" s="4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>
      <c r="A406" s="2"/>
      <c r="B406" s="2"/>
      <c r="C406" s="2"/>
      <c r="D406" s="4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>
      <c r="A407" s="2"/>
      <c r="B407" s="2"/>
      <c r="C407" s="2"/>
      <c r="D407" s="4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>
      <c r="A408" s="2"/>
      <c r="B408" s="2"/>
      <c r="C408" s="2"/>
      <c r="D408" s="4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>
      <c r="A409" s="2"/>
      <c r="B409" s="2"/>
      <c r="C409" s="2"/>
      <c r="D409" s="4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6" customHeight="1">
      <c r="A410" s="2"/>
      <c r="B410" s="2"/>
      <c r="C410" s="2"/>
      <c r="D410" s="4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>
      <c r="A411" s="2"/>
      <c r="B411" s="2"/>
      <c r="C411" s="2"/>
      <c r="D411" s="4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4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4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>
      <c r="A414" s="2"/>
      <c r="B414" s="2"/>
      <c r="C414" s="2"/>
      <c r="D414" s="4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>
      <c r="A415" s="2"/>
      <c r="B415" s="2"/>
      <c r="C415" s="2"/>
      <c r="D415" s="4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>
      <c r="A416" s="2"/>
      <c r="B416" s="2"/>
      <c r="C416" s="2"/>
      <c r="D416" s="4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>
      <c r="A417" s="2"/>
      <c r="B417" s="2"/>
      <c r="C417" s="2"/>
      <c r="D417" s="4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>
      <c r="A418" s="2"/>
      <c r="B418" s="2"/>
      <c r="C418" s="2"/>
      <c r="D418" s="4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>
      <c r="A419" s="2"/>
      <c r="B419" s="2"/>
      <c r="C419" s="2"/>
      <c r="D419" s="4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>
      <c r="A420" s="2"/>
      <c r="B420" s="2"/>
      <c r="C420" s="2"/>
      <c r="D420" s="4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>
      <c r="A421" s="2"/>
      <c r="B421" s="2"/>
      <c r="C421" s="2"/>
      <c r="D421" s="4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>
      <c r="A422" s="2"/>
      <c r="B422" s="2"/>
      <c r="C422" s="2"/>
      <c r="D422" s="4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>
      <c r="A423" s="2"/>
      <c r="B423" s="2"/>
      <c r="C423" s="2"/>
      <c r="D423" s="4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>
      <c r="A424" s="2"/>
      <c r="B424" s="2"/>
      <c r="C424" s="2"/>
      <c r="D424" s="4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>
      <c r="A425" s="2"/>
      <c r="B425" s="2"/>
      <c r="C425" s="2"/>
      <c r="D425" s="4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>
      <c r="A426" s="2"/>
      <c r="B426" s="2"/>
      <c r="C426" s="2"/>
      <c r="D426" s="4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>
      <c r="A427" s="2"/>
      <c r="B427" s="2"/>
      <c r="C427" s="2"/>
      <c r="D427" s="4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>
      <c r="A428" s="2"/>
      <c r="B428" s="2"/>
      <c r="C428" s="2"/>
      <c r="D428" s="4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4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4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6" customHeight="1">
      <c r="A431" s="2"/>
      <c r="B431" s="2"/>
      <c r="C431" s="2"/>
      <c r="D431" s="4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>
      <c r="A432" s="2"/>
      <c r="B432" s="2"/>
      <c r="C432" s="2"/>
      <c r="D432" s="4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>
      <c r="A433" s="2"/>
      <c r="B433" s="2"/>
      <c r="C433" s="2"/>
      <c r="D433" s="4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6" customHeight="1">
      <c r="A434" s="2"/>
      <c r="B434" s="2"/>
      <c r="C434" s="2"/>
      <c r="D434" s="4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6" customHeight="1">
      <c r="A435" s="2"/>
      <c r="B435" s="2"/>
      <c r="C435" s="2"/>
      <c r="D435" s="4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6" customHeight="1">
      <c r="A436" s="2"/>
      <c r="B436" s="2"/>
      <c r="C436" s="2"/>
      <c r="D436" s="4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6" customHeight="1">
      <c r="A437" s="2"/>
      <c r="B437" s="2"/>
      <c r="C437" s="2"/>
      <c r="D437" s="4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6" customHeight="1">
      <c r="A438" s="2"/>
      <c r="B438" s="2"/>
      <c r="C438" s="2"/>
      <c r="D438" s="4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6" customHeight="1">
      <c r="A439" s="2"/>
      <c r="B439" s="2"/>
      <c r="C439" s="2"/>
      <c r="D439" s="4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>
      <c r="A440" s="2"/>
      <c r="B440" s="2"/>
      <c r="C440" s="2"/>
      <c r="D440" s="4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>
      <c r="A441" s="2"/>
      <c r="B441" s="2"/>
      <c r="C441" s="2"/>
      <c r="D441" s="4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6" customHeight="1">
      <c r="A442" s="2"/>
      <c r="B442" s="2"/>
      <c r="C442" s="2"/>
      <c r="D442" s="4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6" customHeight="1">
      <c r="A443" s="2"/>
      <c r="B443" s="2"/>
      <c r="C443" s="2"/>
      <c r="D443" s="4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>
      <c r="A444" s="2"/>
      <c r="B444" s="2"/>
      <c r="C444" s="2"/>
      <c r="D444" s="4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>
      <c r="A445" s="2"/>
      <c r="B445" s="2"/>
      <c r="C445" s="2"/>
      <c r="D445" s="4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6" customHeight="1">
      <c r="A446" s="2"/>
      <c r="B446" s="2"/>
      <c r="C446" s="2"/>
      <c r="D446" s="4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>
      <c r="A447" s="2"/>
      <c r="B447" s="2"/>
      <c r="C447" s="2"/>
      <c r="D447" s="4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>
      <c r="A448" s="2"/>
      <c r="B448" s="2"/>
      <c r="C448" s="2"/>
      <c r="D448" s="4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>
      <c r="A449" s="2"/>
      <c r="B449" s="2"/>
      <c r="C449" s="2"/>
      <c r="D449" s="4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>
      <c r="A450" s="2"/>
      <c r="B450" s="2"/>
      <c r="C450" s="2"/>
      <c r="D450" s="4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>
      <c r="A451" s="2"/>
      <c r="B451" s="2"/>
      <c r="C451" s="2"/>
      <c r="D451" s="4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>
      <c r="A452" s="2"/>
      <c r="B452" s="2"/>
      <c r="C452" s="2"/>
      <c r="D452" s="4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>
      <c r="A453" s="2"/>
      <c r="B453" s="2"/>
      <c r="C453" s="2"/>
      <c r="D453" s="4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>
      <c r="A454" s="2"/>
      <c r="B454" s="2"/>
      <c r="C454" s="2"/>
      <c r="D454" s="4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6" customHeight="1">
      <c r="A455" s="2"/>
      <c r="B455" s="2"/>
      <c r="C455" s="2"/>
      <c r="D455" s="4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6" customHeight="1">
      <c r="A456" s="2"/>
      <c r="B456" s="2"/>
      <c r="C456" s="2"/>
      <c r="D456" s="4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6" customHeight="1">
      <c r="A457" s="2"/>
      <c r="B457" s="2"/>
      <c r="C457" s="2"/>
      <c r="D457" s="4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6" customHeight="1">
      <c r="A458" s="2"/>
      <c r="B458" s="2"/>
      <c r="C458" s="2"/>
      <c r="D458" s="4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6" customHeight="1">
      <c r="A459" s="2"/>
      <c r="B459" s="2"/>
      <c r="C459" s="2"/>
      <c r="D459" s="4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6" customHeight="1">
      <c r="A460" s="2"/>
      <c r="B460" s="2"/>
      <c r="C460" s="2"/>
      <c r="D460" s="4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6" customHeight="1">
      <c r="A461" s="2"/>
      <c r="B461" s="2"/>
      <c r="C461" s="2"/>
      <c r="D461" s="4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6" customHeight="1">
      <c r="A462" s="2"/>
      <c r="B462" s="2"/>
      <c r="C462" s="2"/>
      <c r="D462" s="4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6" customHeight="1">
      <c r="A463" s="2"/>
      <c r="B463" s="2"/>
      <c r="C463" s="2"/>
      <c r="D463" s="4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6" customHeight="1">
      <c r="A464" s="2"/>
      <c r="B464" s="2"/>
      <c r="C464" s="2"/>
      <c r="D464" s="4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6" customHeight="1">
      <c r="A465" s="2"/>
      <c r="B465" s="2"/>
      <c r="C465" s="2"/>
      <c r="D465" s="4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6" customHeight="1">
      <c r="A466" s="2"/>
      <c r="B466" s="2"/>
      <c r="C466" s="2"/>
      <c r="D466" s="4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6" customHeight="1">
      <c r="A467" s="2"/>
      <c r="B467" s="2"/>
      <c r="C467" s="2"/>
      <c r="D467" s="4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6" customHeight="1">
      <c r="A468" s="2"/>
      <c r="B468" s="2"/>
      <c r="C468" s="2"/>
      <c r="D468" s="4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6" customHeight="1">
      <c r="A469" s="2"/>
      <c r="B469" s="2"/>
      <c r="C469" s="2"/>
      <c r="D469" s="4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6" customHeight="1">
      <c r="A470" s="2"/>
      <c r="B470" s="2"/>
      <c r="C470" s="2"/>
      <c r="D470" s="4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6" customHeight="1">
      <c r="A471" s="2"/>
      <c r="B471" s="2"/>
      <c r="C471" s="2"/>
      <c r="D471" s="4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6" customHeight="1">
      <c r="A472" s="2"/>
      <c r="B472" s="2"/>
      <c r="C472" s="2"/>
      <c r="D472" s="4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6" customHeight="1">
      <c r="A473" s="2"/>
      <c r="B473" s="2"/>
      <c r="C473" s="2"/>
      <c r="D473" s="4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6" customHeight="1">
      <c r="A474" s="2"/>
      <c r="B474" s="2"/>
      <c r="C474" s="2"/>
      <c r="D474" s="4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6" customHeight="1">
      <c r="A475" s="2"/>
      <c r="B475" s="2"/>
      <c r="C475" s="2"/>
      <c r="D475" s="4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6" customHeight="1">
      <c r="A476" s="2"/>
      <c r="B476" s="2"/>
      <c r="C476" s="2"/>
      <c r="D476" s="4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6" customHeight="1">
      <c r="A477" s="2"/>
      <c r="B477" s="2"/>
      <c r="C477" s="2"/>
      <c r="D477" s="4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6" customHeight="1">
      <c r="A478" s="2"/>
      <c r="B478" s="2"/>
      <c r="C478" s="2"/>
      <c r="D478" s="4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6" customHeight="1">
      <c r="A479" s="2"/>
      <c r="B479" s="2"/>
      <c r="C479" s="2"/>
      <c r="D479" s="4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6" customHeight="1">
      <c r="A480" s="2"/>
      <c r="B480" s="2"/>
      <c r="C480" s="2"/>
      <c r="D480" s="4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6" customHeight="1">
      <c r="A481" s="2"/>
      <c r="B481" s="2"/>
      <c r="C481" s="2"/>
      <c r="D481" s="4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6" customHeight="1">
      <c r="A482" s="2"/>
      <c r="B482" s="2"/>
      <c r="C482" s="2"/>
      <c r="D482" s="4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6" customHeight="1">
      <c r="A483" s="2"/>
      <c r="B483" s="2"/>
      <c r="C483" s="2"/>
      <c r="D483" s="4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6" customHeight="1">
      <c r="A484" s="2"/>
      <c r="B484" s="2"/>
      <c r="C484" s="2"/>
      <c r="D484" s="4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6" customHeight="1">
      <c r="A485" s="2"/>
      <c r="B485" s="2"/>
      <c r="C485" s="2"/>
      <c r="D485" s="4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6" customHeight="1">
      <c r="A486" s="2"/>
      <c r="B486" s="2"/>
      <c r="C486" s="2"/>
      <c r="D486" s="4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6" customHeight="1">
      <c r="A487" s="2"/>
      <c r="B487" s="2"/>
      <c r="C487" s="2"/>
      <c r="D487" s="4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6" customHeight="1">
      <c r="A488" s="2"/>
      <c r="B488" s="2"/>
      <c r="C488" s="2"/>
      <c r="D488" s="4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6" customHeight="1">
      <c r="A489" s="2"/>
      <c r="B489" s="2"/>
      <c r="C489" s="2"/>
      <c r="D489" s="4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6" customHeight="1">
      <c r="A490" s="2"/>
      <c r="B490" s="2"/>
      <c r="C490" s="2"/>
      <c r="D490" s="4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6" customHeight="1">
      <c r="A491" s="2"/>
      <c r="B491" s="2"/>
      <c r="C491" s="2"/>
      <c r="D491" s="4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6" customHeight="1">
      <c r="A492" s="2"/>
      <c r="B492" s="2"/>
      <c r="C492" s="2"/>
      <c r="D492" s="4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6" customHeight="1">
      <c r="A493" s="2"/>
      <c r="B493" s="2"/>
      <c r="C493" s="2"/>
      <c r="D493" s="4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6" customHeight="1">
      <c r="A494" s="2"/>
      <c r="B494" s="2"/>
      <c r="C494" s="2"/>
      <c r="D494" s="4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6" customHeight="1">
      <c r="A495" s="2"/>
      <c r="B495" s="2"/>
      <c r="C495" s="2"/>
      <c r="D495" s="4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6" customHeight="1">
      <c r="A496" s="2"/>
      <c r="B496" s="2"/>
      <c r="C496" s="2"/>
      <c r="D496" s="4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6" customHeight="1">
      <c r="A497" s="2"/>
      <c r="B497" s="2"/>
      <c r="C497" s="2"/>
      <c r="D497" s="4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6" customHeight="1">
      <c r="A498" s="2"/>
      <c r="B498" s="2"/>
      <c r="C498" s="2"/>
      <c r="D498" s="4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6" customHeight="1">
      <c r="A499" s="2"/>
      <c r="B499" s="2"/>
      <c r="C499" s="2"/>
      <c r="D499" s="4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6" customHeight="1">
      <c r="A500" s="2"/>
      <c r="B500" s="2"/>
      <c r="C500" s="2"/>
      <c r="D500" s="4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6" customHeight="1">
      <c r="A501" s="2"/>
      <c r="B501" s="2"/>
      <c r="C501" s="2"/>
      <c r="D501" s="4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6" customHeight="1">
      <c r="A502" s="2"/>
      <c r="B502" s="2"/>
      <c r="C502" s="2"/>
      <c r="D502" s="4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6" customHeight="1">
      <c r="A503" s="2"/>
      <c r="B503" s="2"/>
      <c r="C503" s="2"/>
      <c r="D503" s="4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6" customHeight="1">
      <c r="A504" s="2"/>
      <c r="B504" s="2"/>
      <c r="C504" s="2"/>
      <c r="D504" s="4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6" customHeight="1">
      <c r="A505" s="2"/>
      <c r="B505" s="2"/>
      <c r="C505" s="2"/>
      <c r="D505" s="4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6" customHeight="1">
      <c r="A506" s="2"/>
      <c r="B506" s="2"/>
      <c r="C506" s="2"/>
      <c r="D506" s="4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6" customHeight="1">
      <c r="A507" s="2"/>
      <c r="B507" s="2"/>
      <c r="C507" s="2"/>
      <c r="D507" s="4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6" customHeight="1">
      <c r="A508" s="2"/>
      <c r="B508" s="2"/>
      <c r="C508" s="2"/>
      <c r="D508" s="4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6" customHeight="1">
      <c r="A509" s="2"/>
      <c r="B509" s="2"/>
      <c r="C509" s="2"/>
      <c r="D509" s="4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6" customHeight="1">
      <c r="A510" s="2"/>
      <c r="B510" s="2"/>
      <c r="C510" s="2"/>
      <c r="D510" s="4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6" customHeight="1">
      <c r="A511" s="2"/>
      <c r="B511" s="2"/>
      <c r="C511" s="2"/>
      <c r="D511" s="4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6" customHeight="1">
      <c r="A512" s="2"/>
      <c r="B512" s="2"/>
      <c r="C512" s="2"/>
      <c r="D512" s="4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6" customHeight="1">
      <c r="A513" s="2"/>
      <c r="B513" s="2"/>
      <c r="C513" s="2"/>
      <c r="D513" s="4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6" customHeight="1">
      <c r="A514" s="2"/>
      <c r="B514" s="2"/>
      <c r="C514" s="2"/>
      <c r="D514" s="4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6" customHeight="1">
      <c r="A515" s="2"/>
      <c r="B515" s="2"/>
      <c r="C515" s="2"/>
      <c r="D515" s="4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6" customHeight="1">
      <c r="A516" s="2"/>
      <c r="B516" s="2"/>
      <c r="C516" s="2"/>
      <c r="D516" s="4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6" customHeight="1">
      <c r="A517" s="2"/>
      <c r="B517" s="2"/>
      <c r="C517" s="2"/>
      <c r="D517" s="4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6" customHeight="1">
      <c r="A518" s="2"/>
      <c r="B518" s="2"/>
      <c r="C518" s="2"/>
      <c r="D518" s="4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6" customHeight="1">
      <c r="A519" s="2"/>
      <c r="B519" s="2"/>
      <c r="C519" s="2"/>
      <c r="D519" s="4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6" customHeight="1">
      <c r="A520" s="2"/>
      <c r="B520" s="2"/>
      <c r="C520" s="2"/>
      <c r="D520" s="4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6" customHeight="1">
      <c r="A521" s="2"/>
      <c r="B521" s="2"/>
      <c r="C521" s="2"/>
      <c r="D521" s="4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6" customHeight="1">
      <c r="A522" s="2"/>
      <c r="B522" s="2"/>
      <c r="C522" s="2"/>
      <c r="D522" s="4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6" customHeight="1">
      <c r="A523" s="2"/>
      <c r="B523" s="2"/>
      <c r="C523" s="2"/>
      <c r="D523" s="4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6" customHeight="1">
      <c r="A524" s="2"/>
      <c r="B524" s="2"/>
      <c r="C524" s="2"/>
      <c r="D524" s="4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6" customHeight="1">
      <c r="A525" s="2"/>
      <c r="B525" s="2"/>
      <c r="C525" s="2"/>
      <c r="D525" s="4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6" customHeight="1">
      <c r="A526" s="2"/>
      <c r="B526" s="2"/>
      <c r="C526" s="2"/>
      <c r="D526" s="4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6" customHeight="1">
      <c r="A527" s="2"/>
      <c r="B527" s="2"/>
      <c r="C527" s="2"/>
      <c r="D527" s="4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6" customHeight="1">
      <c r="A528" s="2"/>
      <c r="B528" s="2"/>
      <c r="C528" s="2"/>
      <c r="D528" s="4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6" customHeight="1">
      <c r="A529" s="2"/>
      <c r="B529" s="2"/>
      <c r="C529" s="2"/>
      <c r="D529" s="4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6" customHeight="1">
      <c r="A530" s="2"/>
      <c r="B530" s="2"/>
      <c r="C530" s="2"/>
      <c r="D530" s="4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6" customHeight="1">
      <c r="A531" s="2"/>
      <c r="B531" s="2"/>
      <c r="C531" s="2"/>
      <c r="D531" s="4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6" customHeight="1">
      <c r="A532" s="2"/>
      <c r="B532" s="2"/>
      <c r="C532" s="2"/>
      <c r="D532" s="4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6" customHeight="1">
      <c r="A533" s="2"/>
      <c r="B533" s="2"/>
      <c r="C533" s="2"/>
      <c r="D533" s="4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6" customHeight="1">
      <c r="A534" s="2"/>
      <c r="B534" s="2"/>
      <c r="C534" s="2"/>
      <c r="D534" s="4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6" customHeight="1">
      <c r="A535" s="2"/>
      <c r="B535" s="2"/>
      <c r="C535" s="2"/>
      <c r="D535" s="4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6" customHeight="1">
      <c r="A536" s="2"/>
      <c r="B536" s="2"/>
      <c r="C536" s="2"/>
      <c r="D536" s="4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6" customHeight="1">
      <c r="A537" s="2"/>
      <c r="B537" s="2"/>
      <c r="C537" s="2"/>
      <c r="D537" s="4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6" customHeight="1">
      <c r="A538" s="2"/>
      <c r="B538" s="2"/>
      <c r="C538" s="2"/>
      <c r="D538" s="4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6" customHeight="1">
      <c r="A539" s="2"/>
      <c r="B539" s="2"/>
      <c r="C539" s="2"/>
      <c r="D539" s="4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6" customHeight="1">
      <c r="A540" s="2"/>
      <c r="B540" s="2"/>
      <c r="C540" s="2"/>
      <c r="D540" s="4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6" customHeight="1">
      <c r="A541" s="2"/>
      <c r="B541" s="2"/>
      <c r="C541" s="2"/>
      <c r="D541" s="4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6" customHeight="1">
      <c r="A542" s="2"/>
      <c r="B542" s="2"/>
      <c r="C542" s="2"/>
      <c r="D542" s="4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6" customHeight="1">
      <c r="A543" s="2"/>
      <c r="B543" s="2"/>
      <c r="C543" s="2"/>
      <c r="D543" s="4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6" customHeight="1">
      <c r="A544" s="2"/>
      <c r="B544" s="2"/>
      <c r="C544" s="2"/>
      <c r="D544" s="4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6" customHeight="1">
      <c r="A545" s="2"/>
      <c r="B545" s="2"/>
      <c r="C545" s="2"/>
      <c r="D545" s="4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6" customHeight="1">
      <c r="A546" s="2"/>
      <c r="B546" s="2"/>
      <c r="C546" s="2"/>
      <c r="D546" s="4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6" customHeight="1">
      <c r="A547" s="2"/>
      <c r="B547" s="2"/>
      <c r="C547" s="2"/>
      <c r="D547" s="4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6" customHeight="1">
      <c r="A548" s="2"/>
      <c r="B548" s="2"/>
      <c r="C548" s="2"/>
      <c r="D548" s="4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6" customHeight="1">
      <c r="A549" s="2"/>
      <c r="B549" s="2"/>
      <c r="C549" s="2"/>
      <c r="D549" s="4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6" customHeight="1">
      <c r="A550" s="2"/>
      <c r="B550" s="2"/>
      <c r="C550" s="2"/>
      <c r="D550" s="4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6" customHeight="1">
      <c r="A551" s="2"/>
      <c r="B551" s="2"/>
      <c r="C551" s="2"/>
      <c r="D551" s="4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6" customHeight="1">
      <c r="A552" s="2"/>
      <c r="B552" s="2"/>
      <c r="C552" s="2"/>
      <c r="D552" s="4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6" customHeight="1">
      <c r="A553" s="2"/>
      <c r="B553" s="2"/>
      <c r="C553" s="2"/>
      <c r="D553" s="4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6" customHeight="1">
      <c r="A554" s="2"/>
      <c r="B554" s="2"/>
      <c r="C554" s="2"/>
      <c r="D554" s="4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6" customHeight="1">
      <c r="A555" s="2"/>
      <c r="B555" s="2"/>
      <c r="C555" s="2"/>
      <c r="D555" s="4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6" customHeight="1">
      <c r="A556" s="2"/>
      <c r="B556" s="2"/>
      <c r="C556" s="2"/>
      <c r="D556" s="4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6" customHeight="1">
      <c r="A557" s="2"/>
      <c r="B557" s="2"/>
      <c r="C557" s="2"/>
      <c r="D557" s="4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6" customHeight="1">
      <c r="A558" s="2"/>
      <c r="B558" s="2"/>
      <c r="C558" s="2"/>
      <c r="D558" s="4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6" customHeight="1">
      <c r="A559" s="2"/>
      <c r="B559" s="2"/>
      <c r="C559" s="2"/>
      <c r="D559" s="4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6" customHeight="1">
      <c r="A560" s="2"/>
      <c r="B560" s="2"/>
      <c r="C560" s="2"/>
      <c r="D560" s="4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6" customHeight="1">
      <c r="A561" s="2"/>
      <c r="B561" s="2"/>
      <c r="C561" s="2"/>
      <c r="D561" s="4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6" customHeight="1">
      <c r="A562" s="2"/>
      <c r="B562" s="2"/>
      <c r="C562" s="2"/>
      <c r="D562" s="4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6" customHeight="1">
      <c r="A563" s="2"/>
      <c r="B563" s="2"/>
      <c r="C563" s="2"/>
      <c r="D563" s="4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6" customHeight="1">
      <c r="A564" s="2"/>
      <c r="B564" s="2"/>
      <c r="C564" s="2"/>
      <c r="D564" s="4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6" customHeight="1">
      <c r="A565" s="2"/>
      <c r="B565" s="2"/>
      <c r="C565" s="2"/>
      <c r="D565" s="4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6" customHeight="1">
      <c r="A566" s="2"/>
      <c r="B566" s="2"/>
      <c r="C566" s="2"/>
      <c r="D566" s="4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6" customHeight="1">
      <c r="A567" s="2"/>
      <c r="B567" s="2"/>
      <c r="C567" s="2"/>
      <c r="D567" s="4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6" customHeight="1">
      <c r="A568" s="2"/>
      <c r="B568" s="2"/>
      <c r="C568" s="2"/>
      <c r="D568" s="4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6" customHeight="1">
      <c r="A569" s="2"/>
      <c r="B569" s="2"/>
      <c r="C569" s="2"/>
      <c r="D569" s="4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6" customHeight="1">
      <c r="A570" s="2"/>
      <c r="B570" s="2"/>
      <c r="C570" s="2"/>
      <c r="D570" s="4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6" customHeight="1">
      <c r="A571" s="2"/>
      <c r="B571" s="2"/>
      <c r="C571" s="2"/>
      <c r="D571" s="4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6" customHeight="1">
      <c r="A572" s="2"/>
      <c r="B572" s="2"/>
      <c r="C572" s="2"/>
      <c r="D572" s="4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6" customHeight="1">
      <c r="A573" s="2"/>
      <c r="B573" s="2"/>
      <c r="C573" s="2"/>
      <c r="D573" s="4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6" customHeight="1">
      <c r="A574" s="2"/>
      <c r="B574" s="2"/>
      <c r="C574" s="2"/>
      <c r="D574" s="4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6" customHeight="1">
      <c r="A575" s="2"/>
      <c r="B575" s="2"/>
      <c r="C575" s="2"/>
      <c r="D575" s="4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6" customHeight="1">
      <c r="A576" s="2"/>
      <c r="B576" s="2"/>
      <c r="C576" s="2"/>
      <c r="D576" s="4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6" customHeight="1">
      <c r="A577" s="2"/>
      <c r="B577" s="2"/>
      <c r="C577" s="2"/>
      <c r="D577" s="4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6" customHeight="1">
      <c r="A578" s="2"/>
      <c r="B578" s="2"/>
      <c r="C578" s="2"/>
      <c r="D578" s="4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6" customHeight="1">
      <c r="A579" s="2"/>
      <c r="B579" s="2"/>
      <c r="C579" s="2"/>
      <c r="D579" s="4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6" customHeight="1">
      <c r="A580" s="2"/>
      <c r="B580" s="2"/>
      <c r="C580" s="2"/>
      <c r="D580" s="4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6" customHeight="1">
      <c r="A581" s="2"/>
      <c r="B581" s="2"/>
      <c r="C581" s="2"/>
      <c r="D581" s="4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6" customHeight="1">
      <c r="A582" s="2"/>
      <c r="B582" s="2"/>
      <c r="C582" s="2"/>
      <c r="D582" s="4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6" customHeight="1">
      <c r="A583" s="2"/>
      <c r="B583" s="2"/>
      <c r="C583" s="2"/>
      <c r="D583" s="4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6" customHeight="1">
      <c r="A584" s="2"/>
      <c r="B584" s="2"/>
      <c r="C584" s="2"/>
      <c r="D584" s="4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6" customHeight="1">
      <c r="A585" s="2"/>
      <c r="B585" s="2"/>
      <c r="C585" s="2"/>
      <c r="D585" s="4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6" customHeight="1">
      <c r="A586" s="2"/>
      <c r="B586" s="2"/>
      <c r="C586" s="2"/>
      <c r="D586" s="4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6" customHeight="1">
      <c r="A587" s="2"/>
      <c r="B587" s="2"/>
      <c r="C587" s="2"/>
      <c r="D587" s="4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6" customHeight="1">
      <c r="A588" s="2"/>
      <c r="B588" s="2"/>
      <c r="C588" s="2"/>
      <c r="D588" s="4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6" customHeight="1">
      <c r="A589" s="2"/>
      <c r="B589" s="2"/>
      <c r="C589" s="2"/>
      <c r="D589" s="4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6" customHeight="1">
      <c r="A590" s="2"/>
      <c r="B590" s="2"/>
      <c r="C590" s="2"/>
      <c r="D590" s="4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6" customHeight="1">
      <c r="A591" s="2"/>
      <c r="B591" s="2"/>
      <c r="C591" s="2"/>
      <c r="D591" s="4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6" customHeight="1">
      <c r="A592" s="2"/>
      <c r="B592" s="2"/>
      <c r="C592" s="2"/>
      <c r="D592" s="4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6" customHeight="1">
      <c r="A593" s="2"/>
      <c r="B593" s="2"/>
      <c r="C593" s="2"/>
      <c r="D593" s="4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6" customHeight="1">
      <c r="A594" s="2"/>
      <c r="B594" s="2"/>
      <c r="C594" s="2"/>
      <c r="D594" s="4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6" customHeight="1">
      <c r="A595" s="2"/>
      <c r="B595" s="2"/>
      <c r="C595" s="2"/>
      <c r="D595" s="4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6" customHeight="1">
      <c r="A596" s="2"/>
      <c r="B596" s="2"/>
      <c r="C596" s="2"/>
      <c r="D596" s="4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6" customHeight="1">
      <c r="A597" s="2"/>
      <c r="B597" s="2"/>
      <c r="C597" s="2"/>
      <c r="D597" s="4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6" customHeight="1">
      <c r="A598" s="2"/>
      <c r="B598" s="2"/>
      <c r="C598" s="2"/>
      <c r="D598" s="4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6" customHeight="1">
      <c r="A599" s="2"/>
      <c r="B599" s="2"/>
      <c r="C599" s="2"/>
      <c r="D599" s="4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6" customHeight="1">
      <c r="A600" s="2"/>
      <c r="B600" s="2"/>
      <c r="C600" s="2"/>
      <c r="D600" s="4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6" customHeight="1">
      <c r="A601" s="2"/>
      <c r="B601" s="2"/>
      <c r="C601" s="2"/>
      <c r="D601" s="4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6" customHeight="1">
      <c r="A602" s="2"/>
      <c r="B602" s="2"/>
      <c r="C602" s="2"/>
      <c r="D602" s="4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6" customHeight="1">
      <c r="A603" s="2"/>
      <c r="B603" s="2"/>
      <c r="C603" s="2"/>
      <c r="D603" s="4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6" customHeight="1">
      <c r="A604" s="2"/>
      <c r="B604" s="2"/>
      <c r="C604" s="2"/>
      <c r="D604" s="4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6" customHeight="1">
      <c r="A605" s="2"/>
      <c r="B605" s="2"/>
      <c r="C605" s="2"/>
      <c r="D605" s="4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6" customHeight="1">
      <c r="A606" s="2"/>
      <c r="B606" s="2"/>
      <c r="C606" s="2"/>
      <c r="D606" s="4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6" customHeight="1">
      <c r="A607" s="2"/>
      <c r="B607" s="2"/>
      <c r="C607" s="2"/>
      <c r="D607" s="4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6" customHeight="1">
      <c r="A608" s="2"/>
      <c r="B608" s="2"/>
      <c r="C608" s="2"/>
      <c r="D608" s="4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6" customHeight="1">
      <c r="A609" s="2"/>
      <c r="B609" s="2"/>
      <c r="C609" s="2"/>
      <c r="D609" s="4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6" customHeight="1">
      <c r="A610" s="2"/>
      <c r="B610" s="2"/>
      <c r="C610" s="2"/>
      <c r="D610" s="4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6" customHeight="1">
      <c r="A611" s="2"/>
      <c r="B611" s="2"/>
      <c r="C611" s="2"/>
      <c r="D611" s="4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6" customHeight="1">
      <c r="A612" s="2"/>
      <c r="B612" s="2"/>
      <c r="C612" s="2"/>
      <c r="D612" s="4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6" customHeight="1">
      <c r="A613" s="2"/>
      <c r="B613" s="2"/>
      <c r="C613" s="2"/>
      <c r="D613" s="4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6" customHeight="1">
      <c r="A614" s="2"/>
      <c r="B614" s="2"/>
      <c r="C614" s="2"/>
      <c r="D614" s="4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6" customHeight="1">
      <c r="A615" s="2"/>
      <c r="B615" s="2"/>
      <c r="C615" s="2"/>
      <c r="D615" s="4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6" customHeight="1">
      <c r="A616" s="2"/>
      <c r="B616" s="2"/>
      <c r="C616" s="2"/>
      <c r="D616" s="4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6" customHeight="1">
      <c r="A617" s="2"/>
      <c r="B617" s="2"/>
      <c r="C617" s="2"/>
      <c r="D617" s="4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6" customHeight="1">
      <c r="A618" s="2"/>
      <c r="B618" s="2"/>
      <c r="C618" s="2"/>
      <c r="D618" s="4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6" customHeight="1">
      <c r="A619" s="2"/>
      <c r="B619" s="2"/>
      <c r="C619" s="2"/>
      <c r="D619" s="4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6" customHeight="1">
      <c r="A620" s="2"/>
      <c r="B620" s="2"/>
      <c r="C620" s="2"/>
      <c r="D620" s="4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6" customHeight="1">
      <c r="A621" s="2"/>
      <c r="B621" s="2"/>
      <c r="C621" s="2"/>
      <c r="D621" s="4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6" customHeight="1">
      <c r="A622" s="2"/>
      <c r="B622" s="2"/>
      <c r="C622" s="2"/>
      <c r="D622" s="4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6" customHeight="1">
      <c r="A623" s="2"/>
      <c r="B623" s="2"/>
      <c r="C623" s="2"/>
      <c r="D623" s="4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6" customHeight="1">
      <c r="A624" s="2"/>
      <c r="B624" s="2"/>
      <c r="C624" s="2"/>
      <c r="D624" s="4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6" customHeight="1">
      <c r="A625" s="2"/>
      <c r="B625" s="2"/>
      <c r="C625" s="2"/>
      <c r="D625" s="4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6" customHeight="1">
      <c r="A626" s="2"/>
      <c r="B626" s="2"/>
      <c r="C626" s="2"/>
      <c r="D626" s="4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>
      <c r="A627" s="2"/>
      <c r="B627" s="2"/>
      <c r="C627" s="2"/>
      <c r="D627" s="41"/>
      <c r="E627" s="2"/>
      <c r="F627" s="2"/>
      <c r="G627" s="2"/>
    </row>
    <row r="628" spans="1:26" ht="15.75">
      <c r="A628" s="2"/>
      <c r="B628" s="2"/>
      <c r="C628" s="2"/>
      <c r="D628" s="41"/>
      <c r="E628" s="2"/>
      <c r="F628" s="2"/>
      <c r="G628" s="2"/>
    </row>
    <row r="629" spans="1:26" ht="15.75">
      <c r="A629" s="2"/>
      <c r="B629" s="2"/>
      <c r="C629" s="2"/>
      <c r="D629" s="41"/>
      <c r="E629" s="2"/>
      <c r="F629" s="2"/>
      <c r="G629" s="2"/>
    </row>
    <row r="630" spans="1:26" ht="15.75">
      <c r="A630" s="2"/>
      <c r="B630" s="2"/>
      <c r="C630" s="2"/>
      <c r="D630" s="41"/>
      <c r="E630" s="2"/>
      <c r="F630" s="2"/>
      <c r="G630" s="2"/>
    </row>
    <row r="631" spans="1:26" ht="15.75">
      <c r="A631" s="2"/>
      <c r="B631" s="2"/>
      <c r="C631" s="2"/>
      <c r="D631" s="41"/>
      <c r="E631" s="2"/>
      <c r="F631" s="2"/>
      <c r="G631" s="2"/>
    </row>
    <row r="632" spans="1:26" ht="14.45" customHeight="1">
      <c r="A632" s="2"/>
      <c r="B632" s="2"/>
      <c r="C632" s="2"/>
      <c r="D632" s="41"/>
      <c r="E632" s="2"/>
      <c r="F632" s="2"/>
      <c r="G632" s="2"/>
    </row>
    <row r="633" spans="1:26" ht="14.45" customHeight="1">
      <c r="A633" s="2"/>
      <c r="B633" s="2"/>
      <c r="C633" s="2"/>
      <c r="D633" s="41"/>
      <c r="E633" s="2"/>
      <c r="F633" s="2"/>
      <c r="G633" s="2"/>
    </row>
    <row r="634" spans="1:26" ht="14.45" customHeight="1">
      <c r="A634" s="2"/>
      <c r="B634" s="2"/>
      <c r="C634" s="2"/>
      <c r="D634" s="41"/>
      <c r="E634" s="2"/>
      <c r="F634" s="2"/>
      <c r="G634" s="2"/>
    </row>
    <row r="635" spans="1:26" ht="15.75">
      <c r="A635" s="2"/>
      <c r="B635" s="2"/>
      <c r="C635" s="2"/>
      <c r="D635" s="41"/>
      <c r="E635" s="2"/>
      <c r="F635" s="2"/>
      <c r="G635" s="2"/>
    </row>
    <row r="636" spans="1:26" ht="15.75">
      <c r="A636" s="2"/>
      <c r="B636" s="2"/>
      <c r="C636" s="2"/>
      <c r="D636" s="41"/>
      <c r="E636" s="2"/>
      <c r="F636" s="2"/>
      <c r="G636" s="2"/>
    </row>
    <row r="637" spans="1:26" ht="15.75">
      <c r="A637" s="2"/>
      <c r="B637" s="2"/>
      <c r="C637" s="2"/>
      <c r="D637" s="41"/>
      <c r="E637" s="2"/>
      <c r="F637" s="2"/>
      <c r="G637" s="2"/>
    </row>
    <row r="638" spans="1:26" ht="15.75">
      <c r="A638" s="2"/>
      <c r="B638" s="2"/>
      <c r="C638" s="2"/>
      <c r="D638" s="41"/>
      <c r="E638" s="2"/>
      <c r="F638" s="2"/>
      <c r="G638" s="2"/>
    </row>
    <row r="639" spans="1:26" ht="15.75">
      <c r="A639" s="2"/>
      <c r="B639" s="2"/>
      <c r="C639" s="2"/>
      <c r="D639" s="41"/>
      <c r="E639" s="2"/>
      <c r="F639" s="2"/>
      <c r="G639" s="2"/>
    </row>
    <row r="640" spans="1:26" ht="15.75">
      <c r="A640" s="2"/>
      <c r="B640" s="2"/>
      <c r="C640" s="2"/>
      <c r="D640" s="41"/>
      <c r="E640" s="2"/>
      <c r="F640" s="2"/>
      <c r="G640" s="2"/>
    </row>
    <row r="641" spans="1:7" ht="15.75">
      <c r="A641" s="2"/>
      <c r="B641" s="2"/>
      <c r="C641" s="2"/>
      <c r="D641" s="41"/>
      <c r="E641" s="2"/>
      <c r="F641" s="2"/>
      <c r="G641" s="2"/>
    </row>
    <row r="642" spans="1:7" ht="14.45" customHeight="1">
      <c r="A642" s="2"/>
      <c r="B642" s="2"/>
      <c r="C642" s="2"/>
      <c r="D642" s="41"/>
      <c r="E642" s="2"/>
      <c r="F642" s="2"/>
      <c r="G642" s="2"/>
    </row>
    <row r="643" spans="1:7" ht="14.45" customHeight="1">
      <c r="A643" s="2"/>
      <c r="B643" s="2"/>
      <c r="C643" s="2"/>
      <c r="D643" s="41"/>
      <c r="E643" s="2"/>
      <c r="F643" s="2"/>
      <c r="G643" s="2"/>
    </row>
    <row r="644" spans="1:7" ht="14.45" customHeight="1">
      <c r="A644" s="2"/>
      <c r="B644" s="2"/>
      <c r="C644" s="2"/>
      <c r="D644" s="41"/>
      <c r="E644" s="2"/>
      <c r="F644" s="2"/>
      <c r="G644" s="2"/>
    </row>
    <row r="645" spans="1:7" ht="15.75">
      <c r="A645" s="2"/>
      <c r="B645" s="2"/>
      <c r="C645" s="2"/>
      <c r="D645" s="41"/>
      <c r="E645" s="2"/>
      <c r="F645" s="2"/>
      <c r="G645" s="2"/>
    </row>
    <row r="646" spans="1:7" ht="15.75">
      <c r="A646" s="2"/>
      <c r="B646" s="2"/>
      <c r="C646" s="2"/>
      <c r="D646" s="41"/>
      <c r="E646" s="2"/>
      <c r="F646" s="2"/>
      <c r="G646" s="2"/>
    </row>
    <row r="647" spans="1:7" ht="15.75">
      <c r="A647" s="2"/>
      <c r="B647" s="2"/>
      <c r="C647" s="2"/>
      <c r="D647" s="41"/>
      <c r="E647" s="2"/>
      <c r="F647" s="2"/>
      <c r="G647" s="2"/>
    </row>
    <row r="648" spans="1:7" ht="15.75">
      <c r="A648" s="2"/>
      <c r="B648" s="2"/>
      <c r="C648" s="2"/>
      <c r="D648" s="41"/>
      <c r="E648" s="2"/>
      <c r="F648" s="2"/>
      <c r="G648" s="2"/>
    </row>
    <row r="649" spans="1:7" ht="15.75">
      <c r="A649" s="2"/>
      <c r="B649" s="2"/>
      <c r="C649" s="2"/>
      <c r="D649" s="41"/>
      <c r="E649" s="2"/>
      <c r="F649" s="2"/>
      <c r="G649" s="2"/>
    </row>
    <row r="650" spans="1:7" ht="15.75">
      <c r="A650" s="2"/>
      <c r="B650" s="2"/>
      <c r="C650" s="2"/>
      <c r="D650" s="41"/>
      <c r="E650" s="2"/>
      <c r="F650" s="2"/>
      <c r="G650" s="2"/>
    </row>
    <row r="651" spans="1:7" ht="14.45" customHeight="1">
      <c r="A651" s="2"/>
      <c r="B651" s="2"/>
      <c r="C651" s="2"/>
      <c r="D651" s="41"/>
      <c r="E651" s="2"/>
      <c r="F651" s="2"/>
      <c r="G651" s="2"/>
    </row>
    <row r="652" spans="1:7" ht="14.45" customHeight="1">
      <c r="A652" s="2"/>
      <c r="B652" s="2"/>
      <c r="C652" s="2"/>
      <c r="D652" s="41"/>
      <c r="E652" s="2"/>
      <c r="F652" s="2"/>
      <c r="G652" s="2"/>
    </row>
    <row r="653" spans="1:7" ht="14.45" customHeight="1">
      <c r="A653" s="2"/>
      <c r="B653" s="2"/>
      <c r="C653" s="2"/>
      <c r="D653" s="41"/>
      <c r="E653" s="2"/>
      <c r="F653" s="2"/>
      <c r="G653" s="2"/>
    </row>
    <row r="654" spans="1:7" ht="14.45" customHeight="1">
      <c r="A654" s="2"/>
      <c r="B654" s="2"/>
      <c r="C654" s="2"/>
      <c r="D654" s="41"/>
      <c r="E654" s="2"/>
      <c r="F654" s="2"/>
      <c r="G654" s="2"/>
    </row>
    <row r="655" spans="1:7" ht="14.45" customHeight="1">
      <c r="A655" s="2"/>
      <c r="B655" s="2"/>
      <c r="C655" s="2"/>
      <c r="D655" s="41"/>
      <c r="E655" s="2"/>
      <c r="F655" s="2"/>
      <c r="G655" s="2"/>
    </row>
    <row r="656" spans="1:7" ht="14.45" customHeight="1">
      <c r="A656" s="2"/>
      <c r="B656" s="2"/>
      <c r="C656" s="2"/>
      <c r="D656" s="41"/>
      <c r="E656" s="2"/>
      <c r="F656" s="2"/>
      <c r="G656" s="2"/>
    </row>
    <row r="657" spans="1:7" ht="14.45" customHeight="1">
      <c r="A657" s="2"/>
      <c r="B657" s="2"/>
      <c r="C657" s="2"/>
      <c r="D657" s="41"/>
      <c r="E657" s="2"/>
      <c r="F657" s="2"/>
      <c r="G657" s="2"/>
    </row>
    <row r="658" spans="1:7" ht="14.45" customHeight="1">
      <c r="A658" s="2"/>
      <c r="B658" s="2"/>
      <c r="C658" s="2"/>
      <c r="D658" s="41"/>
      <c r="E658" s="2"/>
      <c r="F658" s="2"/>
      <c r="G658" s="2"/>
    </row>
    <row r="659" spans="1:7" ht="14.45" customHeight="1">
      <c r="A659" s="2"/>
      <c r="B659" s="2"/>
      <c r="C659" s="2"/>
      <c r="D659" s="41"/>
      <c r="E659" s="2"/>
      <c r="F659" s="2"/>
      <c r="G659" s="2"/>
    </row>
    <row r="660" spans="1:7" ht="14.45" customHeight="1">
      <c r="A660" s="2"/>
      <c r="B660" s="2"/>
      <c r="C660" s="2"/>
      <c r="D660" s="41"/>
      <c r="E660" s="2"/>
      <c r="F660" s="2"/>
      <c r="G660" s="2"/>
    </row>
    <row r="661" spans="1:7" ht="14.45" customHeight="1">
      <c r="A661" s="2"/>
      <c r="B661" s="2"/>
      <c r="C661" s="2"/>
      <c r="D661" s="41"/>
      <c r="E661" s="2"/>
      <c r="F661" s="2"/>
      <c r="G661" s="2"/>
    </row>
    <row r="662" spans="1:7" ht="14.45" customHeight="1">
      <c r="A662" s="2"/>
      <c r="B662" s="2"/>
      <c r="C662" s="2"/>
      <c r="D662" s="41"/>
      <c r="E662" s="2"/>
      <c r="F662" s="2"/>
      <c r="G662" s="2"/>
    </row>
    <row r="663" spans="1:7" ht="14.45" customHeight="1">
      <c r="A663" s="2"/>
      <c r="B663" s="2"/>
      <c r="C663" s="2"/>
      <c r="D663" s="41"/>
      <c r="E663" s="2"/>
      <c r="F663" s="2"/>
      <c r="G663" s="2"/>
    </row>
    <row r="664" spans="1:7" ht="14.45" customHeight="1">
      <c r="A664" s="2"/>
      <c r="B664" s="2"/>
      <c r="C664" s="2"/>
      <c r="D664" s="41"/>
      <c r="E664" s="2"/>
      <c r="F664" s="2"/>
      <c r="G664" s="2"/>
    </row>
    <row r="665" spans="1:7" ht="14.45" customHeight="1">
      <c r="A665" s="2"/>
      <c r="B665" s="2"/>
      <c r="C665" s="2"/>
      <c r="D665" s="41"/>
      <c r="E665" s="2"/>
      <c r="F665" s="2"/>
      <c r="G665" s="2"/>
    </row>
    <row r="666" spans="1:7" ht="14.45" customHeight="1">
      <c r="A666" s="2"/>
      <c r="B666" s="2"/>
      <c r="C666" s="2"/>
      <c r="D666" s="41"/>
      <c r="E666" s="2"/>
      <c r="F666" s="2"/>
      <c r="G666" s="2"/>
    </row>
    <row r="667" spans="1:7" ht="14.45" customHeight="1">
      <c r="A667" s="2"/>
      <c r="B667" s="2"/>
      <c r="C667" s="2"/>
      <c r="D667" s="41"/>
      <c r="E667" s="2"/>
      <c r="F667" s="2"/>
      <c r="G667" s="2"/>
    </row>
    <row r="668" spans="1:7" ht="14.45" customHeight="1">
      <c r="A668" s="2"/>
      <c r="B668" s="2"/>
      <c r="C668" s="2"/>
      <c r="D668" s="41"/>
      <c r="E668" s="2"/>
      <c r="F668" s="2"/>
      <c r="G668" s="2"/>
    </row>
    <row r="669" spans="1:7" ht="14.45" customHeight="1">
      <c r="A669" s="2"/>
      <c r="B669" s="2"/>
      <c r="C669" s="2"/>
      <c r="D669" s="41"/>
      <c r="E669" s="2"/>
      <c r="F669" s="2"/>
      <c r="G669" s="2"/>
    </row>
    <row r="670" spans="1:7" ht="14.45" customHeight="1">
      <c r="A670" s="2"/>
      <c r="B670" s="2"/>
      <c r="C670" s="2"/>
      <c r="D670" s="41"/>
      <c r="E670" s="2"/>
      <c r="F670" s="2"/>
      <c r="G670" s="2"/>
    </row>
    <row r="671" spans="1:7" ht="14.45" customHeight="1">
      <c r="A671" s="2"/>
      <c r="B671" s="2"/>
      <c r="C671" s="2"/>
      <c r="D671" s="41"/>
      <c r="E671" s="2"/>
      <c r="F671" s="2"/>
      <c r="G671" s="2"/>
    </row>
    <row r="672" spans="1:7" ht="14.45" customHeight="1">
      <c r="A672" s="2"/>
      <c r="B672" s="2"/>
      <c r="C672" s="2"/>
      <c r="D672" s="41"/>
      <c r="E672" s="2"/>
      <c r="F672" s="2"/>
      <c r="G672" s="2"/>
    </row>
    <row r="673" spans="1:7" ht="14.45" customHeight="1">
      <c r="A673" s="2"/>
      <c r="B673" s="2"/>
      <c r="C673" s="2"/>
      <c r="D673" s="41"/>
      <c r="E673" s="2"/>
      <c r="F673" s="2"/>
      <c r="G673" s="2"/>
    </row>
    <row r="674" spans="1:7" ht="14.45" customHeight="1">
      <c r="A674" s="2"/>
      <c r="B674" s="2"/>
      <c r="C674" s="2"/>
      <c r="D674" s="41"/>
      <c r="E674" s="2"/>
      <c r="F674" s="2"/>
      <c r="G674" s="2"/>
    </row>
    <row r="675" spans="1:7" ht="14.45" customHeight="1">
      <c r="A675" s="2"/>
      <c r="B675" s="2"/>
      <c r="C675" s="2"/>
      <c r="D675" s="41"/>
      <c r="E675" s="2"/>
      <c r="F675" s="2"/>
      <c r="G675" s="2"/>
    </row>
    <row r="676" spans="1:7" ht="14.45" customHeight="1">
      <c r="A676" s="2"/>
      <c r="B676" s="2"/>
      <c r="C676" s="2"/>
      <c r="D676" s="41"/>
      <c r="E676" s="2"/>
      <c r="F676" s="2"/>
      <c r="G676" s="2"/>
    </row>
    <row r="677" spans="1:7" ht="14.45" customHeight="1">
      <c r="A677" s="2"/>
      <c r="B677" s="2"/>
      <c r="C677" s="2"/>
      <c r="D677" s="41"/>
      <c r="E677" s="2"/>
      <c r="F677" s="2"/>
      <c r="G677" s="2"/>
    </row>
    <row r="678" spans="1:7" ht="14.45" customHeight="1">
      <c r="A678" s="2"/>
      <c r="B678" s="2"/>
      <c r="C678" s="2"/>
      <c r="D678" s="41"/>
      <c r="E678" s="2"/>
      <c r="F678" s="2"/>
      <c r="G678" s="2"/>
    </row>
    <row r="679" spans="1:7" ht="14.45" customHeight="1">
      <c r="A679" s="2"/>
      <c r="B679" s="2"/>
      <c r="C679" s="2"/>
      <c r="D679" s="41"/>
      <c r="E679" s="2"/>
      <c r="F679" s="2"/>
      <c r="G679" s="2"/>
    </row>
    <row r="680" spans="1:7" ht="14.45" customHeight="1">
      <c r="A680" s="2"/>
      <c r="B680" s="2"/>
      <c r="C680" s="2"/>
      <c r="D680" s="41"/>
      <c r="E680" s="2"/>
      <c r="F680" s="2"/>
      <c r="G680" s="2"/>
    </row>
    <row r="681" spans="1:7" ht="14.45" customHeight="1">
      <c r="A681" s="2"/>
      <c r="B681" s="2"/>
      <c r="C681" s="2"/>
      <c r="D681" s="41"/>
      <c r="E681" s="2"/>
      <c r="F681" s="2"/>
      <c r="G681" s="2"/>
    </row>
    <row r="682" spans="1:7" ht="14.45" customHeight="1">
      <c r="A682" s="2"/>
      <c r="B682" s="2"/>
      <c r="C682" s="2"/>
      <c r="D682" s="41"/>
      <c r="E682" s="2"/>
      <c r="F682" s="2"/>
      <c r="G682" s="2"/>
    </row>
    <row r="683" spans="1:7" ht="14.45" customHeight="1">
      <c r="A683" s="2"/>
      <c r="B683" s="2"/>
      <c r="C683" s="2"/>
      <c r="D683" s="41"/>
      <c r="E683" s="2"/>
      <c r="F683" s="2"/>
      <c r="G683" s="2"/>
    </row>
    <row r="684" spans="1:7" ht="14.45" customHeight="1">
      <c r="A684" s="2"/>
      <c r="B684" s="2"/>
      <c r="C684" s="2"/>
      <c r="D684" s="41"/>
      <c r="E684" s="2"/>
      <c r="F684" s="2"/>
      <c r="G684" s="2"/>
    </row>
    <row r="685" spans="1:7" ht="14.45" customHeight="1">
      <c r="A685" s="2"/>
      <c r="B685" s="2"/>
      <c r="C685" s="2"/>
      <c r="D685" s="41"/>
      <c r="E685" s="2"/>
      <c r="F685" s="2"/>
      <c r="G685" s="2"/>
    </row>
    <row r="686" spans="1:7" ht="14.45" customHeight="1">
      <c r="A686" s="2"/>
      <c r="B686" s="2"/>
      <c r="C686" s="2"/>
      <c r="D686" s="41"/>
      <c r="E686" s="2"/>
      <c r="F686" s="2"/>
      <c r="G686" s="2"/>
    </row>
    <row r="687" spans="1:7" ht="14.45" customHeight="1">
      <c r="A687" s="2"/>
      <c r="B687" s="2"/>
      <c r="C687" s="2"/>
      <c r="D687" s="41"/>
      <c r="E687" s="2"/>
      <c r="F687" s="2"/>
      <c r="G687" s="2"/>
    </row>
    <row r="688" spans="1:7" ht="14.45" customHeight="1">
      <c r="A688" s="2"/>
      <c r="B688" s="2"/>
      <c r="C688" s="2"/>
      <c r="D688" s="41"/>
      <c r="E688" s="2"/>
      <c r="F688" s="2"/>
      <c r="G688" s="2"/>
    </row>
    <row r="689" spans="1:7" ht="14.45" customHeight="1">
      <c r="A689" s="2"/>
      <c r="B689" s="2"/>
      <c r="C689" s="2"/>
      <c r="D689" s="41"/>
      <c r="E689" s="2"/>
      <c r="F689" s="2"/>
      <c r="G689" s="2"/>
    </row>
    <row r="690" spans="1:7" ht="14.45" customHeight="1">
      <c r="A690" s="2"/>
      <c r="B690" s="2"/>
      <c r="C690" s="2"/>
      <c r="D690" s="41"/>
      <c r="E690" s="2"/>
      <c r="F690" s="2"/>
      <c r="G690" s="2"/>
    </row>
    <row r="691" spans="1:7" ht="14.45" customHeight="1">
      <c r="A691" s="2"/>
      <c r="B691" s="2"/>
      <c r="C691" s="2"/>
      <c r="D691" s="41"/>
      <c r="E691" s="2"/>
      <c r="F691" s="2"/>
      <c r="G691" s="2"/>
    </row>
    <row r="692" spans="1:7" ht="14.45" customHeight="1">
      <c r="A692" s="2"/>
      <c r="B692" s="2"/>
      <c r="C692" s="2"/>
      <c r="D692" s="41"/>
      <c r="E692" s="2"/>
      <c r="F692" s="2"/>
      <c r="G692" s="2"/>
    </row>
    <row r="693" spans="1:7" ht="14.45" customHeight="1">
      <c r="A693" s="2"/>
      <c r="B693" s="2"/>
      <c r="C693" s="2"/>
      <c r="D693" s="41"/>
      <c r="E693" s="2"/>
      <c r="F693" s="2"/>
      <c r="G693" s="2"/>
    </row>
    <row r="694" spans="1:7" ht="14.45" customHeight="1">
      <c r="A694" s="2"/>
      <c r="B694" s="2"/>
      <c r="C694" s="2"/>
      <c r="D694" s="41"/>
      <c r="E694" s="2"/>
      <c r="F694" s="2"/>
      <c r="G694" s="2"/>
    </row>
    <row r="695" spans="1:7" ht="14.45" customHeight="1">
      <c r="A695" s="2"/>
      <c r="B695" s="2"/>
      <c r="C695" s="2"/>
      <c r="D695" s="41"/>
      <c r="E695" s="2"/>
      <c r="F695" s="2"/>
      <c r="G695" s="2"/>
    </row>
    <row r="696" spans="1:7" ht="14.45" customHeight="1">
      <c r="A696" s="2"/>
      <c r="B696" s="2"/>
      <c r="C696" s="2"/>
      <c r="D696" s="41"/>
      <c r="E696" s="2"/>
      <c r="F696" s="2"/>
      <c r="G696" s="2"/>
    </row>
    <row r="697" spans="1:7" ht="14.45" customHeight="1">
      <c r="A697" s="2"/>
      <c r="B697" s="2"/>
      <c r="C697" s="2"/>
      <c r="D697" s="41"/>
      <c r="E697" s="2"/>
      <c r="F697" s="2"/>
      <c r="G697" s="2"/>
    </row>
    <row r="698" spans="1:7" ht="14.45" customHeight="1">
      <c r="A698" s="2"/>
      <c r="B698" s="2"/>
      <c r="C698" s="2"/>
      <c r="D698" s="41"/>
      <c r="E698" s="2"/>
      <c r="F698" s="2"/>
      <c r="G698" s="2"/>
    </row>
    <row r="699" spans="1:7" ht="14.45" customHeight="1">
      <c r="A699" s="2"/>
      <c r="B699" s="2"/>
      <c r="C699" s="2"/>
      <c r="D699" s="41"/>
      <c r="E699" s="2"/>
      <c r="F699" s="2"/>
      <c r="G699" s="2"/>
    </row>
    <row r="700" spans="1:7" ht="14.45" customHeight="1">
      <c r="A700" s="2"/>
      <c r="B700" s="2"/>
      <c r="C700" s="2"/>
      <c r="D700" s="41"/>
      <c r="E700" s="2"/>
      <c r="F700" s="2"/>
      <c r="G700" s="2"/>
    </row>
    <row r="701" spans="1:7" ht="14.45" customHeight="1">
      <c r="A701" s="2"/>
      <c r="B701" s="2"/>
      <c r="C701" s="2"/>
      <c r="D701" s="41"/>
      <c r="E701" s="2"/>
      <c r="F701" s="2"/>
      <c r="G701" s="2"/>
    </row>
    <row r="702" spans="1:7" ht="14.45" customHeight="1">
      <c r="A702" s="2"/>
      <c r="B702" s="2"/>
      <c r="C702" s="2"/>
      <c r="D702" s="41"/>
      <c r="E702" s="2"/>
      <c r="F702" s="2"/>
      <c r="G702" s="2"/>
    </row>
    <row r="703" spans="1:7" ht="14.45" customHeight="1">
      <c r="A703" s="2"/>
      <c r="B703" s="2"/>
      <c r="C703" s="2"/>
      <c r="D703" s="41"/>
      <c r="E703" s="2"/>
      <c r="F703" s="2"/>
      <c r="G703" s="2"/>
    </row>
    <row r="704" spans="1:7" ht="14.45" customHeight="1">
      <c r="A704" s="2"/>
      <c r="B704" s="2"/>
      <c r="C704" s="2"/>
      <c r="D704" s="41"/>
      <c r="E704" s="2"/>
      <c r="F704" s="2"/>
      <c r="G704" s="2"/>
    </row>
    <row r="705" spans="1:7" ht="14.45" customHeight="1">
      <c r="A705" s="2"/>
      <c r="B705" s="2"/>
      <c r="C705" s="2"/>
      <c r="D705" s="41"/>
      <c r="E705" s="2"/>
      <c r="F705" s="2"/>
      <c r="G705" s="2"/>
    </row>
    <row r="706" spans="1:7" ht="14.45" customHeight="1">
      <c r="A706" s="2"/>
      <c r="B706" s="2"/>
      <c r="C706" s="2"/>
      <c r="D706" s="41"/>
      <c r="E706" s="2"/>
      <c r="F706" s="2"/>
      <c r="G706" s="2"/>
    </row>
    <row r="707" spans="1:7" ht="14.45" customHeight="1">
      <c r="A707" s="2"/>
      <c r="B707" s="2"/>
      <c r="C707" s="2"/>
      <c r="D707" s="41"/>
      <c r="E707" s="2"/>
      <c r="F707" s="2"/>
      <c r="G707" s="2"/>
    </row>
    <row r="708" spans="1:7" ht="14.45" customHeight="1">
      <c r="A708" s="2"/>
      <c r="B708" s="2"/>
      <c r="C708" s="2"/>
      <c r="D708" s="41"/>
      <c r="E708" s="2"/>
      <c r="F708" s="2"/>
      <c r="G708" s="2"/>
    </row>
    <row r="709" spans="1:7" ht="14.45" customHeight="1">
      <c r="A709" s="2"/>
      <c r="B709" s="2"/>
      <c r="C709" s="2"/>
      <c r="D709" s="41"/>
      <c r="E709" s="2"/>
      <c r="F709" s="2"/>
      <c r="G709" s="2"/>
    </row>
    <row r="710" spans="1:7" ht="14.45" customHeight="1">
      <c r="A710" s="2"/>
      <c r="B710" s="2"/>
      <c r="C710" s="2"/>
      <c r="D710" s="41"/>
      <c r="E710" s="2"/>
      <c r="F710" s="2"/>
      <c r="G710" s="2"/>
    </row>
    <row r="711" spans="1:7" ht="14.45" customHeight="1">
      <c r="A711" s="2"/>
      <c r="B711" s="2"/>
      <c r="C711" s="2"/>
      <c r="D711" s="41"/>
      <c r="E711" s="2"/>
      <c r="F711" s="2"/>
      <c r="G711" s="2"/>
    </row>
    <row r="712" spans="1:7" ht="14.45" customHeight="1">
      <c r="A712" s="2"/>
      <c r="B712" s="2"/>
      <c r="C712" s="2"/>
      <c r="D712" s="41"/>
      <c r="E712" s="2"/>
      <c r="F712" s="2"/>
      <c r="G712" s="2"/>
    </row>
    <row r="713" spans="1:7" ht="14.45" customHeight="1">
      <c r="A713" s="2"/>
      <c r="B713" s="2"/>
      <c r="C713" s="2"/>
      <c r="D713" s="41"/>
      <c r="E713" s="2"/>
      <c r="F713" s="2"/>
      <c r="G713" s="2"/>
    </row>
    <row r="714" spans="1:7" ht="14.45" customHeight="1">
      <c r="A714" s="2"/>
      <c r="B714" s="2"/>
      <c r="C714" s="2"/>
      <c r="D714" s="41"/>
      <c r="E714" s="2"/>
      <c r="F714" s="2"/>
      <c r="G714" s="2"/>
    </row>
    <row r="715" spans="1:7" ht="14.45" customHeight="1">
      <c r="A715" s="2"/>
      <c r="B715" s="2"/>
      <c r="C715" s="2"/>
      <c r="D715" s="41"/>
      <c r="E715" s="2"/>
      <c r="F715" s="2"/>
      <c r="G715" s="2"/>
    </row>
    <row r="716" spans="1:7" ht="14.45" customHeight="1">
      <c r="A716" s="2"/>
      <c r="B716" s="2"/>
      <c r="C716" s="2"/>
      <c r="D716" s="41"/>
      <c r="E716" s="2"/>
      <c r="F716" s="2"/>
      <c r="G716" s="2"/>
    </row>
    <row r="717" spans="1:7" ht="14.45" customHeight="1">
      <c r="A717" s="2"/>
      <c r="B717" s="2"/>
      <c r="C717" s="2"/>
      <c r="D717" s="41"/>
      <c r="E717" s="2"/>
      <c r="F717" s="2"/>
      <c r="G717" s="2"/>
    </row>
    <row r="718" spans="1:7" ht="14.45" customHeight="1">
      <c r="A718" s="2"/>
      <c r="B718" s="2"/>
      <c r="C718" s="2"/>
      <c r="D718" s="41"/>
      <c r="E718" s="2"/>
      <c r="F718" s="2"/>
      <c r="G718" s="2"/>
    </row>
    <row r="719" spans="1:7" ht="14.45" customHeight="1">
      <c r="A719" s="2"/>
      <c r="B719" s="2"/>
      <c r="C719" s="2"/>
      <c r="D719" s="41"/>
      <c r="E719" s="2"/>
      <c r="F719" s="2"/>
      <c r="G719" s="2"/>
    </row>
    <row r="720" spans="1:7" ht="14.45" customHeight="1">
      <c r="A720" s="2"/>
      <c r="B720" s="2"/>
      <c r="C720" s="2"/>
      <c r="D720" s="41"/>
      <c r="E720" s="2"/>
      <c r="F720" s="2"/>
      <c r="G720" s="2"/>
    </row>
    <row r="721" spans="1:7" ht="14.45" customHeight="1">
      <c r="A721" s="2"/>
      <c r="B721" s="2"/>
      <c r="C721" s="2"/>
      <c r="D721" s="41"/>
      <c r="E721" s="2"/>
      <c r="F721" s="2"/>
      <c r="G721" s="2"/>
    </row>
    <row r="722" spans="1:7" ht="14.45" customHeight="1">
      <c r="A722" s="2"/>
      <c r="B722" s="2"/>
      <c r="C722" s="2"/>
      <c r="D722" s="41"/>
      <c r="E722" s="2"/>
      <c r="F722" s="2"/>
      <c r="G722" s="2"/>
    </row>
    <row r="723" spans="1:7" ht="14.45" customHeight="1">
      <c r="A723" s="2"/>
      <c r="B723" s="2"/>
      <c r="C723" s="2"/>
      <c r="D723" s="41"/>
      <c r="E723" s="2"/>
      <c r="F723" s="2"/>
      <c r="G723" s="2"/>
    </row>
    <row r="724" spans="1:7" ht="14.45" customHeight="1">
      <c r="A724" s="2"/>
      <c r="B724" s="2"/>
      <c r="C724" s="2"/>
      <c r="D724" s="41"/>
      <c r="E724" s="2"/>
      <c r="F724" s="2"/>
      <c r="G724" s="2"/>
    </row>
    <row r="725" spans="1:7" ht="14.45" customHeight="1">
      <c r="A725" s="2"/>
      <c r="B725" s="2"/>
      <c r="C725" s="2"/>
      <c r="D725" s="41"/>
      <c r="E725" s="2"/>
      <c r="F725" s="2"/>
      <c r="G725" s="2"/>
    </row>
    <row r="726" spans="1:7" ht="14.45" customHeight="1">
      <c r="A726" s="2"/>
      <c r="B726" s="2"/>
      <c r="C726" s="2"/>
      <c r="D726" s="41"/>
      <c r="E726" s="2"/>
      <c r="F726" s="2"/>
      <c r="G726" s="2"/>
    </row>
    <row r="727" spans="1:7" ht="14.45" customHeight="1">
      <c r="A727" s="2"/>
      <c r="B727" s="2"/>
      <c r="C727" s="2"/>
      <c r="D727" s="41"/>
      <c r="E727" s="2"/>
      <c r="F727" s="2"/>
      <c r="G727" s="2"/>
    </row>
    <row r="728" spans="1:7" ht="14.45" customHeight="1">
      <c r="A728" s="2"/>
      <c r="B728" s="2"/>
      <c r="C728" s="2"/>
      <c r="D728" s="41"/>
      <c r="E728" s="2"/>
      <c r="F728" s="2"/>
      <c r="G728" s="2"/>
    </row>
    <row r="729" spans="1:7" ht="14.45" customHeight="1">
      <c r="A729" s="2"/>
      <c r="B729" s="2"/>
      <c r="C729" s="2"/>
      <c r="D729" s="41"/>
      <c r="E729" s="2"/>
      <c r="F729" s="2"/>
      <c r="G729" s="2"/>
    </row>
    <row r="730" spans="1:7" ht="14.45" customHeight="1">
      <c r="A730" s="2"/>
      <c r="B730" s="2"/>
      <c r="C730" s="2"/>
      <c r="D730" s="41"/>
      <c r="E730" s="2"/>
      <c r="F730" s="2"/>
      <c r="G730" s="2"/>
    </row>
    <row r="731" spans="1:7" ht="14.45" customHeight="1">
      <c r="A731" s="2"/>
      <c r="B731" s="2"/>
      <c r="C731" s="2"/>
      <c r="D731" s="41"/>
      <c r="E731" s="2"/>
      <c r="F731" s="2"/>
      <c r="G731" s="2"/>
    </row>
    <row r="732" spans="1:7" ht="14.45" customHeight="1">
      <c r="A732" s="2"/>
      <c r="B732" s="2"/>
      <c r="C732" s="2"/>
      <c r="D732" s="41"/>
      <c r="E732" s="2"/>
      <c r="F732" s="2"/>
      <c r="G732" s="2"/>
    </row>
    <row r="733" spans="1:7" ht="14.45" customHeight="1">
      <c r="A733" s="2"/>
      <c r="B733" s="2"/>
      <c r="C733" s="2"/>
      <c r="D733" s="41"/>
      <c r="E733" s="2"/>
      <c r="F733" s="2"/>
      <c r="G733" s="2"/>
    </row>
    <row r="734" spans="1:7" ht="14.45" customHeight="1">
      <c r="A734" s="2"/>
      <c r="B734" s="2"/>
      <c r="C734" s="2"/>
      <c r="D734" s="41"/>
      <c r="E734" s="2"/>
      <c r="F734" s="2"/>
      <c r="G734" s="2"/>
    </row>
    <row r="735" spans="1:7" ht="14.45" customHeight="1">
      <c r="A735" s="2"/>
      <c r="B735" s="2"/>
      <c r="C735" s="2"/>
      <c r="D735" s="41"/>
      <c r="E735" s="2"/>
      <c r="F735" s="2"/>
      <c r="G735" s="2"/>
    </row>
    <row r="736" spans="1:7" ht="14.45" customHeight="1">
      <c r="A736" s="2"/>
      <c r="B736" s="2"/>
      <c r="C736" s="2"/>
      <c r="D736" s="41"/>
      <c r="E736" s="2"/>
      <c r="F736" s="2"/>
      <c r="G736" s="2"/>
    </row>
    <row r="737" spans="1:7" ht="14.45" customHeight="1">
      <c r="A737" s="2"/>
      <c r="B737" s="2"/>
      <c r="C737" s="2"/>
      <c r="D737" s="41"/>
      <c r="E737" s="2"/>
      <c r="F737" s="2"/>
      <c r="G737" s="2"/>
    </row>
    <row r="738" spans="1:7" ht="14.45" customHeight="1">
      <c r="A738" s="2"/>
      <c r="B738" s="2"/>
      <c r="C738" s="2"/>
      <c r="D738" s="41"/>
      <c r="E738" s="2"/>
      <c r="F738" s="2"/>
      <c r="G738" s="2"/>
    </row>
    <row r="739" spans="1:7" ht="14.45" customHeight="1">
      <c r="A739" s="2"/>
      <c r="B739" s="2"/>
      <c r="C739" s="2"/>
      <c r="D739" s="41"/>
      <c r="E739" s="2"/>
      <c r="F739" s="2"/>
      <c r="G739" s="2"/>
    </row>
    <row r="740" spans="1:7" ht="14.45" customHeight="1">
      <c r="A740" s="2"/>
      <c r="B740" s="2"/>
      <c r="C740" s="2"/>
      <c r="D740" s="41"/>
      <c r="E740" s="2"/>
      <c r="F740" s="2"/>
      <c r="G740" s="2"/>
    </row>
    <row r="741" spans="1:7" ht="14.45" customHeight="1">
      <c r="A741" s="2"/>
      <c r="B741" s="2"/>
      <c r="C741" s="2"/>
      <c r="D741" s="41"/>
      <c r="E741" s="2"/>
      <c r="F741" s="2"/>
      <c r="G741" s="2"/>
    </row>
    <row r="742" spans="1:7" ht="14.45" customHeight="1">
      <c r="A742" s="2"/>
      <c r="B742" s="2"/>
      <c r="C742" s="2"/>
      <c r="D742" s="41"/>
      <c r="E742" s="2"/>
      <c r="F742" s="2"/>
      <c r="G742" s="2"/>
    </row>
    <row r="743" spans="1:7" ht="14.45" customHeight="1">
      <c r="A743" s="2"/>
      <c r="B743" s="2"/>
      <c r="C743" s="2"/>
      <c r="D743" s="41"/>
      <c r="E743" s="2"/>
      <c r="F743" s="2"/>
      <c r="G743" s="2"/>
    </row>
    <row r="744" spans="1:7" ht="14.45" customHeight="1">
      <c r="A744" s="2"/>
      <c r="B744" s="2"/>
      <c r="C744" s="2"/>
      <c r="D744" s="41"/>
      <c r="E744" s="2"/>
      <c r="F744" s="2"/>
      <c r="G744" s="2"/>
    </row>
    <row r="745" spans="1:7" ht="14.45" customHeight="1">
      <c r="A745" s="2"/>
      <c r="B745" s="2"/>
      <c r="C745" s="2"/>
      <c r="D745" s="41"/>
      <c r="E745" s="2"/>
      <c r="F745" s="2"/>
      <c r="G745" s="2"/>
    </row>
    <row r="746" spans="1:7" ht="14.45" customHeight="1">
      <c r="A746" s="2"/>
      <c r="B746" s="2"/>
      <c r="C746" s="2"/>
      <c r="D746" s="41"/>
      <c r="E746" s="2"/>
      <c r="F746" s="2"/>
      <c r="G746" s="2"/>
    </row>
    <row r="747" spans="1:7" ht="14.45" customHeight="1">
      <c r="A747" s="2"/>
      <c r="B747" s="2"/>
      <c r="C747" s="2"/>
      <c r="D747" s="41"/>
      <c r="E747" s="2"/>
      <c r="F747" s="2"/>
      <c r="G747" s="2"/>
    </row>
    <row r="748" spans="1:7" ht="14.45" customHeight="1">
      <c r="A748" s="2"/>
      <c r="B748" s="2"/>
      <c r="C748" s="2"/>
      <c r="D748" s="41"/>
      <c r="E748" s="2"/>
      <c r="F748" s="2"/>
      <c r="G748" s="2"/>
    </row>
    <row r="749" spans="1:7" ht="14.45" customHeight="1">
      <c r="A749" s="2"/>
      <c r="B749" s="2"/>
      <c r="C749" s="2"/>
      <c r="D749" s="41"/>
      <c r="E749" s="2"/>
      <c r="F749" s="2"/>
      <c r="G749" s="2"/>
    </row>
    <row r="750" spans="1:7" ht="14.45" customHeight="1">
      <c r="A750" s="2"/>
      <c r="B750" s="2"/>
      <c r="C750" s="2"/>
      <c r="D750" s="41"/>
      <c r="E750" s="2"/>
      <c r="F750" s="2"/>
      <c r="G750" s="2"/>
    </row>
    <row r="751" spans="1:7" ht="14.45" customHeight="1">
      <c r="A751" s="2"/>
      <c r="B751" s="2"/>
      <c r="C751" s="2"/>
      <c r="D751" s="41"/>
      <c r="E751" s="2"/>
      <c r="F751" s="2"/>
      <c r="G751" s="2"/>
    </row>
    <row r="752" spans="1:7" ht="14.45" customHeight="1">
      <c r="A752" s="2"/>
      <c r="B752" s="2"/>
      <c r="C752" s="2"/>
      <c r="D752" s="41"/>
      <c r="E752" s="2"/>
      <c r="F752" s="2"/>
      <c r="G752" s="2"/>
    </row>
    <row r="753" spans="1:7" ht="14.45" customHeight="1">
      <c r="A753" s="2"/>
      <c r="B753" s="2"/>
      <c r="C753" s="2"/>
      <c r="D753" s="41"/>
      <c r="E753" s="2"/>
      <c r="F753" s="2"/>
      <c r="G753" s="2"/>
    </row>
    <row r="754" spans="1:7" ht="14.45" customHeight="1">
      <c r="A754" s="2"/>
      <c r="B754" s="2"/>
      <c r="C754" s="2"/>
      <c r="D754" s="41"/>
      <c r="E754" s="2"/>
      <c r="F754" s="2"/>
      <c r="G754" s="2"/>
    </row>
    <row r="755" spans="1:7" ht="14.45" customHeight="1">
      <c r="A755" s="2"/>
      <c r="B755" s="2"/>
      <c r="C755" s="2"/>
      <c r="D755" s="41"/>
      <c r="E755" s="2"/>
      <c r="F755" s="2"/>
      <c r="G755" s="2"/>
    </row>
    <row r="756" spans="1:7" ht="14.45" customHeight="1">
      <c r="A756" s="2"/>
      <c r="B756" s="2"/>
      <c r="C756" s="2"/>
      <c r="D756" s="41"/>
      <c r="E756" s="2"/>
      <c r="F756" s="2"/>
      <c r="G756" s="2"/>
    </row>
    <row r="757" spans="1:7" ht="14.45" customHeight="1">
      <c r="A757" s="2"/>
      <c r="B757" s="2"/>
      <c r="C757" s="2"/>
      <c r="D757" s="41"/>
      <c r="E757" s="2"/>
      <c r="F757" s="2"/>
      <c r="G757" s="2"/>
    </row>
    <row r="758" spans="1:7" ht="14.45" customHeight="1">
      <c r="A758" s="2"/>
      <c r="B758" s="2"/>
      <c r="C758" s="2"/>
      <c r="D758" s="41"/>
      <c r="E758" s="2"/>
      <c r="F758" s="2"/>
      <c r="G758" s="2"/>
    </row>
    <row r="759" spans="1:7" ht="14.45" customHeight="1">
      <c r="A759" s="2"/>
      <c r="B759" s="2"/>
      <c r="C759" s="2"/>
      <c r="D759" s="41"/>
      <c r="E759" s="2"/>
      <c r="F759" s="2"/>
      <c r="G759" s="2"/>
    </row>
    <row r="760" spans="1:7" ht="14.45" customHeight="1">
      <c r="A760" s="2"/>
      <c r="B760" s="2"/>
      <c r="C760" s="2"/>
      <c r="D760" s="41"/>
      <c r="E760" s="2"/>
      <c r="F760" s="2"/>
      <c r="G760" s="2"/>
    </row>
    <row r="761" spans="1:7" ht="14.45" customHeight="1">
      <c r="A761" s="2"/>
      <c r="B761" s="2"/>
      <c r="C761" s="2"/>
      <c r="D761" s="41"/>
      <c r="E761" s="2"/>
      <c r="F761" s="2"/>
      <c r="G761" s="2"/>
    </row>
    <row r="762" spans="1:7" ht="14.45" customHeight="1">
      <c r="A762" s="2"/>
      <c r="B762" s="2"/>
      <c r="C762" s="2"/>
      <c r="D762" s="41"/>
      <c r="E762" s="2"/>
      <c r="F762" s="2"/>
      <c r="G762" s="2"/>
    </row>
    <row r="763" spans="1:7" ht="14.45" customHeight="1">
      <c r="A763" s="2"/>
      <c r="B763" s="2"/>
      <c r="C763" s="2"/>
      <c r="D763" s="41"/>
      <c r="E763" s="2"/>
      <c r="F763" s="2"/>
      <c r="G763" s="2"/>
    </row>
    <row r="764" spans="1:7" ht="14.45" customHeight="1">
      <c r="A764" s="2"/>
      <c r="B764" s="2"/>
      <c r="C764" s="2"/>
      <c r="D764" s="41"/>
      <c r="E764" s="2"/>
      <c r="F764" s="2"/>
      <c r="G764" s="2"/>
    </row>
    <row r="765" spans="1:7" ht="14.45" customHeight="1">
      <c r="A765" s="2"/>
      <c r="B765" s="2"/>
      <c r="C765" s="2"/>
      <c r="D765" s="41"/>
      <c r="E765" s="2"/>
      <c r="F765" s="2"/>
      <c r="G765" s="2"/>
    </row>
    <row r="766" spans="1:7" ht="14.45" customHeight="1">
      <c r="A766" s="2"/>
      <c r="B766" s="2"/>
      <c r="C766" s="2"/>
      <c r="D766" s="41"/>
      <c r="E766" s="2"/>
      <c r="F766" s="2"/>
      <c r="G766" s="2"/>
    </row>
    <row r="767" spans="1:7" ht="14.45" customHeight="1">
      <c r="A767" s="2"/>
      <c r="B767" s="2"/>
      <c r="C767" s="2"/>
      <c r="D767" s="41"/>
      <c r="E767" s="2"/>
      <c r="F767" s="2"/>
      <c r="G767" s="2"/>
    </row>
    <row r="768" spans="1:7" ht="14.45" customHeight="1">
      <c r="A768" s="2"/>
      <c r="B768" s="2"/>
      <c r="C768" s="2"/>
      <c r="D768" s="41"/>
      <c r="E768" s="2"/>
      <c r="F768" s="2"/>
      <c r="G768" s="2"/>
    </row>
    <row r="769" spans="1:7" ht="14.45" customHeight="1">
      <c r="A769" s="2"/>
      <c r="B769" s="2"/>
      <c r="C769" s="2"/>
      <c r="D769" s="41"/>
      <c r="E769" s="2"/>
      <c r="F769" s="2"/>
      <c r="G769" s="2"/>
    </row>
    <row r="770" spans="1:7" ht="14.45" customHeight="1">
      <c r="A770" s="2"/>
      <c r="B770" s="2"/>
      <c r="C770" s="2"/>
      <c r="D770" s="41"/>
      <c r="E770" s="2"/>
      <c r="F770" s="2"/>
      <c r="G770" s="2"/>
    </row>
    <row r="771" spans="1:7" ht="14.45" customHeight="1">
      <c r="A771" s="2"/>
      <c r="B771" s="2"/>
      <c r="C771" s="2"/>
      <c r="D771" s="41"/>
      <c r="E771" s="2"/>
      <c r="F771" s="2"/>
      <c r="G771" s="2"/>
    </row>
    <row r="772" spans="1:7" ht="14.45" customHeight="1">
      <c r="A772" s="2"/>
      <c r="B772" s="2"/>
      <c r="C772" s="2"/>
      <c r="D772" s="41"/>
      <c r="E772" s="2"/>
      <c r="F772" s="2"/>
      <c r="G772" s="2"/>
    </row>
    <row r="773" spans="1:7" ht="14.45" customHeight="1">
      <c r="A773" s="2"/>
      <c r="B773" s="2"/>
      <c r="C773" s="2"/>
      <c r="D773" s="41"/>
      <c r="E773" s="2"/>
      <c r="F773" s="2"/>
      <c r="G773" s="2"/>
    </row>
    <row r="774" spans="1:7" ht="14.45" customHeight="1">
      <c r="A774" s="2"/>
      <c r="B774" s="2"/>
      <c r="C774" s="2"/>
      <c r="D774" s="41"/>
      <c r="E774" s="2"/>
      <c r="F774" s="2"/>
      <c r="G774" s="2"/>
    </row>
    <row r="775" spans="1:7" ht="14.45" customHeight="1">
      <c r="A775" s="2"/>
      <c r="B775" s="2"/>
      <c r="C775" s="2"/>
      <c r="D775" s="41"/>
      <c r="E775" s="2"/>
      <c r="F775" s="2"/>
      <c r="G775" s="2"/>
    </row>
    <row r="776" spans="1:7" ht="14.45" customHeight="1">
      <c r="A776" s="2"/>
      <c r="B776" s="2"/>
      <c r="C776" s="2"/>
      <c r="D776" s="41"/>
      <c r="E776" s="2"/>
      <c r="F776" s="2"/>
      <c r="G776" s="2"/>
    </row>
    <row r="777" spans="1:7" ht="14.45" customHeight="1">
      <c r="A777" s="2"/>
      <c r="B777" s="2"/>
      <c r="C777" s="2"/>
      <c r="D777" s="41"/>
      <c r="E777" s="2"/>
      <c r="F777" s="2"/>
      <c r="G777" s="2"/>
    </row>
    <row r="778" spans="1:7" ht="14.45" customHeight="1">
      <c r="A778" s="2"/>
      <c r="B778" s="2"/>
      <c r="C778" s="2"/>
      <c r="D778" s="41"/>
      <c r="E778" s="2"/>
      <c r="F778" s="2"/>
      <c r="G778" s="2"/>
    </row>
    <row r="779" spans="1:7" ht="14.45" customHeight="1">
      <c r="A779" s="2"/>
      <c r="B779" s="2"/>
      <c r="C779" s="2"/>
      <c r="D779" s="41"/>
      <c r="E779" s="2"/>
      <c r="F779" s="2"/>
      <c r="G779" s="2"/>
    </row>
    <row r="780" spans="1:7" ht="14.45" customHeight="1">
      <c r="A780" s="2"/>
      <c r="B780" s="2"/>
      <c r="C780" s="2"/>
      <c r="D780" s="41"/>
      <c r="E780" s="2"/>
      <c r="F780" s="2"/>
      <c r="G780" s="2"/>
    </row>
    <row r="781" spans="1:7" ht="14.45" customHeight="1">
      <c r="A781" s="2"/>
      <c r="B781" s="2"/>
      <c r="C781" s="2"/>
      <c r="D781" s="41"/>
      <c r="E781" s="2"/>
      <c r="F781" s="2"/>
      <c r="G781" s="2"/>
    </row>
    <row r="782" spans="1:7" ht="14.45" customHeight="1">
      <c r="A782" s="2"/>
      <c r="B782" s="2"/>
      <c r="C782" s="2"/>
      <c r="D782" s="41"/>
      <c r="E782" s="2"/>
      <c r="F782" s="2"/>
      <c r="G782" s="2"/>
    </row>
    <row r="783" spans="1:7" ht="14.45" customHeight="1">
      <c r="A783" s="2"/>
      <c r="B783" s="2"/>
      <c r="C783" s="2"/>
      <c r="D783" s="41"/>
      <c r="E783" s="2"/>
      <c r="F783" s="2"/>
      <c r="G783" s="2"/>
    </row>
    <row r="784" spans="1:7" ht="14.45" customHeight="1">
      <c r="A784" s="2"/>
      <c r="B784" s="2"/>
      <c r="C784" s="2"/>
      <c r="D784" s="41"/>
      <c r="E784" s="2"/>
      <c r="F784" s="2"/>
      <c r="G784" s="2"/>
    </row>
    <row r="785" spans="1:7" ht="14.45" customHeight="1">
      <c r="A785" s="2"/>
      <c r="B785" s="2"/>
      <c r="C785" s="2"/>
      <c r="D785" s="41"/>
      <c r="E785" s="2"/>
      <c r="F785" s="2"/>
      <c r="G785" s="2"/>
    </row>
    <row r="786" spans="1:7" ht="14.45" customHeight="1">
      <c r="A786" s="2"/>
      <c r="B786" s="2"/>
      <c r="C786" s="2"/>
      <c r="D786" s="41"/>
      <c r="E786" s="2"/>
      <c r="F786" s="2"/>
      <c r="G786" s="2"/>
    </row>
    <row r="787" spans="1:7" ht="14.45" customHeight="1">
      <c r="A787" s="2"/>
      <c r="B787" s="2"/>
      <c r="C787" s="2"/>
      <c r="D787" s="41"/>
      <c r="E787" s="2"/>
      <c r="F787" s="2"/>
      <c r="G787" s="2"/>
    </row>
    <row r="788" spans="1:7" ht="14.45" customHeight="1">
      <c r="A788" s="2"/>
      <c r="B788" s="2"/>
      <c r="C788" s="2"/>
      <c r="D788" s="41"/>
      <c r="E788" s="2"/>
      <c r="F788" s="2"/>
      <c r="G788" s="2"/>
    </row>
    <row r="789" spans="1:7" ht="14.45" customHeight="1">
      <c r="A789" s="2"/>
      <c r="B789" s="2"/>
      <c r="C789" s="2"/>
      <c r="D789" s="41"/>
      <c r="E789" s="2"/>
      <c r="F789" s="2"/>
      <c r="G789" s="2"/>
    </row>
    <row r="790" spans="1:7" ht="14.45" customHeight="1">
      <c r="A790" s="2"/>
      <c r="B790" s="2"/>
      <c r="C790" s="2"/>
      <c r="D790" s="41"/>
      <c r="E790" s="2"/>
      <c r="F790" s="2"/>
      <c r="G790" s="2"/>
    </row>
    <row r="791" spans="1:7" ht="14.45" customHeight="1">
      <c r="A791" s="2"/>
      <c r="B791" s="2"/>
      <c r="C791" s="2"/>
      <c r="D791" s="41"/>
      <c r="E791" s="2"/>
      <c r="F791" s="2"/>
      <c r="G791" s="2"/>
    </row>
    <row r="792" spans="1:7" ht="14.45" customHeight="1">
      <c r="A792" s="2"/>
      <c r="B792" s="2"/>
      <c r="C792" s="2"/>
      <c r="D792" s="41"/>
      <c r="E792" s="2"/>
      <c r="F792" s="2"/>
      <c r="G792" s="2"/>
    </row>
    <row r="793" spans="1:7" ht="14.45" customHeight="1">
      <c r="A793" s="2"/>
      <c r="B793" s="2"/>
      <c r="C793" s="2"/>
      <c r="D793" s="41"/>
      <c r="E793" s="2"/>
      <c r="F793" s="2"/>
      <c r="G793" s="2"/>
    </row>
    <row r="794" spans="1:7" ht="14.45" customHeight="1">
      <c r="A794" s="2"/>
      <c r="B794" s="2"/>
      <c r="C794" s="2"/>
      <c r="D794" s="41"/>
      <c r="E794" s="2"/>
      <c r="F794" s="2"/>
      <c r="G794" s="2"/>
    </row>
    <row r="795" spans="1:7" ht="14.45" customHeight="1">
      <c r="A795" s="2"/>
      <c r="B795" s="2"/>
      <c r="C795" s="2"/>
      <c r="D795" s="41"/>
      <c r="E795" s="2"/>
      <c r="F795" s="2"/>
      <c r="G795" s="2"/>
    </row>
    <row r="796" spans="1:7" ht="14.45" customHeight="1">
      <c r="A796" s="2"/>
      <c r="B796" s="2"/>
      <c r="C796" s="2"/>
      <c r="D796" s="41"/>
      <c r="E796" s="2"/>
      <c r="F796" s="2"/>
      <c r="G796" s="2"/>
    </row>
    <row r="797" spans="1:7" ht="14.45" customHeight="1">
      <c r="A797" s="2"/>
      <c r="B797" s="2"/>
      <c r="C797" s="2"/>
      <c r="D797" s="41"/>
      <c r="E797" s="2"/>
      <c r="F797" s="2"/>
      <c r="G797" s="2"/>
    </row>
    <row r="798" spans="1:7" ht="14.45" customHeight="1">
      <c r="A798" s="2"/>
      <c r="B798" s="2"/>
      <c r="C798" s="2"/>
      <c r="D798" s="41"/>
      <c r="E798" s="2"/>
      <c r="F798" s="2"/>
      <c r="G798" s="2"/>
    </row>
    <row r="799" spans="1:7" ht="14.45" customHeight="1">
      <c r="A799" s="2"/>
      <c r="B799" s="2"/>
      <c r="C799" s="2"/>
      <c r="D799" s="41"/>
      <c r="E799" s="2"/>
      <c r="F799" s="2"/>
      <c r="G799" s="2"/>
    </row>
    <row r="800" spans="1:7" ht="14.45" customHeight="1">
      <c r="A800" s="2"/>
      <c r="B800" s="2"/>
      <c r="C800" s="2"/>
      <c r="D800" s="41"/>
      <c r="E800" s="2"/>
      <c r="F800" s="2"/>
      <c r="G800" s="2"/>
    </row>
    <row r="801" spans="1:7" ht="14.45" customHeight="1">
      <c r="A801" s="2"/>
      <c r="B801" s="2"/>
      <c r="C801" s="2"/>
      <c r="D801" s="41"/>
      <c r="E801" s="2"/>
      <c r="F801" s="2"/>
      <c r="G801" s="2"/>
    </row>
    <row r="802" spans="1:7" ht="14.45" customHeight="1">
      <c r="A802" s="2"/>
      <c r="B802" s="2"/>
      <c r="C802" s="2"/>
      <c r="D802" s="41"/>
      <c r="E802" s="2"/>
      <c r="F802" s="2"/>
      <c r="G802" s="2"/>
    </row>
    <row r="803" spans="1:7" ht="14.45" customHeight="1">
      <c r="A803" s="2"/>
      <c r="B803" s="2"/>
      <c r="C803" s="2"/>
      <c r="D803" s="41"/>
      <c r="E803" s="2"/>
      <c r="F803" s="2"/>
      <c r="G803" s="2"/>
    </row>
    <row r="804" spans="1:7" ht="14.45" customHeight="1">
      <c r="A804" s="2"/>
      <c r="B804" s="2"/>
      <c r="C804" s="2"/>
      <c r="D804" s="41"/>
      <c r="E804" s="2"/>
      <c r="F804" s="2"/>
      <c r="G804" s="2"/>
    </row>
    <row r="805" spans="1:7" ht="14.45" customHeight="1">
      <c r="A805" s="2"/>
      <c r="B805" s="2"/>
      <c r="C805" s="2"/>
      <c r="D805" s="41"/>
      <c r="E805" s="2"/>
      <c r="F805" s="2"/>
      <c r="G805" s="2"/>
    </row>
    <row r="806" spans="1:7" ht="14.45" customHeight="1">
      <c r="A806" s="2"/>
      <c r="B806" s="2"/>
      <c r="C806" s="2"/>
      <c r="D806" s="41"/>
      <c r="E806" s="2"/>
      <c r="F806" s="2"/>
      <c r="G806" s="2"/>
    </row>
    <row r="807" spans="1:7" ht="14.45" customHeight="1">
      <c r="A807" s="2"/>
      <c r="B807" s="2"/>
      <c r="C807" s="2"/>
      <c r="D807" s="41"/>
      <c r="E807" s="2"/>
      <c r="F807" s="2"/>
      <c r="G807" s="2"/>
    </row>
    <row r="808" spans="1:7" ht="14.45" customHeight="1">
      <c r="A808" s="2"/>
      <c r="B808" s="2"/>
      <c r="C808" s="2"/>
      <c r="D808" s="41"/>
      <c r="E808" s="2"/>
      <c r="F808" s="2"/>
      <c r="G808" s="2"/>
    </row>
    <row r="809" spans="1:7" ht="14.45" customHeight="1">
      <c r="A809" s="2"/>
      <c r="B809" s="2"/>
      <c r="C809" s="2"/>
      <c r="D809" s="41"/>
      <c r="E809" s="2"/>
      <c r="F809" s="2"/>
      <c r="G809" s="2"/>
    </row>
    <row r="810" spans="1:7" ht="14.45" customHeight="1">
      <c r="A810" s="2"/>
      <c r="B810" s="2"/>
      <c r="C810" s="2"/>
      <c r="D810" s="41"/>
      <c r="E810" s="2"/>
      <c r="F810" s="2"/>
      <c r="G810" s="2"/>
    </row>
    <row r="811" spans="1:7" ht="14.45" customHeight="1">
      <c r="A811" s="2"/>
      <c r="B811" s="2"/>
      <c r="C811" s="2"/>
      <c r="D811" s="41"/>
      <c r="E811" s="2"/>
      <c r="F811" s="2"/>
      <c r="G811" s="2"/>
    </row>
    <row r="812" spans="1:7" ht="14.45" customHeight="1">
      <c r="A812" s="2"/>
      <c r="B812" s="2"/>
      <c r="C812" s="2"/>
      <c r="D812" s="41"/>
      <c r="E812" s="2"/>
      <c r="F812" s="2"/>
      <c r="G812" s="2"/>
    </row>
    <row r="813" spans="1:7" ht="14.45" customHeight="1">
      <c r="A813" s="2"/>
      <c r="B813" s="2"/>
      <c r="C813" s="2"/>
      <c r="D813" s="41"/>
      <c r="E813" s="2"/>
      <c r="F813" s="2"/>
      <c r="G813" s="2"/>
    </row>
    <row r="814" spans="1:7" ht="14.45" customHeight="1">
      <c r="A814" s="2"/>
      <c r="B814" s="2"/>
      <c r="C814" s="2"/>
      <c r="D814" s="41"/>
      <c r="E814" s="2"/>
      <c r="F814" s="2"/>
      <c r="G814" s="2"/>
    </row>
    <row r="815" spans="1:7" ht="14.45" customHeight="1">
      <c r="A815" s="2"/>
      <c r="B815" s="2"/>
      <c r="C815" s="2"/>
      <c r="D815" s="41"/>
      <c r="E815" s="2"/>
      <c r="F815" s="2"/>
      <c r="G815" s="2"/>
    </row>
    <row r="816" spans="1:7" ht="14.45" customHeight="1">
      <c r="A816" s="2"/>
      <c r="B816" s="2"/>
      <c r="C816" s="2"/>
      <c r="D816" s="41"/>
      <c r="E816" s="2"/>
      <c r="F816" s="2"/>
      <c r="G816" s="2"/>
    </row>
    <row r="817" spans="1:7" ht="14.45" customHeight="1">
      <c r="A817" s="2"/>
      <c r="B817" s="2"/>
      <c r="C817" s="2"/>
      <c r="D817" s="41"/>
      <c r="E817" s="2"/>
      <c r="F817" s="2"/>
      <c r="G817" s="2"/>
    </row>
    <row r="818" spans="1:7" ht="14.45" customHeight="1">
      <c r="A818" s="2"/>
      <c r="B818" s="2"/>
      <c r="C818" s="2"/>
      <c r="D818" s="41"/>
      <c r="E818" s="2"/>
      <c r="F818" s="2"/>
      <c r="G818" s="2"/>
    </row>
    <row r="819" spans="1:7" ht="14.45" customHeight="1">
      <c r="A819" s="2"/>
      <c r="B819" s="2"/>
      <c r="C819" s="2"/>
      <c r="D819" s="41"/>
      <c r="E819" s="2"/>
      <c r="F819" s="2"/>
      <c r="G819" s="2"/>
    </row>
    <row r="820" spans="1:7" ht="14.45" customHeight="1">
      <c r="A820" s="2"/>
      <c r="B820" s="2"/>
      <c r="C820" s="2"/>
      <c r="D820" s="41"/>
      <c r="E820" s="2"/>
      <c r="F820" s="2"/>
      <c r="G820" s="2"/>
    </row>
    <row r="821" spans="1:7" ht="14.45" customHeight="1">
      <c r="A821" s="2"/>
      <c r="B821" s="2"/>
      <c r="C821" s="2"/>
      <c r="D821" s="41"/>
      <c r="E821" s="2"/>
      <c r="F821" s="2"/>
      <c r="G821" s="2"/>
    </row>
    <row r="822" spans="1:7" ht="14.45" customHeight="1">
      <c r="A822" s="2"/>
      <c r="B822" s="2"/>
      <c r="C822" s="2"/>
      <c r="D822" s="41"/>
      <c r="E822" s="2"/>
      <c r="F822" s="2"/>
      <c r="G822" s="2"/>
    </row>
    <row r="823" spans="1:7" ht="14.45" customHeight="1">
      <c r="A823" s="2"/>
      <c r="B823" s="2"/>
      <c r="C823" s="2"/>
      <c r="D823" s="41"/>
      <c r="E823" s="2"/>
      <c r="F823" s="2"/>
      <c r="G823" s="2"/>
    </row>
    <row r="824" spans="1:7" ht="14.45" customHeight="1">
      <c r="A824" s="2"/>
      <c r="B824" s="2"/>
      <c r="C824" s="2"/>
      <c r="D824" s="41"/>
      <c r="E824" s="2"/>
      <c r="F824" s="2"/>
      <c r="G824" s="2"/>
    </row>
    <row r="825" spans="1:7" ht="14.45" customHeight="1">
      <c r="A825" s="2"/>
      <c r="B825" s="2"/>
      <c r="C825" s="2"/>
      <c r="D825" s="41"/>
      <c r="E825" s="2"/>
      <c r="F825" s="2"/>
      <c r="G825" s="2"/>
    </row>
    <row r="826" spans="1:7" ht="14.45" customHeight="1">
      <c r="A826" s="2"/>
      <c r="B826" s="2"/>
      <c r="C826" s="2"/>
      <c r="D826" s="41"/>
      <c r="E826" s="2"/>
      <c r="F826" s="2"/>
      <c r="G826" s="2"/>
    </row>
    <row r="827" spans="1:7" ht="14.45" customHeight="1">
      <c r="A827" s="2"/>
      <c r="B827" s="2"/>
      <c r="C827" s="2"/>
      <c r="D827" s="41"/>
      <c r="E827" s="2"/>
      <c r="F827" s="2"/>
      <c r="G827" s="2"/>
    </row>
    <row r="828" spans="1:7" ht="14.45" customHeight="1">
      <c r="A828" s="2"/>
      <c r="B828" s="2"/>
      <c r="C828" s="2"/>
      <c r="D828" s="41"/>
      <c r="E828" s="2"/>
      <c r="F828" s="2"/>
      <c r="G828" s="2"/>
    </row>
    <row r="829" spans="1:7" ht="14.45" customHeight="1">
      <c r="A829" s="2"/>
      <c r="B829" s="2"/>
      <c r="C829" s="2"/>
      <c r="D829" s="41"/>
      <c r="E829" s="2"/>
      <c r="F829" s="2"/>
      <c r="G829" s="2"/>
    </row>
    <row r="830" spans="1:7" ht="14.45" customHeight="1">
      <c r="A830" s="2"/>
      <c r="B830" s="2"/>
      <c r="C830" s="2"/>
      <c r="D830" s="41"/>
      <c r="E830" s="2"/>
      <c r="F830" s="2"/>
      <c r="G830" s="2"/>
    </row>
    <row r="831" spans="1:7" ht="14.45" customHeight="1">
      <c r="A831" s="2"/>
      <c r="B831" s="2"/>
      <c r="C831" s="2"/>
      <c r="D831" s="41"/>
      <c r="E831" s="2"/>
      <c r="F831" s="2"/>
      <c r="G831" s="2"/>
    </row>
    <row r="832" spans="1:7" ht="14.45" customHeight="1">
      <c r="A832" s="2"/>
      <c r="B832" s="2"/>
      <c r="C832" s="2"/>
      <c r="D832" s="41"/>
      <c r="E832" s="2"/>
      <c r="F832" s="2"/>
      <c r="G832" s="2"/>
    </row>
    <row r="833" spans="1:7" ht="14.45" customHeight="1">
      <c r="A833" s="2"/>
      <c r="B833" s="2"/>
      <c r="C833" s="2"/>
      <c r="D833" s="41"/>
      <c r="E833" s="2"/>
      <c r="F833" s="2"/>
      <c r="G833" s="2"/>
    </row>
    <row r="834" spans="1:7" ht="14.45" customHeight="1">
      <c r="A834" s="2"/>
      <c r="B834" s="2"/>
      <c r="C834" s="2"/>
      <c r="D834" s="41"/>
      <c r="E834" s="2"/>
      <c r="F834" s="2"/>
      <c r="G834" s="2"/>
    </row>
    <row r="835" spans="1:7" ht="14.45" customHeight="1">
      <c r="A835" s="2"/>
      <c r="B835" s="2"/>
      <c r="C835" s="2"/>
      <c r="D835" s="41"/>
      <c r="E835" s="2"/>
      <c r="F835" s="2"/>
      <c r="G835" s="2"/>
    </row>
    <row r="836" spans="1:7" ht="14.45" customHeight="1">
      <c r="A836" s="2"/>
      <c r="B836" s="2"/>
      <c r="C836" s="2"/>
      <c r="D836" s="41"/>
      <c r="E836" s="2"/>
      <c r="F836" s="2"/>
      <c r="G836" s="2"/>
    </row>
    <row r="837" spans="1:7" ht="14.45" customHeight="1">
      <c r="A837" s="2"/>
      <c r="B837" s="2"/>
      <c r="C837" s="2"/>
      <c r="D837" s="41"/>
      <c r="E837" s="2"/>
      <c r="F837" s="2"/>
      <c r="G837" s="2"/>
    </row>
    <row r="838" spans="1:7" ht="14.45" customHeight="1">
      <c r="A838" s="2"/>
      <c r="B838" s="2"/>
      <c r="C838" s="2"/>
      <c r="D838" s="41"/>
      <c r="E838" s="2"/>
      <c r="F838" s="2"/>
      <c r="G838" s="2"/>
    </row>
    <row r="839" spans="1:7" ht="14.45" customHeight="1">
      <c r="A839" s="2"/>
      <c r="B839" s="2"/>
      <c r="C839" s="2"/>
      <c r="D839" s="41"/>
      <c r="E839" s="2"/>
      <c r="F839" s="2"/>
      <c r="G839" s="2"/>
    </row>
    <row r="840" spans="1:7" ht="14.45" customHeight="1">
      <c r="A840" s="2"/>
      <c r="B840" s="2"/>
      <c r="C840" s="2"/>
      <c r="D840" s="41"/>
      <c r="E840" s="2"/>
      <c r="F840" s="2"/>
      <c r="G840" s="2"/>
    </row>
    <row r="841" spans="1:7" ht="14.45" customHeight="1">
      <c r="A841" s="2"/>
      <c r="B841" s="2"/>
      <c r="C841" s="2"/>
      <c r="D841" s="41"/>
      <c r="E841" s="2"/>
      <c r="F841" s="2"/>
      <c r="G841" s="2"/>
    </row>
    <row r="842" spans="1:7" ht="14.45" customHeight="1">
      <c r="A842" s="2"/>
      <c r="B842" s="2"/>
      <c r="C842" s="2"/>
      <c r="D842" s="41"/>
      <c r="E842" s="2"/>
      <c r="F842" s="2"/>
      <c r="G842" s="2"/>
    </row>
    <row r="843" spans="1:7" ht="14.45" customHeight="1">
      <c r="A843" s="2"/>
      <c r="B843" s="2"/>
      <c r="C843" s="2"/>
      <c r="D843" s="41"/>
      <c r="E843" s="2"/>
      <c r="F843" s="2"/>
      <c r="G843" s="2"/>
    </row>
    <row r="844" spans="1:7" ht="14.45" customHeight="1">
      <c r="A844" s="2"/>
      <c r="B844" s="2"/>
      <c r="C844" s="2"/>
      <c r="D844" s="41"/>
      <c r="E844" s="2"/>
      <c r="F844" s="2"/>
      <c r="G844" s="2"/>
    </row>
    <row r="845" spans="1:7" ht="14.45" customHeight="1">
      <c r="A845" s="2"/>
      <c r="B845" s="2"/>
      <c r="C845" s="2"/>
      <c r="D845" s="41"/>
      <c r="E845" s="2"/>
      <c r="F845" s="2"/>
      <c r="G845" s="2"/>
    </row>
    <row r="846" spans="1:7" ht="14.45" customHeight="1">
      <c r="A846" s="2"/>
      <c r="B846" s="2"/>
      <c r="C846" s="2"/>
      <c r="D846" s="41"/>
      <c r="E846" s="2"/>
      <c r="F846" s="2"/>
      <c r="G846" s="2"/>
    </row>
    <row r="847" spans="1:7" ht="14.45" customHeight="1">
      <c r="A847" s="2"/>
      <c r="B847" s="2"/>
      <c r="C847" s="2"/>
      <c r="D847" s="41"/>
      <c r="E847" s="2"/>
      <c r="F847" s="2"/>
      <c r="G847" s="2"/>
    </row>
    <row r="848" spans="1:7" ht="14.45" customHeight="1">
      <c r="A848" s="2"/>
      <c r="B848" s="2"/>
      <c r="C848" s="2"/>
      <c r="D848" s="41"/>
      <c r="E848" s="2"/>
      <c r="F848" s="2"/>
      <c r="G848" s="2"/>
    </row>
    <row r="849" spans="1:7" ht="14.45" customHeight="1">
      <c r="A849" s="2"/>
      <c r="B849" s="2"/>
      <c r="C849" s="2"/>
      <c r="D849" s="41"/>
      <c r="E849" s="2"/>
      <c r="F849" s="2"/>
      <c r="G849" s="2"/>
    </row>
    <row r="850" spans="1:7" ht="14.45" customHeight="1">
      <c r="A850" s="2"/>
      <c r="B850" s="2"/>
      <c r="C850" s="2"/>
      <c r="D850" s="41"/>
      <c r="E850" s="2"/>
      <c r="F850" s="2"/>
      <c r="G850" s="2"/>
    </row>
    <row r="851" spans="1:7" ht="14.45" customHeight="1">
      <c r="A851" s="2"/>
      <c r="B851" s="2"/>
      <c r="C851" s="2"/>
      <c r="D851" s="41"/>
      <c r="E851" s="2"/>
      <c r="F851" s="2"/>
      <c r="G851" s="2"/>
    </row>
    <row r="852" spans="1:7" ht="14.45" customHeight="1">
      <c r="A852" s="2"/>
      <c r="B852" s="2"/>
      <c r="C852" s="2"/>
      <c r="D852" s="41"/>
      <c r="E852" s="2"/>
      <c r="F852" s="2"/>
      <c r="G852" s="2"/>
    </row>
    <row r="853" spans="1:7" ht="14.45" customHeight="1">
      <c r="A853" s="2"/>
      <c r="B853" s="2"/>
      <c r="C853" s="2"/>
      <c r="D853" s="41"/>
      <c r="E853" s="2"/>
      <c r="F853" s="2"/>
      <c r="G853" s="2"/>
    </row>
    <row r="854" spans="1:7" ht="14.45" customHeight="1">
      <c r="A854" s="2"/>
      <c r="B854" s="2"/>
      <c r="C854" s="2"/>
      <c r="D854" s="41"/>
      <c r="E854" s="2"/>
      <c r="F854" s="2"/>
      <c r="G854" s="2"/>
    </row>
    <row r="855" spans="1:7" ht="14.45" customHeight="1">
      <c r="A855" s="2"/>
      <c r="B855" s="2"/>
      <c r="C855" s="2"/>
      <c r="D855" s="41"/>
      <c r="E855" s="2"/>
      <c r="F855" s="2"/>
      <c r="G855" s="2"/>
    </row>
    <row r="856" spans="1:7" ht="14.45" customHeight="1">
      <c r="A856" s="2"/>
      <c r="B856" s="2"/>
      <c r="C856" s="2"/>
      <c r="D856" s="41"/>
      <c r="E856" s="2"/>
      <c r="F856" s="2"/>
      <c r="G856" s="2"/>
    </row>
    <row r="857" spans="1:7" ht="14.45" customHeight="1">
      <c r="A857" s="2"/>
      <c r="B857" s="2"/>
      <c r="C857" s="2"/>
      <c r="D857" s="41"/>
      <c r="E857" s="2"/>
      <c r="F857" s="2"/>
      <c r="G857" s="2"/>
    </row>
    <row r="858" spans="1:7" ht="14.45" customHeight="1">
      <c r="A858" s="2"/>
      <c r="B858" s="2"/>
      <c r="C858" s="2"/>
      <c r="D858" s="41"/>
      <c r="E858" s="2"/>
      <c r="F858" s="2"/>
      <c r="G858" s="2"/>
    </row>
    <row r="859" spans="1:7" ht="14.45" customHeight="1">
      <c r="A859" s="2"/>
      <c r="B859" s="2"/>
      <c r="C859" s="2"/>
      <c r="D859" s="41"/>
      <c r="E859" s="2"/>
      <c r="F859" s="2"/>
      <c r="G859" s="2"/>
    </row>
    <row r="860" spans="1:7" ht="14.45" customHeight="1">
      <c r="A860" s="2"/>
      <c r="B860" s="2"/>
      <c r="C860" s="2"/>
      <c r="D860" s="41"/>
      <c r="E860" s="2"/>
      <c r="F860" s="2"/>
      <c r="G860" s="2"/>
    </row>
    <row r="861" spans="1:7" ht="14.45" customHeight="1">
      <c r="A861" s="2"/>
      <c r="B861" s="2"/>
      <c r="C861" s="2"/>
      <c r="D861" s="41"/>
      <c r="E861" s="2"/>
      <c r="F861" s="2"/>
      <c r="G861" s="2"/>
    </row>
    <row r="862" spans="1:7" ht="14.45" customHeight="1">
      <c r="A862" s="2"/>
      <c r="B862" s="2"/>
      <c r="C862" s="2"/>
      <c r="D862" s="41"/>
      <c r="E862" s="2"/>
      <c r="F862" s="2"/>
      <c r="G862" s="2"/>
    </row>
    <row r="863" spans="1:7" ht="14.45" customHeight="1">
      <c r="A863" s="2"/>
      <c r="B863" s="2"/>
      <c r="C863" s="2"/>
      <c r="D863" s="41"/>
      <c r="E863" s="2"/>
      <c r="F863" s="2"/>
      <c r="G863" s="2"/>
    </row>
    <row r="864" spans="1:7" ht="14.45" customHeight="1">
      <c r="A864" s="2"/>
      <c r="B864" s="2"/>
      <c r="C864" s="2"/>
      <c r="D864" s="41"/>
      <c r="E864" s="2"/>
      <c r="F864" s="2"/>
      <c r="G864" s="2"/>
    </row>
    <row r="865" spans="1:7" ht="14.45" customHeight="1">
      <c r="A865" s="2"/>
      <c r="B865" s="2"/>
      <c r="C865" s="2"/>
      <c r="D865" s="41"/>
      <c r="E865" s="2"/>
      <c r="F865" s="2"/>
      <c r="G865" s="2"/>
    </row>
    <row r="866" spans="1:7" ht="14.45" customHeight="1">
      <c r="A866" s="2"/>
      <c r="B866" s="2"/>
      <c r="C866" s="2"/>
      <c r="D866" s="41"/>
      <c r="E866" s="2"/>
      <c r="F866" s="2"/>
      <c r="G866" s="2"/>
    </row>
    <row r="867" spans="1:7" ht="14.45" customHeight="1">
      <c r="A867" s="2"/>
      <c r="B867" s="2"/>
      <c r="C867" s="2"/>
      <c r="D867" s="41"/>
      <c r="E867" s="2"/>
      <c r="F867" s="2"/>
      <c r="G867" s="2"/>
    </row>
    <row r="868" spans="1:7" ht="14.45" customHeight="1">
      <c r="A868" s="2"/>
      <c r="B868" s="2"/>
      <c r="C868" s="2"/>
      <c r="D868" s="41"/>
      <c r="E868" s="2"/>
      <c r="F868" s="2"/>
      <c r="G868" s="2"/>
    </row>
    <row r="869" spans="1:7" ht="14.45" customHeight="1">
      <c r="A869" s="2"/>
      <c r="B869" s="2"/>
      <c r="C869" s="2"/>
      <c r="D869" s="41"/>
      <c r="E869" s="2"/>
      <c r="F869" s="2"/>
      <c r="G869" s="2"/>
    </row>
    <row r="870" spans="1:7" ht="14.45" customHeight="1">
      <c r="A870" s="2"/>
      <c r="B870" s="2"/>
      <c r="C870" s="2"/>
      <c r="D870" s="41"/>
      <c r="E870" s="2"/>
      <c r="F870" s="2"/>
      <c r="G870" s="2"/>
    </row>
    <row r="871" spans="1:7" ht="14.45" customHeight="1">
      <c r="A871" s="2"/>
      <c r="B871" s="2"/>
      <c r="C871" s="2"/>
      <c r="D871" s="41"/>
      <c r="E871" s="2"/>
      <c r="F871" s="2"/>
      <c r="G871" s="2"/>
    </row>
    <row r="872" spans="1:7" ht="14.45" customHeight="1">
      <c r="A872" s="2"/>
      <c r="B872" s="2"/>
      <c r="C872" s="2"/>
      <c r="D872" s="41"/>
      <c r="E872" s="2"/>
      <c r="F872" s="2"/>
      <c r="G872" s="2"/>
    </row>
    <row r="873" spans="1:7" ht="14.45" customHeight="1">
      <c r="A873" s="2"/>
      <c r="B873" s="2"/>
      <c r="C873" s="2"/>
      <c r="D873" s="41"/>
      <c r="E873" s="2"/>
      <c r="F873" s="2"/>
      <c r="G873" s="2"/>
    </row>
    <row r="874" spans="1:7" ht="14.45" customHeight="1">
      <c r="A874" s="2"/>
      <c r="B874" s="2"/>
      <c r="C874" s="2"/>
      <c r="D874" s="41"/>
      <c r="E874" s="2"/>
      <c r="F874" s="2"/>
      <c r="G874" s="2"/>
    </row>
    <row r="875" spans="1:7" ht="14.45" customHeight="1">
      <c r="A875" s="2"/>
      <c r="B875" s="2"/>
      <c r="C875" s="2"/>
      <c r="D875" s="41"/>
      <c r="E875" s="2"/>
      <c r="F875" s="2"/>
      <c r="G875" s="2"/>
    </row>
    <row r="876" spans="1:7" ht="14.45" customHeight="1">
      <c r="A876" s="2"/>
      <c r="B876" s="2"/>
      <c r="C876" s="2"/>
      <c r="D876" s="41"/>
      <c r="E876" s="2"/>
      <c r="F876" s="2"/>
      <c r="G876" s="2"/>
    </row>
    <row r="877" spans="1:7" ht="14.45" customHeight="1">
      <c r="A877" s="2"/>
      <c r="B877" s="2"/>
      <c r="C877" s="2"/>
      <c r="D877" s="41"/>
      <c r="E877" s="2"/>
      <c r="F877" s="2"/>
      <c r="G877" s="2"/>
    </row>
    <row r="878" spans="1:7" ht="14.45" customHeight="1">
      <c r="A878" s="2"/>
      <c r="B878" s="2"/>
      <c r="C878" s="2"/>
      <c r="D878" s="41"/>
      <c r="E878" s="2"/>
      <c r="F878" s="2"/>
      <c r="G878" s="2"/>
    </row>
    <row r="879" spans="1:7" ht="14.45" customHeight="1">
      <c r="A879" s="2"/>
      <c r="B879" s="2"/>
      <c r="C879" s="2"/>
      <c r="D879" s="41"/>
      <c r="E879" s="2"/>
      <c r="F879" s="2"/>
      <c r="G879" s="2"/>
    </row>
    <row r="880" spans="1:7" ht="14.45" customHeight="1">
      <c r="A880" s="2"/>
      <c r="B880" s="2"/>
      <c r="C880" s="2"/>
      <c r="D880" s="41"/>
      <c r="E880" s="2"/>
      <c r="F880" s="2"/>
      <c r="G880" s="2"/>
    </row>
    <row r="881" spans="1:7" ht="14.45" customHeight="1">
      <c r="A881" s="2"/>
      <c r="B881" s="2"/>
      <c r="C881" s="2"/>
      <c r="D881" s="41"/>
      <c r="E881" s="2"/>
      <c r="F881" s="2"/>
      <c r="G881" s="2"/>
    </row>
    <row r="882" spans="1:7" ht="14.45" customHeight="1">
      <c r="A882" s="2"/>
      <c r="B882" s="2"/>
      <c r="C882" s="2"/>
      <c r="D882" s="41"/>
      <c r="E882" s="2"/>
      <c r="F882" s="2"/>
      <c r="G882" s="2"/>
    </row>
    <row r="883" spans="1:7" ht="14.45" customHeight="1">
      <c r="A883" s="2"/>
      <c r="B883" s="2"/>
      <c r="C883" s="2"/>
      <c r="D883" s="41"/>
      <c r="E883" s="2"/>
      <c r="F883" s="2"/>
      <c r="G883" s="2"/>
    </row>
    <row r="884" spans="1:7" ht="14.45" customHeight="1">
      <c r="A884" s="2"/>
      <c r="B884" s="2"/>
      <c r="C884" s="2"/>
      <c r="D884" s="41"/>
      <c r="E884" s="2"/>
      <c r="F884" s="2"/>
      <c r="G884" s="2"/>
    </row>
    <row r="885" spans="1:7" ht="14.45" customHeight="1">
      <c r="A885" s="2"/>
      <c r="B885" s="2"/>
      <c r="C885" s="2"/>
      <c r="D885" s="41"/>
      <c r="E885" s="2"/>
      <c r="F885" s="2"/>
      <c r="G885" s="2"/>
    </row>
    <row r="886" spans="1:7" ht="14.45" customHeight="1">
      <c r="A886" s="2"/>
      <c r="B886" s="2"/>
      <c r="C886" s="2"/>
      <c r="D886" s="41"/>
      <c r="E886" s="2"/>
      <c r="F886" s="2"/>
      <c r="G886" s="2"/>
    </row>
    <row r="887" spans="1:7" ht="14.45" customHeight="1">
      <c r="A887" s="2"/>
      <c r="B887" s="2"/>
      <c r="C887" s="2"/>
      <c r="D887" s="41"/>
      <c r="E887" s="2"/>
      <c r="F887" s="2"/>
      <c r="G887" s="2"/>
    </row>
    <row r="888" spans="1:7" ht="14.45" customHeight="1">
      <c r="A888" s="2"/>
      <c r="B888" s="2"/>
      <c r="C888" s="2"/>
      <c r="D888" s="41"/>
      <c r="E888" s="2"/>
      <c r="F888" s="2"/>
      <c r="G888" s="2"/>
    </row>
    <row r="889" spans="1:7" ht="14.45" customHeight="1">
      <c r="A889" s="2"/>
      <c r="B889" s="2"/>
      <c r="C889" s="2"/>
      <c r="D889" s="41"/>
      <c r="E889" s="2"/>
      <c r="F889" s="2"/>
      <c r="G889" s="2"/>
    </row>
    <row r="890" spans="1:7" ht="14.45" customHeight="1">
      <c r="A890" s="2"/>
      <c r="B890" s="2"/>
      <c r="C890" s="2"/>
      <c r="D890" s="41"/>
      <c r="E890" s="2"/>
      <c r="F890" s="2"/>
      <c r="G890" s="2"/>
    </row>
    <row r="891" spans="1:7" ht="14.45" customHeight="1">
      <c r="A891" s="2"/>
      <c r="B891" s="2"/>
      <c r="C891" s="2"/>
      <c r="D891" s="41"/>
      <c r="E891" s="2"/>
      <c r="F891" s="2"/>
      <c r="G891" s="2"/>
    </row>
    <row r="892" spans="1:7" ht="14.45" customHeight="1">
      <c r="A892" s="2"/>
      <c r="B892" s="2"/>
      <c r="C892" s="2"/>
      <c r="D892" s="41"/>
      <c r="E892" s="2"/>
      <c r="F892" s="2"/>
      <c r="G892" s="2"/>
    </row>
    <row r="893" spans="1:7" ht="14.45" customHeight="1">
      <c r="A893" s="2"/>
      <c r="B893" s="2"/>
      <c r="C893" s="2"/>
      <c r="D893" s="41"/>
      <c r="E893" s="2"/>
      <c r="F893" s="2"/>
      <c r="G893" s="2"/>
    </row>
    <row r="894" spans="1:7" ht="14.45" customHeight="1">
      <c r="A894" s="2"/>
      <c r="B894" s="2"/>
      <c r="C894" s="2"/>
      <c r="D894" s="41"/>
      <c r="E894" s="2"/>
      <c r="F894" s="2"/>
      <c r="G894" s="2"/>
    </row>
    <row r="895" spans="1:7" ht="14.45" customHeight="1">
      <c r="A895" s="2"/>
      <c r="B895" s="2"/>
      <c r="C895" s="2"/>
      <c r="D895" s="41"/>
      <c r="E895" s="2"/>
      <c r="F895" s="2"/>
      <c r="G895" s="2"/>
    </row>
    <row r="896" spans="1:7" ht="14.45" customHeight="1">
      <c r="A896" s="2"/>
      <c r="B896" s="2"/>
      <c r="C896" s="2"/>
      <c r="D896" s="41"/>
      <c r="E896" s="2"/>
      <c r="F896" s="2"/>
      <c r="G896" s="2"/>
    </row>
    <row r="897" spans="1:7" ht="14.45" customHeight="1">
      <c r="A897" s="2"/>
      <c r="B897" s="2"/>
      <c r="C897" s="2"/>
      <c r="D897" s="41"/>
      <c r="E897" s="2"/>
      <c r="F897" s="2"/>
      <c r="G897" s="2"/>
    </row>
    <row r="898" spans="1:7" ht="14.45" customHeight="1">
      <c r="A898" s="2"/>
      <c r="B898" s="2"/>
      <c r="C898" s="2"/>
      <c r="D898" s="41"/>
      <c r="E898" s="2"/>
      <c r="F898" s="2"/>
      <c r="G898" s="2"/>
    </row>
    <row r="899" spans="1:7" ht="14.45" customHeight="1">
      <c r="A899" s="2"/>
      <c r="B899" s="2"/>
      <c r="C899" s="2"/>
      <c r="D899" s="41"/>
      <c r="E899" s="2"/>
      <c r="F899" s="2"/>
      <c r="G899" s="2"/>
    </row>
    <row r="900" spans="1:7" ht="14.45" customHeight="1">
      <c r="A900" s="2"/>
      <c r="B900" s="2"/>
      <c r="C900" s="2"/>
      <c r="D900" s="41"/>
      <c r="E900" s="2"/>
      <c r="F900" s="2"/>
      <c r="G900" s="2"/>
    </row>
    <row r="901" spans="1:7" ht="14.45" customHeight="1">
      <c r="A901" s="2"/>
      <c r="B901" s="2"/>
      <c r="C901" s="2"/>
      <c r="D901" s="41"/>
      <c r="E901" s="2"/>
      <c r="F901" s="2"/>
      <c r="G901" s="2"/>
    </row>
    <row r="902" spans="1:7" ht="14.45" customHeight="1">
      <c r="A902" s="2"/>
      <c r="B902" s="2"/>
      <c r="C902" s="2"/>
      <c r="D902" s="41"/>
      <c r="E902" s="2"/>
      <c r="F902" s="2"/>
      <c r="G902" s="2"/>
    </row>
    <row r="903" spans="1:7" ht="14.45" customHeight="1">
      <c r="A903" s="2"/>
      <c r="B903" s="2"/>
      <c r="C903" s="2"/>
      <c r="D903" s="41"/>
      <c r="E903" s="2"/>
      <c r="F903" s="2"/>
      <c r="G903" s="2"/>
    </row>
    <row r="904" spans="1:7" ht="14.45" customHeight="1">
      <c r="A904" s="2"/>
      <c r="B904" s="2"/>
      <c r="C904" s="2"/>
      <c r="D904" s="41"/>
      <c r="E904" s="2"/>
      <c r="F904" s="2"/>
      <c r="G904" s="2"/>
    </row>
    <row r="905" spans="1:7" ht="14.45" customHeight="1">
      <c r="A905" s="2"/>
      <c r="B905" s="2"/>
      <c r="C905" s="2"/>
      <c r="D905" s="41"/>
      <c r="E905" s="2"/>
      <c r="F905" s="2"/>
      <c r="G905" s="2"/>
    </row>
    <row r="906" spans="1:7" ht="14.45" customHeight="1">
      <c r="A906" s="2"/>
      <c r="B906" s="2"/>
      <c r="C906" s="2"/>
      <c r="D906" s="41"/>
      <c r="E906" s="2"/>
      <c r="F906" s="2"/>
      <c r="G906" s="2"/>
    </row>
    <row r="907" spans="1:7" ht="14.45" customHeight="1">
      <c r="A907" s="2"/>
      <c r="B907" s="2"/>
      <c r="C907" s="2"/>
      <c r="D907" s="41"/>
      <c r="E907" s="2"/>
      <c r="F907" s="2"/>
      <c r="G907" s="2"/>
    </row>
    <row r="908" spans="1:7" ht="14.45" customHeight="1">
      <c r="A908" s="2"/>
      <c r="B908" s="2"/>
      <c r="C908" s="2"/>
      <c r="D908" s="41"/>
      <c r="E908" s="2"/>
      <c r="F908" s="2"/>
      <c r="G908" s="2"/>
    </row>
    <row r="909" spans="1:7" ht="14.45" customHeight="1">
      <c r="A909" s="2"/>
      <c r="B909" s="2"/>
      <c r="C909" s="2"/>
      <c r="D909" s="41"/>
      <c r="E909" s="2"/>
      <c r="F909" s="2"/>
      <c r="G909" s="2"/>
    </row>
    <row r="910" spans="1:7" ht="14.45" customHeight="1">
      <c r="A910" s="2"/>
      <c r="B910" s="2"/>
      <c r="C910" s="2"/>
      <c r="D910" s="41"/>
      <c r="E910" s="2"/>
      <c r="F910" s="2"/>
      <c r="G910" s="2"/>
    </row>
    <row r="911" spans="1:7" ht="14.45" customHeight="1">
      <c r="A911" s="2"/>
      <c r="B911" s="2"/>
      <c r="C911" s="2"/>
      <c r="D911" s="41"/>
      <c r="E911" s="2"/>
      <c r="F911" s="2"/>
      <c r="G911" s="2"/>
    </row>
    <row r="912" spans="1:7" ht="14.45" customHeight="1">
      <c r="A912" s="2"/>
      <c r="B912" s="2"/>
      <c r="C912" s="2"/>
      <c r="D912" s="41"/>
      <c r="E912" s="2"/>
      <c r="F912" s="2"/>
      <c r="G912" s="2"/>
    </row>
    <row r="913" spans="1:7" ht="14.45" customHeight="1">
      <c r="A913" s="2"/>
      <c r="B913" s="2"/>
      <c r="C913" s="2"/>
      <c r="D913" s="41"/>
      <c r="E913" s="2"/>
      <c r="F913" s="2"/>
      <c r="G913" s="2"/>
    </row>
    <row r="914" spans="1:7" ht="14.45" customHeight="1">
      <c r="A914" s="2"/>
      <c r="B914" s="2"/>
      <c r="C914" s="2"/>
      <c r="D914" s="41"/>
      <c r="E914" s="2"/>
      <c r="F914" s="2"/>
      <c r="G914" s="2"/>
    </row>
    <row r="915" spans="1:7" ht="14.45" customHeight="1">
      <c r="A915" s="2"/>
      <c r="B915" s="2"/>
      <c r="C915" s="2"/>
      <c r="D915" s="41"/>
      <c r="E915" s="2"/>
      <c r="F915" s="2"/>
      <c r="G915" s="2"/>
    </row>
    <row r="916" spans="1:7" ht="14.45" customHeight="1">
      <c r="A916" s="2"/>
      <c r="B916" s="2"/>
      <c r="C916" s="2"/>
      <c r="D916" s="41"/>
      <c r="E916" s="2"/>
      <c r="F916" s="2"/>
      <c r="G916" s="2"/>
    </row>
    <row r="917" spans="1:7" ht="14.45" customHeight="1">
      <c r="A917" s="2"/>
      <c r="B917" s="2"/>
      <c r="C917" s="2"/>
      <c r="D917" s="41"/>
      <c r="E917" s="2"/>
      <c r="F917" s="2"/>
      <c r="G917" s="2"/>
    </row>
    <row r="918" spans="1:7" ht="14.45" customHeight="1">
      <c r="A918" s="2"/>
      <c r="B918" s="2"/>
      <c r="C918" s="2"/>
      <c r="D918" s="41"/>
      <c r="E918" s="2"/>
      <c r="F918" s="2"/>
      <c r="G918" s="2"/>
    </row>
    <row r="919" spans="1:7" ht="14.45" customHeight="1">
      <c r="A919" s="2"/>
      <c r="B919" s="2"/>
      <c r="C919" s="2"/>
      <c r="D919" s="41"/>
      <c r="E919" s="2"/>
      <c r="F919" s="2"/>
      <c r="G919" s="2"/>
    </row>
    <row r="920" spans="1:7" ht="14.45" customHeight="1">
      <c r="A920" s="2"/>
      <c r="B920" s="2"/>
      <c r="C920" s="2"/>
      <c r="D920" s="41"/>
      <c r="E920" s="2"/>
      <c r="F920" s="2"/>
      <c r="G920" s="2"/>
    </row>
    <row r="921" spans="1:7" ht="14.45" customHeight="1">
      <c r="A921" s="2"/>
      <c r="B921" s="2"/>
      <c r="C921" s="2"/>
      <c r="D921" s="41"/>
      <c r="E921" s="2"/>
      <c r="F921" s="2"/>
      <c r="G921" s="2"/>
    </row>
    <row r="922" spans="1:7" ht="14.45" customHeight="1">
      <c r="A922" s="2"/>
      <c r="B922" s="2"/>
      <c r="C922" s="2"/>
      <c r="D922" s="41"/>
      <c r="E922" s="2"/>
      <c r="F922" s="2"/>
      <c r="G922" s="2"/>
    </row>
    <row r="923" spans="1:7" ht="14.45" customHeight="1">
      <c r="A923" s="2"/>
      <c r="B923" s="2"/>
      <c r="C923" s="2"/>
      <c r="D923" s="41"/>
      <c r="E923" s="2"/>
      <c r="F923" s="2"/>
      <c r="G923" s="2"/>
    </row>
    <row r="924" spans="1:7" ht="14.45" customHeight="1">
      <c r="A924" s="2"/>
      <c r="B924" s="2"/>
      <c r="C924" s="2"/>
      <c r="D924" s="41"/>
      <c r="E924" s="2"/>
      <c r="F924" s="2"/>
      <c r="G924" s="2"/>
    </row>
    <row r="925" spans="1:7" ht="14.45" customHeight="1">
      <c r="A925" s="2"/>
      <c r="B925" s="2"/>
      <c r="C925" s="2"/>
      <c r="D925" s="41"/>
      <c r="E925" s="2"/>
      <c r="F925" s="2"/>
      <c r="G925" s="2"/>
    </row>
    <row r="926" spans="1:7" ht="14.45" customHeight="1">
      <c r="A926" s="2"/>
      <c r="B926" s="2"/>
      <c r="C926" s="2"/>
      <c r="D926" s="41"/>
      <c r="E926" s="2"/>
      <c r="F926" s="2"/>
      <c r="G926" s="2"/>
    </row>
    <row r="927" spans="1:7" ht="14.45" customHeight="1">
      <c r="A927" s="2"/>
      <c r="B927" s="2"/>
      <c r="C927" s="2"/>
      <c r="D927" s="41"/>
      <c r="E927" s="2"/>
      <c r="F927" s="2"/>
      <c r="G927" s="2"/>
    </row>
    <row r="928" spans="1:7" ht="14.45" customHeight="1">
      <c r="A928" s="2"/>
      <c r="B928" s="2"/>
      <c r="C928" s="2"/>
      <c r="D928" s="41"/>
      <c r="E928" s="2"/>
      <c r="F928" s="2"/>
      <c r="G928" s="2"/>
    </row>
    <row r="929" spans="1:7" ht="14.45" customHeight="1">
      <c r="A929" s="2"/>
      <c r="B929" s="2"/>
      <c r="C929" s="2"/>
      <c r="D929" s="41"/>
      <c r="E929" s="2"/>
      <c r="F929" s="2"/>
      <c r="G929" s="2"/>
    </row>
    <row r="930" spans="1:7" ht="14.45" customHeight="1">
      <c r="A930" s="2"/>
      <c r="B930" s="2"/>
      <c r="C930" s="2"/>
      <c r="D930" s="41"/>
      <c r="E930" s="2"/>
      <c r="F930" s="2"/>
      <c r="G930" s="2"/>
    </row>
    <row r="931" spans="1:7" ht="14.45" customHeight="1">
      <c r="A931" s="2"/>
      <c r="B931" s="2"/>
      <c r="C931" s="2"/>
      <c r="D931" s="41"/>
      <c r="E931" s="2"/>
      <c r="F931" s="2"/>
      <c r="G931" s="2"/>
    </row>
    <row r="932" spans="1:7" ht="14.45" customHeight="1">
      <c r="A932" s="2"/>
      <c r="B932" s="2"/>
      <c r="C932" s="2"/>
      <c r="D932" s="41"/>
      <c r="E932" s="2"/>
      <c r="F932" s="2"/>
      <c r="G932" s="2"/>
    </row>
    <row r="933" spans="1:7" ht="14.45" customHeight="1">
      <c r="A933" s="2"/>
      <c r="B933" s="2"/>
      <c r="C933" s="2"/>
      <c r="D933" s="41"/>
      <c r="E933" s="2"/>
      <c r="F933" s="2"/>
      <c r="G933" s="2"/>
    </row>
    <row r="934" spans="1:7" ht="14.45" customHeight="1">
      <c r="A934" s="2"/>
      <c r="B934" s="2"/>
      <c r="C934" s="2"/>
      <c r="D934" s="41"/>
      <c r="E934" s="2"/>
      <c r="F934" s="2"/>
      <c r="G934" s="2"/>
    </row>
    <row r="935" spans="1:7" ht="14.45" customHeight="1">
      <c r="A935" s="2"/>
      <c r="B935" s="2"/>
      <c r="C935" s="2"/>
      <c r="D935" s="41"/>
      <c r="E935" s="2"/>
      <c r="F935" s="2"/>
      <c r="G935" s="2"/>
    </row>
    <row r="936" spans="1:7" ht="14.45" customHeight="1">
      <c r="A936" s="2"/>
      <c r="B936" s="2"/>
      <c r="C936" s="2"/>
      <c r="D936" s="41"/>
      <c r="E936" s="2"/>
      <c r="F936" s="2"/>
      <c r="G936" s="2"/>
    </row>
    <row r="937" spans="1:7" ht="14.45" customHeight="1">
      <c r="A937" s="2"/>
      <c r="B937" s="2"/>
      <c r="C937" s="2"/>
      <c r="D937" s="41"/>
      <c r="E937" s="2"/>
      <c r="F937" s="2"/>
      <c r="G937" s="2"/>
    </row>
    <row r="938" spans="1:7" ht="14.45" customHeight="1">
      <c r="A938" s="2"/>
      <c r="B938" s="2"/>
      <c r="C938" s="2"/>
      <c r="D938" s="41"/>
      <c r="E938" s="2"/>
      <c r="F938" s="2"/>
      <c r="G938" s="2"/>
    </row>
    <row r="939" spans="1:7" ht="14.45" customHeight="1">
      <c r="A939" s="2"/>
      <c r="B939" s="2"/>
      <c r="C939" s="2"/>
      <c r="D939" s="41"/>
      <c r="E939" s="2"/>
      <c r="F939" s="2"/>
      <c r="G939" s="2"/>
    </row>
    <row r="940" spans="1:7" ht="14.45" customHeight="1">
      <c r="A940" s="2"/>
      <c r="B940" s="2"/>
      <c r="C940" s="2"/>
      <c r="D940" s="41"/>
      <c r="E940" s="2"/>
      <c r="F940" s="2"/>
      <c r="G940" s="2"/>
    </row>
    <row r="941" spans="1:7" ht="14.45" customHeight="1">
      <c r="A941" s="2"/>
      <c r="B941" s="2"/>
      <c r="C941" s="2"/>
      <c r="D941" s="41"/>
      <c r="E941" s="2"/>
      <c r="F941" s="2"/>
      <c r="G941" s="2"/>
    </row>
    <row r="942" spans="1:7" ht="14.45" customHeight="1">
      <c r="A942" s="2"/>
      <c r="B942" s="2"/>
      <c r="C942" s="2"/>
      <c r="D942" s="41"/>
      <c r="E942" s="2"/>
      <c r="F942" s="2"/>
      <c r="G942" s="2"/>
    </row>
    <row r="943" spans="1:7" ht="14.45" customHeight="1">
      <c r="A943" s="2"/>
      <c r="B943" s="2"/>
      <c r="C943" s="2"/>
      <c r="D943" s="41"/>
      <c r="E943" s="2"/>
      <c r="F943" s="2"/>
      <c r="G943" s="2"/>
    </row>
    <row r="944" spans="1:7" ht="14.45" customHeight="1">
      <c r="A944" s="2"/>
      <c r="B944" s="2"/>
      <c r="C944" s="2"/>
      <c r="D944" s="41"/>
      <c r="E944" s="2"/>
      <c r="F944" s="2"/>
      <c r="G944" s="2"/>
    </row>
    <row r="945" spans="1:7" ht="14.45" customHeight="1">
      <c r="A945" s="2"/>
      <c r="B945" s="2"/>
      <c r="C945" s="2"/>
      <c r="D945" s="41"/>
      <c r="E945" s="2"/>
      <c r="F945" s="2"/>
      <c r="G945" s="2"/>
    </row>
    <row r="946" spans="1:7" ht="14.45" customHeight="1">
      <c r="A946" s="2"/>
      <c r="B946" s="2"/>
      <c r="C946" s="2"/>
      <c r="D946" s="41"/>
      <c r="E946" s="2"/>
      <c r="F946" s="2"/>
      <c r="G946" s="2"/>
    </row>
    <row r="947" spans="1:7" ht="14.45" customHeight="1">
      <c r="A947" s="2"/>
      <c r="B947" s="2"/>
      <c r="C947" s="2"/>
      <c r="D947" s="41"/>
      <c r="E947" s="2"/>
      <c r="F947" s="2"/>
      <c r="G947" s="2"/>
    </row>
    <row r="948" spans="1:7" ht="14.45" customHeight="1">
      <c r="A948" s="2"/>
      <c r="B948" s="2"/>
      <c r="C948" s="2"/>
      <c r="D948" s="41"/>
      <c r="E948" s="2"/>
      <c r="F948" s="2"/>
      <c r="G948" s="2"/>
    </row>
    <row r="949" spans="1:7" ht="14.45" customHeight="1">
      <c r="A949" s="2"/>
      <c r="B949" s="2"/>
      <c r="C949" s="2"/>
      <c r="D949" s="41"/>
      <c r="E949" s="2"/>
      <c r="F949" s="2"/>
      <c r="G949" s="2"/>
    </row>
    <row r="950" spans="1:7" ht="14.45" customHeight="1">
      <c r="A950" s="2"/>
      <c r="B950" s="2"/>
      <c r="C950" s="2"/>
      <c r="D950" s="41"/>
      <c r="E950" s="2"/>
      <c r="F950" s="2"/>
      <c r="G950" s="2"/>
    </row>
    <row r="951" spans="1:7" ht="14.45" customHeight="1">
      <c r="A951" s="2"/>
      <c r="B951" s="2"/>
      <c r="C951" s="2"/>
      <c r="D951" s="41"/>
      <c r="E951" s="2"/>
      <c r="F951" s="2"/>
      <c r="G951" s="2"/>
    </row>
    <row r="952" spans="1:7" ht="14.45" customHeight="1">
      <c r="A952" s="2"/>
      <c r="B952" s="2"/>
      <c r="C952" s="2"/>
      <c r="D952" s="41"/>
      <c r="E952" s="2"/>
      <c r="F952" s="2"/>
      <c r="G952" s="2"/>
    </row>
    <row r="953" spans="1:7" ht="14.45" customHeight="1">
      <c r="A953" s="2"/>
      <c r="B953" s="2"/>
      <c r="C953" s="2"/>
      <c r="D953" s="41"/>
      <c r="E953" s="2"/>
      <c r="F953" s="2"/>
      <c r="G953" s="2"/>
    </row>
    <row r="954" spans="1:7" ht="14.45" customHeight="1">
      <c r="A954" s="2"/>
      <c r="B954" s="2"/>
      <c r="C954" s="2"/>
      <c r="D954" s="41"/>
      <c r="E954" s="2"/>
      <c r="F954" s="2"/>
      <c r="G954" s="2"/>
    </row>
    <row r="955" spans="1:7" ht="14.45" customHeight="1">
      <c r="A955" s="2"/>
      <c r="B955" s="2"/>
      <c r="C955" s="2"/>
      <c r="D955" s="41"/>
      <c r="E955" s="2"/>
      <c r="F955" s="2"/>
      <c r="G955" s="2"/>
    </row>
    <row r="956" spans="1:7" ht="14.45" customHeight="1">
      <c r="A956" s="2"/>
      <c r="B956" s="2"/>
      <c r="C956" s="2"/>
      <c r="D956" s="41"/>
      <c r="E956" s="2"/>
      <c r="F956" s="2"/>
      <c r="G956" s="2"/>
    </row>
    <row r="957" spans="1:7" ht="14.45" customHeight="1">
      <c r="A957" s="2"/>
      <c r="B957" s="2"/>
      <c r="C957" s="2"/>
      <c r="D957" s="41"/>
      <c r="E957" s="2"/>
      <c r="F957" s="2"/>
      <c r="G957" s="2"/>
    </row>
    <row r="958" spans="1:7" ht="14.45" customHeight="1">
      <c r="A958" s="2"/>
      <c r="B958" s="2"/>
      <c r="C958" s="2"/>
      <c r="D958" s="41"/>
      <c r="E958" s="2"/>
      <c r="F958" s="2"/>
      <c r="G958" s="2"/>
    </row>
    <row r="959" spans="1:7" ht="14.45" customHeight="1">
      <c r="A959" s="2"/>
      <c r="B959" s="2"/>
      <c r="C959" s="2"/>
      <c r="D959" s="41"/>
      <c r="E959" s="2"/>
      <c r="F959" s="2"/>
      <c r="G959" s="2"/>
    </row>
    <row r="960" spans="1:7" ht="14.45" customHeight="1">
      <c r="A960" s="2"/>
      <c r="B960" s="2"/>
      <c r="C960" s="2"/>
      <c r="D960" s="41"/>
      <c r="E960" s="2"/>
      <c r="F960" s="2"/>
      <c r="G960" s="2"/>
    </row>
    <row r="961" spans="1:7" ht="14.45" customHeight="1">
      <c r="A961" s="2"/>
      <c r="B961" s="2"/>
      <c r="C961" s="2"/>
      <c r="D961" s="41"/>
      <c r="E961" s="2"/>
      <c r="F961" s="2"/>
      <c r="G961" s="2"/>
    </row>
    <row r="962" spans="1:7" ht="14.45" customHeight="1">
      <c r="A962" s="2"/>
      <c r="B962" s="2"/>
      <c r="C962" s="2"/>
      <c r="D962" s="41"/>
      <c r="E962" s="2"/>
      <c r="F962" s="2"/>
      <c r="G962" s="2"/>
    </row>
    <row r="963" spans="1:7" ht="14.45" customHeight="1">
      <c r="A963" s="2"/>
      <c r="B963" s="2"/>
      <c r="C963" s="2"/>
      <c r="D963" s="41"/>
      <c r="E963" s="2"/>
      <c r="F963" s="2"/>
      <c r="G963" s="2"/>
    </row>
    <row r="964" spans="1:7" ht="14.45" customHeight="1">
      <c r="A964" s="2"/>
      <c r="B964" s="2"/>
      <c r="C964" s="2"/>
      <c r="D964" s="41"/>
      <c r="E964" s="2"/>
      <c r="F964" s="2"/>
      <c r="G964" s="2"/>
    </row>
    <row r="965" spans="1:7" ht="14.45" customHeight="1">
      <c r="A965" s="2"/>
      <c r="B965" s="2"/>
      <c r="C965" s="2"/>
      <c r="D965" s="41"/>
      <c r="E965" s="2"/>
      <c r="F965" s="2"/>
      <c r="G965" s="2"/>
    </row>
    <row r="966" spans="1:7" ht="14.45" customHeight="1">
      <c r="A966" s="2"/>
      <c r="B966" s="2"/>
      <c r="C966" s="2"/>
      <c r="D966" s="41"/>
      <c r="E966" s="2"/>
      <c r="F966" s="2"/>
      <c r="G966" s="2"/>
    </row>
    <row r="967" spans="1:7" ht="14.45" customHeight="1">
      <c r="A967" s="2"/>
      <c r="B967" s="2"/>
      <c r="C967" s="2"/>
      <c r="D967" s="41"/>
      <c r="E967" s="2"/>
      <c r="F967" s="2"/>
      <c r="G967" s="2"/>
    </row>
    <row r="968" spans="1:7" ht="14.45" customHeight="1">
      <c r="A968" s="2"/>
      <c r="B968" s="2"/>
      <c r="C968" s="2"/>
      <c r="D968" s="41"/>
      <c r="E968" s="2"/>
      <c r="F968" s="2"/>
      <c r="G968" s="2"/>
    </row>
    <row r="969" spans="1:7" ht="14.45" customHeight="1">
      <c r="A969" s="2"/>
      <c r="B969" s="2"/>
      <c r="C969" s="2"/>
      <c r="D969" s="41"/>
      <c r="E969" s="2"/>
      <c r="F969" s="2"/>
      <c r="G969" s="2"/>
    </row>
    <row r="970" spans="1:7" ht="14.45" customHeight="1">
      <c r="A970" s="2"/>
      <c r="B970" s="2"/>
      <c r="C970" s="2"/>
      <c r="D970" s="41"/>
      <c r="E970" s="2"/>
      <c r="F970" s="2"/>
      <c r="G970" s="2"/>
    </row>
    <row r="971" spans="1:7" ht="14.45" customHeight="1">
      <c r="A971" s="2"/>
      <c r="B971" s="2"/>
      <c r="C971" s="2"/>
      <c r="D971" s="41"/>
      <c r="E971" s="2"/>
      <c r="F971" s="2"/>
      <c r="G971" s="2"/>
    </row>
    <row r="972" spans="1:7" ht="14.45" customHeight="1">
      <c r="A972" s="2"/>
      <c r="B972" s="2"/>
      <c r="C972" s="2"/>
      <c r="D972" s="41"/>
      <c r="E972" s="2"/>
      <c r="F972" s="2"/>
      <c r="G972" s="2"/>
    </row>
    <row r="973" spans="1:7" ht="14.45" customHeight="1">
      <c r="A973" s="2"/>
      <c r="B973" s="2"/>
      <c r="C973" s="2"/>
      <c r="D973" s="41"/>
      <c r="E973" s="2"/>
      <c r="F973" s="2"/>
      <c r="G973" s="2"/>
    </row>
    <row r="974" spans="1:7" ht="14.45" customHeight="1">
      <c r="A974" s="2"/>
      <c r="B974" s="2"/>
      <c r="C974" s="2"/>
      <c r="D974" s="41"/>
      <c r="E974" s="2"/>
      <c r="F974" s="2"/>
      <c r="G974" s="2"/>
    </row>
    <row r="975" spans="1:7" ht="14.45" customHeight="1">
      <c r="A975" s="2"/>
      <c r="B975" s="2"/>
      <c r="C975" s="2"/>
      <c r="D975" s="41"/>
      <c r="E975" s="2"/>
      <c r="F975" s="2"/>
      <c r="G975" s="2"/>
    </row>
    <row r="976" spans="1:7" ht="14.45" customHeight="1">
      <c r="A976" s="2"/>
      <c r="B976" s="2"/>
      <c r="C976" s="2"/>
      <c r="D976" s="41"/>
      <c r="E976" s="2"/>
      <c r="F976" s="2"/>
      <c r="G976" s="2"/>
    </row>
    <row r="977" spans="1:7" ht="14.45" customHeight="1">
      <c r="A977" s="2"/>
      <c r="B977" s="2"/>
      <c r="C977" s="2"/>
      <c r="D977" s="41"/>
      <c r="E977" s="2"/>
      <c r="F977" s="2"/>
      <c r="G977" s="2"/>
    </row>
    <row r="978" spans="1:7" ht="14.45" customHeight="1">
      <c r="A978" s="2"/>
      <c r="B978" s="2"/>
      <c r="C978" s="2"/>
      <c r="D978" s="41"/>
      <c r="E978" s="2"/>
      <c r="F978" s="2"/>
      <c r="G978" s="2"/>
    </row>
    <row r="979" spans="1:7" ht="14.45" customHeight="1">
      <c r="A979" s="2"/>
      <c r="B979" s="2"/>
      <c r="C979" s="2"/>
      <c r="D979" s="41"/>
      <c r="E979" s="2"/>
      <c r="F979" s="2"/>
      <c r="G979" s="2"/>
    </row>
    <row r="980" spans="1:7" ht="14.45" customHeight="1">
      <c r="A980" s="2"/>
      <c r="B980" s="2"/>
      <c r="C980" s="2"/>
      <c r="D980" s="41"/>
      <c r="E980" s="2"/>
      <c r="F980" s="2"/>
      <c r="G980" s="2"/>
    </row>
    <row r="981" spans="1:7" ht="14.45" customHeight="1">
      <c r="A981" s="2"/>
      <c r="B981" s="2"/>
      <c r="C981" s="2"/>
      <c r="D981" s="41"/>
      <c r="E981" s="2"/>
      <c r="F981" s="2"/>
      <c r="G981" s="2"/>
    </row>
    <row r="982" spans="1:7" ht="14.45" customHeight="1">
      <c r="A982" s="2"/>
      <c r="B982" s="2"/>
      <c r="C982" s="2"/>
      <c r="D982" s="41"/>
      <c r="E982" s="2"/>
      <c r="F982" s="2"/>
      <c r="G982" s="2"/>
    </row>
    <row r="983" spans="1:7" ht="14.45" customHeight="1">
      <c r="A983" s="2"/>
      <c r="B983" s="2"/>
      <c r="C983" s="2"/>
      <c r="D983" s="41"/>
      <c r="E983" s="2"/>
      <c r="F983" s="2"/>
      <c r="G983" s="2"/>
    </row>
    <row r="984" spans="1:7" ht="14.45" customHeight="1">
      <c r="A984" s="2"/>
      <c r="B984" s="2"/>
      <c r="C984" s="2"/>
      <c r="D984" s="41"/>
      <c r="E984" s="2"/>
      <c r="F984" s="2"/>
      <c r="G984" s="2"/>
    </row>
    <row r="985" spans="1:7" ht="14.45" customHeight="1">
      <c r="A985" s="2"/>
      <c r="B985" s="2"/>
      <c r="C985" s="2"/>
      <c r="D985" s="41"/>
      <c r="E985" s="2"/>
      <c r="F985" s="2"/>
      <c r="G985" s="2"/>
    </row>
    <row r="986" spans="1:7" ht="14.45" customHeight="1">
      <c r="A986" s="2"/>
      <c r="B986" s="2"/>
      <c r="C986" s="2"/>
      <c r="D986" s="41"/>
      <c r="E986" s="2"/>
      <c r="F986" s="2"/>
      <c r="G986" s="2"/>
    </row>
    <row r="987" spans="1:7" ht="14.45" customHeight="1">
      <c r="A987" s="2"/>
      <c r="B987" s="2"/>
      <c r="C987" s="2"/>
      <c r="D987" s="41"/>
      <c r="E987" s="2"/>
      <c r="F987" s="2"/>
      <c r="G987" s="2"/>
    </row>
    <row r="988" spans="1:7" ht="14.45" customHeight="1">
      <c r="A988" s="2"/>
      <c r="B988" s="2"/>
      <c r="C988" s="2"/>
      <c r="D988" s="41"/>
      <c r="E988" s="2"/>
      <c r="F988" s="2"/>
      <c r="G988" s="2"/>
    </row>
    <row r="989" spans="1:7" ht="14.45" customHeight="1">
      <c r="A989" s="2"/>
      <c r="B989" s="2"/>
      <c r="C989" s="2"/>
      <c r="D989" s="41"/>
      <c r="E989" s="2"/>
      <c r="F989" s="2"/>
      <c r="G989" s="2"/>
    </row>
    <row r="990" spans="1:7" ht="14.45" customHeight="1">
      <c r="A990" s="2"/>
      <c r="B990" s="2"/>
      <c r="C990" s="2"/>
      <c r="D990" s="41"/>
      <c r="E990" s="2"/>
      <c r="F990" s="2"/>
      <c r="G990" s="2"/>
    </row>
    <row r="991" spans="1:7" ht="14.45" customHeight="1">
      <c r="A991" s="2"/>
      <c r="B991" s="2"/>
      <c r="C991" s="2"/>
      <c r="D991" s="41"/>
      <c r="E991" s="2"/>
      <c r="F991" s="2"/>
      <c r="G991" s="2"/>
    </row>
    <row r="992" spans="1:7" ht="14.45" customHeight="1">
      <c r="A992" s="2"/>
      <c r="B992" s="2"/>
      <c r="C992" s="2"/>
      <c r="D992" s="41"/>
      <c r="E992" s="2"/>
      <c r="F992" s="2"/>
      <c r="G992" s="2"/>
    </row>
    <row r="993" spans="1:7" ht="14.45" customHeight="1">
      <c r="A993" s="2"/>
      <c r="B993" s="2"/>
      <c r="C993" s="2"/>
      <c r="D993" s="41"/>
      <c r="E993" s="2"/>
      <c r="F993" s="2"/>
      <c r="G993" s="2"/>
    </row>
    <row r="994" spans="1:7" ht="14.45" customHeight="1">
      <c r="A994" s="2"/>
      <c r="B994" s="2"/>
      <c r="C994" s="2"/>
      <c r="D994" s="41"/>
      <c r="E994" s="2"/>
      <c r="F994" s="2"/>
      <c r="G994" s="2"/>
    </row>
    <row r="995" spans="1:7" ht="14.45" customHeight="1">
      <c r="A995" s="2"/>
      <c r="B995" s="2"/>
      <c r="C995" s="2"/>
      <c r="D995" s="41"/>
      <c r="E995" s="2"/>
      <c r="F995" s="2"/>
      <c r="G995" s="2"/>
    </row>
    <row r="996" spans="1:7" ht="14.45" customHeight="1">
      <c r="A996" s="2"/>
      <c r="B996" s="2"/>
      <c r="C996" s="2"/>
      <c r="D996" s="41"/>
      <c r="E996" s="2"/>
      <c r="F996" s="2"/>
      <c r="G996" s="2"/>
    </row>
    <row r="997" spans="1:7" ht="14.45" customHeight="1">
      <c r="A997" s="2"/>
      <c r="B997" s="2"/>
      <c r="C997" s="2"/>
      <c r="D997" s="41"/>
      <c r="E997" s="2"/>
      <c r="F997" s="2"/>
      <c r="G997" s="2"/>
    </row>
    <row r="998" spans="1:7" ht="14.45" customHeight="1">
      <c r="A998" s="2"/>
      <c r="B998" s="2"/>
      <c r="C998" s="2"/>
      <c r="D998" s="41"/>
      <c r="E998" s="2"/>
      <c r="F998" s="2"/>
      <c r="G998" s="2"/>
    </row>
    <row r="999" spans="1:7" ht="14.45" customHeight="1">
      <c r="A999" s="2"/>
      <c r="B999" s="2"/>
      <c r="C999" s="2"/>
      <c r="D999" s="41"/>
      <c r="E999" s="2"/>
      <c r="F999" s="2"/>
      <c r="G999" s="2"/>
    </row>
    <row r="1000" spans="1:7" ht="14.45" customHeight="1">
      <c r="A1000" s="2"/>
      <c r="B1000" s="2"/>
      <c r="C1000" s="2"/>
      <c r="D1000" s="41"/>
      <c r="E1000" s="2"/>
      <c r="F1000" s="2"/>
      <c r="G1000" s="2"/>
    </row>
    <row r="1001" spans="1:7" ht="14.45" customHeight="1">
      <c r="A1001" s="2"/>
      <c r="B1001" s="2"/>
      <c r="C1001" s="2"/>
      <c r="D1001" s="41"/>
      <c r="E1001" s="2"/>
      <c r="F1001" s="2"/>
      <c r="G1001" s="2"/>
    </row>
    <row r="1002" spans="1:7" ht="14.45" customHeight="1">
      <c r="A1002" s="2"/>
      <c r="B1002" s="2"/>
      <c r="C1002" s="2"/>
      <c r="D1002" s="41"/>
      <c r="E1002" s="2"/>
      <c r="F1002" s="2"/>
      <c r="G1002" s="2"/>
    </row>
    <row r="1003" spans="1:7" ht="14.45" customHeight="1">
      <c r="A1003" s="2"/>
      <c r="B1003" s="2"/>
      <c r="C1003" s="2"/>
      <c r="D1003" s="41"/>
      <c r="E1003" s="2"/>
      <c r="F1003" s="2"/>
      <c r="G1003" s="2"/>
    </row>
    <row r="1004" spans="1:7" ht="14.45" customHeight="1">
      <c r="A1004" s="2"/>
      <c r="B1004" s="2"/>
      <c r="C1004" s="2"/>
      <c r="D1004" s="41"/>
      <c r="E1004" s="2"/>
      <c r="F1004" s="2"/>
      <c r="G1004" s="2"/>
    </row>
    <row r="1005" spans="1:7" ht="14.45" customHeight="1">
      <c r="A1005" s="2"/>
      <c r="B1005" s="2"/>
      <c r="C1005" s="2"/>
      <c r="D1005" s="41"/>
      <c r="E1005" s="2"/>
      <c r="F1005" s="2"/>
      <c r="G1005" s="2"/>
    </row>
    <row r="1006" spans="1:7" ht="14.45" customHeight="1">
      <c r="A1006" s="2"/>
      <c r="B1006" s="2"/>
      <c r="C1006" s="2"/>
      <c r="D1006" s="41"/>
      <c r="E1006" s="2"/>
      <c r="F1006" s="2"/>
      <c r="G1006" s="2"/>
    </row>
    <row r="1007" spans="1:7" ht="14.45" customHeight="1">
      <c r="A1007" s="2"/>
      <c r="B1007" s="2"/>
      <c r="C1007" s="2"/>
      <c r="D1007" s="41"/>
      <c r="E1007" s="2"/>
      <c r="F1007" s="2"/>
      <c r="G1007" s="2"/>
    </row>
    <row r="1008" spans="1:7" ht="14.45" customHeight="1">
      <c r="A1008" s="2"/>
      <c r="B1008" s="2"/>
      <c r="C1008" s="2"/>
      <c r="D1008" s="41"/>
      <c r="E1008" s="2"/>
      <c r="F1008" s="2"/>
      <c r="G1008" s="2"/>
    </row>
    <row r="1009" spans="1:7" ht="14.45" customHeight="1">
      <c r="A1009" s="2"/>
      <c r="B1009" s="2"/>
      <c r="C1009" s="2"/>
      <c r="D1009" s="41"/>
      <c r="E1009" s="2"/>
      <c r="F1009" s="2"/>
      <c r="G1009" s="2"/>
    </row>
    <row r="1010" spans="1:7" ht="14.45" customHeight="1">
      <c r="A1010" s="2"/>
      <c r="B1010" s="2"/>
      <c r="C1010" s="2"/>
      <c r="D1010" s="41"/>
      <c r="E1010" s="2"/>
      <c r="F1010" s="2"/>
      <c r="G1010" s="2"/>
    </row>
    <row r="1011" spans="1:7" ht="14.45" customHeight="1">
      <c r="A1011" s="2"/>
      <c r="B1011" s="2"/>
      <c r="C1011" s="2"/>
      <c r="D1011" s="41"/>
      <c r="E1011" s="2"/>
      <c r="F1011" s="2"/>
      <c r="G1011" s="2"/>
    </row>
    <row r="1012" spans="1:7" ht="14.45" customHeight="1">
      <c r="A1012" s="2"/>
      <c r="B1012" s="2"/>
      <c r="C1012" s="2"/>
      <c r="D1012" s="41"/>
      <c r="E1012" s="2"/>
      <c r="F1012" s="2"/>
      <c r="G1012" s="2"/>
    </row>
    <row r="1013" spans="1:7" ht="14.45" customHeight="1">
      <c r="A1013" s="2"/>
      <c r="B1013" s="2"/>
      <c r="C1013" s="2"/>
      <c r="D1013" s="41"/>
      <c r="E1013" s="2"/>
      <c r="F1013" s="2"/>
      <c r="G1013" s="2"/>
    </row>
    <row r="1014" spans="1:7" ht="14.45" customHeight="1">
      <c r="A1014" s="2"/>
      <c r="B1014" s="2"/>
      <c r="C1014" s="2"/>
      <c r="D1014" s="41"/>
      <c r="E1014" s="2"/>
      <c r="F1014" s="2"/>
      <c r="G1014" s="2"/>
    </row>
    <row r="1015" spans="1:7" ht="14.45" customHeight="1">
      <c r="A1015" s="2"/>
      <c r="B1015" s="2"/>
      <c r="C1015" s="2"/>
      <c r="D1015" s="41"/>
      <c r="E1015" s="2"/>
      <c r="F1015" s="2"/>
      <c r="G1015" s="2"/>
    </row>
    <row r="1016" spans="1:7" ht="14.45" customHeight="1">
      <c r="A1016" s="2"/>
      <c r="B1016" s="2"/>
      <c r="C1016" s="2"/>
      <c r="D1016" s="41"/>
      <c r="E1016" s="2"/>
      <c r="F1016" s="2"/>
      <c r="G1016" s="2"/>
    </row>
    <row r="1017" spans="1:7" ht="14.45" customHeight="1">
      <c r="A1017" s="2"/>
      <c r="B1017" s="2"/>
      <c r="C1017" s="2"/>
      <c r="D1017" s="41"/>
      <c r="E1017" s="2"/>
      <c r="F1017" s="2"/>
      <c r="G1017" s="2"/>
    </row>
    <row r="1018" spans="1:7" ht="14.45" customHeight="1">
      <c r="A1018" s="2"/>
      <c r="B1018" s="2"/>
      <c r="C1018" s="2"/>
      <c r="D1018" s="41"/>
      <c r="E1018" s="2"/>
      <c r="F1018" s="2"/>
      <c r="G1018" s="2"/>
    </row>
    <row r="1019" spans="1:7" ht="14.45" customHeight="1">
      <c r="A1019" s="2"/>
      <c r="B1019" s="2"/>
      <c r="C1019" s="2"/>
      <c r="D1019" s="41"/>
      <c r="E1019" s="2"/>
      <c r="F1019" s="2"/>
      <c r="G1019" s="2"/>
    </row>
    <row r="1020" spans="1:7" ht="14.45" customHeight="1">
      <c r="A1020" s="2"/>
      <c r="B1020" s="2"/>
      <c r="C1020" s="2"/>
      <c r="D1020" s="41"/>
      <c r="E1020" s="2"/>
      <c r="F1020" s="2"/>
      <c r="G1020" s="2"/>
    </row>
    <row r="1021" spans="1:7" ht="14.45" customHeight="1">
      <c r="A1021" s="2"/>
      <c r="B1021" s="2"/>
      <c r="C1021" s="2"/>
      <c r="D1021" s="41"/>
      <c r="E1021" s="2"/>
      <c r="F1021" s="2"/>
      <c r="G1021" s="2"/>
    </row>
    <row r="1022" spans="1:7" ht="14.45" customHeight="1">
      <c r="A1022" s="2"/>
      <c r="B1022" s="2"/>
      <c r="C1022" s="2"/>
      <c r="D1022" s="41"/>
      <c r="E1022" s="2"/>
      <c r="F1022" s="2"/>
      <c r="G1022" s="2"/>
    </row>
    <row r="1023" spans="1:7" ht="14.45" customHeight="1">
      <c r="A1023" s="2"/>
      <c r="B1023" s="2"/>
      <c r="C1023" s="2"/>
      <c r="D1023" s="41"/>
      <c r="E1023" s="2"/>
      <c r="F1023" s="2"/>
      <c r="G1023" s="2"/>
    </row>
    <row r="1024" spans="1:7" ht="14.45" customHeight="1">
      <c r="A1024" s="2"/>
      <c r="B1024" s="2"/>
      <c r="C1024" s="2"/>
      <c r="D1024" s="41"/>
      <c r="E1024" s="2"/>
      <c r="F1024" s="2"/>
      <c r="G1024" s="2"/>
    </row>
    <row r="1025" spans="1:7" ht="14.45" customHeight="1">
      <c r="A1025" s="2"/>
      <c r="B1025" s="2"/>
      <c r="C1025" s="2"/>
      <c r="D1025" s="41"/>
      <c r="E1025" s="2"/>
      <c r="F1025" s="2"/>
      <c r="G1025" s="2"/>
    </row>
    <row r="1026" spans="1:7" ht="14.45" customHeight="1">
      <c r="A1026" s="2"/>
      <c r="B1026" s="2"/>
      <c r="C1026" s="2"/>
      <c r="D1026" s="41"/>
      <c r="E1026" s="2"/>
      <c r="F1026" s="2"/>
      <c r="G1026" s="2"/>
    </row>
    <row r="1027" spans="1:7" ht="14.45" customHeight="1">
      <c r="A1027" s="2"/>
      <c r="B1027" s="2"/>
      <c r="C1027" s="2"/>
      <c r="D1027" s="41"/>
      <c r="E1027" s="2"/>
      <c r="F1027" s="2"/>
      <c r="G1027" s="2"/>
    </row>
    <row r="1028" spans="1:7" ht="14.45" customHeight="1">
      <c r="A1028" s="2"/>
      <c r="B1028" s="2"/>
      <c r="C1028" s="2"/>
      <c r="D1028" s="41"/>
      <c r="E1028" s="2"/>
      <c r="F1028" s="2"/>
      <c r="G1028" s="2"/>
    </row>
    <row r="1029" spans="1:7" ht="14.45" customHeight="1">
      <c r="A1029" s="2"/>
      <c r="B1029" s="2"/>
      <c r="C1029" s="2"/>
      <c r="D1029" s="41"/>
      <c r="E1029" s="2"/>
      <c r="F1029" s="2"/>
      <c r="G1029" s="2"/>
    </row>
    <row r="1030" spans="1:7" ht="14.45" customHeight="1">
      <c r="A1030" s="2"/>
      <c r="B1030" s="2"/>
      <c r="C1030" s="2"/>
      <c r="D1030" s="41"/>
      <c r="E1030" s="2"/>
      <c r="F1030" s="2"/>
      <c r="G1030" s="2"/>
    </row>
    <row r="1031" spans="1:7" ht="14.45" customHeight="1">
      <c r="A1031" s="2"/>
      <c r="B1031" s="2"/>
      <c r="C1031" s="2"/>
      <c r="D1031" s="41"/>
      <c r="E1031" s="2"/>
      <c r="F1031" s="2"/>
      <c r="G1031" s="2"/>
    </row>
    <row r="1032" spans="1:7" ht="14.45" customHeight="1">
      <c r="A1032" s="2"/>
      <c r="B1032" s="2"/>
      <c r="C1032" s="2"/>
      <c r="D1032" s="41"/>
      <c r="E1032" s="2"/>
      <c r="F1032" s="2"/>
      <c r="G1032" s="2"/>
    </row>
    <row r="1033" spans="1:7" ht="14.45" customHeight="1">
      <c r="A1033" s="2"/>
      <c r="B1033" s="2"/>
      <c r="C1033" s="2"/>
      <c r="D1033" s="41"/>
      <c r="E1033" s="2"/>
      <c r="F1033" s="2"/>
      <c r="G1033" s="2"/>
    </row>
    <row r="1034" spans="1:7" ht="14.45" customHeight="1">
      <c r="A1034" s="2"/>
      <c r="B1034" s="2"/>
      <c r="C1034" s="2"/>
      <c r="D1034" s="41"/>
      <c r="E1034" s="2"/>
      <c r="F1034" s="2"/>
      <c r="G1034" s="2"/>
    </row>
    <row r="1035" spans="1:7" ht="14.45" customHeight="1">
      <c r="A1035" s="2"/>
      <c r="B1035" s="2"/>
      <c r="C1035" s="2"/>
      <c r="D1035" s="41"/>
      <c r="E1035" s="2"/>
      <c r="F1035" s="2"/>
      <c r="G1035" s="2"/>
    </row>
    <row r="1036" spans="1:7" ht="14.45" customHeight="1">
      <c r="A1036" s="2"/>
      <c r="B1036" s="2"/>
      <c r="C1036" s="2"/>
      <c r="D1036" s="41"/>
      <c r="E1036" s="2"/>
      <c r="F1036" s="2"/>
      <c r="G1036" s="2"/>
    </row>
    <row r="1037" spans="1:7" ht="14.45" customHeight="1">
      <c r="A1037" s="2"/>
      <c r="B1037" s="2"/>
      <c r="C1037" s="2"/>
      <c r="D1037" s="41"/>
      <c r="E1037" s="2"/>
      <c r="F1037" s="2"/>
      <c r="G1037" s="2"/>
    </row>
    <row r="1038" spans="1:7" ht="14.45" customHeight="1">
      <c r="A1038" s="2"/>
      <c r="B1038" s="2"/>
      <c r="C1038" s="2"/>
      <c r="D1038" s="41"/>
      <c r="E1038" s="2"/>
      <c r="F1038" s="2"/>
      <c r="G1038" s="2"/>
    </row>
    <row r="1039" spans="1:7" ht="14.45" customHeight="1">
      <c r="A1039" s="2"/>
      <c r="B1039" s="2"/>
      <c r="C1039" s="2"/>
      <c r="D1039" s="41"/>
      <c r="E1039" s="2"/>
      <c r="F1039" s="2"/>
      <c r="G1039" s="2"/>
    </row>
    <row r="1040" spans="1:7" ht="14.45" customHeight="1">
      <c r="A1040" s="2"/>
      <c r="B1040" s="2"/>
      <c r="C1040" s="2"/>
      <c r="D1040" s="41"/>
      <c r="E1040" s="2"/>
      <c r="F1040" s="2"/>
      <c r="G1040" s="2"/>
    </row>
    <row r="1041" spans="1:7" ht="14.45" customHeight="1">
      <c r="A1041" s="2"/>
      <c r="B1041" s="2"/>
      <c r="C1041" s="2"/>
      <c r="D1041" s="41"/>
      <c r="E1041" s="2"/>
      <c r="F1041" s="2"/>
      <c r="G1041" s="2"/>
    </row>
    <row r="1042" spans="1:7" ht="14.45" customHeight="1">
      <c r="A1042" s="2"/>
      <c r="B1042" s="2"/>
      <c r="C1042" s="2"/>
      <c r="D1042" s="41"/>
      <c r="E1042" s="2"/>
      <c r="F1042" s="2"/>
      <c r="G1042" s="2"/>
    </row>
    <row r="1043" spans="1:7" ht="14.45" customHeight="1">
      <c r="A1043" s="2"/>
      <c r="B1043" s="2"/>
      <c r="C1043" s="2"/>
      <c r="D1043" s="41"/>
      <c r="E1043" s="2"/>
      <c r="F1043" s="2"/>
      <c r="G1043" s="2"/>
    </row>
    <row r="1044" spans="1:7" ht="15"/>
    <row r="1045" spans="1:7" ht="15"/>
    <row r="1046" spans="1:7" ht="15"/>
    <row r="1047" spans="1:7" ht="15"/>
    <row r="1048" spans="1:7" ht="15"/>
    <row r="1049" spans="1:7" ht="15"/>
    <row r="1050" spans="1:7" ht="15"/>
    <row r="1051" spans="1:7" ht="15"/>
  </sheetData>
  <mergeCells count="16">
    <mergeCell ref="A109:G109"/>
    <mergeCell ref="A110:G110"/>
    <mergeCell ref="A117:G117"/>
    <mergeCell ref="A118:G118"/>
    <mergeCell ref="A40:G40"/>
    <mergeCell ref="A53:G53"/>
    <mergeCell ref="A70:G70"/>
    <mergeCell ref="A71:G71"/>
    <mergeCell ref="A87:G87"/>
    <mergeCell ref="A88:G88"/>
    <mergeCell ref="A54:G54"/>
    <mergeCell ref="A23:G23"/>
    <mergeCell ref="A24:G24"/>
    <mergeCell ref="A9:G9"/>
    <mergeCell ref="A10:G10"/>
    <mergeCell ref="A39:G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9616-A0C9-4D15-A23D-15675EEE72C2}">
  <sheetPr>
    <tabColor theme="9" tint="0.39997558519241921"/>
  </sheetPr>
  <dimension ref="A1:Z1001"/>
  <sheetViews>
    <sheetView tabSelected="1" workbookViewId="0">
      <pane ySplit="1" topLeftCell="A33" activePane="bottomLeft" state="frozen"/>
      <selection pane="bottomLeft" activeCell="H40" sqref="H40"/>
    </sheetView>
  </sheetViews>
  <sheetFormatPr defaultRowHeight="15.6"/>
  <cols>
    <col min="1" max="1" width="24.5" style="2" customWidth="1"/>
    <col min="2" max="2" width="26" style="2" customWidth="1"/>
    <col min="3" max="3" width="20.5" style="2" customWidth="1"/>
    <col min="4" max="4" width="14.5" style="2" customWidth="1"/>
    <col min="5" max="5" width="13.875" style="32" customWidth="1"/>
    <col min="6" max="6" width="15.125" style="2" customWidth="1"/>
    <col min="7" max="7" width="22" style="2" customWidth="1"/>
    <col min="8" max="12" width="9" style="2" customWidth="1"/>
    <col min="13" max="13" width="29.375" style="7" customWidth="1"/>
    <col min="14" max="15" width="23" style="7" customWidth="1"/>
    <col min="16" max="16" width="14.375" style="8" customWidth="1"/>
    <col min="17" max="17" width="13.75" style="9" customWidth="1"/>
    <col min="18" max="18" width="17.5" style="7" customWidth="1"/>
    <col min="19" max="16384" width="9" style="2"/>
  </cols>
  <sheetData>
    <row r="1" spans="1:26">
      <c r="A1" s="1" t="s">
        <v>0</v>
      </c>
      <c r="B1" s="1" t="s">
        <v>1</v>
      </c>
      <c r="C1" s="1" t="s">
        <v>2</v>
      </c>
      <c r="D1" s="13" t="s">
        <v>3</v>
      </c>
      <c r="E1" s="14" t="s">
        <v>4</v>
      </c>
      <c r="F1" s="1" t="s">
        <v>5</v>
      </c>
      <c r="G1" s="3" t="s">
        <v>6</v>
      </c>
      <c r="M1" s="2"/>
      <c r="N1" s="2"/>
      <c r="O1" s="2"/>
      <c r="P1" s="2"/>
      <c r="Q1" s="2"/>
      <c r="R1" s="2"/>
    </row>
    <row r="2" spans="1:26">
      <c r="A2" s="15" t="s">
        <v>7</v>
      </c>
      <c r="B2" s="16"/>
      <c r="C2" s="16"/>
      <c r="D2" s="17"/>
      <c r="E2" s="18"/>
      <c r="F2" s="16"/>
      <c r="G2" s="19"/>
      <c r="H2" s="20"/>
      <c r="I2" s="20"/>
      <c r="J2" s="20"/>
      <c r="K2" s="20"/>
      <c r="L2" s="20"/>
      <c r="M2" s="21"/>
      <c r="N2" s="2"/>
      <c r="O2" s="2"/>
      <c r="P2" s="2"/>
      <c r="Q2" s="2"/>
      <c r="R2" s="2"/>
    </row>
    <row r="3" spans="1:26">
      <c r="A3" s="22" t="s">
        <v>8</v>
      </c>
      <c r="B3" s="1" t="s">
        <v>9</v>
      </c>
      <c r="C3" s="1" t="s">
        <v>10</v>
      </c>
      <c r="D3" s="1" t="s">
        <v>11</v>
      </c>
      <c r="E3" s="14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s="1" t="s">
        <v>19</v>
      </c>
      <c r="M3" s="23"/>
      <c r="N3" s="2"/>
      <c r="O3" s="2"/>
      <c r="P3" s="2"/>
      <c r="Q3" s="2"/>
      <c r="R3" s="2"/>
    </row>
    <row r="4" spans="1:26" ht="15.75">
      <c r="A4" s="31">
        <f>SUM(
SUMIFS($E$11:$E$251,$D$11:$D$251,"&gt;="&amp;EOMONTH($A$8,-1)+1,$D$11:$D$251,"&lt;="&amp;EOMONTH($A$8,0),$F$11:$F$251,"kp"),
SUMIFS($E$11:$E$251,$D$11:$D$251,"&gt;="&amp;EOMONTH($A$8,-1)+1,$D$11:$D$251,"&lt;="&amp;EOMONTH($A$8,0),$F$11:$F$251,"kp."),
SUMIFS($E$11:$E$251,$D$11:$D$251,"&gt;="&amp;EOMONTH($A$8,-1)+1,$D$11:$D$251,"&lt;="&amp;EOMONTH($A$8,0),$F$11:$F$251,"bk"),
SUMIFS($E$11:$E$251,$D$11:$D$251,"&gt;="&amp;EOMONTH($A$8,-1)+1,$D$11:$D$251,"&lt;="&amp;EOMONTH($A$8,0),$F$11:$F$251,"bk."),
SUMIFS($E$11:$E$251,$D$11:$D$251,"&gt;="&amp;EOMONTH($A$8,-1)+1,$D$11:$D$251,"&lt;="&amp;EOMONTH($A$8,0),$F$11:$F$251,"mgc")
)</f>
        <v>0</v>
      </c>
      <c r="B4" s="14">
        <f>SUM(
SUMIFS($E$11:$E$251,$D$11:$D$251,"&gt;="&amp;EOMONTH(B$8,-1)+1,$D$11:$D$251,"&lt;="&amp;EOMONTH(B$8,0),$F$11:$F$251,"kp"),
SUMIFS($E$11:$E$251,$D$11:$D$251,"&gt;="&amp;EOMONTH(B$8,-1)+1,$D$11:$D$251,"&lt;="&amp;EOMONTH(B$8,0),$F$11:$F$251,"kp."),
SUMIFS($E$11:$E$251,$D$11:$D$251,"&gt;="&amp;EOMONTH(B$8,-1)+1,$D$11:$D$251,"&lt;="&amp;EOMONTH(B$8,0),$F$11:$F$251,"bk"),
SUMIFS($E$11:$E$251,$D$11:$D$251,"&gt;="&amp;EOMONTH(B$8,-1)+1,$D$11:$D$251,"&lt;="&amp;EOMONTH(B$8,0),$F$11:$F$251,"bk."),
SUMIFS($E$11:$E$251,$D$11:$D$251,"&gt;="&amp;EOMONTH(B$8,-1)+1,$D$11:$D$251,"&lt;="&amp;EOMONTH(B$8,0),$F$11:$F$251,"mgc")
)</f>
        <v>6000</v>
      </c>
      <c r="C4" s="14">
        <f>SUM(
SUMIFS($E$11:$E$251,$D$11:$D$251,"&gt;="&amp;EOMONTH(C$8,-1)+1,$D$11:$D$251,"&lt;="&amp;EOMONTH(C$8,0),$F$11:$F$251,"kp"),
SUMIFS($E$11:$E$251,$D$11:$D$251,"&gt;="&amp;EOMONTH(C$8,-1)+1,$D$11:$D$251,"&lt;="&amp;EOMONTH(C$8,0),$F$11:$F$251,"kp."),
SUMIFS($E$11:$E$251,$D$11:$D$251,"&gt;="&amp;EOMONTH(C$8,-1)+1,$D$11:$D$251,"&lt;="&amp;EOMONTH(C$8,0),$F$11:$F$251,"bk"),
SUMIFS($E$11:$E$251,$D$11:$D$251,"&gt;="&amp;EOMONTH(C$8,-1)+1,$D$11:$D$251,"&lt;="&amp;EOMONTH(C$8,0),$F$11:$F$251,"bk."),
SUMIFS($E$11:$E$251,$D$11:$D$251,"&gt;="&amp;EOMONTH(C$8,-1)+1,$D$11:$D$251,"&lt;="&amp;EOMONTH(C$8,0),$F$11:$F$251,"mgc")
)</f>
        <v>0</v>
      </c>
      <c r="D4" s="14">
        <f>SUM(
SUMIFS($E$11:$E$251,$D$11:$D$251,"&gt;="&amp;EOMONTH(D$8,-1)+1,$D$11:$D$251,"&lt;="&amp;EOMONTH(D$8,0),$F$11:$F$251,"kp"),
SUMIFS($E$11:$E$251,$D$11:$D$251,"&gt;="&amp;EOMONTH(D$8,-1)+1,$D$11:$D$251,"&lt;="&amp;EOMONTH(D$8,0),$F$11:$F$251,"kp."),
SUMIFS($E$11:$E$251,$D$11:$D$251,"&gt;="&amp;EOMONTH(D$8,-1)+1,$D$11:$D$251,"&lt;="&amp;EOMONTH(D$8,0),$F$11:$F$251,"bk"),
SUMIFS($E$11:$E$251,$D$11:$D$251,"&gt;="&amp;EOMONTH(D$8,-1)+1,$D$11:$D$251,"&lt;="&amp;EOMONTH(D$8,0),$F$11:$F$251,"bk."),
SUMIFS($E$11:$E$251,$D$11:$D$251,"&gt;="&amp;EOMONTH(D$8,-1)+1,$D$11:$D$251,"&lt;="&amp;EOMONTH(D$8,0),$F$11:$F$251,"mgc")
)</f>
        <v>0</v>
      </c>
      <c r="E4" s="14">
        <f>SUM(
SUMIFS($E$11:$E$251,$D$11:$D$251,"&gt;="&amp;EOMONTH(E$8,-1)+1,$D$11:$D$251,"&lt;="&amp;EOMONTH(E$8,0),$F$11:$F$251,"kp"),
SUMIFS($E$11:$E$251,$D$11:$D$251,"&gt;="&amp;EOMONTH(E$8,-1)+1,$D$11:$D$251,"&lt;="&amp;EOMONTH(E$8,0),$F$11:$F$251,"kp."),
SUMIFS($E$11:$E$251,$D$11:$D$251,"&gt;="&amp;EOMONTH(E$8,-1)+1,$D$11:$D$251,"&lt;="&amp;EOMONTH(E$8,0),$F$11:$F$251,"bk"),
SUMIFS($E$11:$E$251,$D$11:$D$251,"&gt;="&amp;EOMONTH(E$8,-1)+1,$D$11:$D$251,"&lt;="&amp;EOMONTH(E$8,0),$F$11:$F$251,"bk."),
SUMIFS($E$11:$E$251,$D$11:$D$251,"&gt;="&amp;EOMONTH(E$8,-1)+1,$D$11:$D$251,"&lt;="&amp;EOMONTH(E$8,0),$F$11:$F$251,"mgc")
)</f>
        <v>0</v>
      </c>
      <c r="F4" s="14">
        <f>SUM(
SUMIFS($E$11:$E$251,$D$11:$D$251,"&gt;="&amp;EOMONTH(F$8,-1)+1,$D$11:$D$251,"&lt;="&amp;EOMONTH(F$8,0),$F$11:$F$251,"kp"),
SUMIFS($E$11:$E$251,$D$11:$D$251,"&gt;="&amp;EOMONTH(F$8,-1)+1,$D$11:$D$251,"&lt;="&amp;EOMONTH(F$8,0),$F$11:$F$251,"kp."),
SUMIFS($E$11:$E$251,$D$11:$D$251,"&gt;="&amp;EOMONTH(F$8,-1)+1,$D$11:$D$251,"&lt;="&amp;EOMONTH(F$8,0),$F$11:$F$251,"bk"),
SUMIFS($E$11:$E$251,$D$11:$D$251,"&gt;="&amp;EOMONTH(F$8,-1)+1,$D$11:$D$251,"&lt;="&amp;EOMONTH(F$8,0),$F$11:$F$251,"bk."),
SUMIFS($E$11:$E$251,$D$11:$D$251,"&gt;="&amp;EOMONTH(F$8,-1)+1,$D$11:$D$251,"&lt;="&amp;EOMONTH(F$8,0),$F$11:$F$251,"mgc")
)</f>
        <v>0</v>
      </c>
      <c r="G4" s="14">
        <f>SUM(
SUMIFS($E$11:$E$251,$D$11:$D$251,"&gt;="&amp;EOMONTH(G$8,-1)+1,$D$11:$D$251,"&lt;="&amp;EOMONTH(G$8,0),$F$11:$F$251,"kp"),
SUMIFS($E$11:$E$251,$D$11:$D$251,"&gt;="&amp;EOMONTH(G$8,-1)+1,$D$11:$D$251,"&lt;="&amp;EOMONTH(G$8,0),$F$11:$F$251,"kp."),
SUMIFS($E$11:$E$251,$D$11:$D$251,"&gt;="&amp;EOMONTH(G$8,-1)+1,$D$11:$D$251,"&lt;="&amp;EOMONTH(G$8,0),$F$11:$F$251,"bk"),
SUMIFS($E$11:$E$251,$D$11:$D$251,"&gt;="&amp;EOMONTH(G$8,-1)+1,$D$11:$D$251,"&lt;="&amp;EOMONTH(G$8,0),$F$11:$F$251,"bk."),
SUMIFS($E$11:$E$251,$D$11:$D$251,"&gt;="&amp;EOMONTH(G$8,-1)+1,$D$11:$D$251,"&lt;="&amp;EOMONTH(G$8,0),$F$11:$F$251,"mgc")
)</f>
        <v>0</v>
      </c>
      <c r="H4" s="14">
        <f>SUM(
SUMIFS($E$11:$E$251,$D$11:$D$251,"&gt;="&amp;EOMONTH(H$8,-1)+1,$D$11:$D$251,"&lt;="&amp;EOMONTH(H$8,0),$F$11:$F$251,"kp"),
SUMIFS($E$11:$E$251,$D$11:$D$251,"&gt;="&amp;EOMONTH(H$8,-1)+1,$D$11:$D$251,"&lt;="&amp;EOMONTH(H$8,0),$F$11:$F$251,"kp."),
SUMIFS($E$11:$E$251,$D$11:$D$251,"&gt;="&amp;EOMONTH(H$8,-1)+1,$D$11:$D$251,"&lt;="&amp;EOMONTH(H$8,0),$F$11:$F$251,"bk"),
SUMIFS($E$11:$E$251,$D$11:$D$251,"&gt;="&amp;EOMONTH(H$8,-1)+1,$D$11:$D$251,"&lt;="&amp;EOMONTH(H$8,0),$F$11:$F$251,"bk."),
SUMIFS($E$11:$E$251,$D$11:$D$251,"&gt;="&amp;EOMONTH(H$8,-1)+1,$D$11:$D$251,"&lt;="&amp;EOMONTH(H$8,0),$F$11:$F$251,"mgc")
)</f>
        <v>0</v>
      </c>
      <c r="I4" s="14">
        <f>SUM(
SUMIFS($E$11:$E$251,$D$11:$D$251,"&gt;="&amp;EOMONTH(I$8,-1)+1,$D$11:$D$251,"&lt;="&amp;EOMONTH(I$8,0),$F$11:$F$251,"kp"),
SUMIFS($E$11:$E$251,$D$11:$D$251,"&gt;="&amp;EOMONTH(I$8,-1)+1,$D$11:$D$251,"&lt;="&amp;EOMONTH(I$8,0),$F$11:$F$251,"kp."),
SUMIFS($E$11:$E$251,$D$11:$D$251,"&gt;="&amp;EOMONTH(I$8,-1)+1,$D$11:$D$251,"&lt;="&amp;EOMONTH(I$8,0),$F$11:$F$251,"bk"),
SUMIFS($E$11:$E$251,$D$11:$D$251,"&gt;="&amp;EOMONTH(I$8,-1)+1,$D$11:$D$251,"&lt;="&amp;EOMONTH(I$8,0),$F$11:$F$251,"bk."),
SUMIFS($E$11:$E$251,$D$11:$D$251,"&gt;="&amp;EOMONTH(I$8,-1)+1,$D$11:$D$251,"&lt;="&amp;EOMONTH(I$8,0),$F$11:$F$251,"mgc")
)</f>
        <v>0</v>
      </c>
      <c r="J4" s="14">
        <f>SUM(
SUMIFS($E$11:$E$251,$D$11:$D$251,"&gt;="&amp;EOMONTH(J$8,-1)+1,$D$11:$D$251,"&lt;="&amp;EOMONTH(J$8,0),$F$11:$F$251,"kp"),
SUMIFS($E$11:$E$251,$D$11:$D$251,"&gt;="&amp;EOMONTH(J$8,-1)+1,$D$11:$D$251,"&lt;="&amp;EOMONTH(J$8,0),$F$11:$F$251,"kp."),
SUMIFS($E$11:$E$251,$D$11:$D$251,"&gt;="&amp;EOMONTH(J$8,-1)+1,$D$11:$D$251,"&lt;="&amp;EOMONTH(J$8,0),$F$11:$F$251,"bk"),
SUMIFS($E$11:$E$251,$D$11:$D$251,"&gt;="&amp;EOMONTH(J$8,-1)+1,$D$11:$D$251,"&lt;="&amp;EOMONTH(J$8,0),$F$11:$F$251,"bk."),
SUMIFS($E$11:$E$251,$D$11:$D$251,"&gt;="&amp;EOMONTH(J$8,-1)+1,$D$11:$D$251,"&lt;="&amp;EOMONTH(J$8,0),$F$11:$F$251,"mgc")
)</f>
        <v>0</v>
      </c>
      <c r="K4" s="14">
        <f>SUM(
SUMIFS($E$11:$E$251,$D$11:$D$251,"&gt;="&amp;EOMONTH(K$8,-1)+1,$D$11:$D$251,"&lt;="&amp;EOMONTH(K$8,0),$F$11:$F$251,"kp"),
SUMIFS($E$11:$E$251,$D$11:$D$251,"&gt;="&amp;EOMONTH(K$8,-1)+1,$D$11:$D$251,"&lt;="&amp;EOMONTH(K$8,0),$F$11:$F$251,"kp."),
SUMIFS($E$11:$E$251,$D$11:$D$251,"&gt;="&amp;EOMONTH(K$8,-1)+1,$D$11:$D$251,"&lt;="&amp;EOMONTH(K$8,0),$F$11:$F$251,"bk"),
SUMIFS($E$11:$E$251,$D$11:$D$251,"&gt;="&amp;EOMONTH(K$8,-1)+1,$D$11:$D$251,"&lt;="&amp;EOMONTH(K$8,0),$F$11:$F$251,"bk."),
SUMIFS($E$11:$E$251,$D$11:$D$251,"&gt;="&amp;EOMONTH(K$8,-1)+1,$D$11:$D$251,"&lt;="&amp;EOMONTH(K$8,0),$F$11:$F$251,"mgc")
)</f>
        <v>0</v>
      </c>
      <c r="L4" s="14">
        <f>SUM(
SUMIFS($E$11:$E$251,$D$11:$D$251,"&gt;="&amp;EOMONTH(L$8,-1)+1,$D$11:$D$251,"&lt;="&amp;EOMONTH(L$8,0),$F$11:$F$251,"kp"),
SUMIFS($E$11:$E$251,$D$11:$D$251,"&gt;="&amp;EOMONTH(L$8,-1)+1,$D$11:$D$251,"&lt;="&amp;EOMONTH(L$8,0),$F$11:$F$251,"kp."),
SUMIFS($E$11:$E$251,$D$11:$D$251,"&gt;="&amp;EOMONTH(L$8,-1)+1,$D$11:$D$251,"&lt;="&amp;EOMONTH(L$8,0),$F$11:$F$251,"bk"),
SUMIFS($E$11:$E$251,$D$11:$D$251,"&gt;="&amp;EOMONTH(L$8,-1)+1,$D$11:$D$251,"&lt;="&amp;EOMONTH(L$8,0),$F$11:$F$251,"bk."),
SUMIFS($E$11:$E$251,$D$11:$D$251,"&gt;="&amp;EOMONTH(L$8,-1)+1,$D$11:$D$251,"&lt;="&amp;EOMONTH(L$8,0),$F$11:$F$251,"mgc")
)</f>
        <v>0</v>
      </c>
      <c r="M4" s="23"/>
      <c r="N4" s="2"/>
      <c r="O4" s="2"/>
      <c r="P4" s="2"/>
      <c r="Q4" s="2"/>
      <c r="R4" s="2"/>
    </row>
    <row r="5" spans="1:26">
      <c r="A5" s="33">
        <f>SUMIFS(E10:E384,D10:D384,"&gt;=2025.01.01",D10:D384,"&lt;=2025.01.31",A10:A384,"HELIT*",F10:F384,"kp") + SUMIFS(E10:E384,D10:D384,"&gt;=2025.01.01",D10:D384,"&lt;=2025.01.31",A10:A384,"HELIT*",F10:F384,"kp.") + SUMIFS(E10:E384,D10:D384,"&gt;=2025.01.01",D10:D384,"&lt;=2025.01.31",A10:A384,"HELIT*",F10:F384,"bk") + SUMIFS(E10:E384,D10:D384,"&gt;=2025.01.01",D10:D384,"&lt;=2025.01.31",A10:A384,"HELIT*",F10:F384,"bk.") + SUMIFS(E10:E384,D10:D384,"&gt;=2025.01.01",D10:D384,"&lt;=2025.01.31",A10:A384,"HELIT*",F10:F384,"bankkártya")</f>
        <v>0</v>
      </c>
      <c r="B5" s="34">
        <f>SUMIFS(E10:E1884,D10:D1884,"&gt;=2025.02.01",D10:D1884,"&lt;=2025.02.28",A10:A1884,"HELIT*",F10:F1884,"kp") + SUMIFS(E10:E1884,D10:D1884,"&gt;=2025.02.01",D10:D1884,"&lt;=2025.02.28",A10:A1884,"HELIT*",F10:F1884,"kp.") + SUMIFS(E10:E1884,D10:D1884,"&gt;=2025.02.01",D10:D1884,"&lt;=2025.02.28",A10:A1884,"HELIT*",F10:F1884,"bk") + SUMIFS(E10:E1884,D10:D1884,"&gt;=2025.02.01",D10:D1884,"&lt;=2025.02.28",A10:A1884,"HELIT*",F10:F1884,"bk.") + SUMIFS(E10:E1884,D10:D1884,"&gt;=2025.02.01",D10:D1884,"&lt;=2025.02.28",A10:A1884,"HELIT*",F10:F1884,"bankkártya")</f>
        <v>0</v>
      </c>
      <c r="C5" s="34">
        <f>SUMIFS(E10:E1884,D10:D1884,"&gt;=2025.03.01",D10:D1884,"&lt;=2025.03.31",A10:A1884,"HELIT*",F10:F1884,"kp") + SUMIFS(E10:E1884,D10:D1884,"&gt;=2025.03.01",D10:D1884,"&lt;=2025.03.31",A10:A1884,"HELIT*",F10:F1884,"kp.") + SUMIFS(E10:E1884,D10:D1884,"&gt;=2025.03.01",D10:D1884,"&lt;=2025.03.31",A10:A1884,"HELIT*",F10:F1884,"bk") + SUMIFS(E10:E1884,D10:D1884,"&gt;=2025.03.01",D10:D1884,"&lt;=2025.03.31",A10:A1884,"HELIT*",F10:F1884,"bk.") + SUMIFS(E10:E1884,D10:D1884,"&gt;=2025.03.01",D10:D1884,"&lt;=2025.03.31",A10:A1884,"HELIT*",F10:F1884,"bankkártya")</f>
        <v>0</v>
      </c>
      <c r="D5" s="34">
        <f>SUMIFS(E10:E1884,D10:D1884,"&gt;=2025.04.01",D10:D1884,"&lt;=2025.04.30",A10:A1884,"HELIT*",F10:F1884,"kp") + SUMIFS(E10:E1884,D10:D1884,"&gt;=2025.04.01",D10:D1884,"&lt;=2025.04.30",A10:A1884,"HELIT*",F10:F1884,"kp.") + SUMIFS(E10:E1884,D10:D1884,"&gt;=2025.04.01",D10:D1884,"&lt;=2025.04.30",A10:A1884,"HELIT*",F10:F1884,"bk") + SUMIFS(E10:E1884,D10:D1884,"&gt;=2025.04.01",D10:D1884,"&lt;=2025.04.30",A10:A1884,"HELIT*",F10:F1884,"bk.") + SUMIFS(E10:E1884,D10:D1884,"&gt;=2025.04.01",D10:D1884,"&lt;=2025.04.30",A10:A1884,"HELIT*",F10:F1884,"bankkártya")</f>
        <v>0</v>
      </c>
      <c r="E5" s="25"/>
      <c r="F5" s="24"/>
      <c r="G5" s="26"/>
      <c r="H5" s="27"/>
      <c r="I5" s="27"/>
      <c r="J5" s="27"/>
      <c r="K5" s="27"/>
      <c r="L5" s="27"/>
      <c r="M5" s="28"/>
      <c r="N5" s="2"/>
      <c r="O5" s="2"/>
      <c r="P5" s="2"/>
      <c r="Q5" s="2"/>
      <c r="R5" s="2"/>
    </row>
    <row r="6" spans="1:26">
      <c r="A6" s="1" t="s">
        <v>20</v>
      </c>
      <c r="B6" s="1"/>
      <c r="C6" s="1"/>
      <c r="D6" s="13"/>
      <c r="E6" s="14"/>
      <c r="F6" s="1"/>
      <c r="G6" s="3"/>
      <c r="M6" s="2"/>
      <c r="N6" s="2"/>
      <c r="O6" s="2"/>
      <c r="P6" s="2"/>
      <c r="Q6" s="2"/>
      <c r="R6" s="2"/>
    </row>
    <row r="7" spans="1:26" ht="15" customHeight="1">
      <c r="A7" s="144" cm="1">
        <f t="array" ref="A7">SUM(SUMIFS($E$11:$E$1995,
$D$11:$D$1995,"&gt;="&amp;EOMONTH(A8,-1)+1,
$D$11:$D$1995,"&lt;="&amp;EOMONTH(A8,0),
$F$11:$F$1995,{"kp";"kp."}))</f>
        <v>0</v>
      </c>
      <c r="B7" s="144" cm="1">
        <f t="array" ref="B7">SUM(SUMIFS($E$11:$E$1995,
$D$11:$D$1995,"&gt;="&amp;EOMONTH(B8,-1)+1,
$D$11:$D$1995,"&lt;="&amp;EOMONTH(B8,0),
$F$11:$F$1995,{"kp";"kp."}))</f>
        <v>0</v>
      </c>
      <c r="C7" s="144" cm="1">
        <f t="array" ref="C7">SUM(SUMIFS($E$11:$E$1995,
$D$11:$D$1995,"&gt;="&amp;EOMONTH(C8,-1)+1,
$D$11:$D$1995,"&lt;="&amp;EOMONTH(C8,0),
$F$11:$F$1995,{"kp";"kp."}))</f>
        <v>0</v>
      </c>
      <c r="D7" s="144" cm="1">
        <f t="array" ref="D7">SUM(SUMIFS($E$11:$E$1995,
$D$11:$D$1995,"&gt;="&amp;EOMONTH(D8,-1)+1,
$D$11:$D$1995,"&lt;="&amp;EOMONTH(D8,0),
$F$11:$F$1995,{"kp";"kp."}))</f>
        <v>0</v>
      </c>
      <c r="E7" s="144" cm="1">
        <f t="array" ref="E7">SUM(SUMIFS($E$11:$E$1995,
$D$11:$D$1995,"&gt;="&amp;EOMONTH(E8,-1)+1,
$D$11:$D$1995,"&lt;="&amp;EOMONTH(E8,0),
$F$11:$F$1995,{"kp";"kp."}))</f>
        <v>0</v>
      </c>
      <c r="F7" s="144" cm="1">
        <f t="array" ref="F7">SUM(SUMIFS($E$11:$E$1995,
$D$11:$D$1995,"&gt;="&amp;EOMONTH(F8,-1)+1,
$D$11:$D$1995,"&lt;="&amp;EOMONTH(F8,0),
$F$11:$F$1995,{"kp";"kp."}))</f>
        <v>0</v>
      </c>
      <c r="G7" s="144" cm="1">
        <f t="array" ref="G7">SUM(SUMIFS($E$11:$E$1995,
$D$11:$D$1995,"&gt;="&amp;EOMONTH(G8,-1)+1,
$D$11:$D$1995,"&lt;="&amp;EOMONTH(G8,0),
$F$11:$F$1995,{"kp";"kp."}))</f>
        <v>0</v>
      </c>
      <c r="H7" s="144" cm="1">
        <f t="array" ref="H7">SUM(SUMIFS($E$11:$E$1995,
$D$11:$D$1995,"&gt;="&amp;EOMONTH(H8,-1)+1,
$D$11:$D$1995,"&lt;="&amp;EOMONTH(H8,0),
$F$11:$F$1995,{"kp";"kp."}))</f>
        <v>0</v>
      </c>
      <c r="I7" s="144" cm="1">
        <f t="array" ref="I7">SUM(SUMIFS($E$11:$E$1995,
$D$11:$D$1995,"&gt;="&amp;EOMONTH(I8,-1)+1,
$D$11:$D$1995,"&lt;="&amp;EOMONTH(I8,0),
$F$11:$F$1995,{"kp";"kp."}))</f>
        <v>0</v>
      </c>
      <c r="J7" s="144" cm="1">
        <f t="array" ref="J7">SUM(SUMIFS($E$11:$E$1995,
$D$11:$D$1995,"&gt;="&amp;EOMONTH(J8,-1)+1,
$D$11:$D$1995,"&lt;="&amp;EOMONTH(J8,0),
$F$11:$F$1995,{"kp";"kp."}))</f>
        <v>0</v>
      </c>
      <c r="K7" s="144" cm="1">
        <f t="array" ref="K7">SUM(SUMIFS($E$11:$E$1995,
$D$11:$D$1995,"&gt;="&amp;EOMONTH(K8,-1)+1,
$D$11:$D$1995,"&lt;="&amp;EOMONTH(K8,0),
$F$11:$F$1995,{"kp";"kp."}))</f>
        <v>0</v>
      </c>
      <c r="L7" s="144" cm="1">
        <f t="array" ref="L7">SUM(SUMIFS($E$11:$E$1995,
$D$11:$D$1995,"&gt;="&amp;EOMONTH(L8,-1)+1,
$D$11:$D$1995,"&lt;="&amp;EOMONTH(L8,0),
$F$11:$F$1995,{"kp";"kp."}))</f>
        <v>0</v>
      </c>
      <c r="M7" s="2"/>
      <c r="N7" s="2"/>
      <c r="O7" s="2"/>
      <c r="P7" s="2"/>
      <c r="Q7" s="2"/>
      <c r="R7" s="2"/>
    </row>
    <row r="8" spans="1:26" ht="15.75">
      <c r="A8" s="40">
        <v>46037</v>
      </c>
      <c r="B8" s="40">
        <v>46068</v>
      </c>
      <c r="C8" s="40">
        <v>46096</v>
      </c>
      <c r="D8" s="40">
        <v>46127</v>
      </c>
      <c r="E8" s="40">
        <v>46157</v>
      </c>
      <c r="F8" s="40">
        <v>46188</v>
      </c>
      <c r="G8" s="40">
        <v>46218</v>
      </c>
      <c r="H8" s="40">
        <v>46249</v>
      </c>
      <c r="I8" s="40">
        <v>46280</v>
      </c>
      <c r="J8" s="40">
        <v>46310</v>
      </c>
      <c r="K8" s="40">
        <v>46341</v>
      </c>
      <c r="L8" s="40">
        <v>46371</v>
      </c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spans="1:26" ht="15.6" customHeight="1">
      <c r="A9" s="188" t="s">
        <v>21</v>
      </c>
      <c r="B9" s="188"/>
      <c r="C9" s="188"/>
      <c r="D9" s="188"/>
      <c r="E9" s="188"/>
      <c r="F9" s="188"/>
      <c r="G9" s="188"/>
      <c r="M9" s="2"/>
      <c r="N9" s="2"/>
      <c r="O9" s="2"/>
      <c r="P9" s="2"/>
      <c r="Q9" s="2"/>
      <c r="R9" s="2"/>
    </row>
    <row r="10" spans="1:26" ht="15.6" customHeight="1">
      <c r="A10" s="189" t="s">
        <v>22</v>
      </c>
      <c r="B10" s="189"/>
      <c r="C10" s="189"/>
      <c r="D10" s="189"/>
      <c r="E10" s="189"/>
      <c r="F10" s="189"/>
      <c r="G10" s="189"/>
      <c r="M10" s="2"/>
      <c r="N10" s="2"/>
      <c r="O10" s="2"/>
      <c r="P10" s="2"/>
      <c r="Q10" s="2"/>
      <c r="R10" s="2"/>
    </row>
    <row r="11" spans="1:26" ht="15.6" customHeight="1">
      <c r="E11" s="91">
        <v>0</v>
      </c>
      <c r="M11" s="2"/>
      <c r="N11" s="2"/>
      <c r="O11" s="2"/>
      <c r="P11" s="2"/>
      <c r="Q11" s="2"/>
      <c r="R11" s="2"/>
    </row>
    <row r="12" spans="1:26" ht="15.6" customHeight="1">
      <c r="A12" s="188" t="s">
        <v>21</v>
      </c>
      <c r="B12" s="188"/>
      <c r="C12" s="188"/>
      <c r="D12" s="188"/>
      <c r="E12" s="188"/>
      <c r="F12" s="188"/>
      <c r="G12" s="188"/>
      <c r="M12" s="2"/>
      <c r="N12" s="2"/>
      <c r="O12" s="2"/>
      <c r="P12" s="2"/>
      <c r="Q12" s="2"/>
      <c r="R12" s="2"/>
    </row>
    <row r="13" spans="1:26" ht="15.6" customHeight="1">
      <c r="A13" s="189" t="s">
        <v>43</v>
      </c>
      <c r="B13" s="189"/>
      <c r="C13" s="189"/>
      <c r="D13" s="189"/>
      <c r="E13" s="189"/>
      <c r="F13" s="189"/>
      <c r="G13" s="189"/>
      <c r="M13" s="2"/>
      <c r="N13" s="2"/>
      <c r="O13" s="2"/>
      <c r="P13" s="2"/>
      <c r="Q13" s="2"/>
      <c r="R13" s="2"/>
    </row>
    <row r="14" spans="1:26" ht="15.6" customHeight="1">
      <c r="A14" s="5" t="s">
        <v>463</v>
      </c>
      <c r="B14" s="5">
        <v>962443856</v>
      </c>
      <c r="C14" s="5"/>
      <c r="D14" s="5"/>
      <c r="E14" s="10">
        <v>75160</v>
      </c>
      <c r="F14" s="5" t="s">
        <v>911</v>
      </c>
      <c r="M14" s="2"/>
      <c r="N14" s="2"/>
      <c r="O14" s="2"/>
      <c r="P14" s="2"/>
      <c r="Q14" s="2"/>
      <c r="R14" s="2"/>
    </row>
    <row r="15" spans="1:26" ht="15.6" customHeight="1">
      <c r="A15" s="5" t="s">
        <v>314</v>
      </c>
      <c r="B15" s="5" t="s">
        <v>912</v>
      </c>
      <c r="C15" s="5"/>
      <c r="D15" s="5"/>
      <c r="E15" s="10">
        <v>127575</v>
      </c>
      <c r="F15" s="5" t="s">
        <v>911</v>
      </c>
      <c r="M15" s="2"/>
      <c r="N15" s="2"/>
      <c r="O15" s="2"/>
      <c r="P15" s="2"/>
      <c r="Q15" s="2"/>
      <c r="R15" s="2"/>
    </row>
    <row r="16" spans="1:26" ht="15.6" customHeight="1">
      <c r="A16" s="5" t="s">
        <v>72</v>
      </c>
      <c r="B16" s="5" t="s">
        <v>913</v>
      </c>
      <c r="C16" s="5"/>
      <c r="D16" s="5"/>
      <c r="E16" s="10">
        <v>100940</v>
      </c>
      <c r="F16" s="5" t="s">
        <v>911</v>
      </c>
      <c r="M16" s="2"/>
      <c r="N16" s="2"/>
      <c r="O16" s="2"/>
      <c r="P16" s="2"/>
      <c r="Q16" s="2"/>
      <c r="R16" s="2"/>
    </row>
    <row r="17" spans="1:18" ht="15.6" customHeight="1">
      <c r="A17" s="5" t="s">
        <v>191</v>
      </c>
      <c r="B17" s="5" t="s">
        <v>914</v>
      </c>
      <c r="C17" s="5"/>
      <c r="D17" s="5"/>
      <c r="E17" s="10">
        <v>53930</v>
      </c>
      <c r="F17" s="5" t="s">
        <v>911</v>
      </c>
      <c r="M17" s="2"/>
      <c r="N17" s="2"/>
      <c r="O17" s="2"/>
      <c r="P17" s="2"/>
      <c r="Q17" s="2"/>
      <c r="R17" s="2"/>
    </row>
    <row r="18" spans="1:18" ht="15.6" customHeight="1">
      <c r="A18" s="5" t="s">
        <v>191</v>
      </c>
      <c r="B18" s="5" t="s">
        <v>915</v>
      </c>
      <c r="C18" s="5"/>
      <c r="D18" s="5"/>
      <c r="E18" s="10">
        <v>48453</v>
      </c>
      <c r="F18" s="5" t="s">
        <v>911</v>
      </c>
      <c r="M18" s="2"/>
      <c r="N18" s="2"/>
      <c r="O18" s="2"/>
      <c r="P18" s="2"/>
      <c r="Q18" s="2"/>
      <c r="R18" s="2"/>
    </row>
    <row r="19" spans="1:18" ht="15.6" customHeight="1">
      <c r="A19" s="5" t="s">
        <v>463</v>
      </c>
      <c r="B19" s="5">
        <v>962448837</v>
      </c>
      <c r="C19" s="5"/>
      <c r="D19" s="5"/>
      <c r="E19" s="10">
        <v>123923</v>
      </c>
      <c r="F19" s="5" t="s">
        <v>911</v>
      </c>
      <c r="M19" s="2"/>
      <c r="N19" s="2"/>
      <c r="O19" s="2"/>
      <c r="P19" s="2"/>
      <c r="Q19" s="2"/>
      <c r="R19" s="2"/>
    </row>
    <row r="20" spans="1:18" ht="15.6" customHeight="1">
      <c r="A20" s="5" t="s">
        <v>916</v>
      </c>
      <c r="B20" s="5" t="s">
        <v>917</v>
      </c>
      <c r="C20" s="5"/>
      <c r="D20" s="5"/>
      <c r="E20" s="10">
        <v>50317</v>
      </c>
      <c r="F20" s="5" t="s">
        <v>911</v>
      </c>
      <c r="M20" s="2"/>
      <c r="N20" s="2"/>
      <c r="O20" s="2"/>
      <c r="P20" s="2"/>
      <c r="Q20" s="2"/>
      <c r="R20" s="2"/>
    </row>
    <row r="21" spans="1:18" ht="15.6" customHeight="1">
      <c r="E21" s="91">
        <f>SUM(E14:E20)</f>
        <v>580298</v>
      </c>
      <c r="M21" s="2"/>
      <c r="N21" s="2"/>
      <c r="O21" s="2"/>
      <c r="P21" s="2"/>
      <c r="Q21" s="2"/>
      <c r="R21" s="2"/>
    </row>
    <row r="22" spans="1:18" ht="15.6" customHeight="1">
      <c r="A22" s="188" t="s">
        <v>84</v>
      </c>
      <c r="B22" s="188"/>
      <c r="C22" s="188"/>
      <c r="D22" s="188"/>
      <c r="E22" s="188"/>
      <c r="F22" s="188"/>
      <c r="G22" s="188"/>
      <c r="H22"/>
      <c r="I22"/>
      <c r="J22"/>
      <c r="K22"/>
      <c r="L22"/>
      <c r="M22"/>
      <c r="N22"/>
      <c r="O22"/>
      <c r="P22"/>
      <c r="Q22"/>
      <c r="R22"/>
    </row>
    <row r="23" spans="1:18" ht="15.6" customHeight="1">
      <c r="A23" s="189" t="s">
        <v>22</v>
      </c>
      <c r="B23" s="189"/>
      <c r="C23" s="189"/>
      <c r="D23" s="189"/>
      <c r="E23" s="189"/>
      <c r="F23" s="189"/>
      <c r="G23" s="189"/>
      <c r="H23"/>
      <c r="I23"/>
      <c r="J23"/>
      <c r="K23"/>
      <c r="L23"/>
      <c r="M23"/>
      <c r="N23"/>
      <c r="O23"/>
      <c r="P23"/>
      <c r="Q23"/>
      <c r="R23"/>
    </row>
    <row r="24" spans="1:18" ht="15.6" customHeight="1">
      <c r="A24" s="5" t="s">
        <v>366</v>
      </c>
      <c r="B24" s="84" t="s">
        <v>367</v>
      </c>
      <c r="C24" s="108"/>
      <c r="D24" s="6">
        <v>46071</v>
      </c>
      <c r="E24" s="10">
        <v>6000</v>
      </c>
      <c r="F24" s="5" t="s">
        <v>24</v>
      </c>
      <c r="G24"/>
      <c r="H24"/>
      <c r="I24"/>
      <c r="J24"/>
      <c r="K24"/>
      <c r="L24"/>
      <c r="M24"/>
      <c r="N24"/>
      <c r="O24"/>
      <c r="P24"/>
      <c r="Q24"/>
      <c r="R24"/>
    </row>
    <row r="25" spans="1:18" ht="15.6" customHeight="1">
      <c r="A25"/>
      <c r="B25"/>
      <c r="C25"/>
      <c r="D25"/>
      <c r="E25" s="90">
        <f>SUM(E24)</f>
        <v>6000</v>
      </c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6" customHeight="1">
      <c r="A26" s="188" t="s">
        <v>84</v>
      </c>
      <c r="B26" s="188"/>
      <c r="C26" s="188"/>
      <c r="D26" s="188"/>
      <c r="E26" s="188"/>
      <c r="F26" s="188"/>
      <c r="G26" s="188"/>
      <c r="H26"/>
      <c r="I26"/>
      <c r="J26"/>
      <c r="K26"/>
      <c r="L26"/>
      <c r="M26"/>
      <c r="N26"/>
      <c r="O26"/>
      <c r="P26"/>
      <c r="Q26"/>
      <c r="R26"/>
    </row>
    <row r="27" spans="1:18" ht="15.6" customHeight="1">
      <c r="A27" s="189" t="s">
        <v>43</v>
      </c>
      <c r="B27" s="189"/>
      <c r="C27" s="189"/>
      <c r="D27" s="189"/>
      <c r="E27" s="189"/>
      <c r="F27" s="189"/>
      <c r="G27" s="189"/>
      <c r="H27"/>
      <c r="I27"/>
      <c r="J27"/>
      <c r="K27"/>
      <c r="L27"/>
      <c r="M27"/>
      <c r="N27"/>
      <c r="O27"/>
      <c r="P27"/>
      <c r="Q27"/>
      <c r="R27"/>
    </row>
    <row r="28" spans="1:18" ht="15.6" customHeight="1">
      <c r="A28" s="5" t="s">
        <v>191</v>
      </c>
      <c r="B28" s="5" t="s">
        <v>918</v>
      </c>
      <c r="C28" s="5"/>
      <c r="D28" s="6"/>
      <c r="E28" s="10">
        <v>65206</v>
      </c>
      <c r="F28" s="5" t="s">
        <v>919</v>
      </c>
      <c r="M28" s="2"/>
      <c r="N28" s="2"/>
      <c r="O28" s="2"/>
      <c r="P28" s="2"/>
      <c r="Q28" s="2"/>
      <c r="R28" s="2"/>
    </row>
    <row r="29" spans="1:18" ht="15.6" customHeight="1">
      <c r="A29" s="5" t="s">
        <v>72</v>
      </c>
      <c r="B29" s="5" t="s">
        <v>920</v>
      </c>
      <c r="C29" s="5"/>
      <c r="D29" s="5"/>
      <c r="E29" s="10">
        <v>0</v>
      </c>
      <c r="F29" s="5" t="s">
        <v>919</v>
      </c>
      <c r="M29" s="2"/>
      <c r="N29" s="2"/>
      <c r="O29" s="2"/>
      <c r="P29" s="2"/>
      <c r="Q29" s="2"/>
      <c r="R29" s="2"/>
    </row>
    <row r="30" spans="1:18" ht="15.6" customHeight="1">
      <c r="A30" s="5" t="s">
        <v>314</v>
      </c>
      <c r="B30" s="5" t="s">
        <v>921</v>
      </c>
      <c r="C30" s="5"/>
      <c r="D30" s="5"/>
      <c r="E30" s="10">
        <v>128644</v>
      </c>
      <c r="F30" s="5" t="s">
        <v>911</v>
      </c>
      <c r="M30" s="2"/>
      <c r="N30" s="2"/>
      <c r="O30" s="2"/>
      <c r="P30" s="2"/>
      <c r="Q30" s="2"/>
      <c r="R30" s="2"/>
    </row>
    <row r="31" spans="1:18" ht="15.6" customHeight="1">
      <c r="A31" s="5" t="s">
        <v>463</v>
      </c>
      <c r="B31" s="5">
        <v>962457449</v>
      </c>
      <c r="C31" s="5"/>
      <c r="D31" s="5"/>
      <c r="E31" s="10">
        <v>99138</v>
      </c>
      <c r="F31" s="5" t="s">
        <v>911</v>
      </c>
      <c r="M31" s="2"/>
      <c r="N31" s="2"/>
      <c r="O31" s="2"/>
      <c r="P31" s="2"/>
      <c r="Q31" s="2"/>
      <c r="R31" s="2"/>
    </row>
    <row r="32" spans="1:18" ht="15.6" customHeight="1">
      <c r="A32" s="5"/>
      <c r="B32" s="5"/>
      <c r="C32" s="5"/>
      <c r="D32" s="5"/>
      <c r="E32" s="90">
        <f>SUM(E28:E31)</f>
        <v>292988</v>
      </c>
      <c r="F32" s="5"/>
      <c r="M32" s="2"/>
      <c r="N32" s="2"/>
      <c r="O32" s="2"/>
      <c r="P32" s="2"/>
      <c r="Q32" s="2"/>
      <c r="R32" s="2"/>
    </row>
    <row r="33" spans="1:18" ht="15.6" customHeight="1">
      <c r="A33" s="188" t="s">
        <v>119</v>
      </c>
      <c r="B33" s="188"/>
      <c r="C33" s="188"/>
      <c r="D33" s="188"/>
      <c r="E33" s="188"/>
      <c r="F33" s="188"/>
      <c r="G33" s="188"/>
      <c r="M33" s="2"/>
      <c r="N33" s="2"/>
      <c r="O33" s="2"/>
      <c r="P33" s="2"/>
      <c r="Q33" s="2"/>
      <c r="R33" s="2"/>
    </row>
    <row r="34" spans="1:18" ht="15.6" customHeight="1">
      <c r="A34" s="189" t="s">
        <v>22</v>
      </c>
      <c r="B34" s="189"/>
      <c r="C34" s="189"/>
      <c r="D34" s="189"/>
      <c r="E34" s="189"/>
      <c r="F34" s="189"/>
      <c r="G34" s="189"/>
      <c r="M34" s="2"/>
      <c r="N34" s="2"/>
      <c r="O34" s="2"/>
      <c r="P34" s="2"/>
      <c r="Q34" s="2"/>
      <c r="R34" s="2"/>
    </row>
    <row r="35" spans="1:18" ht="15.6" customHeight="1">
      <c r="A35" s="188" t="s">
        <v>119</v>
      </c>
      <c r="B35" s="188"/>
      <c r="C35" s="188"/>
      <c r="D35" s="188"/>
      <c r="E35" s="188"/>
      <c r="F35" s="188"/>
      <c r="G35" s="188"/>
      <c r="M35" s="2"/>
      <c r="N35" s="2"/>
      <c r="O35" s="2"/>
      <c r="P35" s="2"/>
      <c r="Q35" s="2"/>
      <c r="R35" s="2"/>
    </row>
    <row r="36" spans="1:18" ht="15.6" customHeight="1">
      <c r="A36" s="189" t="s">
        <v>43</v>
      </c>
      <c r="B36" s="189"/>
      <c r="C36" s="189"/>
      <c r="D36" s="189"/>
      <c r="E36" s="189"/>
      <c r="F36" s="189"/>
      <c r="G36" s="189"/>
      <c r="M36" s="2"/>
      <c r="N36" s="2"/>
      <c r="O36" s="2"/>
      <c r="P36" s="2"/>
      <c r="Q36" s="2"/>
      <c r="R36" s="2"/>
    </row>
    <row r="37" spans="1:18" ht="15.6" customHeight="1">
      <c r="A37" s="5" t="s">
        <v>191</v>
      </c>
      <c r="B37" s="5" t="s">
        <v>922</v>
      </c>
      <c r="C37" s="5"/>
      <c r="D37" s="5"/>
      <c r="E37" s="10">
        <v>52072</v>
      </c>
      <c r="M37" s="2"/>
      <c r="N37" s="2"/>
      <c r="O37" s="2"/>
      <c r="P37" s="2"/>
      <c r="Q37" s="2"/>
      <c r="R37" s="2"/>
    </row>
    <row r="38" spans="1:18" ht="15.6" customHeight="1">
      <c r="A38" s="5" t="s">
        <v>314</v>
      </c>
      <c r="B38" s="5" t="s">
        <v>923</v>
      </c>
      <c r="C38" s="5"/>
      <c r="D38" s="5"/>
      <c r="E38" s="10">
        <v>121954</v>
      </c>
      <c r="M38" s="2"/>
      <c r="N38" s="2"/>
      <c r="O38" s="2"/>
      <c r="P38" s="2"/>
      <c r="Q38" s="2"/>
      <c r="R38" s="2"/>
    </row>
    <row r="39" spans="1:18" ht="15.6" customHeight="1">
      <c r="A39" s="5" t="s">
        <v>916</v>
      </c>
      <c r="B39" s="5" t="s">
        <v>924</v>
      </c>
      <c r="C39" s="5"/>
      <c r="D39" s="5"/>
      <c r="E39" s="10">
        <v>154292</v>
      </c>
      <c r="M39" s="2"/>
      <c r="N39" s="2"/>
      <c r="O39" s="2"/>
      <c r="P39" s="2"/>
      <c r="Q39" s="2"/>
      <c r="R39" s="2"/>
    </row>
    <row r="40" spans="1:18" ht="15.6" customHeight="1">
      <c r="A40" s="5" t="s">
        <v>191</v>
      </c>
      <c r="B40" s="5" t="s">
        <v>925</v>
      </c>
      <c r="C40" s="5"/>
      <c r="D40" s="5"/>
      <c r="E40" s="10">
        <v>39488</v>
      </c>
      <c r="M40" s="2"/>
      <c r="N40" s="2"/>
      <c r="O40" s="2"/>
      <c r="P40" s="2"/>
      <c r="Q40" s="2"/>
      <c r="R40" s="2"/>
    </row>
    <row r="41" spans="1:18" ht="15.6" customHeight="1">
      <c r="A41" s="5"/>
      <c r="B41" s="5"/>
      <c r="C41" s="5"/>
      <c r="D41" s="5"/>
      <c r="E41" s="90">
        <f>SUM(E37:E40)</f>
        <v>367806</v>
      </c>
      <c r="M41" s="2"/>
      <c r="N41" s="2"/>
      <c r="O41" s="2"/>
      <c r="P41" s="2"/>
      <c r="Q41" s="2"/>
      <c r="R41" s="2"/>
    </row>
    <row r="42" spans="1:18" ht="15.6" customHeight="1">
      <c r="A42" s="188" t="s">
        <v>170</v>
      </c>
      <c r="B42" s="188"/>
      <c r="C42" s="188"/>
      <c r="D42" s="188"/>
      <c r="E42" s="188"/>
      <c r="F42" s="188"/>
      <c r="G42" s="188"/>
      <c r="H42"/>
      <c r="I42"/>
      <c r="J42"/>
      <c r="K42"/>
      <c r="L42"/>
      <c r="M42"/>
      <c r="N42"/>
      <c r="O42"/>
      <c r="P42"/>
      <c r="Q42"/>
      <c r="R42"/>
    </row>
    <row r="43" spans="1:18" ht="15.6" customHeight="1">
      <c r="A43" s="189" t="s">
        <v>22</v>
      </c>
      <c r="B43" s="189"/>
      <c r="C43" s="189"/>
      <c r="D43" s="189"/>
      <c r="E43" s="189"/>
      <c r="F43" s="189"/>
      <c r="G43" s="189"/>
      <c r="H43"/>
      <c r="I43"/>
      <c r="J43"/>
      <c r="K43"/>
      <c r="L43"/>
      <c r="M43"/>
      <c r="N43"/>
      <c r="O43"/>
      <c r="P43"/>
      <c r="Q43"/>
      <c r="R43"/>
    </row>
    <row r="44" spans="1:18" ht="15.6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ht="15.7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ht="15.6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ht="18.75" customHeight="1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ht="15.6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ht="15.6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ht="15.75">
      <c r="A50" s="188" t="s">
        <v>170</v>
      </c>
      <c r="B50" s="188"/>
      <c r="C50" s="188"/>
      <c r="D50" s="188"/>
      <c r="E50" s="188"/>
      <c r="F50" s="188"/>
      <c r="G50" s="188"/>
      <c r="H50"/>
      <c r="I50"/>
      <c r="J50"/>
      <c r="K50"/>
      <c r="L50"/>
      <c r="M50"/>
      <c r="N50"/>
      <c r="O50"/>
      <c r="P50"/>
      <c r="Q50"/>
      <c r="R50"/>
    </row>
    <row r="51" spans="1:18" ht="15.75">
      <c r="A51" s="189" t="s">
        <v>43</v>
      </c>
      <c r="B51" s="189"/>
      <c r="C51" s="189"/>
      <c r="D51" s="189"/>
      <c r="E51" s="189"/>
      <c r="F51" s="189"/>
      <c r="G51" s="189"/>
      <c r="H51"/>
      <c r="I51"/>
      <c r="J51"/>
      <c r="K51"/>
      <c r="L51"/>
      <c r="M51"/>
      <c r="N51"/>
      <c r="O51"/>
      <c r="P51"/>
      <c r="Q51"/>
      <c r="R51"/>
    </row>
    <row r="52" spans="1:18" ht="15.75">
      <c r="M52" s="2"/>
      <c r="N52" s="2"/>
      <c r="O52" s="2"/>
      <c r="P52" s="2"/>
      <c r="Q52" s="2"/>
      <c r="R52" s="2"/>
    </row>
    <row r="53" spans="1:18" ht="15.6" customHeight="1">
      <c r="M53" s="2"/>
      <c r="N53" s="2"/>
      <c r="O53" s="2"/>
      <c r="P53" s="2"/>
      <c r="Q53" s="2"/>
      <c r="R53" s="2"/>
    </row>
    <row r="54" spans="1:18" ht="15.75">
      <c r="H54" s="32"/>
      <c r="M54" s="2"/>
      <c r="N54" s="2"/>
      <c r="O54" s="2"/>
      <c r="P54" s="2"/>
      <c r="Q54" s="2"/>
      <c r="R54" s="2"/>
    </row>
    <row r="55" spans="1:18" ht="15.75">
      <c r="M55" s="2"/>
      <c r="N55" s="2"/>
      <c r="O55" s="2"/>
      <c r="P55" s="2"/>
      <c r="Q55" s="2"/>
      <c r="R55" s="2"/>
    </row>
    <row r="56" spans="1:18" ht="15.6" customHeight="1">
      <c r="M56" s="2"/>
      <c r="N56" s="2"/>
      <c r="O56" s="2"/>
      <c r="P56" s="2"/>
      <c r="Q56" s="2"/>
      <c r="R56" s="2"/>
    </row>
    <row r="57" spans="1:18" ht="15.6" customHeight="1">
      <c r="M57" s="2"/>
      <c r="N57" s="2"/>
      <c r="O57" s="2"/>
      <c r="P57" s="2"/>
      <c r="Q57" s="2"/>
      <c r="R57" s="2"/>
    </row>
    <row r="58" spans="1:18" ht="15.6" customHeight="1">
      <c r="M58" s="2"/>
      <c r="N58" s="2"/>
      <c r="O58" s="2"/>
      <c r="P58" s="2"/>
      <c r="Q58" s="2"/>
      <c r="R58" s="2"/>
    </row>
    <row r="59" spans="1:18" ht="15.6" customHeight="1">
      <c r="M59" s="2"/>
      <c r="N59" s="2"/>
      <c r="O59" s="2"/>
      <c r="P59" s="2"/>
      <c r="Q59" s="2"/>
      <c r="R59" s="2"/>
    </row>
    <row r="60" spans="1:18" ht="15.6" customHeight="1">
      <c r="M60" s="2"/>
      <c r="N60" s="2"/>
      <c r="O60" s="2"/>
      <c r="P60" s="2"/>
      <c r="Q60" s="2"/>
      <c r="R60" s="2"/>
    </row>
    <row r="61" spans="1:18" ht="15.6" customHeight="1">
      <c r="M61" s="2"/>
      <c r="N61" s="2"/>
      <c r="O61" s="2"/>
      <c r="P61" s="2"/>
      <c r="Q61" s="2"/>
      <c r="R61" s="2"/>
    </row>
    <row r="62" spans="1:18" ht="15.6" customHeight="1">
      <c r="M62" s="2"/>
      <c r="N62" s="2"/>
      <c r="O62" s="2"/>
      <c r="P62" s="2"/>
      <c r="Q62" s="2"/>
      <c r="R62" s="2"/>
    </row>
    <row r="63" spans="1:18" ht="15.75">
      <c r="M63" s="2"/>
      <c r="N63" s="2"/>
      <c r="O63" s="2"/>
      <c r="P63" s="2"/>
      <c r="Q63" s="2"/>
      <c r="R63" s="2"/>
    </row>
    <row r="64" spans="1:18" ht="15.75">
      <c r="M64" s="2"/>
      <c r="N64" s="2"/>
      <c r="O64" s="2"/>
      <c r="P64" s="2"/>
      <c r="Q64" s="2"/>
      <c r="R64" s="2"/>
    </row>
    <row r="65" spans="13:18" ht="15.75">
      <c r="M65" s="2"/>
      <c r="N65" s="2"/>
      <c r="O65" s="2"/>
      <c r="P65" s="2"/>
      <c r="Q65" s="2"/>
      <c r="R65" s="2"/>
    </row>
    <row r="66" spans="13:18" ht="15.75">
      <c r="M66" s="2"/>
      <c r="N66" s="2"/>
      <c r="O66" s="2"/>
      <c r="P66" s="2"/>
      <c r="Q66" s="2"/>
      <c r="R66" s="2"/>
    </row>
    <row r="67" spans="13:18" ht="15.75">
      <c r="M67" s="2"/>
      <c r="N67" s="2"/>
      <c r="O67" s="2"/>
      <c r="P67" s="2"/>
      <c r="Q67" s="2"/>
      <c r="R67" s="2"/>
    </row>
    <row r="68" spans="13:18" ht="15.75">
      <c r="M68" s="2"/>
      <c r="N68" s="2"/>
      <c r="O68" s="2"/>
      <c r="P68" s="2"/>
      <c r="Q68" s="2"/>
      <c r="R68" s="2"/>
    </row>
    <row r="69" spans="13:18" ht="15.75">
      <c r="M69" s="2"/>
      <c r="N69" s="2"/>
      <c r="O69" s="2"/>
      <c r="P69" s="2"/>
      <c r="Q69" s="2"/>
      <c r="R69" s="2"/>
    </row>
    <row r="70" spans="13:18" ht="15.75">
      <c r="M70" s="2"/>
      <c r="N70" s="2"/>
      <c r="O70" s="2"/>
      <c r="P70" s="2"/>
      <c r="Q70" s="2"/>
      <c r="R70" s="2"/>
    </row>
    <row r="71" spans="13:18" ht="15.6" customHeight="1">
      <c r="M71" s="2"/>
      <c r="N71" s="2"/>
      <c r="O71" s="2"/>
      <c r="P71" s="2"/>
      <c r="Q71" s="2"/>
      <c r="R71" s="2"/>
    </row>
    <row r="72" spans="13:18" ht="15.6" customHeight="1">
      <c r="M72" s="2"/>
      <c r="N72" s="2"/>
      <c r="O72" s="2"/>
      <c r="P72" s="2"/>
      <c r="Q72" s="2"/>
      <c r="R72" s="2"/>
    </row>
    <row r="73" spans="13:18" ht="15.75">
      <c r="M73" s="2"/>
      <c r="N73" s="2"/>
      <c r="O73" s="2"/>
      <c r="P73" s="2"/>
      <c r="Q73" s="2"/>
      <c r="R73" s="2"/>
    </row>
    <row r="74" spans="13:18" ht="15.75">
      <c r="M74" s="2"/>
      <c r="N74" s="2"/>
      <c r="O74" s="2"/>
      <c r="P74" s="2"/>
      <c r="Q74" s="2"/>
      <c r="R74" s="2"/>
    </row>
    <row r="75" spans="13:18" ht="15.75">
      <c r="M75" s="2"/>
      <c r="N75" s="2"/>
      <c r="O75" s="2"/>
      <c r="P75" s="2"/>
      <c r="Q75" s="2"/>
      <c r="R75" s="2"/>
    </row>
    <row r="76" spans="13:18" ht="15.75">
      <c r="M76" s="2"/>
      <c r="N76" s="2"/>
      <c r="O76" s="2"/>
      <c r="P76" s="2"/>
      <c r="Q76" s="2"/>
      <c r="R76" s="2"/>
    </row>
    <row r="77" spans="13:18" ht="15.75">
      <c r="M77" s="2"/>
      <c r="N77" s="2"/>
      <c r="O77" s="2"/>
      <c r="P77" s="2"/>
      <c r="Q77" s="2"/>
      <c r="R77" s="2"/>
    </row>
    <row r="78" spans="13:18" ht="15.75">
      <c r="M78" s="2"/>
      <c r="N78" s="2"/>
      <c r="O78" s="2"/>
      <c r="P78" s="2"/>
      <c r="Q78" s="2"/>
      <c r="R78" s="2"/>
    </row>
    <row r="79" spans="13:18" ht="15.75">
      <c r="M79" s="2"/>
      <c r="N79" s="2"/>
      <c r="O79" s="2"/>
      <c r="P79" s="2"/>
      <c r="Q79" s="2"/>
      <c r="R79" s="2"/>
    </row>
    <row r="80" spans="13:18" ht="15.75">
      <c r="M80" s="2"/>
      <c r="N80" s="2"/>
      <c r="O80" s="2"/>
      <c r="P80" s="2"/>
      <c r="Q80" s="2"/>
      <c r="R80" s="2"/>
    </row>
    <row r="81" spans="13:18" ht="15.75">
      <c r="M81" s="2"/>
      <c r="N81" s="2"/>
      <c r="O81" s="2"/>
      <c r="P81" s="2"/>
      <c r="Q81" s="2"/>
      <c r="R81" s="2"/>
    </row>
    <row r="82" spans="13:18" ht="15.75">
      <c r="M82" s="2"/>
      <c r="N82" s="2"/>
      <c r="O82" s="2"/>
      <c r="P82" s="2"/>
      <c r="Q82" s="2"/>
      <c r="R82" s="2"/>
    </row>
    <row r="83" spans="13:18" ht="15.75">
      <c r="M83" s="2"/>
      <c r="N83" s="2"/>
      <c r="O83" s="2"/>
      <c r="P83" s="2"/>
      <c r="Q83" s="2"/>
      <c r="R83" s="2"/>
    </row>
    <row r="84" spans="13:18" ht="15.75">
      <c r="M84" s="2"/>
      <c r="N84" s="2"/>
      <c r="O84" s="2"/>
      <c r="P84" s="2"/>
      <c r="Q84" s="2"/>
      <c r="R84" s="2"/>
    </row>
    <row r="85" spans="13:18" ht="15.75">
      <c r="M85" s="2"/>
      <c r="N85" s="2"/>
      <c r="O85" s="2"/>
      <c r="P85" s="2"/>
      <c r="Q85" s="2"/>
      <c r="R85" s="2"/>
    </row>
    <row r="86" spans="13:18" ht="15.75" customHeight="1">
      <c r="M86" s="2"/>
      <c r="N86" s="2"/>
      <c r="O86" s="2"/>
      <c r="P86" s="2"/>
      <c r="Q86" s="2"/>
      <c r="R86" s="2"/>
    </row>
    <row r="87" spans="13:18" ht="15.75" customHeight="1">
      <c r="M87" s="2"/>
      <c r="N87" s="2"/>
      <c r="O87" s="2"/>
      <c r="P87" s="2"/>
      <c r="Q87" s="2"/>
      <c r="R87" s="2"/>
    </row>
    <row r="88" spans="13:18" ht="15.6" customHeight="1">
      <c r="M88" s="2"/>
      <c r="N88" s="2"/>
      <c r="O88" s="2"/>
      <c r="P88" s="2"/>
      <c r="Q88" s="2"/>
      <c r="R88" s="2"/>
    </row>
    <row r="89" spans="13:18" ht="15.75" customHeight="1">
      <c r="M89" s="2"/>
      <c r="N89" s="2"/>
      <c r="O89" s="2"/>
      <c r="P89" s="2"/>
      <c r="Q89" s="2"/>
      <c r="R89" s="2"/>
    </row>
    <row r="90" spans="13:18" ht="15.75" customHeight="1">
      <c r="M90" s="2"/>
      <c r="N90" s="2"/>
      <c r="O90" s="2"/>
      <c r="P90" s="2"/>
      <c r="Q90" s="2"/>
      <c r="R90" s="2"/>
    </row>
    <row r="91" spans="13:18" ht="15.6" customHeight="1">
      <c r="M91" s="2"/>
      <c r="N91" s="2"/>
      <c r="O91" s="2"/>
      <c r="P91" s="2"/>
      <c r="Q91" s="2"/>
      <c r="R91" s="2"/>
    </row>
    <row r="92" spans="13:18" ht="15.6" customHeight="1">
      <c r="M92" s="2"/>
      <c r="N92" s="2"/>
      <c r="O92" s="2"/>
      <c r="P92" s="2"/>
      <c r="Q92" s="2"/>
      <c r="R92" s="2"/>
    </row>
    <row r="93" spans="13:18" ht="15.6" customHeight="1">
      <c r="M93" s="2"/>
      <c r="N93" s="2"/>
      <c r="O93" s="2"/>
      <c r="P93" s="2"/>
      <c r="Q93" s="2"/>
      <c r="R93" s="2"/>
    </row>
    <row r="94" spans="13:18" ht="15.75">
      <c r="M94" s="2"/>
      <c r="N94" s="2"/>
      <c r="O94" s="2"/>
      <c r="P94" s="2"/>
      <c r="Q94" s="2"/>
      <c r="R94" s="2"/>
    </row>
    <row r="95" spans="13:18" ht="15.75">
      <c r="M95" s="2"/>
      <c r="N95" s="2"/>
      <c r="O95" s="2"/>
      <c r="P95" s="2"/>
      <c r="Q95" s="2"/>
      <c r="R95" s="2"/>
    </row>
    <row r="96" spans="13:18" ht="15.75">
      <c r="M96" s="2"/>
      <c r="N96" s="2"/>
      <c r="O96" s="2"/>
      <c r="P96" s="2"/>
      <c r="Q96" s="2"/>
      <c r="R96" s="2"/>
    </row>
    <row r="97" spans="8:18" ht="15.6" customHeight="1">
      <c r="M97" s="2"/>
      <c r="N97" s="2"/>
      <c r="O97" s="2"/>
      <c r="P97" s="2"/>
      <c r="Q97" s="2"/>
      <c r="R97" s="2"/>
    </row>
    <row r="98" spans="8:18" ht="15.6" customHeight="1">
      <c r="M98" s="2"/>
      <c r="N98" s="2"/>
      <c r="O98" s="2"/>
      <c r="P98" s="2"/>
      <c r="Q98" s="2"/>
      <c r="R98" s="2"/>
    </row>
    <row r="99" spans="8:18" ht="15.6" customHeight="1">
      <c r="M99" s="2"/>
      <c r="N99" s="2"/>
      <c r="O99" s="2"/>
      <c r="P99" s="2"/>
      <c r="Q99" s="2"/>
      <c r="R99" s="2"/>
    </row>
    <row r="100" spans="8:18" ht="15.75">
      <c r="M100" s="2"/>
      <c r="N100" s="2"/>
      <c r="O100" s="2"/>
      <c r="P100" s="2"/>
      <c r="Q100" s="2"/>
      <c r="R100" s="2"/>
    </row>
    <row r="101" spans="8:18" ht="15.75">
      <c r="M101" s="2"/>
      <c r="N101" s="2"/>
      <c r="O101" s="2"/>
      <c r="P101" s="2"/>
      <c r="Q101" s="2"/>
      <c r="R101" s="2"/>
    </row>
    <row r="102" spans="8:18" ht="15.75">
      <c r="M102" s="2"/>
      <c r="N102" s="2"/>
      <c r="O102" s="2"/>
      <c r="P102" s="2"/>
      <c r="Q102" s="2"/>
      <c r="R102" s="2"/>
    </row>
    <row r="103" spans="8:18" ht="15.75">
      <c r="M103" s="2"/>
      <c r="N103" s="2"/>
      <c r="O103" s="2"/>
      <c r="P103" s="2"/>
      <c r="Q103" s="2"/>
      <c r="R103" s="2"/>
    </row>
    <row r="104" spans="8:18" ht="15.75">
      <c r="M104" s="2"/>
      <c r="N104" s="2"/>
      <c r="O104" s="2"/>
      <c r="P104" s="2"/>
      <c r="Q104" s="2"/>
      <c r="R104" s="2"/>
    </row>
    <row r="105" spans="8:18" ht="15.75">
      <c r="M105" s="2"/>
      <c r="N105" s="2"/>
      <c r="O105" s="2"/>
      <c r="P105" s="2"/>
      <c r="Q105" s="2"/>
      <c r="R105" s="2"/>
    </row>
    <row r="106" spans="8:18" ht="15.75">
      <c r="M106" s="2"/>
      <c r="N106" s="2"/>
      <c r="O106" s="2"/>
      <c r="P106" s="2"/>
      <c r="Q106" s="2"/>
      <c r="R106" s="2"/>
    </row>
    <row r="107" spans="8:18" ht="15.75">
      <c r="M107" s="2"/>
      <c r="N107" s="2"/>
      <c r="O107" s="2"/>
      <c r="P107" s="2"/>
      <c r="Q107" s="2"/>
      <c r="R107" s="2"/>
    </row>
    <row r="108" spans="8:18" ht="15.6" customHeight="1">
      <c r="H108" s="4"/>
      <c r="M108" s="2"/>
      <c r="N108" s="2"/>
      <c r="O108" s="2"/>
      <c r="P108" s="2"/>
      <c r="Q108" s="2"/>
      <c r="R108" s="2"/>
    </row>
    <row r="109" spans="8:18" ht="15.6" customHeight="1">
      <c r="H109" s="4"/>
      <c r="M109" s="2"/>
      <c r="N109" s="2"/>
      <c r="O109" s="2"/>
      <c r="P109" s="2"/>
      <c r="Q109" s="2"/>
      <c r="R109" s="2"/>
    </row>
    <row r="110" spans="8:18" ht="15.75">
      <c r="H110" s="32"/>
      <c r="M110" s="2"/>
      <c r="N110" s="2"/>
      <c r="O110" s="2"/>
      <c r="P110" s="2"/>
      <c r="Q110" s="2"/>
      <c r="R110" s="2"/>
    </row>
    <row r="111" spans="8:18" ht="15.75">
      <c r="M111" s="2"/>
      <c r="N111" s="2"/>
      <c r="O111" s="2"/>
      <c r="P111" s="2"/>
      <c r="Q111" s="2"/>
      <c r="R111" s="2"/>
    </row>
    <row r="112" spans="8:18" ht="15.75">
      <c r="M112" s="2"/>
      <c r="N112" s="2"/>
      <c r="O112" s="2"/>
      <c r="P112" s="2"/>
      <c r="Q112" s="2"/>
      <c r="R112" s="2"/>
    </row>
    <row r="113" spans="13:18" ht="15.75">
      <c r="M113" s="2"/>
      <c r="N113" s="2"/>
      <c r="O113" s="2"/>
      <c r="P113" s="2"/>
      <c r="Q113" s="2"/>
      <c r="R113" s="2"/>
    </row>
    <row r="114" spans="13:18" ht="15.75">
      <c r="M114" s="2"/>
      <c r="N114" s="2"/>
      <c r="O114" s="2"/>
      <c r="P114" s="2"/>
      <c r="Q114" s="2"/>
      <c r="R114" s="2"/>
    </row>
    <row r="115" spans="13:18" ht="15.75">
      <c r="M115" s="2"/>
      <c r="N115" s="2"/>
      <c r="O115" s="2"/>
      <c r="P115" s="2"/>
      <c r="Q115" s="2"/>
      <c r="R115" s="2"/>
    </row>
    <row r="116" spans="13:18" ht="15.75" customHeight="1">
      <c r="M116" s="2"/>
      <c r="N116" s="2"/>
      <c r="O116" s="2"/>
      <c r="P116" s="2"/>
      <c r="Q116" s="2"/>
      <c r="R116" s="2"/>
    </row>
    <row r="117" spans="13:18" ht="15.75" customHeight="1">
      <c r="M117" s="2"/>
      <c r="N117" s="2"/>
      <c r="O117" s="2"/>
      <c r="P117" s="2"/>
      <c r="Q117" s="2"/>
      <c r="R117" s="2"/>
    </row>
    <row r="118" spans="13:18" ht="15.75">
      <c r="M118" s="2"/>
      <c r="N118" s="2"/>
      <c r="O118" s="2"/>
      <c r="P118" s="2"/>
      <c r="Q118" s="2"/>
      <c r="R118" s="2"/>
    </row>
    <row r="119" spans="13:18" ht="15.6" customHeight="1">
      <c r="M119" s="2"/>
      <c r="N119" s="2"/>
      <c r="O119" s="2"/>
      <c r="P119" s="2"/>
      <c r="Q119" s="2"/>
      <c r="R119" s="2"/>
    </row>
    <row r="120" spans="13:18" ht="15.6" customHeight="1">
      <c r="M120" s="2"/>
      <c r="N120" s="2"/>
      <c r="O120" s="2"/>
      <c r="P120" s="2"/>
      <c r="Q120" s="2"/>
      <c r="R120" s="2"/>
    </row>
    <row r="121" spans="13:18" ht="15.6" customHeight="1">
      <c r="M121" s="2"/>
      <c r="N121" s="2"/>
      <c r="O121" s="2"/>
      <c r="P121" s="2"/>
      <c r="Q121" s="2"/>
      <c r="R121" s="2"/>
    </row>
    <row r="122" spans="13:18" ht="15.75">
      <c r="M122" s="2"/>
      <c r="N122" s="2"/>
      <c r="O122" s="2"/>
      <c r="P122" s="2"/>
      <c r="Q122" s="2"/>
      <c r="R122" s="2"/>
    </row>
    <row r="123" spans="13:18" ht="15.75">
      <c r="M123" s="2"/>
      <c r="N123" s="2"/>
      <c r="O123" s="2"/>
      <c r="P123" s="2"/>
      <c r="Q123" s="2"/>
      <c r="R123" s="2"/>
    </row>
    <row r="124" spans="13:18" ht="15.75">
      <c r="M124" s="2"/>
      <c r="N124" s="2"/>
      <c r="O124" s="2"/>
      <c r="P124" s="2"/>
      <c r="Q124" s="2"/>
      <c r="R124" s="2"/>
    </row>
    <row r="125" spans="13:18" ht="15.75">
      <c r="M125" s="2"/>
      <c r="N125" s="2"/>
      <c r="O125" s="2"/>
      <c r="P125" s="2"/>
      <c r="Q125" s="2"/>
      <c r="R125" s="2"/>
    </row>
    <row r="126" spans="13:18" ht="15.75">
      <c r="M126" s="2"/>
      <c r="N126" s="2"/>
      <c r="O126" s="2"/>
      <c r="P126" s="2"/>
      <c r="Q126" s="2"/>
      <c r="R126" s="2"/>
    </row>
    <row r="127" spans="13:18" ht="15.75">
      <c r="M127" s="2"/>
      <c r="N127" s="2"/>
      <c r="O127" s="2"/>
      <c r="P127" s="2"/>
      <c r="Q127" s="2"/>
      <c r="R127" s="2"/>
    </row>
    <row r="128" spans="13:18" ht="15.75">
      <c r="M128" s="2"/>
      <c r="N128" s="2"/>
      <c r="O128" s="2"/>
      <c r="P128" s="2"/>
      <c r="Q128" s="2"/>
      <c r="R128" s="2"/>
    </row>
    <row r="129" spans="8:18" ht="15.75">
      <c r="M129" s="2"/>
      <c r="N129" s="2"/>
      <c r="O129" s="2"/>
      <c r="P129" s="2"/>
      <c r="Q129" s="2"/>
      <c r="R129" s="2"/>
    </row>
    <row r="130" spans="8:18" ht="15.75">
      <c r="M130" s="2"/>
      <c r="N130" s="2"/>
      <c r="O130" s="2"/>
      <c r="P130" s="2"/>
      <c r="Q130" s="2"/>
      <c r="R130" s="2"/>
    </row>
    <row r="131" spans="8:18" ht="15.75">
      <c r="M131" s="2"/>
      <c r="N131" s="2"/>
      <c r="O131" s="2"/>
      <c r="P131" s="2"/>
      <c r="Q131" s="2"/>
      <c r="R131" s="2"/>
    </row>
    <row r="132" spans="8:18" ht="15.6" customHeight="1">
      <c r="M132" s="2"/>
      <c r="N132" s="2"/>
      <c r="O132" s="2"/>
      <c r="P132" s="2"/>
      <c r="Q132" s="2"/>
      <c r="R132" s="2"/>
    </row>
    <row r="133" spans="8:18" ht="15.6" customHeight="1">
      <c r="M133" s="2"/>
      <c r="N133" s="2"/>
      <c r="O133" s="2"/>
      <c r="P133" s="2"/>
      <c r="Q133" s="2"/>
      <c r="R133" s="2"/>
    </row>
    <row r="134" spans="8:18" ht="15.6" customHeight="1">
      <c r="M134" s="2"/>
      <c r="N134" s="2"/>
      <c r="O134" s="2"/>
      <c r="P134" s="2"/>
      <c r="Q134" s="2"/>
      <c r="R134" s="2"/>
    </row>
    <row r="135" spans="8:18" ht="15.6" customHeight="1">
      <c r="M135" s="2"/>
      <c r="N135" s="2"/>
      <c r="O135" s="2"/>
      <c r="P135" s="2"/>
      <c r="Q135" s="2"/>
      <c r="R135" s="2"/>
    </row>
    <row r="136" spans="8:18" ht="15.6" customHeight="1">
      <c r="M136" s="2"/>
      <c r="N136" s="2"/>
      <c r="O136" s="2"/>
      <c r="P136" s="2"/>
      <c r="Q136" s="2"/>
      <c r="R136" s="2"/>
    </row>
    <row r="137" spans="8:18" ht="15.6" customHeight="1">
      <c r="M137" s="2"/>
      <c r="N137" s="2"/>
      <c r="O137" s="2"/>
      <c r="P137" s="2"/>
      <c r="Q137" s="2"/>
      <c r="R137" s="2"/>
    </row>
    <row r="138" spans="8:18" ht="15.6" customHeight="1">
      <c r="M138" s="2"/>
      <c r="N138" s="2"/>
      <c r="O138" s="2"/>
      <c r="P138" s="2"/>
      <c r="Q138" s="2"/>
      <c r="R138" s="2"/>
    </row>
    <row r="139" spans="8:18" ht="15.6" customHeight="1">
      <c r="M139" s="2"/>
      <c r="N139" s="2"/>
      <c r="O139" s="2"/>
      <c r="P139" s="2"/>
      <c r="Q139" s="2"/>
      <c r="R139" s="2"/>
    </row>
    <row r="140" spans="8:18" ht="15.6" customHeight="1">
      <c r="M140" s="2"/>
      <c r="N140" s="2"/>
      <c r="O140" s="2"/>
      <c r="P140" s="2"/>
      <c r="Q140" s="2"/>
      <c r="R140" s="2"/>
    </row>
    <row r="141" spans="8:18" ht="15.6" customHeight="1">
      <c r="M141" s="2"/>
      <c r="N141" s="2"/>
      <c r="O141" s="2"/>
      <c r="P141" s="2"/>
      <c r="Q141" s="2"/>
      <c r="R141" s="2"/>
    </row>
    <row r="142" spans="8:18" ht="15.6" customHeight="1">
      <c r="M142" s="2"/>
      <c r="N142" s="2"/>
      <c r="O142" s="2"/>
      <c r="P142" s="2"/>
      <c r="Q142" s="2"/>
      <c r="R142" s="2"/>
    </row>
    <row r="143" spans="8:18" ht="15.6" customHeight="1">
      <c r="H143" s="4"/>
      <c r="M143" s="2"/>
      <c r="N143" s="2"/>
      <c r="O143" s="2"/>
      <c r="P143" s="2"/>
      <c r="Q143" s="2"/>
      <c r="R143" s="2"/>
    </row>
    <row r="144" spans="8:18" ht="15.6" customHeight="1">
      <c r="H144" s="4"/>
      <c r="M144" s="2"/>
      <c r="N144" s="2"/>
      <c r="O144" s="2"/>
      <c r="P144" s="2"/>
      <c r="Q144" s="2"/>
      <c r="R144" s="2"/>
    </row>
    <row r="145" spans="13:18" ht="15.6" customHeight="1">
      <c r="M145" s="2"/>
      <c r="N145" s="2"/>
      <c r="O145" s="2"/>
      <c r="P145" s="2"/>
      <c r="Q145" s="2"/>
      <c r="R145" s="2"/>
    </row>
    <row r="146" spans="13:18" ht="15.6" customHeight="1">
      <c r="M146" s="2"/>
      <c r="N146" s="2"/>
      <c r="O146" s="2"/>
      <c r="P146" s="2"/>
      <c r="Q146" s="2"/>
      <c r="R146" s="2"/>
    </row>
    <row r="147" spans="13:18" ht="15.6" customHeight="1">
      <c r="M147" s="2"/>
      <c r="N147" s="2"/>
      <c r="O147" s="2"/>
      <c r="P147" s="2"/>
      <c r="Q147" s="2"/>
      <c r="R147" s="2"/>
    </row>
    <row r="148" spans="13:18" ht="15.6" customHeight="1">
      <c r="M148" s="2"/>
      <c r="N148" s="2"/>
      <c r="O148" s="2"/>
      <c r="P148" s="2"/>
      <c r="Q148" s="2"/>
      <c r="R148" s="2"/>
    </row>
    <row r="149" spans="13:18" ht="15.6" customHeight="1">
      <c r="M149" s="2"/>
      <c r="N149" s="2"/>
      <c r="O149" s="2"/>
      <c r="P149" s="2"/>
      <c r="Q149" s="2"/>
      <c r="R149" s="2"/>
    </row>
    <row r="150" spans="13:18" ht="15.6" customHeight="1">
      <c r="M150" s="2"/>
      <c r="N150" s="2"/>
      <c r="O150" s="2"/>
      <c r="P150" s="2"/>
      <c r="Q150" s="2"/>
      <c r="R150" s="2"/>
    </row>
    <row r="151" spans="13:18" ht="15.6" customHeight="1">
      <c r="M151" s="2"/>
      <c r="N151" s="2"/>
      <c r="O151" s="2"/>
      <c r="P151" s="2"/>
      <c r="Q151" s="2"/>
      <c r="R151" s="2"/>
    </row>
    <row r="152" spans="13:18" ht="15.6" customHeight="1">
      <c r="M152" s="2"/>
      <c r="N152" s="2"/>
      <c r="O152" s="2"/>
      <c r="P152" s="2"/>
      <c r="Q152" s="2"/>
      <c r="R152" s="2"/>
    </row>
    <row r="153" spans="13:18" ht="15.6" customHeight="1">
      <c r="M153" s="2"/>
      <c r="N153" s="2"/>
      <c r="O153" s="2"/>
      <c r="P153" s="2"/>
      <c r="Q153" s="2"/>
      <c r="R153" s="2"/>
    </row>
    <row r="154" spans="13:18" ht="15.6" customHeight="1">
      <c r="M154" s="2"/>
      <c r="N154" s="2"/>
      <c r="O154" s="2"/>
      <c r="P154" s="2"/>
      <c r="Q154" s="2"/>
      <c r="R154" s="2"/>
    </row>
    <row r="155" spans="13:18" ht="15.6" customHeight="1">
      <c r="M155" s="2"/>
      <c r="N155" s="2"/>
      <c r="O155" s="2"/>
      <c r="P155" s="2"/>
      <c r="Q155" s="2"/>
      <c r="R155" s="2"/>
    </row>
    <row r="156" spans="13:18" ht="15.6" customHeight="1">
      <c r="M156" s="2"/>
      <c r="N156" s="2"/>
      <c r="O156" s="2"/>
      <c r="P156" s="2"/>
      <c r="Q156" s="2"/>
      <c r="R156" s="2"/>
    </row>
    <row r="157" spans="13:18" ht="15.6" customHeight="1">
      <c r="M157" s="2"/>
      <c r="N157" s="2"/>
      <c r="O157" s="2"/>
      <c r="P157" s="2"/>
      <c r="Q157" s="2"/>
      <c r="R157" s="2"/>
    </row>
    <row r="158" spans="13:18" ht="15.6" customHeight="1">
      <c r="M158" s="2"/>
      <c r="N158" s="2"/>
      <c r="O158" s="2"/>
      <c r="P158" s="2"/>
      <c r="Q158" s="2"/>
      <c r="R158" s="2"/>
    </row>
    <row r="159" spans="13:18" ht="15.6" customHeight="1">
      <c r="M159" s="2"/>
      <c r="N159" s="2"/>
      <c r="O159" s="2"/>
      <c r="P159" s="2"/>
      <c r="Q159" s="2"/>
      <c r="R159" s="2"/>
    </row>
    <row r="160" spans="13:18" ht="15.6" customHeight="1">
      <c r="M160" s="2"/>
      <c r="N160" s="2"/>
      <c r="O160" s="2"/>
      <c r="P160" s="2"/>
      <c r="Q160" s="2"/>
      <c r="R160" s="2"/>
    </row>
    <row r="161" spans="13:18" ht="15.6" customHeight="1">
      <c r="M161" s="2"/>
      <c r="N161" s="2"/>
      <c r="O161" s="2"/>
      <c r="P161" s="2"/>
      <c r="Q161" s="2"/>
      <c r="R161" s="2"/>
    </row>
    <row r="162" spans="13:18" ht="15.6" customHeight="1">
      <c r="M162" s="2"/>
      <c r="N162" s="2"/>
      <c r="O162" s="2"/>
      <c r="P162" s="2"/>
      <c r="Q162" s="2"/>
      <c r="R162" s="2"/>
    </row>
    <row r="163" spans="13:18" ht="15.6" customHeight="1">
      <c r="M163" s="2"/>
      <c r="N163" s="2"/>
      <c r="O163" s="2"/>
      <c r="P163" s="2"/>
      <c r="Q163" s="2"/>
      <c r="R163" s="2"/>
    </row>
    <row r="164" spans="13:18" ht="15.6" customHeight="1">
      <c r="M164" s="2"/>
      <c r="N164" s="2"/>
      <c r="O164" s="2"/>
      <c r="P164" s="2"/>
      <c r="Q164" s="2"/>
      <c r="R164" s="2"/>
    </row>
    <row r="165" spans="13:18" ht="15.6" customHeight="1">
      <c r="M165" s="2"/>
      <c r="N165" s="2"/>
      <c r="O165" s="2"/>
      <c r="P165" s="2"/>
      <c r="Q165" s="2"/>
      <c r="R165" s="2"/>
    </row>
    <row r="166" spans="13:18" ht="15.6" customHeight="1">
      <c r="M166" s="2"/>
      <c r="N166" s="2"/>
      <c r="O166" s="2"/>
      <c r="P166" s="2"/>
      <c r="Q166" s="2"/>
      <c r="R166" s="2"/>
    </row>
    <row r="167" spans="13:18" ht="15.6" customHeight="1">
      <c r="M167" s="2"/>
      <c r="N167" s="2"/>
      <c r="O167" s="2"/>
      <c r="P167" s="2"/>
      <c r="Q167" s="2"/>
      <c r="R167" s="2"/>
    </row>
    <row r="168" spans="13:18" ht="15.6" customHeight="1">
      <c r="M168" s="2"/>
      <c r="N168" s="2"/>
      <c r="O168" s="2"/>
      <c r="P168" s="2"/>
      <c r="Q168" s="2"/>
      <c r="R168" s="2"/>
    </row>
    <row r="169" spans="13:18" ht="15.6" customHeight="1">
      <c r="M169" s="2"/>
      <c r="N169" s="2"/>
      <c r="O169" s="2"/>
      <c r="P169" s="2"/>
      <c r="Q169" s="2"/>
      <c r="R169" s="2"/>
    </row>
    <row r="170" spans="13:18" ht="15.6" customHeight="1">
      <c r="M170" s="2"/>
      <c r="N170" s="2"/>
      <c r="O170" s="2"/>
      <c r="P170" s="2"/>
      <c r="Q170" s="2"/>
      <c r="R170" s="2"/>
    </row>
    <row r="171" spans="13:18" ht="15.6" customHeight="1">
      <c r="M171" s="2"/>
      <c r="N171" s="2"/>
      <c r="O171" s="2"/>
      <c r="P171" s="2"/>
      <c r="Q171" s="2"/>
      <c r="R171" s="2"/>
    </row>
    <row r="172" spans="13:18" ht="15.6" customHeight="1">
      <c r="M172" s="2"/>
      <c r="N172" s="2"/>
      <c r="O172" s="2"/>
      <c r="P172" s="2"/>
      <c r="Q172" s="2"/>
      <c r="R172" s="2"/>
    </row>
    <row r="173" spans="13:18" ht="15.6" customHeight="1">
      <c r="M173" s="2"/>
      <c r="N173" s="2"/>
      <c r="O173" s="2"/>
      <c r="P173" s="2"/>
      <c r="Q173" s="2"/>
      <c r="R173" s="2"/>
    </row>
    <row r="174" spans="13:18" ht="15.6" customHeight="1">
      <c r="M174" s="2"/>
      <c r="N174" s="2"/>
      <c r="O174" s="2"/>
      <c r="P174" s="2"/>
      <c r="Q174" s="2"/>
      <c r="R174" s="2"/>
    </row>
    <row r="175" spans="13:18" ht="15.6" customHeight="1">
      <c r="M175" s="2"/>
      <c r="N175" s="2"/>
      <c r="O175" s="2"/>
      <c r="P175" s="2"/>
      <c r="Q175" s="2"/>
      <c r="R175" s="2"/>
    </row>
    <row r="176" spans="13:18" ht="15.6" customHeight="1">
      <c r="M176" s="2"/>
      <c r="N176" s="2"/>
      <c r="O176" s="2"/>
      <c r="P176" s="2"/>
      <c r="Q176" s="2"/>
      <c r="R176" s="2"/>
    </row>
    <row r="177" spans="8:18" ht="15.6" customHeight="1">
      <c r="M177" s="2"/>
      <c r="N177" s="2"/>
      <c r="O177" s="2"/>
      <c r="P177" s="2"/>
      <c r="Q177" s="2"/>
      <c r="R177" s="2"/>
    </row>
    <row r="178" spans="8:18" ht="15.6" customHeight="1">
      <c r="M178" s="2"/>
      <c r="N178" s="2"/>
      <c r="O178" s="2"/>
      <c r="P178" s="2"/>
      <c r="Q178" s="2"/>
      <c r="R178" s="2"/>
    </row>
    <row r="179" spans="8:18" ht="15.6" customHeight="1">
      <c r="M179" s="2"/>
      <c r="N179" s="2"/>
      <c r="O179" s="2"/>
      <c r="P179" s="2"/>
      <c r="Q179" s="2"/>
      <c r="R179" s="2"/>
    </row>
    <row r="180" spans="8:18" ht="15.6" customHeight="1">
      <c r="M180" s="2"/>
      <c r="N180" s="2"/>
      <c r="O180" s="2"/>
      <c r="P180" s="2"/>
      <c r="Q180" s="2"/>
      <c r="R180" s="2"/>
    </row>
    <row r="181" spans="8:18" ht="15.6" customHeight="1">
      <c r="M181" s="2"/>
      <c r="N181" s="2"/>
      <c r="O181" s="2"/>
      <c r="P181" s="2"/>
      <c r="Q181" s="2"/>
      <c r="R181" s="2"/>
    </row>
    <row r="182" spans="8:18" ht="15.6" customHeight="1">
      <c r="M182" s="2"/>
      <c r="N182" s="2"/>
      <c r="O182" s="2"/>
      <c r="P182" s="2"/>
      <c r="Q182" s="2"/>
      <c r="R182" s="2"/>
    </row>
    <row r="183" spans="8:18" ht="15.6" customHeight="1">
      <c r="H183" s="4"/>
      <c r="M183" s="2"/>
      <c r="N183" s="2"/>
      <c r="O183" s="2"/>
      <c r="P183" s="2"/>
      <c r="Q183" s="2"/>
      <c r="R183" s="2"/>
    </row>
    <row r="184" spans="8:18" ht="15.6" customHeight="1">
      <c r="H184" s="4"/>
      <c r="M184" s="2"/>
      <c r="N184" s="2"/>
      <c r="O184" s="2"/>
      <c r="P184" s="2"/>
      <c r="Q184" s="2"/>
      <c r="R184" s="2"/>
    </row>
    <row r="185" spans="8:18" ht="15.6" customHeight="1">
      <c r="M185" s="2"/>
      <c r="N185" s="2"/>
      <c r="O185" s="2"/>
      <c r="P185" s="2"/>
      <c r="Q185" s="2"/>
      <c r="R185" s="2"/>
    </row>
    <row r="186" spans="8:18" ht="15.6" customHeight="1">
      <c r="M186" s="2"/>
      <c r="N186" s="2"/>
      <c r="O186" s="2"/>
      <c r="P186" s="2"/>
      <c r="Q186" s="2"/>
      <c r="R186" s="2"/>
    </row>
    <row r="187" spans="8:18" ht="15.6" customHeight="1">
      <c r="M187" s="2"/>
      <c r="N187" s="2"/>
      <c r="O187" s="2"/>
      <c r="P187" s="2"/>
      <c r="Q187" s="2"/>
      <c r="R187" s="2"/>
    </row>
    <row r="188" spans="8:18" ht="15.6" customHeight="1">
      <c r="M188" s="2"/>
      <c r="N188" s="2"/>
      <c r="O188" s="2"/>
      <c r="P188" s="2"/>
      <c r="Q188" s="2"/>
      <c r="R188" s="2"/>
    </row>
    <row r="189" spans="8:18" ht="15.6" customHeight="1">
      <c r="M189" s="2"/>
      <c r="N189" s="2"/>
      <c r="O189" s="2"/>
      <c r="P189" s="2"/>
      <c r="Q189" s="2"/>
      <c r="R189" s="2"/>
    </row>
    <row r="190" spans="8:18" ht="15.6" customHeight="1">
      <c r="M190" s="2"/>
      <c r="N190" s="2"/>
      <c r="O190" s="2"/>
      <c r="P190" s="2"/>
      <c r="Q190" s="2"/>
      <c r="R190" s="2"/>
    </row>
    <row r="191" spans="8:18" ht="15.6" customHeight="1">
      <c r="M191" s="2"/>
      <c r="N191" s="2"/>
      <c r="O191" s="2"/>
      <c r="P191" s="2"/>
      <c r="Q191" s="2"/>
      <c r="R191" s="2"/>
    </row>
    <row r="192" spans="8:18" ht="15.6" customHeight="1">
      <c r="M192" s="2"/>
      <c r="N192" s="2"/>
      <c r="O192" s="2"/>
      <c r="P192" s="2"/>
      <c r="Q192" s="2"/>
      <c r="R192" s="2"/>
    </row>
    <row r="193" spans="13:18" ht="15.6" customHeight="1">
      <c r="M193" s="2"/>
      <c r="N193" s="2"/>
      <c r="O193" s="2"/>
      <c r="P193" s="2"/>
      <c r="Q193" s="2"/>
      <c r="R193" s="2"/>
    </row>
    <row r="194" spans="13:18" ht="15.6" customHeight="1">
      <c r="M194" s="2"/>
      <c r="N194" s="2"/>
      <c r="O194" s="2"/>
      <c r="P194" s="2"/>
      <c r="Q194" s="2"/>
      <c r="R194" s="2"/>
    </row>
    <row r="195" spans="13:18" ht="15.6" customHeight="1">
      <c r="M195" s="2"/>
      <c r="N195" s="2"/>
      <c r="O195" s="2"/>
      <c r="P195" s="2"/>
      <c r="Q195" s="2"/>
      <c r="R195" s="2"/>
    </row>
    <row r="196" spans="13:18" ht="15.6" customHeight="1">
      <c r="M196" s="2"/>
      <c r="N196" s="2"/>
      <c r="O196" s="2"/>
      <c r="P196" s="2"/>
      <c r="Q196" s="2"/>
      <c r="R196" s="2"/>
    </row>
    <row r="197" spans="13:18" ht="15.6" customHeight="1">
      <c r="M197" s="2"/>
      <c r="N197" s="2"/>
      <c r="O197" s="2"/>
      <c r="P197" s="2"/>
      <c r="Q197" s="2"/>
      <c r="R197" s="2"/>
    </row>
    <row r="198" spans="13:18" ht="15.6" customHeight="1">
      <c r="M198" s="2"/>
      <c r="N198" s="2"/>
      <c r="O198" s="2"/>
      <c r="P198" s="2"/>
      <c r="Q198" s="2"/>
      <c r="R198" s="2"/>
    </row>
    <row r="199" spans="13:18" ht="15.6" customHeight="1">
      <c r="M199" s="2"/>
      <c r="N199" s="2"/>
      <c r="O199" s="2"/>
      <c r="P199" s="2"/>
      <c r="Q199" s="2"/>
      <c r="R199" s="2"/>
    </row>
    <row r="200" spans="13:18" ht="15.6" customHeight="1">
      <c r="M200" s="2"/>
      <c r="N200" s="2"/>
      <c r="O200" s="2"/>
      <c r="P200" s="2"/>
      <c r="Q200" s="2"/>
      <c r="R200" s="2"/>
    </row>
    <row r="201" spans="13:18" ht="15.6" customHeight="1">
      <c r="M201" s="2"/>
      <c r="N201" s="2"/>
      <c r="O201" s="2"/>
      <c r="P201" s="2"/>
      <c r="Q201" s="2"/>
      <c r="R201" s="2"/>
    </row>
    <row r="202" spans="13:18" ht="15.6" customHeight="1">
      <c r="M202" s="2"/>
      <c r="N202" s="2"/>
      <c r="O202" s="2"/>
      <c r="P202" s="2"/>
      <c r="Q202" s="2"/>
      <c r="R202" s="2"/>
    </row>
    <row r="203" spans="13:18" ht="15.6" customHeight="1">
      <c r="M203" s="2"/>
      <c r="N203" s="2"/>
      <c r="O203" s="2"/>
      <c r="P203" s="2"/>
      <c r="Q203" s="2"/>
      <c r="R203" s="2"/>
    </row>
    <row r="204" spans="13:18" ht="15.6" customHeight="1">
      <c r="M204" s="2"/>
      <c r="N204" s="2"/>
      <c r="O204" s="2"/>
      <c r="P204" s="2"/>
      <c r="Q204" s="2"/>
      <c r="R204" s="2"/>
    </row>
    <row r="205" spans="13:18" ht="15.6" customHeight="1">
      <c r="M205" s="2"/>
      <c r="N205" s="2"/>
      <c r="O205" s="2"/>
      <c r="P205" s="2"/>
      <c r="Q205" s="2"/>
      <c r="R205" s="2"/>
    </row>
    <row r="206" spans="13:18" ht="15.6" customHeight="1">
      <c r="M206" s="2"/>
      <c r="N206" s="2"/>
      <c r="O206" s="2"/>
      <c r="P206" s="2"/>
      <c r="Q206" s="2"/>
      <c r="R206" s="2"/>
    </row>
    <row r="207" spans="13:18" ht="15.6" customHeight="1">
      <c r="M207" s="2"/>
      <c r="N207" s="2"/>
      <c r="O207" s="2"/>
      <c r="P207" s="2"/>
      <c r="Q207" s="2"/>
      <c r="R207" s="2"/>
    </row>
    <row r="208" spans="13:18" ht="15.6" customHeight="1">
      <c r="M208" s="2"/>
      <c r="N208" s="2"/>
      <c r="O208" s="2"/>
      <c r="P208" s="2"/>
      <c r="Q208" s="2"/>
      <c r="R208" s="2"/>
    </row>
    <row r="209" spans="13:18" ht="15.6" customHeight="1">
      <c r="M209" s="2"/>
      <c r="N209" s="2"/>
      <c r="O209" s="2"/>
      <c r="P209" s="2"/>
      <c r="Q209" s="2"/>
      <c r="R209" s="2"/>
    </row>
    <row r="210" spans="13:18" ht="15.6" customHeight="1">
      <c r="M210" s="2"/>
      <c r="N210" s="2"/>
      <c r="O210" s="2"/>
      <c r="P210" s="2"/>
      <c r="Q210" s="2"/>
      <c r="R210" s="2"/>
    </row>
    <row r="211" spans="13:18" ht="15.6" customHeight="1">
      <c r="M211" s="2"/>
      <c r="N211" s="2"/>
      <c r="O211" s="2"/>
      <c r="P211" s="2"/>
      <c r="Q211" s="2"/>
      <c r="R211" s="2"/>
    </row>
    <row r="212" spans="13:18" ht="15.6" customHeight="1">
      <c r="M212" s="2"/>
      <c r="N212" s="2"/>
      <c r="O212" s="2"/>
      <c r="P212" s="2"/>
      <c r="Q212" s="2"/>
      <c r="R212" s="2"/>
    </row>
    <row r="213" spans="13:18" ht="15.6" customHeight="1">
      <c r="M213" s="2"/>
      <c r="N213" s="2"/>
      <c r="O213" s="2"/>
      <c r="P213" s="2"/>
      <c r="Q213" s="2"/>
      <c r="R213" s="2"/>
    </row>
    <row r="214" spans="13:18" ht="15.6" customHeight="1">
      <c r="M214" s="2"/>
      <c r="N214" s="2"/>
      <c r="O214" s="2"/>
      <c r="P214" s="2"/>
      <c r="Q214" s="2"/>
      <c r="R214" s="2"/>
    </row>
    <row r="215" spans="13:18" ht="15.6" customHeight="1">
      <c r="M215" s="2"/>
      <c r="N215" s="2"/>
      <c r="O215" s="2"/>
      <c r="P215" s="2"/>
      <c r="Q215" s="2"/>
      <c r="R215" s="2"/>
    </row>
    <row r="216" spans="13:18" ht="15.6" customHeight="1">
      <c r="M216" s="2"/>
      <c r="N216" s="2"/>
      <c r="O216" s="2"/>
      <c r="P216" s="2"/>
      <c r="Q216" s="2"/>
      <c r="R216" s="2"/>
    </row>
    <row r="217" spans="13:18" ht="15.6" customHeight="1">
      <c r="M217" s="2"/>
      <c r="N217" s="2"/>
      <c r="O217" s="2"/>
      <c r="P217" s="2"/>
      <c r="Q217" s="2"/>
      <c r="R217" s="2"/>
    </row>
    <row r="218" spans="13:18" ht="15.6" customHeight="1">
      <c r="M218" s="2"/>
      <c r="N218" s="2"/>
      <c r="O218" s="2"/>
      <c r="P218" s="2"/>
      <c r="Q218" s="2"/>
      <c r="R218" s="2"/>
    </row>
    <row r="219" spans="13:18" ht="15.6" customHeight="1">
      <c r="M219" s="2"/>
      <c r="N219" s="2"/>
      <c r="O219" s="2"/>
      <c r="P219" s="2"/>
      <c r="Q219" s="2"/>
      <c r="R219" s="2"/>
    </row>
    <row r="220" spans="13:18" ht="15.6" customHeight="1">
      <c r="M220" s="2"/>
      <c r="N220" s="2"/>
      <c r="O220" s="2"/>
      <c r="P220" s="2"/>
      <c r="Q220" s="2"/>
      <c r="R220" s="2"/>
    </row>
    <row r="221" spans="13:18" ht="15.6" customHeight="1">
      <c r="M221" s="2"/>
      <c r="N221" s="2"/>
      <c r="O221" s="2"/>
      <c r="P221" s="2"/>
      <c r="Q221" s="2"/>
      <c r="R221" s="2"/>
    </row>
    <row r="222" spans="13:18" ht="15.6" customHeight="1">
      <c r="M222" s="2"/>
      <c r="N222" s="2"/>
      <c r="O222" s="2"/>
      <c r="P222" s="2"/>
      <c r="Q222" s="2"/>
      <c r="R222" s="2"/>
    </row>
    <row r="223" spans="13:18" ht="15.6" customHeight="1">
      <c r="M223" s="2"/>
      <c r="N223" s="2"/>
      <c r="O223" s="2"/>
      <c r="P223" s="2"/>
      <c r="Q223" s="2"/>
      <c r="R223" s="2"/>
    </row>
    <row r="224" spans="13:18" ht="15.6" customHeight="1">
      <c r="M224" s="2"/>
      <c r="N224" s="2"/>
      <c r="O224" s="2"/>
      <c r="P224" s="2"/>
      <c r="Q224" s="2"/>
      <c r="R224" s="2"/>
    </row>
    <row r="225" spans="13:18" ht="15.6" customHeight="1">
      <c r="M225" s="2"/>
      <c r="N225" s="2"/>
      <c r="O225" s="2"/>
      <c r="P225" s="2"/>
      <c r="Q225" s="2"/>
      <c r="R225" s="2"/>
    </row>
    <row r="226" spans="13:18" ht="15.6" customHeight="1">
      <c r="M226" s="2"/>
      <c r="N226" s="2"/>
      <c r="O226" s="2"/>
      <c r="P226" s="2"/>
      <c r="Q226" s="2"/>
      <c r="R226" s="2"/>
    </row>
    <row r="227" spans="13:18" ht="15.6" customHeight="1">
      <c r="M227" s="2"/>
      <c r="N227" s="2"/>
      <c r="O227" s="2"/>
      <c r="P227" s="2"/>
      <c r="Q227" s="2"/>
      <c r="R227" s="2"/>
    </row>
    <row r="228" spans="13:18" ht="15.6" customHeight="1">
      <c r="M228" s="2"/>
      <c r="N228" s="2"/>
      <c r="O228" s="2"/>
      <c r="P228" s="2"/>
      <c r="Q228" s="2"/>
      <c r="R228" s="2"/>
    </row>
    <row r="229" spans="13:18" ht="15.6" customHeight="1">
      <c r="M229" s="2"/>
      <c r="N229" s="2"/>
      <c r="O229" s="2"/>
      <c r="P229" s="2"/>
      <c r="Q229" s="2"/>
      <c r="R229" s="2"/>
    </row>
    <row r="230" spans="13:18" ht="15.6" customHeight="1">
      <c r="M230" s="2"/>
      <c r="N230" s="2"/>
      <c r="O230" s="2"/>
      <c r="P230" s="2"/>
      <c r="Q230" s="2"/>
      <c r="R230" s="2"/>
    </row>
    <row r="231" spans="13:18" ht="15.6" customHeight="1">
      <c r="M231" s="2"/>
      <c r="N231" s="2"/>
      <c r="O231" s="2"/>
      <c r="P231" s="2"/>
      <c r="Q231" s="2"/>
      <c r="R231" s="2"/>
    </row>
    <row r="232" spans="13:18" ht="15.6" customHeight="1">
      <c r="M232" s="2"/>
      <c r="N232" s="2"/>
      <c r="O232" s="2"/>
      <c r="P232" s="2"/>
      <c r="Q232" s="2"/>
      <c r="R232" s="2"/>
    </row>
    <row r="233" spans="13:18" ht="15.6" customHeight="1">
      <c r="M233" s="2"/>
      <c r="N233" s="2"/>
      <c r="O233" s="2"/>
      <c r="P233" s="2"/>
      <c r="Q233" s="2"/>
      <c r="R233" s="2"/>
    </row>
    <row r="234" spans="13:18" ht="15.6" customHeight="1">
      <c r="M234" s="2"/>
      <c r="N234" s="2"/>
      <c r="O234" s="2"/>
      <c r="P234" s="2"/>
      <c r="Q234" s="2"/>
      <c r="R234" s="2"/>
    </row>
    <row r="235" spans="13:18" ht="15.6" customHeight="1">
      <c r="M235" s="2"/>
      <c r="N235" s="2"/>
      <c r="O235" s="2"/>
      <c r="P235" s="2"/>
      <c r="Q235" s="2"/>
      <c r="R235" s="2"/>
    </row>
    <row r="236" spans="13:18" ht="15.6" customHeight="1">
      <c r="M236" s="2"/>
      <c r="N236" s="2"/>
      <c r="O236" s="2"/>
      <c r="P236" s="2"/>
      <c r="Q236" s="2"/>
      <c r="R236" s="2"/>
    </row>
    <row r="237" spans="13:18" ht="15.6" customHeight="1">
      <c r="M237" s="2"/>
      <c r="N237" s="2"/>
      <c r="O237" s="2"/>
      <c r="P237" s="2"/>
      <c r="Q237" s="2"/>
      <c r="R237" s="2"/>
    </row>
    <row r="238" spans="13:18" ht="15.6" customHeight="1">
      <c r="M238" s="2"/>
      <c r="N238" s="2"/>
      <c r="O238" s="2"/>
      <c r="P238" s="2"/>
      <c r="Q238" s="2"/>
      <c r="R238" s="2"/>
    </row>
    <row r="239" spans="13:18" ht="15.6" customHeight="1">
      <c r="M239" s="2"/>
      <c r="N239" s="2"/>
      <c r="O239" s="2"/>
      <c r="P239" s="2"/>
      <c r="Q239" s="2"/>
      <c r="R239" s="2"/>
    </row>
    <row r="240" spans="13:18" ht="15.6" customHeight="1">
      <c r="M240" s="2"/>
      <c r="N240" s="2"/>
      <c r="O240" s="2"/>
      <c r="P240" s="2"/>
      <c r="Q240" s="2"/>
      <c r="R240" s="2"/>
    </row>
    <row r="241" spans="13:18" ht="15.6" customHeight="1">
      <c r="M241" s="2"/>
      <c r="N241" s="2"/>
      <c r="O241" s="2"/>
      <c r="P241" s="2"/>
      <c r="Q241" s="2"/>
      <c r="R241" s="2"/>
    </row>
    <row r="242" spans="13:18" ht="15.6" customHeight="1">
      <c r="M242" s="2"/>
      <c r="N242" s="2"/>
      <c r="O242" s="2"/>
      <c r="P242" s="2"/>
      <c r="Q242" s="2"/>
      <c r="R242" s="2"/>
    </row>
    <row r="243" spans="13:18" ht="15.6" customHeight="1">
      <c r="M243" s="2"/>
      <c r="N243" s="2"/>
      <c r="O243" s="2"/>
      <c r="P243" s="2"/>
      <c r="Q243" s="2"/>
      <c r="R243" s="2"/>
    </row>
    <row r="244" spans="13:18" ht="15.6" customHeight="1">
      <c r="M244" s="2"/>
      <c r="N244" s="2"/>
      <c r="O244" s="2"/>
      <c r="P244" s="2"/>
      <c r="Q244" s="2"/>
      <c r="R244" s="2"/>
    </row>
    <row r="245" spans="13:18" ht="15.6" customHeight="1">
      <c r="M245" s="2"/>
      <c r="N245" s="2"/>
      <c r="O245" s="2"/>
      <c r="P245" s="2"/>
      <c r="Q245" s="2"/>
      <c r="R245" s="2"/>
    </row>
    <row r="246" spans="13:18" ht="15.6" customHeight="1">
      <c r="M246" s="2"/>
      <c r="N246" s="2"/>
      <c r="O246" s="2"/>
      <c r="P246" s="2"/>
      <c r="Q246" s="2"/>
      <c r="R246" s="2"/>
    </row>
    <row r="247" spans="13:18" ht="15.6" customHeight="1">
      <c r="M247" s="2"/>
      <c r="N247" s="2"/>
      <c r="O247" s="2"/>
      <c r="P247" s="2"/>
      <c r="Q247" s="2"/>
      <c r="R247" s="2"/>
    </row>
    <row r="248" spans="13:18" ht="15.6" customHeight="1">
      <c r="M248" s="2"/>
      <c r="N248" s="2"/>
      <c r="O248" s="2"/>
      <c r="P248" s="2"/>
      <c r="Q248" s="2"/>
      <c r="R248" s="2"/>
    </row>
    <row r="249" spans="13:18" ht="15.6" customHeight="1">
      <c r="M249" s="2"/>
      <c r="N249" s="2"/>
      <c r="O249" s="2"/>
      <c r="P249" s="2"/>
      <c r="Q249" s="2"/>
      <c r="R249" s="2"/>
    </row>
    <row r="250" spans="13:18" ht="15.6" customHeight="1">
      <c r="M250" s="2"/>
      <c r="N250" s="2"/>
      <c r="O250" s="2"/>
      <c r="P250" s="2"/>
      <c r="Q250" s="2"/>
      <c r="R250" s="2"/>
    </row>
    <row r="251" spans="13:18" ht="15.6" customHeight="1">
      <c r="M251" s="2"/>
      <c r="N251" s="2"/>
      <c r="O251" s="2"/>
      <c r="P251" s="2"/>
      <c r="Q251" s="2"/>
      <c r="R251" s="2"/>
    </row>
    <row r="252" spans="13:18" ht="15.6" customHeight="1">
      <c r="M252" s="2"/>
      <c r="N252" s="2"/>
      <c r="O252" s="2"/>
      <c r="P252" s="2"/>
      <c r="Q252" s="2"/>
      <c r="R252" s="2"/>
    </row>
    <row r="253" spans="13:18" ht="15.6" customHeight="1">
      <c r="M253" s="2"/>
      <c r="N253" s="2"/>
      <c r="O253" s="2"/>
      <c r="P253" s="2"/>
      <c r="Q253" s="2"/>
      <c r="R253" s="2"/>
    </row>
    <row r="254" spans="13:18" ht="15.6" customHeight="1">
      <c r="M254" s="2"/>
      <c r="N254" s="2"/>
      <c r="O254" s="2"/>
      <c r="P254" s="2"/>
      <c r="Q254" s="2"/>
      <c r="R254" s="2"/>
    </row>
    <row r="255" spans="13:18" ht="15.6" customHeight="1">
      <c r="M255" s="2"/>
      <c r="N255" s="2"/>
      <c r="O255" s="2"/>
      <c r="P255" s="2"/>
      <c r="Q255" s="2"/>
      <c r="R255" s="2"/>
    </row>
    <row r="256" spans="13:18" ht="15.6" customHeight="1">
      <c r="M256" s="2"/>
      <c r="N256" s="2"/>
      <c r="O256" s="2"/>
      <c r="P256" s="2"/>
      <c r="Q256" s="2"/>
      <c r="R256" s="2"/>
    </row>
    <row r="257" spans="13:18" ht="15.6" customHeight="1">
      <c r="M257" s="2"/>
      <c r="N257" s="2"/>
      <c r="O257" s="2"/>
      <c r="P257" s="2"/>
      <c r="Q257" s="2"/>
      <c r="R257" s="2"/>
    </row>
    <row r="258" spans="13:18" ht="15.6" customHeight="1">
      <c r="M258" s="2"/>
      <c r="N258" s="2"/>
      <c r="O258" s="2"/>
      <c r="P258" s="2"/>
      <c r="Q258" s="2"/>
      <c r="R258" s="2"/>
    </row>
    <row r="259" spans="13:18" ht="15.6" customHeight="1">
      <c r="M259" s="2"/>
      <c r="N259" s="2"/>
      <c r="O259" s="2"/>
      <c r="P259" s="2"/>
      <c r="Q259" s="2"/>
      <c r="R259" s="2"/>
    </row>
    <row r="260" spans="13:18" ht="15.6" customHeight="1">
      <c r="M260" s="2"/>
      <c r="N260" s="2"/>
      <c r="O260" s="2"/>
      <c r="P260" s="2"/>
      <c r="Q260" s="2"/>
      <c r="R260" s="2"/>
    </row>
    <row r="261" spans="13:18" ht="15.6" customHeight="1">
      <c r="M261" s="2"/>
      <c r="N261" s="2"/>
      <c r="O261" s="2"/>
      <c r="P261" s="2"/>
      <c r="Q261" s="2"/>
      <c r="R261" s="2"/>
    </row>
    <row r="262" spans="13:18" ht="15.6" customHeight="1">
      <c r="M262" s="2"/>
      <c r="N262" s="2"/>
      <c r="O262" s="2"/>
      <c r="P262" s="2"/>
      <c r="Q262" s="2"/>
      <c r="R262" s="2"/>
    </row>
    <row r="263" spans="13:18" ht="15.6" customHeight="1">
      <c r="M263" s="2"/>
      <c r="N263" s="2"/>
      <c r="O263" s="2"/>
      <c r="P263" s="2"/>
      <c r="Q263" s="2"/>
      <c r="R263" s="2"/>
    </row>
    <row r="264" spans="13:18" ht="15.6" customHeight="1">
      <c r="M264" s="2"/>
      <c r="N264" s="2"/>
      <c r="O264" s="2"/>
      <c r="P264" s="2"/>
      <c r="Q264" s="2"/>
      <c r="R264" s="2"/>
    </row>
    <row r="265" spans="13:18" ht="15.6" customHeight="1">
      <c r="M265" s="2"/>
      <c r="N265" s="2"/>
      <c r="O265" s="2"/>
      <c r="P265" s="2"/>
      <c r="Q265" s="2"/>
      <c r="R265" s="2"/>
    </row>
    <row r="266" spans="13:18" ht="15.6" customHeight="1">
      <c r="M266" s="2"/>
      <c r="N266" s="2"/>
      <c r="O266" s="2"/>
      <c r="P266" s="2"/>
      <c r="Q266" s="2"/>
      <c r="R266" s="2"/>
    </row>
    <row r="267" spans="13:18" ht="15.6" customHeight="1">
      <c r="M267" s="2"/>
      <c r="N267" s="2"/>
      <c r="O267" s="2"/>
      <c r="P267" s="2"/>
      <c r="Q267" s="2"/>
      <c r="R267" s="2"/>
    </row>
    <row r="268" spans="13:18" ht="15.6" customHeight="1">
      <c r="M268" s="2"/>
      <c r="N268" s="2"/>
      <c r="O268" s="2"/>
      <c r="P268" s="2"/>
      <c r="Q268" s="2"/>
      <c r="R268" s="2"/>
    </row>
    <row r="269" spans="13:18" ht="15.6" customHeight="1">
      <c r="M269" s="2"/>
      <c r="N269" s="2"/>
      <c r="O269" s="2"/>
      <c r="P269" s="2"/>
      <c r="Q269" s="2"/>
      <c r="R269" s="2"/>
    </row>
    <row r="270" spans="13:18" ht="15.6" customHeight="1">
      <c r="M270" s="2"/>
      <c r="N270" s="2"/>
      <c r="O270" s="2"/>
      <c r="P270" s="2"/>
      <c r="Q270" s="2"/>
      <c r="R270" s="2"/>
    </row>
    <row r="271" spans="13:18" ht="15.6" customHeight="1">
      <c r="M271" s="2"/>
      <c r="N271" s="2"/>
      <c r="O271" s="2"/>
      <c r="P271" s="2"/>
      <c r="Q271" s="2"/>
      <c r="R271" s="2"/>
    </row>
    <row r="272" spans="13:18" ht="15.6" customHeight="1">
      <c r="M272" s="2"/>
      <c r="N272" s="2"/>
      <c r="O272" s="2"/>
      <c r="P272" s="2"/>
      <c r="Q272" s="2"/>
      <c r="R272" s="2"/>
    </row>
    <row r="273" spans="13:18" ht="15.6" customHeight="1">
      <c r="M273" s="2"/>
      <c r="N273" s="2"/>
      <c r="O273" s="2"/>
      <c r="P273" s="2"/>
      <c r="Q273" s="2"/>
      <c r="R273" s="2"/>
    </row>
    <row r="274" spans="13:18" ht="15.6" customHeight="1">
      <c r="M274" s="2"/>
      <c r="N274" s="2"/>
      <c r="O274" s="2"/>
      <c r="P274" s="2"/>
      <c r="Q274" s="2"/>
      <c r="R274" s="2"/>
    </row>
    <row r="275" spans="13:18" ht="15.6" customHeight="1">
      <c r="M275" s="2"/>
      <c r="N275" s="2"/>
      <c r="O275" s="2"/>
      <c r="P275" s="2"/>
      <c r="Q275" s="2"/>
      <c r="R275" s="2"/>
    </row>
    <row r="276" spans="13:18" ht="15.6" customHeight="1">
      <c r="M276" s="2"/>
      <c r="N276" s="2"/>
      <c r="O276" s="2"/>
      <c r="P276" s="2"/>
      <c r="Q276" s="2"/>
      <c r="R276" s="2"/>
    </row>
    <row r="277" spans="13:18" ht="15.6" customHeight="1">
      <c r="M277" s="2"/>
      <c r="N277" s="2"/>
      <c r="O277" s="2"/>
      <c r="P277" s="2"/>
      <c r="Q277" s="2"/>
      <c r="R277" s="2"/>
    </row>
    <row r="278" spans="13:18" ht="15.6" customHeight="1">
      <c r="M278" s="2"/>
      <c r="N278" s="2"/>
      <c r="O278" s="2"/>
      <c r="P278" s="2"/>
      <c r="Q278" s="2"/>
      <c r="R278" s="2"/>
    </row>
    <row r="279" spans="13:18" ht="15.6" customHeight="1">
      <c r="M279" s="2"/>
      <c r="N279" s="2"/>
      <c r="O279" s="2"/>
      <c r="P279" s="2"/>
      <c r="Q279" s="2"/>
      <c r="R279" s="2"/>
    </row>
    <row r="280" spans="13:18" ht="15.6" customHeight="1">
      <c r="M280" s="2"/>
      <c r="N280" s="2"/>
      <c r="O280" s="2"/>
      <c r="P280" s="2"/>
      <c r="Q280" s="2"/>
      <c r="R280" s="2"/>
    </row>
    <row r="281" spans="13:18" ht="15.6" customHeight="1">
      <c r="M281" s="2"/>
      <c r="N281" s="2"/>
      <c r="O281" s="2"/>
      <c r="P281" s="2"/>
      <c r="Q281" s="2"/>
      <c r="R281" s="2"/>
    </row>
    <row r="282" spans="13:18" ht="15.6" customHeight="1">
      <c r="M282" s="2"/>
      <c r="N282" s="2"/>
      <c r="O282" s="2"/>
      <c r="P282" s="2"/>
      <c r="Q282" s="2"/>
      <c r="R282" s="2"/>
    </row>
    <row r="283" spans="13:18" ht="15.6" customHeight="1">
      <c r="M283" s="2"/>
      <c r="N283" s="2"/>
      <c r="O283" s="2"/>
      <c r="P283" s="2"/>
      <c r="Q283" s="2"/>
      <c r="R283" s="2"/>
    </row>
    <row r="284" spans="13:18" ht="15.6" customHeight="1">
      <c r="M284" s="2"/>
      <c r="N284" s="2"/>
      <c r="O284" s="2"/>
      <c r="P284" s="2"/>
      <c r="Q284" s="2"/>
      <c r="R284" s="2"/>
    </row>
    <row r="285" spans="13:18" ht="15.6" customHeight="1">
      <c r="M285" s="2"/>
      <c r="N285" s="2"/>
      <c r="O285" s="2"/>
      <c r="P285" s="2"/>
      <c r="Q285" s="2"/>
      <c r="R285" s="2"/>
    </row>
    <row r="286" spans="13:18" ht="15.6" customHeight="1">
      <c r="M286" s="2"/>
      <c r="N286" s="2"/>
      <c r="O286" s="2"/>
      <c r="P286" s="2"/>
      <c r="Q286" s="2"/>
      <c r="R286" s="2"/>
    </row>
    <row r="287" spans="13:18" ht="15.6" customHeight="1">
      <c r="M287" s="2"/>
      <c r="N287" s="2"/>
      <c r="O287" s="2"/>
      <c r="P287" s="2"/>
      <c r="Q287" s="2"/>
      <c r="R287" s="2"/>
    </row>
    <row r="288" spans="13:18" ht="15.6" customHeight="1">
      <c r="M288" s="2"/>
      <c r="N288" s="2"/>
      <c r="O288" s="2"/>
      <c r="P288" s="2"/>
      <c r="Q288" s="2"/>
      <c r="R288" s="2"/>
    </row>
    <row r="289" spans="13:18" ht="15.6" customHeight="1">
      <c r="M289" s="2"/>
      <c r="N289" s="2"/>
      <c r="O289" s="2"/>
      <c r="P289" s="2"/>
      <c r="Q289" s="2"/>
      <c r="R289" s="2"/>
    </row>
    <row r="290" spans="13:18" ht="15.6" customHeight="1">
      <c r="M290" s="2"/>
      <c r="N290" s="2"/>
      <c r="O290" s="2"/>
      <c r="P290" s="2"/>
      <c r="Q290" s="2"/>
      <c r="R290" s="2"/>
    </row>
    <row r="291" spans="13:18" ht="15.6" customHeight="1">
      <c r="M291" s="2"/>
      <c r="N291" s="2"/>
      <c r="O291" s="2"/>
      <c r="P291" s="2"/>
      <c r="Q291" s="2"/>
      <c r="R291" s="2"/>
    </row>
    <row r="292" spans="13:18" ht="15.6" customHeight="1">
      <c r="M292" s="2"/>
      <c r="N292" s="2"/>
      <c r="O292" s="2"/>
      <c r="P292" s="2"/>
      <c r="Q292" s="2"/>
      <c r="R292" s="2"/>
    </row>
    <row r="293" spans="13:18" ht="15.6" customHeight="1">
      <c r="M293" s="2"/>
      <c r="N293" s="2"/>
      <c r="O293" s="2"/>
      <c r="P293" s="2"/>
      <c r="Q293" s="2"/>
      <c r="R293" s="2"/>
    </row>
    <row r="294" spans="13:18" ht="15.6" customHeight="1">
      <c r="M294" s="2"/>
      <c r="N294" s="2"/>
      <c r="O294" s="2"/>
      <c r="P294" s="2"/>
      <c r="Q294" s="2"/>
      <c r="R294" s="2"/>
    </row>
    <row r="295" spans="13:18" ht="15.6" customHeight="1">
      <c r="M295" s="2"/>
      <c r="N295" s="2"/>
      <c r="O295" s="2"/>
      <c r="P295" s="2"/>
      <c r="Q295" s="2"/>
      <c r="R295" s="2"/>
    </row>
    <row r="296" spans="13:18" ht="15.6" customHeight="1">
      <c r="M296" s="2"/>
      <c r="N296" s="2"/>
      <c r="O296" s="2"/>
      <c r="P296" s="2"/>
      <c r="Q296" s="2"/>
      <c r="R296" s="2"/>
    </row>
    <row r="297" spans="13:18" ht="15.6" customHeight="1">
      <c r="M297" s="2"/>
      <c r="N297" s="2"/>
      <c r="O297" s="2"/>
      <c r="P297" s="2"/>
      <c r="Q297" s="2"/>
      <c r="R297" s="2"/>
    </row>
    <row r="298" spans="13:18" ht="15.6" customHeight="1">
      <c r="M298" s="2"/>
      <c r="N298" s="2"/>
      <c r="O298" s="2"/>
      <c r="P298" s="2"/>
      <c r="Q298" s="2"/>
      <c r="R298" s="2"/>
    </row>
    <row r="299" spans="13:18" ht="15.6" customHeight="1">
      <c r="M299" s="2"/>
      <c r="N299" s="2"/>
      <c r="O299" s="2"/>
      <c r="P299" s="2"/>
      <c r="Q299" s="2"/>
      <c r="R299" s="2"/>
    </row>
    <row r="300" spans="13:18" ht="15.6" customHeight="1">
      <c r="M300" s="2"/>
      <c r="N300" s="2"/>
      <c r="O300" s="2"/>
      <c r="P300" s="2"/>
      <c r="Q300" s="2"/>
      <c r="R300" s="2"/>
    </row>
    <row r="301" spans="13:18" ht="15.6" customHeight="1">
      <c r="M301" s="2"/>
      <c r="N301" s="2"/>
      <c r="O301" s="2"/>
      <c r="P301" s="2"/>
      <c r="Q301" s="2"/>
      <c r="R301" s="2"/>
    </row>
    <row r="302" spans="13:18" ht="15.6" customHeight="1">
      <c r="M302" s="2"/>
      <c r="N302" s="2"/>
      <c r="O302" s="2"/>
      <c r="P302" s="2"/>
      <c r="Q302" s="2"/>
      <c r="R302" s="2"/>
    </row>
    <row r="303" spans="13:18" ht="15.6" customHeight="1">
      <c r="M303" s="2"/>
      <c r="N303" s="2"/>
      <c r="O303" s="2"/>
      <c r="P303" s="2"/>
      <c r="Q303" s="2"/>
      <c r="R303" s="2"/>
    </row>
    <row r="304" spans="13:18" ht="15.6" customHeight="1">
      <c r="M304" s="2"/>
      <c r="N304" s="2"/>
      <c r="O304" s="2"/>
      <c r="P304" s="2"/>
      <c r="Q304" s="2"/>
      <c r="R304" s="2"/>
    </row>
    <row r="305" spans="13:18" ht="15.6" customHeight="1">
      <c r="M305" s="2"/>
      <c r="N305" s="2"/>
      <c r="O305" s="2"/>
      <c r="P305" s="2"/>
      <c r="Q305" s="2"/>
      <c r="R305" s="2"/>
    </row>
    <row r="306" spans="13:18" ht="15.6" customHeight="1">
      <c r="M306" s="2"/>
      <c r="N306" s="2"/>
      <c r="O306" s="2"/>
      <c r="P306" s="2"/>
      <c r="Q306" s="2"/>
      <c r="R306" s="2"/>
    </row>
    <row r="307" spans="13:18" ht="15.6" customHeight="1">
      <c r="M307" s="2"/>
      <c r="N307" s="2"/>
      <c r="O307" s="2"/>
      <c r="P307" s="2"/>
      <c r="Q307" s="2"/>
      <c r="R307" s="2"/>
    </row>
    <row r="308" spans="13:18" ht="15.6" customHeight="1">
      <c r="M308" s="2"/>
      <c r="N308" s="2"/>
      <c r="O308" s="2"/>
      <c r="P308" s="2"/>
      <c r="Q308" s="2"/>
      <c r="R308" s="2"/>
    </row>
    <row r="309" spans="13:18" ht="15.6" customHeight="1">
      <c r="M309" s="2"/>
      <c r="N309" s="2"/>
      <c r="O309" s="2"/>
      <c r="P309" s="2"/>
      <c r="Q309" s="2"/>
      <c r="R309" s="2"/>
    </row>
    <row r="310" spans="13:18" ht="15.6" customHeight="1">
      <c r="M310" s="2"/>
      <c r="N310" s="2"/>
      <c r="O310" s="2"/>
      <c r="P310" s="2"/>
      <c r="Q310" s="2"/>
      <c r="R310" s="2"/>
    </row>
    <row r="311" spans="13:18" ht="15.6" customHeight="1">
      <c r="M311" s="2"/>
      <c r="N311" s="2"/>
      <c r="O311" s="2"/>
      <c r="P311" s="2"/>
      <c r="Q311" s="2"/>
      <c r="R311" s="2"/>
    </row>
    <row r="312" spans="13:18" ht="15.6" customHeight="1">
      <c r="M312" s="2"/>
      <c r="N312" s="2"/>
      <c r="O312" s="2"/>
      <c r="P312" s="2"/>
      <c r="Q312" s="2"/>
      <c r="R312" s="2"/>
    </row>
    <row r="313" spans="13:18" ht="15.6" customHeight="1">
      <c r="M313" s="2"/>
      <c r="N313" s="2"/>
      <c r="O313" s="2"/>
      <c r="P313" s="2"/>
      <c r="Q313" s="2"/>
      <c r="R313" s="2"/>
    </row>
    <row r="314" spans="13:18" ht="15.6" customHeight="1">
      <c r="M314" s="2"/>
      <c r="N314" s="2"/>
      <c r="O314" s="2"/>
      <c r="P314" s="2"/>
      <c r="Q314" s="2"/>
      <c r="R314" s="2"/>
    </row>
    <row r="315" spans="13:18" ht="15.6" customHeight="1">
      <c r="M315" s="2"/>
      <c r="N315" s="2"/>
      <c r="O315" s="2"/>
      <c r="P315" s="2"/>
      <c r="Q315" s="2"/>
      <c r="R315" s="2"/>
    </row>
    <row r="316" spans="13:18" ht="15.6" customHeight="1">
      <c r="M316" s="2"/>
      <c r="N316" s="2"/>
      <c r="O316" s="2"/>
      <c r="P316" s="2"/>
      <c r="Q316" s="2"/>
      <c r="R316" s="2"/>
    </row>
    <row r="317" spans="13:18" ht="15.6" customHeight="1">
      <c r="M317" s="2"/>
      <c r="N317" s="2"/>
      <c r="O317" s="2"/>
      <c r="P317" s="2"/>
      <c r="Q317" s="2"/>
      <c r="R317" s="2"/>
    </row>
    <row r="318" spans="13:18" ht="15.6" customHeight="1">
      <c r="M318" s="2"/>
      <c r="N318" s="2"/>
      <c r="O318" s="2"/>
      <c r="P318" s="2"/>
      <c r="Q318" s="2"/>
      <c r="R318" s="2"/>
    </row>
    <row r="319" spans="13:18" ht="15.6" customHeight="1">
      <c r="M319" s="2"/>
      <c r="N319" s="2"/>
      <c r="O319" s="2"/>
      <c r="P319" s="2"/>
      <c r="Q319" s="2"/>
      <c r="R319" s="2"/>
    </row>
    <row r="320" spans="13:18" ht="15.6" customHeight="1">
      <c r="M320" s="2"/>
      <c r="N320" s="2"/>
      <c r="O320" s="2"/>
      <c r="P320" s="2"/>
      <c r="Q320" s="2"/>
      <c r="R320" s="2"/>
    </row>
    <row r="321" spans="13:18" ht="15.6" customHeight="1">
      <c r="M321" s="2"/>
      <c r="N321" s="2"/>
      <c r="O321" s="2"/>
      <c r="P321" s="2"/>
      <c r="Q321" s="2"/>
      <c r="R321" s="2"/>
    </row>
    <row r="322" spans="13:18" ht="15.6" customHeight="1">
      <c r="M322" s="2"/>
      <c r="N322" s="2"/>
      <c r="O322" s="2"/>
      <c r="P322" s="2"/>
      <c r="Q322" s="2"/>
      <c r="R322" s="2"/>
    </row>
    <row r="323" spans="13:18" ht="15.6" customHeight="1">
      <c r="M323" s="2"/>
      <c r="N323" s="2"/>
      <c r="O323" s="2"/>
      <c r="P323" s="2"/>
      <c r="Q323" s="2"/>
      <c r="R323" s="2"/>
    </row>
    <row r="324" spans="13:18" ht="15.6" customHeight="1">
      <c r="M324" s="2"/>
      <c r="N324" s="2"/>
      <c r="O324" s="2"/>
      <c r="P324" s="2"/>
      <c r="Q324" s="2"/>
      <c r="R324" s="2"/>
    </row>
    <row r="325" spans="13:18" ht="15.6" customHeight="1">
      <c r="M325" s="2"/>
      <c r="N325" s="2"/>
      <c r="O325" s="2"/>
      <c r="P325" s="2"/>
      <c r="Q325" s="2"/>
      <c r="R325" s="2"/>
    </row>
    <row r="326" spans="13:18" ht="15.6" customHeight="1">
      <c r="M326" s="2"/>
      <c r="N326" s="2"/>
      <c r="O326" s="2"/>
      <c r="P326" s="2"/>
      <c r="Q326" s="2"/>
      <c r="R326" s="2"/>
    </row>
    <row r="327" spans="13:18" ht="15.6" customHeight="1">
      <c r="M327" s="2"/>
      <c r="N327" s="2"/>
      <c r="O327" s="2"/>
      <c r="P327" s="2"/>
      <c r="Q327" s="2"/>
      <c r="R327" s="2"/>
    </row>
    <row r="328" spans="13:18" ht="15.6" customHeight="1">
      <c r="M328" s="2"/>
      <c r="N328" s="2"/>
      <c r="O328" s="2"/>
      <c r="P328" s="2"/>
      <c r="Q328" s="2"/>
      <c r="R328" s="2"/>
    </row>
    <row r="329" spans="13:18" ht="15.6" customHeight="1">
      <c r="M329" s="2"/>
      <c r="N329" s="2"/>
      <c r="O329" s="2"/>
      <c r="P329" s="2"/>
      <c r="Q329" s="2"/>
      <c r="R329" s="2"/>
    </row>
    <row r="330" spans="13:18" ht="15.6" customHeight="1">
      <c r="M330" s="2"/>
      <c r="N330" s="2"/>
      <c r="O330" s="2"/>
      <c r="P330" s="2"/>
      <c r="Q330" s="2"/>
      <c r="R330" s="2"/>
    </row>
    <row r="331" spans="13:18" ht="15.6" customHeight="1">
      <c r="M331" s="2"/>
      <c r="N331" s="2"/>
      <c r="O331" s="2"/>
      <c r="P331" s="2"/>
      <c r="Q331" s="2"/>
      <c r="R331" s="2"/>
    </row>
    <row r="332" spans="13:18" ht="15.6" customHeight="1">
      <c r="M332" s="2"/>
      <c r="N332" s="2"/>
      <c r="O332" s="2"/>
      <c r="P332" s="2"/>
      <c r="Q332" s="2"/>
      <c r="R332" s="2"/>
    </row>
    <row r="333" spans="13:18" ht="15.6" customHeight="1">
      <c r="M333" s="2"/>
      <c r="N333" s="2"/>
      <c r="O333" s="2"/>
      <c r="P333" s="2"/>
      <c r="Q333" s="2"/>
      <c r="R333" s="2"/>
    </row>
    <row r="334" spans="13:18" ht="15.6" customHeight="1">
      <c r="M334" s="2"/>
      <c r="N334" s="2"/>
      <c r="O334" s="2"/>
      <c r="P334" s="2"/>
      <c r="Q334" s="2"/>
      <c r="R334" s="2"/>
    </row>
    <row r="335" spans="13:18" ht="15.6" customHeight="1">
      <c r="M335" s="2"/>
      <c r="N335" s="2"/>
      <c r="O335" s="2"/>
      <c r="P335" s="2"/>
      <c r="Q335" s="2"/>
      <c r="R335" s="2"/>
    </row>
    <row r="336" spans="13:18" ht="15.6" customHeight="1">
      <c r="M336" s="2"/>
      <c r="N336" s="2"/>
      <c r="O336" s="2"/>
      <c r="P336" s="2"/>
      <c r="Q336" s="2"/>
      <c r="R336" s="2"/>
    </row>
    <row r="337" spans="13:18" ht="15.6" customHeight="1">
      <c r="M337" s="2"/>
      <c r="N337" s="2"/>
      <c r="O337" s="2"/>
      <c r="P337" s="2"/>
      <c r="Q337" s="2"/>
      <c r="R337" s="2"/>
    </row>
    <row r="338" spans="13:18" ht="15.6" customHeight="1">
      <c r="M338" s="2"/>
      <c r="N338" s="2"/>
      <c r="O338" s="2"/>
      <c r="P338" s="2"/>
      <c r="Q338" s="2"/>
      <c r="R338" s="2"/>
    </row>
    <row r="339" spans="13:18" ht="15.6" customHeight="1">
      <c r="M339" s="2"/>
      <c r="N339" s="2"/>
      <c r="O339" s="2"/>
      <c r="P339" s="2"/>
      <c r="Q339" s="2"/>
      <c r="R339" s="2"/>
    </row>
    <row r="340" spans="13:18" ht="15.6" customHeight="1">
      <c r="M340" s="2"/>
      <c r="N340" s="2"/>
      <c r="O340" s="2"/>
      <c r="P340" s="2"/>
      <c r="Q340" s="2"/>
      <c r="R340" s="2"/>
    </row>
    <row r="341" spans="13:18" ht="15.6" customHeight="1">
      <c r="M341" s="2"/>
      <c r="N341" s="2"/>
      <c r="O341" s="2"/>
      <c r="P341" s="2"/>
      <c r="Q341" s="2"/>
      <c r="R341" s="2"/>
    </row>
    <row r="342" spans="13:18" ht="15.6" customHeight="1">
      <c r="M342" s="2"/>
      <c r="N342" s="2"/>
      <c r="O342" s="2"/>
      <c r="P342" s="2"/>
      <c r="Q342" s="2"/>
      <c r="R342" s="2"/>
    </row>
    <row r="343" spans="13:18" ht="15.6" customHeight="1">
      <c r="M343" s="2"/>
      <c r="N343" s="2"/>
      <c r="O343" s="2"/>
      <c r="P343" s="2"/>
      <c r="Q343" s="2"/>
      <c r="R343" s="2"/>
    </row>
    <row r="344" spans="13:18" ht="15.6" customHeight="1">
      <c r="M344" s="2"/>
      <c r="N344" s="2"/>
      <c r="O344" s="2"/>
      <c r="P344" s="2"/>
      <c r="Q344" s="2"/>
      <c r="R344" s="2"/>
    </row>
    <row r="345" spans="13:18" ht="15.6" customHeight="1">
      <c r="M345" s="2"/>
      <c r="N345" s="2"/>
      <c r="O345" s="2"/>
      <c r="P345" s="2"/>
      <c r="Q345" s="2"/>
      <c r="R345" s="2"/>
    </row>
    <row r="346" spans="13:18" ht="15.6" customHeight="1">
      <c r="M346" s="2"/>
      <c r="N346" s="2"/>
      <c r="O346" s="2"/>
      <c r="P346" s="2"/>
      <c r="Q346" s="2"/>
      <c r="R346" s="2"/>
    </row>
    <row r="347" spans="13:18" ht="15.6" customHeight="1">
      <c r="M347" s="2"/>
      <c r="N347" s="2"/>
      <c r="O347" s="2"/>
      <c r="P347" s="2"/>
      <c r="Q347" s="2"/>
      <c r="R347" s="2"/>
    </row>
    <row r="348" spans="13:18" ht="15.6" customHeight="1">
      <c r="M348" s="2"/>
      <c r="N348" s="2"/>
      <c r="O348" s="2"/>
      <c r="P348" s="2"/>
      <c r="Q348" s="2"/>
      <c r="R348" s="2"/>
    </row>
    <row r="349" spans="13:18" ht="15.6" customHeight="1">
      <c r="M349" s="2"/>
      <c r="N349" s="2"/>
      <c r="O349" s="2"/>
      <c r="P349" s="2"/>
      <c r="Q349" s="2"/>
      <c r="R349" s="2"/>
    </row>
    <row r="350" spans="13:18" ht="15.6" customHeight="1">
      <c r="M350" s="2"/>
      <c r="N350" s="2"/>
      <c r="O350" s="2"/>
      <c r="P350" s="2"/>
      <c r="Q350" s="2"/>
      <c r="R350" s="2"/>
    </row>
    <row r="351" spans="13:18" ht="15.6" customHeight="1">
      <c r="M351" s="2"/>
      <c r="N351" s="2"/>
      <c r="O351" s="2"/>
      <c r="P351" s="2"/>
      <c r="Q351" s="2"/>
      <c r="R351" s="2"/>
    </row>
    <row r="352" spans="13:18" ht="15.6" customHeight="1">
      <c r="M352" s="2"/>
      <c r="N352" s="2"/>
      <c r="O352" s="2"/>
      <c r="P352" s="2"/>
      <c r="Q352" s="2"/>
      <c r="R352" s="2"/>
    </row>
    <row r="353" spans="13:18" ht="15.6" customHeight="1">
      <c r="M353" s="2"/>
      <c r="N353" s="2"/>
      <c r="O353" s="2"/>
      <c r="P353" s="2"/>
      <c r="Q353" s="2"/>
      <c r="R353" s="2"/>
    </row>
    <row r="354" spans="13:18" ht="15.6" customHeight="1">
      <c r="M354" s="2"/>
      <c r="N354" s="2"/>
      <c r="O354" s="2"/>
      <c r="P354" s="2"/>
      <c r="Q354" s="2"/>
      <c r="R354" s="2"/>
    </row>
    <row r="355" spans="13:18" ht="15.6" customHeight="1">
      <c r="M355" s="2"/>
      <c r="N355" s="2"/>
      <c r="O355" s="2"/>
      <c r="P355" s="2"/>
      <c r="Q355" s="2"/>
      <c r="R355" s="2"/>
    </row>
    <row r="356" spans="13:18" ht="15.6" customHeight="1">
      <c r="M356" s="2"/>
      <c r="N356" s="2"/>
      <c r="O356" s="2"/>
      <c r="P356" s="2"/>
      <c r="Q356" s="2"/>
      <c r="R356" s="2"/>
    </row>
    <row r="357" spans="13:18" ht="15.6" customHeight="1">
      <c r="M357" s="2"/>
      <c r="N357" s="2"/>
      <c r="O357" s="2"/>
      <c r="P357" s="2"/>
      <c r="Q357" s="2"/>
      <c r="R357" s="2"/>
    </row>
    <row r="358" spans="13:18" ht="15.6" customHeight="1">
      <c r="M358" s="2"/>
      <c r="N358" s="2"/>
      <c r="O358" s="2"/>
      <c r="P358" s="2"/>
      <c r="Q358" s="2"/>
      <c r="R358" s="2"/>
    </row>
    <row r="359" spans="13:18" ht="15.6" customHeight="1">
      <c r="M359" s="2"/>
      <c r="N359" s="2"/>
      <c r="O359" s="2"/>
      <c r="P359" s="2"/>
      <c r="Q359" s="2"/>
      <c r="R359" s="2"/>
    </row>
    <row r="360" spans="13:18" ht="15.6" customHeight="1">
      <c r="M360" s="2"/>
      <c r="N360" s="2"/>
      <c r="O360" s="2"/>
      <c r="P360" s="2"/>
      <c r="Q360" s="2"/>
      <c r="R360" s="2"/>
    </row>
    <row r="361" spans="13:18" ht="15.6" customHeight="1">
      <c r="M361" s="2"/>
      <c r="N361" s="2"/>
      <c r="O361" s="2"/>
      <c r="P361" s="2"/>
      <c r="Q361" s="2"/>
      <c r="R361" s="2"/>
    </row>
    <row r="362" spans="13:18" ht="15.6" customHeight="1">
      <c r="M362" s="2"/>
      <c r="N362" s="2"/>
      <c r="O362" s="2"/>
      <c r="P362" s="2"/>
      <c r="Q362" s="2"/>
      <c r="R362" s="2"/>
    </row>
    <row r="363" spans="13:18" ht="15.6" customHeight="1">
      <c r="M363" s="2"/>
      <c r="N363" s="2"/>
      <c r="O363" s="2"/>
      <c r="P363" s="2"/>
      <c r="Q363" s="2"/>
      <c r="R363" s="2"/>
    </row>
    <row r="364" spans="13:18" ht="15.6" customHeight="1">
      <c r="M364" s="2"/>
      <c r="N364" s="2"/>
      <c r="O364" s="2"/>
      <c r="P364" s="2"/>
      <c r="Q364" s="2"/>
      <c r="R364" s="2"/>
    </row>
    <row r="365" spans="13:18" ht="15.6" customHeight="1">
      <c r="M365" s="2"/>
      <c r="N365" s="2"/>
      <c r="O365" s="2"/>
      <c r="P365" s="2"/>
      <c r="Q365" s="2"/>
      <c r="R365" s="2"/>
    </row>
    <row r="366" spans="13:18" ht="15.6" customHeight="1">
      <c r="M366" s="2"/>
      <c r="N366" s="2"/>
      <c r="O366" s="2"/>
      <c r="P366" s="2"/>
      <c r="Q366" s="2"/>
      <c r="R366" s="2"/>
    </row>
    <row r="367" spans="13:18" ht="15.6" customHeight="1">
      <c r="M367" s="2"/>
      <c r="N367" s="2"/>
      <c r="O367" s="2"/>
      <c r="P367" s="2"/>
      <c r="Q367" s="2"/>
      <c r="R367" s="2"/>
    </row>
    <row r="368" spans="13:18" ht="15.6" customHeight="1">
      <c r="M368" s="2"/>
      <c r="N368" s="2"/>
      <c r="O368" s="2"/>
      <c r="P368" s="2"/>
      <c r="Q368" s="2"/>
      <c r="R368" s="2"/>
    </row>
    <row r="369" spans="13:18" ht="15.6" customHeight="1">
      <c r="M369" s="2"/>
      <c r="N369" s="2"/>
      <c r="O369" s="2"/>
      <c r="P369" s="2"/>
      <c r="Q369" s="2"/>
      <c r="R369" s="2"/>
    </row>
    <row r="370" spans="13:18" ht="15.6" customHeight="1">
      <c r="M370" s="2"/>
      <c r="N370" s="2"/>
      <c r="O370" s="2"/>
      <c r="P370" s="2"/>
      <c r="Q370" s="2"/>
      <c r="R370" s="2"/>
    </row>
    <row r="371" spans="13:18" ht="15.6" customHeight="1">
      <c r="M371" s="2"/>
      <c r="N371" s="2"/>
      <c r="O371" s="2"/>
      <c r="P371" s="2"/>
      <c r="Q371" s="2"/>
      <c r="R371" s="2"/>
    </row>
    <row r="372" spans="13:18" ht="15.6" customHeight="1">
      <c r="M372" s="2"/>
      <c r="N372" s="2"/>
      <c r="O372" s="2"/>
      <c r="P372" s="2"/>
      <c r="Q372" s="2"/>
      <c r="R372" s="2"/>
    </row>
    <row r="373" spans="13:18" ht="15.6" customHeight="1">
      <c r="M373" s="2"/>
      <c r="N373" s="2"/>
      <c r="O373" s="2"/>
      <c r="P373" s="2"/>
      <c r="Q373" s="2"/>
      <c r="R373" s="2"/>
    </row>
    <row r="374" spans="13:18" ht="15.6" customHeight="1">
      <c r="M374" s="2"/>
      <c r="N374" s="2"/>
      <c r="O374" s="2"/>
      <c r="P374" s="2"/>
      <c r="Q374" s="2"/>
      <c r="R374" s="2"/>
    </row>
    <row r="375" spans="13:18" ht="15.6" customHeight="1">
      <c r="M375" s="2"/>
      <c r="N375" s="2"/>
      <c r="O375" s="2"/>
      <c r="P375" s="2"/>
      <c r="Q375" s="2"/>
      <c r="R375" s="2"/>
    </row>
    <row r="376" spans="13:18" ht="15.6" customHeight="1">
      <c r="M376" s="2"/>
      <c r="N376" s="2"/>
      <c r="O376" s="2"/>
      <c r="P376" s="2"/>
      <c r="Q376" s="2"/>
      <c r="R376" s="2"/>
    </row>
    <row r="377" spans="13:18" ht="15.6" customHeight="1">
      <c r="M377" s="2"/>
      <c r="N377" s="2"/>
      <c r="O377" s="2"/>
      <c r="P377" s="2"/>
      <c r="Q377" s="2"/>
      <c r="R377" s="2"/>
    </row>
    <row r="378" spans="13:18" ht="15.6" customHeight="1">
      <c r="M378" s="2"/>
      <c r="N378" s="2"/>
      <c r="O378" s="2"/>
      <c r="P378" s="2"/>
      <c r="Q378" s="2"/>
      <c r="R378" s="2"/>
    </row>
    <row r="379" spans="13:18" ht="15.6" customHeight="1">
      <c r="M379" s="2"/>
      <c r="N379" s="2"/>
      <c r="O379" s="2"/>
      <c r="P379" s="2"/>
      <c r="Q379" s="2"/>
      <c r="R379" s="2"/>
    </row>
    <row r="380" spans="13:18" ht="15.6" customHeight="1">
      <c r="M380" s="2"/>
      <c r="N380" s="2"/>
      <c r="O380" s="2"/>
      <c r="P380" s="2"/>
      <c r="Q380" s="2"/>
      <c r="R380" s="2"/>
    </row>
    <row r="381" spans="13:18" ht="15.6" customHeight="1">
      <c r="M381" s="2"/>
      <c r="N381" s="2"/>
      <c r="O381" s="2"/>
      <c r="P381" s="2"/>
      <c r="Q381" s="2"/>
      <c r="R381" s="2"/>
    </row>
    <row r="382" spans="13:18" ht="15.6" customHeight="1">
      <c r="M382" s="2"/>
      <c r="N382" s="2"/>
      <c r="O382" s="2"/>
      <c r="P382" s="2"/>
      <c r="Q382" s="2"/>
      <c r="R382" s="2"/>
    </row>
    <row r="383" spans="13:18" ht="15.6" customHeight="1">
      <c r="M383" s="2"/>
      <c r="N383" s="2"/>
      <c r="O383" s="2"/>
      <c r="P383" s="2"/>
      <c r="Q383" s="2"/>
      <c r="R383" s="2"/>
    </row>
    <row r="384" spans="13:18" ht="15.6" customHeight="1">
      <c r="M384" s="2"/>
      <c r="N384" s="2"/>
      <c r="O384" s="2"/>
      <c r="P384" s="2"/>
      <c r="Q384" s="2"/>
      <c r="R384" s="2"/>
    </row>
    <row r="385" spans="13:18" ht="15.6" customHeight="1">
      <c r="M385" s="2"/>
      <c r="N385" s="2"/>
      <c r="O385" s="2"/>
      <c r="P385" s="2"/>
      <c r="Q385" s="2"/>
      <c r="R385" s="2"/>
    </row>
    <row r="386" spans="13:18" ht="15.6" customHeight="1">
      <c r="M386" s="2"/>
      <c r="N386" s="2"/>
      <c r="O386" s="2"/>
      <c r="P386" s="2"/>
      <c r="Q386" s="2"/>
      <c r="R386" s="2"/>
    </row>
    <row r="387" spans="13:18" ht="15.6" customHeight="1">
      <c r="M387" s="2"/>
      <c r="N387" s="2"/>
      <c r="O387" s="2"/>
      <c r="P387" s="2"/>
      <c r="Q387" s="2"/>
      <c r="R387" s="2"/>
    </row>
    <row r="388" spans="13:18" ht="15.6" customHeight="1">
      <c r="M388" s="2"/>
      <c r="N388" s="2"/>
      <c r="O388" s="2"/>
      <c r="P388" s="2"/>
      <c r="Q388" s="2"/>
      <c r="R388" s="2"/>
    </row>
    <row r="389" spans="13:18" ht="15.6" customHeight="1">
      <c r="M389" s="2"/>
      <c r="N389" s="2"/>
      <c r="O389" s="2"/>
      <c r="P389" s="2"/>
      <c r="Q389" s="2"/>
      <c r="R389" s="2"/>
    </row>
    <row r="390" spans="13:18" ht="15.6" customHeight="1">
      <c r="M390" s="2"/>
      <c r="N390" s="2"/>
      <c r="O390" s="2"/>
      <c r="P390" s="2"/>
      <c r="Q390" s="2"/>
      <c r="R390" s="2"/>
    </row>
    <row r="391" spans="13:18" ht="15.6" customHeight="1">
      <c r="M391" s="2"/>
      <c r="N391" s="2"/>
      <c r="O391" s="2"/>
      <c r="P391" s="2"/>
      <c r="Q391" s="2"/>
      <c r="R391" s="2"/>
    </row>
    <row r="392" spans="13:18" ht="15.6" customHeight="1">
      <c r="M392" s="2"/>
      <c r="N392" s="2"/>
      <c r="O392" s="2"/>
      <c r="P392" s="2"/>
      <c r="Q392" s="2"/>
      <c r="R392" s="2"/>
    </row>
    <row r="393" spans="13:18" ht="15.6" customHeight="1">
      <c r="M393" s="2"/>
      <c r="N393" s="2"/>
      <c r="O393" s="2"/>
      <c r="P393" s="2"/>
      <c r="Q393" s="2"/>
      <c r="R393" s="2"/>
    </row>
    <row r="394" spans="13:18" ht="15.6" customHeight="1">
      <c r="M394" s="2"/>
      <c r="N394" s="2"/>
      <c r="O394" s="2"/>
      <c r="P394" s="2"/>
      <c r="Q394" s="2"/>
      <c r="R394" s="2"/>
    </row>
    <row r="395" spans="13:18" ht="15.6" customHeight="1">
      <c r="M395" s="2"/>
      <c r="N395" s="2"/>
      <c r="O395" s="2"/>
      <c r="P395" s="2"/>
      <c r="Q395" s="2"/>
      <c r="R395" s="2"/>
    </row>
    <row r="396" spans="13:18" ht="15.6" customHeight="1">
      <c r="M396" s="2"/>
      <c r="N396" s="2"/>
      <c r="O396" s="2"/>
      <c r="P396" s="2"/>
      <c r="Q396" s="2"/>
      <c r="R396" s="2"/>
    </row>
    <row r="397" spans="13:18" ht="15.6" customHeight="1">
      <c r="M397" s="2"/>
      <c r="N397" s="2"/>
      <c r="O397" s="2"/>
      <c r="P397" s="2"/>
      <c r="Q397" s="2"/>
      <c r="R397" s="2"/>
    </row>
    <row r="398" spans="13:18" ht="15.6" customHeight="1">
      <c r="M398" s="2"/>
      <c r="N398" s="2"/>
      <c r="O398" s="2"/>
      <c r="P398" s="2"/>
      <c r="Q398" s="2"/>
      <c r="R398" s="2"/>
    </row>
    <row r="399" spans="13:18" ht="15.6" customHeight="1">
      <c r="M399" s="2"/>
      <c r="N399" s="2"/>
      <c r="O399" s="2"/>
      <c r="P399" s="2"/>
      <c r="Q399" s="2"/>
      <c r="R399" s="2"/>
    </row>
    <row r="400" spans="13:18" ht="15.6" customHeight="1">
      <c r="M400" s="2"/>
      <c r="N400" s="2"/>
      <c r="O400" s="2"/>
      <c r="P400" s="2"/>
      <c r="Q400" s="2"/>
      <c r="R400" s="2"/>
    </row>
    <row r="401" spans="13:18" ht="15.6" customHeight="1">
      <c r="M401" s="2"/>
      <c r="N401" s="2"/>
      <c r="O401" s="2"/>
      <c r="P401" s="2"/>
      <c r="Q401" s="2"/>
      <c r="R401" s="2"/>
    </row>
    <row r="402" spans="13:18" ht="15.75"/>
    <row r="403" spans="13:18" ht="15.75"/>
    <row r="404" spans="13:18" ht="15.75"/>
    <row r="405" spans="13:18" ht="15.75"/>
    <row r="406" spans="13:18" ht="15.75"/>
    <row r="407" spans="13:18" ht="15.75"/>
    <row r="408" spans="13:18" ht="15.75"/>
    <row r="409" spans="13:18" ht="15.75"/>
    <row r="410" spans="13:18" ht="15.75"/>
    <row r="411" spans="13:18" ht="15.75"/>
    <row r="412" spans="13:18" ht="15.75"/>
    <row r="413" spans="13:18" ht="15.75"/>
    <row r="414" spans="13:18" ht="15.75"/>
    <row r="415" spans="13:18" ht="15.75"/>
    <row r="416" spans="13:18" ht="15.6" customHeight="1"/>
    <row r="417" ht="15.75"/>
    <row r="418" ht="15.75"/>
    <row r="419" ht="15.6" customHeight="1"/>
    <row r="420" ht="15.6" customHeight="1"/>
    <row r="421" ht="15.6" customHeight="1"/>
    <row r="422" ht="15.6" customHeight="1"/>
    <row r="423" ht="15.6" customHeight="1"/>
    <row r="424" ht="15.75"/>
    <row r="425" ht="15.75"/>
    <row r="426" ht="15.6" customHeight="1"/>
    <row r="427" ht="15.6" customHeight="1"/>
    <row r="428" ht="15.6" customHeight="1"/>
    <row r="429" ht="15.6" customHeight="1"/>
    <row r="430" ht="15.6" customHeight="1"/>
    <row r="431" ht="15.6" customHeight="1"/>
    <row r="432" ht="15.6" customHeight="1"/>
    <row r="433" ht="15.6" customHeight="1"/>
    <row r="434" ht="15.6" customHeight="1"/>
    <row r="435" ht="15.6" customHeight="1"/>
    <row r="436" ht="15.6" customHeight="1"/>
    <row r="437" ht="15.6" customHeight="1"/>
    <row r="438" ht="15.6" customHeight="1"/>
    <row r="439" ht="15.6" customHeight="1"/>
    <row r="440" ht="15.6" customHeight="1"/>
    <row r="441" ht="15.6" customHeight="1"/>
    <row r="442" ht="15.6" customHeight="1"/>
    <row r="443" ht="15.6" customHeight="1"/>
    <row r="444" ht="15.6" customHeight="1"/>
    <row r="445" ht="15.6" customHeight="1"/>
    <row r="446" ht="15.6" customHeight="1"/>
    <row r="447" ht="15.6" customHeight="1"/>
    <row r="448" ht="15.6" customHeight="1"/>
    <row r="449" ht="15.6" customHeight="1"/>
    <row r="450" ht="15.6" customHeight="1"/>
    <row r="451" ht="15.6" customHeight="1"/>
    <row r="452" ht="15.6" customHeight="1"/>
    <row r="453" ht="15.6" customHeight="1"/>
    <row r="454" ht="15.6" customHeight="1"/>
    <row r="455" ht="15.6" customHeight="1"/>
    <row r="456" ht="15.6" customHeight="1"/>
    <row r="457" ht="15.6" customHeight="1"/>
    <row r="458" ht="15.6" customHeight="1"/>
    <row r="459" ht="15.6" customHeight="1"/>
    <row r="460" ht="15.6" customHeight="1"/>
    <row r="461" ht="15.6" customHeight="1"/>
    <row r="462" ht="15.6" customHeight="1"/>
    <row r="463" ht="15.6" customHeight="1"/>
    <row r="464" ht="15.6" customHeight="1"/>
    <row r="465" ht="15.6" customHeight="1"/>
    <row r="466" ht="15.6" customHeight="1"/>
    <row r="467" ht="15.6" customHeight="1"/>
    <row r="468" ht="15.6" customHeight="1"/>
    <row r="469" ht="15.6" customHeight="1"/>
    <row r="470" ht="15.6" customHeight="1"/>
    <row r="471" ht="15.6" customHeight="1"/>
    <row r="472" ht="15.6" customHeight="1"/>
    <row r="473" ht="15.6" customHeight="1"/>
    <row r="474" ht="15.6" customHeight="1"/>
    <row r="475" ht="15.6" customHeight="1"/>
    <row r="476" ht="15.6" customHeight="1"/>
    <row r="477" ht="15.6" customHeight="1"/>
    <row r="478" ht="15.6" customHeight="1"/>
    <row r="479" ht="15.6" customHeight="1"/>
    <row r="480" ht="15.6" customHeight="1"/>
    <row r="481" ht="15.6" customHeight="1"/>
    <row r="482" ht="15.6" customHeight="1"/>
    <row r="483" ht="15.6" customHeight="1"/>
    <row r="484" ht="15.6" customHeight="1"/>
    <row r="485" ht="15.6" customHeight="1"/>
    <row r="486" ht="15.6" customHeight="1"/>
    <row r="487" ht="15.6" customHeight="1"/>
    <row r="488" ht="15.6" customHeight="1"/>
    <row r="489" ht="15.6" customHeight="1"/>
    <row r="490" ht="15.6" customHeight="1"/>
    <row r="491" ht="15.6" customHeight="1"/>
    <row r="492" ht="15.6" customHeight="1"/>
    <row r="493" ht="15.6" customHeight="1"/>
    <row r="494" ht="15.6" customHeight="1"/>
    <row r="495" ht="15.6" customHeight="1"/>
    <row r="496" ht="15.6" customHeight="1"/>
    <row r="497" ht="15.6" customHeight="1"/>
    <row r="498" ht="15.6" customHeight="1"/>
    <row r="499" ht="15.6" customHeight="1"/>
    <row r="500" ht="15.6" customHeight="1"/>
    <row r="501" ht="15.6" customHeight="1"/>
    <row r="502" ht="15.6" customHeight="1"/>
    <row r="503" ht="15.6" customHeight="1"/>
    <row r="504" ht="15.6" customHeight="1"/>
    <row r="505" ht="15.6" customHeight="1"/>
    <row r="506" ht="15.6" customHeight="1"/>
    <row r="507" ht="15.6" customHeight="1"/>
    <row r="508" ht="15.6" customHeight="1"/>
    <row r="509" ht="15.6" customHeight="1"/>
    <row r="510" ht="15.6" customHeight="1"/>
    <row r="511" ht="15.6" customHeight="1"/>
    <row r="512" ht="15.6" customHeight="1"/>
    <row r="513" ht="15.6" customHeight="1"/>
    <row r="514" ht="15.6" customHeight="1"/>
    <row r="515" ht="15.6" customHeight="1"/>
    <row r="516" ht="15.6" customHeight="1"/>
    <row r="517" ht="15.6" customHeight="1"/>
    <row r="518" ht="15.6" customHeight="1"/>
    <row r="519" ht="15.6" customHeight="1"/>
    <row r="520" ht="15.6" customHeight="1"/>
    <row r="521" ht="15.6" customHeight="1"/>
    <row r="522" ht="15.6" customHeight="1"/>
    <row r="523" ht="15.6" customHeight="1"/>
    <row r="524" ht="15.6" customHeight="1"/>
    <row r="525" ht="15.6" customHeight="1"/>
    <row r="526" ht="15.6" customHeight="1"/>
    <row r="527" ht="15.6" customHeight="1"/>
    <row r="528" ht="15.6" customHeight="1"/>
    <row r="529" ht="15.6" customHeight="1"/>
    <row r="530" ht="15.6" customHeight="1"/>
    <row r="531" ht="15.6" customHeight="1"/>
    <row r="532" ht="15.6" customHeight="1"/>
    <row r="533" ht="15.6" customHeight="1"/>
    <row r="534" ht="15.6" customHeight="1"/>
    <row r="535" ht="15.6" customHeight="1"/>
    <row r="536" ht="15.6" customHeight="1"/>
    <row r="537" ht="15.6" customHeight="1"/>
    <row r="538" ht="15.6" customHeight="1"/>
    <row r="539" ht="15.6" customHeight="1"/>
    <row r="540" ht="15.6" customHeight="1"/>
    <row r="541" ht="15.6" customHeight="1"/>
    <row r="542" ht="15.6" customHeight="1"/>
    <row r="543" ht="15.6" customHeight="1"/>
    <row r="544" ht="15.6" customHeight="1"/>
    <row r="545" ht="15.6" customHeight="1"/>
    <row r="546" ht="15.6" customHeight="1"/>
    <row r="547" ht="15.6" customHeight="1"/>
    <row r="548" ht="15.6" customHeight="1"/>
    <row r="549" ht="15.6" customHeight="1"/>
    <row r="550" ht="15.6" customHeight="1"/>
    <row r="551" ht="15.6" customHeight="1"/>
    <row r="552" ht="15.6" customHeight="1"/>
    <row r="553" ht="15.6" customHeight="1"/>
    <row r="554" ht="15.6" customHeight="1"/>
    <row r="555" ht="15.6" customHeight="1"/>
    <row r="556" ht="15.6" customHeight="1"/>
    <row r="557" ht="15.6" customHeight="1"/>
    <row r="558" ht="15.6" customHeight="1"/>
    <row r="559" ht="15.6" customHeight="1"/>
    <row r="560" ht="15.6" customHeight="1"/>
    <row r="561" ht="15.6" customHeight="1"/>
    <row r="562" ht="15.6" customHeight="1"/>
    <row r="563" ht="15.6" customHeight="1"/>
    <row r="564" ht="15.6" customHeight="1"/>
    <row r="565" ht="15.6" customHeight="1"/>
    <row r="566" ht="15.6" customHeight="1"/>
    <row r="567" ht="15.6" customHeight="1"/>
    <row r="568" ht="15.6" customHeight="1"/>
    <row r="569" ht="15.6" customHeight="1"/>
    <row r="570" ht="15.6" customHeight="1"/>
    <row r="571" ht="15.6" customHeight="1"/>
    <row r="572" ht="15.6" customHeight="1"/>
    <row r="573" ht="15.6" customHeight="1"/>
    <row r="574" ht="15.6" customHeight="1"/>
    <row r="575" ht="15.6" customHeight="1"/>
    <row r="576" ht="15.6" customHeight="1"/>
    <row r="577" ht="15.6" customHeight="1"/>
    <row r="578" ht="15.6" customHeight="1"/>
    <row r="579" ht="15.6" customHeight="1"/>
    <row r="580" ht="15.6" customHeight="1"/>
    <row r="581" ht="15.6" customHeight="1"/>
    <row r="582" ht="15.6" customHeight="1"/>
    <row r="583" ht="15.6" customHeight="1"/>
    <row r="584" ht="15.6" customHeight="1"/>
    <row r="585" ht="15.6" customHeight="1"/>
    <row r="586" ht="15.6" customHeight="1"/>
    <row r="587" ht="15.6" customHeight="1"/>
    <row r="588" ht="15.6" customHeight="1"/>
    <row r="589" ht="15.6" customHeight="1"/>
    <row r="590" ht="15.6" customHeight="1"/>
    <row r="591" ht="15.6" customHeight="1"/>
    <row r="592" ht="15.6" customHeight="1"/>
    <row r="593" ht="15.6" customHeight="1"/>
    <row r="594" ht="15.6" customHeight="1"/>
    <row r="595" ht="15.6" customHeight="1"/>
    <row r="596" ht="15.6" customHeight="1"/>
    <row r="597" ht="15.6" customHeight="1"/>
    <row r="598" ht="15.6" customHeight="1"/>
    <row r="599" ht="15.6" customHeight="1"/>
    <row r="600" ht="15.6" customHeight="1"/>
    <row r="601" ht="15.6" customHeight="1"/>
    <row r="602" ht="15.6" customHeight="1"/>
    <row r="603" ht="15.6" customHeight="1"/>
    <row r="604" ht="15.6" customHeight="1"/>
    <row r="605" ht="15.6" customHeight="1"/>
    <row r="606" ht="15.6" customHeight="1"/>
    <row r="607" ht="15.6" customHeight="1"/>
    <row r="608" ht="15.6" customHeight="1"/>
    <row r="609" ht="15.6" customHeight="1"/>
    <row r="610" ht="15.6" customHeight="1"/>
    <row r="611" ht="15.6" customHeight="1"/>
    <row r="612" ht="15.6" customHeight="1"/>
    <row r="613" ht="15.6" customHeight="1"/>
    <row r="614" ht="15.6" customHeight="1"/>
    <row r="615" ht="15.6" customHeight="1"/>
    <row r="616" ht="15.6" customHeight="1"/>
    <row r="617" ht="15.6" customHeight="1"/>
    <row r="618" ht="15.6" customHeight="1"/>
    <row r="619" ht="15.6" customHeight="1"/>
    <row r="620" ht="15.6" customHeight="1"/>
    <row r="621" ht="15.6" customHeight="1"/>
    <row r="622" ht="15.6" customHeight="1"/>
    <row r="623" ht="15.6" customHeight="1"/>
    <row r="624" ht="15.6" customHeight="1"/>
    <row r="625" ht="15.6" customHeight="1"/>
    <row r="626" ht="15.6" customHeight="1"/>
    <row r="627" ht="15.6" customHeight="1"/>
    <row r="628" ht="15.6" customHeight="1"/>
    <row r="629" ht="15.6" customHeight="1"/>
    <row r="630" ht="15.6" customHeight="1"/>
    <row r="631" ht="15.6" customHeight="1"/>
    <row r="632" ht="15.6" customHeight="1"/>
    <row r="633" ht="15.6" customHeight="1"/>
    <row r="634" ht="15.6" customHeight="1"/>
    <row r="635" ht="15.6" customHeight="1"/>
    <row r="636" ht="15.6" customHeight="1"/>
    <row r="637" ht="15.6" customHeight="1"/>
    <row r="638" ht="15.6" customHeight="1"/>
    <row r="639" ht="15.6" customHeight="1"/>
    <row r="640" ht="15.6" customHeight="1"/>
    <row r="641" ht="15.6" customHeight="1"/>
    <row r="642" ht="15.6" customHeight="1"/>
    <row r="643" ht="15.6" customHeight="1"/>
    <row r="644" ht="15.6" customHeight="1"/>
    <row r="645" ht="15.6" customHeight="1"/>
    <row r="646" ht="15.6" customHeight="1"/>
    <row r="647" ht="15.6" customHeight="1"/>
    <row r="648" ht="15.6" customHeight="1"/>
    <row r="649" ht="15.6" customHeight="1"/>
    <row r="650" ht="15.6" customHeight="1"/>
    <row r="651" ht="15.6" customHeight="1"/>
    <row r="652" ht="15.6" customHeight="1"/>
    <row r="653" ht="15.6" customHeight="1"/>
    <row r="654" ht="15.6" customHeight="1"/>
    <row r="655" ht="15.6" customHeight="1"/>
    <row r="656" ht="15.6" customHeight="1"/>
    <row r="657" ht="15.6" customHeight="1"/>
    <row r="658" ht="15.6" customHeight="1"/>
    <row r="659" ht="15.6" customHeight="1"/>
    <row r="660" ht="15.6" customHeight="1"/>
    <row r="661" ht="15.6" customHeight="1"/>
    <row r="662" ht="15.6" customHeight="1"/>
    <row r="663" ht="15.6" customHeight="1"/>
    <row r="664" ht="15.6" customHeight="1"/>
    <row r="665" ht="15.6" customHeight="1"/>
    <row r="666" ht="15.6" customHeight="1"/>
    <row r="667" ht="15.6" customHeight="1"/>
    <row r="668" ht="15.6" customHeight="1"/>
    <row r="669" ht="15.6" customHeight="1"/>
    <row r="670" ht="15.6" customHeight="1"/>
    <row r="671" ht="15.6" customHeight="1"/>
    <row r="672" ht="15.6" customHeight="1"/>
    <row r="673" ht="15.6" customHeight="1"/>
    <row r="674" ht="15.6" customHeight="1"/>
    <row r="675" ht="15.6" customHeight="1"/>
    <row r="676" ht="15.6" customHeight="1"/>
    <row r="677" ht="15.6" customHeight="1"/>
    <row r="678" ht="15.6" customHeight="1"/>
    <row r="679" ht="15.6" customHeight="1"/>
    <row r="680" ht="15.6" customHeight="1"/>
    <row r="681" ht="15.6" customHeight="1"/>
    <row r="682" ht="15.6" customHeight="1"/>
    <row r="683" ht="15.6" customHeight="1"/>
    <row r="684" ht="15.6" customHeight="1"/>
    <row r="685" ht="15.6" customHeight="1"/>
    <row r="686" ht="15.6" customHeight="1"/>
    <row r="687" ht="15.6" customHeight="1"/>
    <row r="688" ht="15.6" customHeight="1"/>
    <row r="689" ht="15.6" customHeight="1"/>
    <row r="690" ht="15.6" customHeight="1"/>
    <row r="691" ht="15.6" customHeight="1"/>
    <row r="692" ht="15.6" customHeight="1"/>
    <row r="693" ht="15.6" customHeight="1"/>
    <row r="694" ht="15.6" customHeight="1"/>
    <row r="695" ht="15.6" customHeight="1"/>
    <row r="696" ht="15.6" customHeight="1"/>
    <row r="697" ht="15.6" customHeight="1"/>
    <row r="698" ht="15.6" customHeight="1"/>
    <row r="699" ht="15.6" customHeight="1"/>
    <row r="700" ht="15.6" customHeight="1"/>
    <row r="701" ht="15.6" customHeight="1"/>
    <row r="702" ht="15.6" customHeight="1"/>
    <row r="703" ht="15.6" customHeight="1"/>
    <row r="704" ht="15.6" customHeight="1"/>
    <row r="705" ht="15.6" customHeight="1"/>
    <row r="706" ht="15.6" customHeight="1"/>
    <row r="707" ht="15.6" customHeight="1"/>
    <row r="708" ht="15.6" customHeight="1"/>
    <row r="709" ht="15.6" customHeight="1"/>
    <row r="710" ht="15.6" customHeight="1"/>
    <row r="711" ht="15.6" customHeight="1"/>
    <row r="712" ht="15.6" customHeight="1"/>
    <row r="713" ht="15.6" customHeight="1"/>
    <row r="714" ht="15.6" customHeight="1"/>
    <row r="715" ht="15.6" customHeight="1"/>
    <row r="716" ht="15.6" customHeight="1"/>
    <row r="717" ht="15.6" customHeight="1"/>
    <row r="718" ht="15.6" customHeight="1"/>
    <row r="719" ht="15.6" customHeight="1"/>
    <row r="720" ht="15.6" customHeight="1"/>
    <row r="721" ht="15.6" customHeight="1"/>
    <row r="722" ht="15.6" customHeight="1"/>
    <row r="723" ht="15.6" customHeight="1"/>
    <row r="724" ht="15.6" customHeight="1"/>
    <row r="725" ht="15.6" customHeight="1"/>
    <row r="726" ht="15.6" customHeight="1"/>
    <row r="727" ht="15.6" customHeight="1"/>
    <row r="728" ht="15.6" customHeight="1"/>
    <row r="729" ht="15.6" customHeight="1"/>
    <row r="730" ht="15.6" customHeight="1"/>
    <row r="731" ht="15.6" customHeight="1"/>
    <row r="732" ht="15.6" customHeight="1"/>
    <row r="733" ht="15.6" customHeight="1"/>
    <row r="734" ht="15.6" customHeight="1"/>
    <row r="735" ht="15.6" customHeight="1"/>
    <row r="736" ht="15.6" customHeight="1"/>
    <row r="737" ht="15.6" customHeight="1"/>
    <row r="738" ht="15.6" customHeight="1"/>
    <row r="739" ht="15.6" customHeight="1"/>
    <row r="740" ht="15.6" customHeight="1"/>
    <row r="741" ht="15.6" customHeight="1"/>
    <row r="742" ht="15.6" customHeight="1"/>
    <row r="743" ht="15.6" customHeight="1"/>
    <row r="744" ht="15.6" customHeight="1"/>
    <row r="745" ht="15.6" customHeight="1"/>
    <row r="746" ht="15.6" customHeight="1"/>
    <row r="747" ht="15.6" customHeight="1"/>
    <row r="748" ht="15.6" customHeight="1"/>
    <row r="749" ht="15.6" customHeight="1"/>
    <row r="750" ht="15.6" customHeight="1"/>
    <row r="751" ht="15.6" customHeight="1"/>
    <row r="752" ht="15.6" customHeight="1"/>
    <row r="753" ht="15.6" customHeight="1"/>
    <row r="754" ht="15.6" customHeight="1"/>
    <row r="755" ht="15.6" customHeight="1"/>
    <row r="756" ht="15.6" customHeight="1"/>
    <row r="757" ht="15.6" customHeight="1"/>
    <row r="758" ht="15.6" customHeight="1"/>
    <row r="759" ht="15.6" customHeight="1"/>
    <row r="760" ht="15.6" customHeight="1"/>
    <row r="761" ht="15.6" customHeight="1"/>
    <row r="762" ht="15.6" customHeight="1"/>
    <row r="763" ht="15.6" customHeight="1"/>
    <row r="764" ht="15.6" customHeight="1"/>
    <row r="765" ht="15.6" customHeight="1"/>
    <row r="766" ht="15.6" customHeight="1"/>
    <row r="767" ht="15.6" customHeight="1"/>
    <row r="768" ht="15.6" customHeight="1"/>
    <row r="769" ht="15.6" customHeight="1"/>
    <row r="770" ht="15.6" customHeight="1"/>
    <row r="771" ht="15.6" customHeight="1"/>
    <row r="772" ht="15.6" customHeight="1"/>
    <row r="773" ht="15.6" customHeight="1"/>
    <row r="774" ht="15.6" customHeight="1"/>
    <row r="775" ht="15.6" customHeight="1"/>
    <row r="776" ht="15.6" customHeight="1"/>
    <row r="777" ht="15.6" customHeight="1"/>
    <row r="778" ht="15.6" customHeight="1"/>
    <row r="779" ht="15.6" customHeight="1"/>
    <row r="780" ht="15.6" customHeight="1"/>
    <row r="781" ht="15.6" customHeight="1"/>
    <row r="782" ht="15.6" customHeight="1"/>
    <row r="783" ht="15.6" customHeight="1"/>
    <row r="784" ht="15.6" customHeight="1"/>
    <row r="785" ht="15.6" customHeight="1"/>
    <row r="786" ht="15.6" customHeight="1"/>
    <row r="787" ht="15.6" customHeight="1"/>
    <row r="788" ht="15.6" customHeight="1"/>
    <row r="789" ht="15.6" customHeight="1"/>
    <row r="790" ht="15.6" customHeight="1"/>
    <row r="791" ht="15.6" customHeight="1"/>
    <row r="792" ht="15.6" customHeight="1"/>
    <row r="793" ht="15.6" customHeight="1"/>
    <row r="794" ht="15.6" customHeight="1"/>
    <row r="795" ht="15.6" customHeight="1"/>
    <row r="796" ht="15.6" customHeight="1"/>
    <row r="797" ht="15.6" customHeight="1"/>
    <row r="798" ht="15.6" customHeight="1"/>
    <row r="799" ht="15.6" customHeight="1"/>
    <row r="800" ht="15.6" customHeight="1"/>
    <row r="801" ht="15.6" customHeight="1"/>
    <row r="802" ht="15.6" customHeight="1"/>
    <row r="803" ht="15.6" customHeight="1"/>
    <row r="804" ht="15.6" customHeight="1"/>
    <row r="805" ht="15.6" customHeight="1"/>
    <row r="806" ht="15.6" customHeight="1"/>
    <row r="807" ht="15.6" customHeight="1"/>
    <row r="808" ht="15.6" customHeight="1"/>
    <row r="809" ht="15.6" customHeight="1"/>
    <row r="810" ht="15.6" customHeight="1"/>
    <row r="811" ht="15.6" customHeight="1"/>
    <row r="812" ht="15.6" customHeight="1"/>
    <row r="813" ht="15.6" customHeight="1"/>
    <row r="814" ht="15.6" customHeight="1"/>
    <row r="815" ht="15.6" customHeight="1"/>
    <row r="816" ht="15.6" customHeight="1"/>
    <row r="817" ht="15.6" customHeight="1"/>
    <row r="818" ht="15.6" customHeight="1"/>
    <row r="819" ht="15.6" customHeight="1"/>
    <row r="820" ht="15.6" customHeight="1"/>
    <row r="821" ht="15.6" customHeight="1"/>
    <row r="822" ht="15.6" customHeight="1"/>
    <row r="823" ht="15.6" customHeight="1"/>
    <row r="824" ht="15.6" customHeight="1"/>
    <row r="825" ht="15.6" customHeight="1"/>
    <row r="826" ht="15.6" customHeight="1"/>
    <row r="827" ht="15.6" customHeight="1"/>
    <row r="828" ht="15.6" customHeight="1"/>
    <row r="829" ht="15.6" customHeight="1"/>
    <row r="830" ht="15.6" customHeight="1"/>
    <row r="831" ht="15.6" customHeight="1"/>
    <row r="832" ht="15.6" customHeight="1"/>
    <row r="833" ht="15.6" customHeight="1"/>
    <row r="834" ht="15.6" customHeight="1"/>
    <row r="835" ht="15.6" customHeight="1"/>
    <row r="836" ht="15.6" customHeight="1"/>
    <row r="837" ht="15.6" customHeight="1"/>
    <row r="838" ht="15.6" customHeight="1"/>
    <row r="839" ht="15.6" customHeight="1"/>
    <row r="840" ht="15.6" customHeight="1"/>
    <row r="841" ht="15.6" customHeight="1"/>
    <row r="842" ht="15.6" customHeight="1"/>
    <row r="843" ht="15.6" customHeight="1"/>
    <row r="844" ht="15.6" customHeight="1"/>
    <row r="845" ht="15.6" customHeight="1"/>
    <row r="846" ht="15.6" customHeight="1"/>
    <row r="847" ht="15.6" customHeight="1"/>
    <row r="848" ht="15.6" customHeight="1"/>
    <row r="849" ht="15.6" customHeight="1"/>
    <row r="850" ht="15.6" customHeight="1"/>
    <row r="851" ht="15.6" customHeight="1"/>
    <row r="852" ht="15.6" customHeight="1"/>
    <row r="853" ht="15.6" customHeight="1"/>
    <row r="854" ht="15.6" customHeight="1"/>
    <row r="855" ht="15.6" customHeight="1"/>
    <row r="856" ht="15.6" customHeight="1"/>
    <row r="857" ht="15.6" customHeight="1"/>
    <row r="858" ht="15.6" customHeight="1"/>
    <row r="859" ht="15.6" customHeight="1"/>
    <row r="860" ht="15.6" customHeight="1"/>
    <row r="861" ht="15.6" customHeight="1"/>
    <row r="862" ht="15.6" customHeight="1"/>
    <row r="863" ht="15.6" customHeight="1"/>
    <row r="864" ht="15.6" customHeight="1"/>
    <row r="865" ht="15.6" customHeight="1"/>
    <row r="866" ht="15.6" customHeight="1"/>
    <row r="867" ht="15.6" customHeight="1"/>
    <row r="868" ht="15.6" customHeight="1"/>
    <row r="869" ht="15.6" customHeight="1"/>
    <row r="870" ht="15.6" customHeight="1"/>
    <row r="871" ht="15.6" customHeight="1"/>
    <row r="872" ht="15.6" customHeight="1"/>
    <row r="873" ht="15.6" customHeight="1"/>
    <row r="874" ht="15.6" customHeight="1"/>
    <row r="875" ht="15.6" customHeight="1"/>
    <row r="876" ht="15.6" customHeight="1"/>
    <row r="877" ht="15.6" customHeight="1"/>
    <row r="878" ht="15.6" customHeight="1"/>
    <row r="879" ht="15.6" customHeight="1"/>
    <row r="880" ht="15.6" customHeight="1"/>
    <row r="881" ht="15.6" customHeight="1"/>
    <row r="882" ht="15.6" customHeight="1"/>
    <row r="883" ht="15.6" customHeight="1"/>
    <row r="884" ht="15.6" customHeight="1"/>
    <row r="885" ht="15.6" customHeight="1"/>
    <row r="886" ht="15.6" customHeight="1"/>
    <row r="887" ht="15.6" customHeight="1"/>
    <row r="888" ht="15.6" customHeight="1"/>
    <row r="889" ht="15.6" customHeight="1"/>
    <row r="890" ht="15.6" customHeight="1"/>
    <row r="891" ht="15.6" customHeight="1"/>
    <row r="892" ht="15.6" customHeight="1"/>
    <row r="893" ht="15.6" customHeight="1"/>
    <row r="894" ht="15.6" customHeight="1"/>
    <row r="895" ht="15.6" customHeight="1"/>
    <row r="896" ht="15.6" customHeight="1"/>
    <row r="897" ht="15.6" customHeight="1"/>
    <row r="898" ht="15.6" customHeight="1"/>
    <row r="899" ht="15.6" customHeight="1"/>
    <row r="900" ht="15.6" customHeight="1"/>
    <row r="901" ht="15.6" customHeight="1"/>
    <row r="902" ht="15.6" customHeight="1"/>
    <row r="903" ht="15.6" customHeight="1"/>
    <row r="904" ht="15.6" customHeight="1"/>
    <row r="905" ht="15.6" customHeight="1"/>
    <row r="906" ht="15.6" customHeight="1"/>
    <row r="907" ht="15.6" customHeight="1"/>
    <row r="908" ht="15.6" customHeight="1"/>
    <row r="909" ht="15.6" customHeight="1"/>
    <row r="910" ht="15.6" customHeight="1"/>
    <row r="911" ht="15.6" customHeight="1"/>
    <row r="912" ht="15.6" customHeight="1"/>
    <row r="913" ht="15.6" customHeight="1"/>
    <row r="914" ht="15.6" customHeight="1"/>
    <row r="915" ht="15.6" customHeight="1"/>
    <row r="916" ht="15.6" customHeight="1"/>
    <row r="917" ht="15.6" customHeight="1"/>
    <row r="918" ht="15.6" customHeight="1"/>
    <row r="919" ht="15.6" customHeight="1"/>
    <row r="920" ht="15.6" customHeight="1"/>
    <row r="921" ht="15.6" customHeight="1"/>
    <row r="922" ht="15.6" customHeight="1"/>
    <row r="923" ht="15.6" customHeight="1"/>
    <row r="924" ht="15.6" customHeight="1"/>
    <row r="925" ht="15.6" customHeight="1"/>
    <row r="926" ht="15.6" customHeight="1"/>
    <row r="927" ht="15.6" customHeight="1"/>
    <row r="928" ht="15.6" customHeight="1"/>
    <row r="929" ht="15.6" customHeight="1"/>
    <row r="930" ht="15.6" customHeight="1"/>
    <row r="931" ht="15.6" customHeight="1"/>
    <row r="932" ht="15.6" customHeight="1"/>
    <row r="933" ht="15.6" customHeight="1"/>
    <row r="934" ht="15.6" customHeight="1"/>
    <row r="935" ht="15.6" customHeight="1"/>
    <row r="936" ht="15.6" customHeight="1"/>
    <row r="937" ht="15.6" customHeight="1"/>
    <row r="938" ht="15.6" customHeight="1"/>
    <row r="939" ht="15.6" customHeight="1"/>
    <row r="940" ht="15.6" customHeight="1"/>
    <row r="941" ht="15.6" customHeight="1"/>
    <row r="942" ht="15.6" customHeight="1"/>
    <row r="943" ht="15.6" customHeight="1"/>
    <row r="944" ht="15.6" customHeight="1"/>
    <row r="945" ht="15.6" customHeight="1"/>
    <row r="946" ht="15.6" customHeight="1"/>
    <row r="947" ht="15.6" customHeight="1"/>
    <row r="948" ht="15.6" customHeight="1"/>
    <row r="949" ht="15.6" customHeight="1"/>
    <row r="950" ht="15.6" customHeight="1"/>
    <row r="951" ht="15.6" customHeight="1"/>
    <row r="952" ht="15.6" customHeight="1"/>
    <row r="953" ht="15.6" customHeight="1"/>
    <row r="954" ht="15.6" customHeight="1"/>
    <row r="955" ht="15.6" customHeight="1"/>
    <row r="956" ht="15.6" customHeight="1"/>
    <row r="957" ht="15.6" customHeight="1"/>
    <row r="958" ht="15.6" customHeight="1"/>
    <row r="959" ht="15.6" customHeight="1"/>
    <row r="960" ht="15.6" customHeight="1"/>
    <row r="961" ht="15.6" customHeight="1"/>
    <row r="962" ht="15.6" customHeight="1"/>
    <row r="963" ht="15.6" customHeight="1"/>
    <row r="964" ht="15.6" customHeight="1"/>
    <row r="965" ht="15.6" customHeight="1"/>
    <row r="966" ht="15.6" customHeight="1"/>
    <row r="967" ht="15.6" customHeight="1"/>
    <row r="968" ht="15.6" customHeight="1"/>
    <row r="969" ht="15.6" customHeight="1"/>
    <row r="970" ht="15.6" customHeight="1"/>
    <row r="971" ht="15.6" customHeight="1"/>
    <row r="972" ht="15.6" customHeight="1"/>
    <row r="973" ht="15.6" customHeight="1"/>
    <row r="974" ht="15.6" customHeight="1"/>
    <row r="975" ht="15.6" customHeight="1"/>
    <row r="976" ht="15.6" customHeight="1"/>
    <row r="977" ht="15.6" customHeight="1"/>
    <row r="978" ht="15.6" customHeight="1"/>
    <row r="979" ht="15.6" customHeight="1"/>
    <row r="980" ht="15.6" customHeight="1"/>
    <row r="981" ht="15.6" customHeight="1"/>
    <row r="982" ht="15.6" customHeight="1"/>
    <row r="983" ht="15.6" customHeight="1"/>
    <row r="984" ht="15.6" customHeight="1"/>
    <row r="985" ht="15.6" customHeight="1"/>
    <row r="986" ht="15.6" customHeight="1"/>
    <row r="987" ht="15.6" customHeight="1"/>
    <row r="988" ht="15.6" customHeight="1"/>
    <row r="989" ht="15.6" customHeight="1"/>
    <row r="990" ht="15.6" customHeight="1"/>
    <row r="991" ht="15.6" customHeight="1"/>
    <row r="992" ht="15.6" customHeight="1"/>
    <row r="993" ht="15.6" customHeight="1"/>
    <row r="994" ht="15.75"/>
    <row r="995" ht="15.75"/>
    <row r="999" ht="15.75"/>
    <row r="1000" ht="15.75"/>
    <row r="1001" ht="15.75"/>
  </sheetData>
  <mergeCells count="16">
    <mergeCell ref="A42:G42"/>
    <mergeCell ref="A43:G43"/>
    <mergeCell ref="A50:G50"/>
    <mergeCell ref="A51:G51"/>
    <mergeCell ref="A9:G9"/>
    <mergeCell ref="A10:G10"/>
    <mergeCell ref="A12:G12"/>
    <mergeCell ref="A13:G13"/>
    <mergeCell ref="A33:G33"/>
    <mergeCell ref="A34:G34"/>
    <mergeCell ref="A35:G35"/>
    <mergeCell ref="A36:G36"/>
    <mergeCell ref="A22:G22"/>
    <mergeCell ref="A23:G23"/>
    <mergeCell ref="A26:G26"/>
    <mergeCell ref="A27:G27"/>
  </mergeCells>
  <conditionalFormatting sqref="A28:F2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A3F7-D5FF-400C-A4C4-28031F757216}">
  <dimension ref="A2:G11"/>
  <sheetViews>
    <sheetView workbookViewId="0">
      <selection activeCell="A2" sqref="A2:XFD11"/>
    </sheetView>
  </sheetViews>
  <sheetFormatPr defaultRowHeight="15.6"/>
  <sheetData>
    <row r="2" spans="1:7">
      <c r="A2" s="188" t="s">
        <v>170</v>
      </c>
      <c r="B2" s="188"/>
      <c r="C2" s="188"/>
      <c r="D2" s="188"/>
      <c r="E2" s="188"/>
      <c r="F2" s="188"/>
      <c r="G2" s="188"/>
    </row>
    <row r="3" spans="1:7">
      <c r="A3" s="189" t="s">
        <v>22</v>
      </c>
      <c r="B3" s="189"/>
      <c r="C3" s="189"/>
      <c r="D3" s="189"/>
      <c r="E3" s="189"/>
      <c r="F3" s="189"/>
      <c r="G3" s="189"/>
    </row>
    <row r="9" spans="1:7" ht="15.75"/>
    <row r="10" spans="1:7" ht="15.75">
      <c r="A10" s="188" t="s">
        <v>170</v>
      </c>
      <c r="B10" s="188"/>
      <c r="C10" s="188"/>
      <c r="D10" s="188"/>
      <c r="E10" s="188"/>
      <c r="F10" s="188"/>
      <c r="G10" s="188"/>
    </row>
    <row r="11" spans="1:7" ht="15.75">
      <c r="A11" s="189" t="s">
        <v>43</v>
      </c>
      <c r="B11" s="189"/>
      <c r="C11" s="189"/>
      <c r="D11" s="189"/>
      <c r="E11" s="189"/>
      <c r="F11" s="189"/>
      <c r="G11" s="189"/>
    </row>
  </sheetData>
  <mergeCells count="4">
    <mergeCell ref="A2:G2"/>
    <mergeCell ref="A3:G3"/>
    <mergeCell ref="A10:G10"/>
    <mergeCell ref="A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Gergely Galgóczy</dc:creator>
  <cp:keywords/>
  <dc:description/>
  <cp:lastModifiedBy/>
  <cp:revision/>
  <dcterms:created xsi:type="dcterms:W3CDTF">2024-07-23T11:22:02Z</dcterms:created>
  <dcterms:modified xsi:type="dcterms:W3CDTF">2026-04-06T22:33:57Z</dcterms:modified>
  <cp:category/>
  <cp:contentStatus/>
</cp:coreProperties>
</file>