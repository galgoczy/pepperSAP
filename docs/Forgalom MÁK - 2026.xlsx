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iazen-my.sharepoint.com/personal/info_pepperhouse_hu/Documents/Egységek/Allamkincstar Pepper/Online táblák/"/>
    </mc:Choice>
  </mc:AlternateContent>
  <xr:revisionPtr revIDLastSave="0" documentId="8_{3133BAB6-0666-473F-93B3-2820F51D05C9}" xr6:coauthVersionLast="47" xr6:coauthVersionMax="47" xr10:uidLastSave="{00000000-0000-0000-0000-000000000000}"/>
  <bookViews>
    <workbookView xWindow="-120" yWindow="-120" windowWidth="21840" windowHeight="13140" firstSheet="3" xr2:uid="{00000000-000D-0000-FFFF-FFFF00000000}"/>
  </bookViews>
  <sheets>
    <sheet name="2026 január" sheetId="22" r:id="rId1"/>
    <sheet name="2026 február" sheetId="23" r:id="rId2"/>
    <sheet name="2026 március" sheetId="24" r:id="rId3"/>
    <sheet name="2026 április" sheetId="26" r:id="rId4"/>
    <sheet name="minta" sheetId="2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26" l="1"/>
  <c r="V33" i="26"/>
  <c r="T33" i="26"/>
  <c r="P33" i="26"/>
  <c r="Q33" i="26" s="1"/>
  <c r="M33" i="26"/>
  <c r="L33" i="26"/>
  <c r="K33" i="26"/>
  <c r="F33" i="26"/>
  <c r="E33" i="26"/>
  <c r="D33" i="26"/>
  <c r="B33" i="26"/>
  <c r="U32" i="26"/>
  <c r="Q32" i="26"/>
  <c r="N32" i="26"/>
  <c r="I32" i="26"/>
  <c r="H32" i="26"/>
  <c r="U31" i="26"/>
  <c r="Q31" i="26"/>
  <c r="N31" i="26"/>
  <c r="I31" i="26"/>
  <c r="H31" i="26"/>
  <c r="U30" i="26"/>
  <c r="N30" i="26"/>
  <c r="I30" i="26"/>
  <c r="H30" i="26"/>
  <c r="U29" i="26"/>
  <c r="Q29" i="26"/>
  <c r="N29" i="26"/>
  <c r="I29" i="26"/>
  <c r="H29" i="26"/>
  <c r="U28" i="26"/>
  <c r="N28" i="26"/>
  <c r="I28" i="26"/>
  <c r="H28" i="26"/>
  <c r="U27" i="26"/>
  <c r="Q27" i="26"/>
  <c r="N27" i="26"/>
  <c r="I27" i="26"/>
  <c r="H27" i="26"/>
  <c r="U26" i="26"/>
  <c r="N26" i="26"/>
  <c r="I26" i="26"/>
  <c r="H26" i="26"/>
  <c r="U25" i="26"/>
  <c r="Q25" i="26"/>
  <c r="N25" i="26"/>
  <c r="I25" i="26"/>
  <c r="H25" i="26"/>
  <c r="U24" i="26"/>
  <c r="Q24" i="26"/>
  <c r="N24" i="26"/>
  <c r="I24" i="26"/>
  <c r="H24" i="26"/>
  <c r="U23" i="26"/>
  <c r="N23" i="26"/>
  <c r="I23" i="26"/>
  <c r="H23" i="26"/>
  <c r="U22" i="26"/>
  <c r="N22" i="26"/>
  <c r="I22" i="26"/>
  <c r="H22" i="26"/>
  <c r="U21" i="26"/>
  <c r="Q21" i="26"/>
  <c r="N21" i="26"/>
  <c r="I21" i="26"/>
  <c r="H21" i="26"/>
  <c r="U20" i="26"/>
  <c r="N20" i="26"/>
  <c r="I20" i="26"/>
  <c r="H20" i="26"/>
  <c r="U19" i="26"/>
  <c r="Q19" i="26"/>
  <c r="N19" i="26"/>
  <c r="I19" i="26"/>
  <c r="H19" i="26"/>
  <c r="U18" i="26"/>
  <c r="Q18" i="26"/>
  <c r="N18" i="26"/>
  <c r="I18" i="26"/>
  <c r="H18" i="26"/>
  <c r="U17" i="26"/>
  <c r="Q17" i="26"/>
  <c r="N17" i="26"/>
  <c r="I17" i="26"/>
  <c r="H17" i="26"/>
  <c r="U16" i="26"/>
  <c r="Q16" i="26"/>
  <c r="N16" i="26"/>
  <c r="I16" i="26"/>
  <c r="H16" i="26"/>
  <c r="U15" i="26"/>
  <c r="Q15" i="26"/>
  <c r="N15" i="26"/>
  <c r="I15" i="26"/>
  <c r="H15" i="26"/>
  <c r="U14" i="26"/>
  <c r="Q14" i="26"/>
  <c r="N14" i="26"/>
  <c r="I14" i="26"/>
  <c r="H14" i="26"/>
  <c r="U13" i="26"/>
  <c r="Q13" i="26"/>
  <c r="N13" i="26"/>
  <c r="I13" i="26"/>
  <c r="H13" i="26"/>
  <c r="U12" i="26"/>
  <c r="Q12" i="26"/>
  <c r="N12" i="26"/>
  <c r="I12" i="26"/>
  <c r="H12" i="26"/>
  <c r="U11" i="26"/>
  <c r="Q11" i="26"/>
  <c r="N11" i="26"/>
  <c r="I11" i="26"/>
  <c r="H11" i="26"/>
  <c r="U10" i="26"/>
  <c r="Q10" i="26"/>
  <c r="N10" i="26"/>
  <c r="I10" i="26"/>
  <c r="H10" i="26"/>
  <c r="U9" i="26"/>
  <c r="Q9" i="26"/>
  <c r="N9" i="26"/>
  <c r="I9" i="26"/>
  <c r="H9" i="26"/>
  <c r="U8" i="26"/>
  <c r="Q8" i="26"/>
  <c r="N8" i="26"/>
  <c r="I8" i="26"/>
  <c r="H8" i="26"/>
  <c r="U7" i="26"/>
  <c r="Q7" i="26"/>
  <c r="N7" i="26"/>
  <c r="I7" i="26"/>
  <c r="H7" i="26"/>
  <c r="U6" i="26"/>
  <c r="Q6" i="26"/>
  <c r="N6" i="26"/>
  <c r="I6" i="26"/>
  <c r="H6" i="26"/>
  <c r="U5" i="26"/>
  <c r="Q5" i="26"/>
  <c r="N5" i="26"/>
  <c r="I5" i="26"/>
  <c r="H5" i="26"/>
  <c r="U4" i="26"/>
  <c r="Q4" i="26"/>
  <c r="N4" i="26"/>
  <c r="I4" i="26"/>
  <c r="H4" i="26"/>
  <c r="U3" i="26"/>
  <c r="Q3" i="26"/>
  <c r="N3" i="26"/>
  <c r="I3" i="26"/>
  <c r="H3" i="26"/>
  <c r="U2" i="26"/>
  <c r="Q2" i="26"/>
  <c r="Q36" i="26" s="1"/>
  <c r="N2" i="26"/>
  <c r="N33" i="26" s="1"/>
  <c r="I2" i="26"/>
  <c r="I33" i="26" s="1"/>
  <c r="H2" i="26"/>
  <c r="H33" i="26" s="1"/>
  <c r="V33" i="25"/>
  <c r="U33" i="25"/>
  <c r="T33" i="25"/>
  <c r="Z33" i="25" s="1"/>
  <c r="T33" i="24"/>
  <c r="Q37" i="25"/>
  <c r="P33" i="25"/>
  <c r="Q33" i="25" s="1"/>
  <c r="M33" i="25"/>
  <c r="L33" i="25"/>
  <c r="K33" i="25"/>
  <c r="F33" i="25"/>
  <c r="E33" i="25"/>
  <c r="D33" i="25"/>
  <c r="B33" i="25"/>
  <c r="D34" i="25" s="1"/>
  <c r="U32" i="25"/>
  <c r="Q32" i="25"/>
  <c r="N32" i="25"/>
  <c r="I32" i="25"/>
  <c r="H32" i="25"/>
  <c r="U31" i="25"/>
  <c r="Q31" i="25"/>
  <c r="N31" i="25"/>
  <c r="I31" i="25"/>
  <c r="H31" i="25"/>
  <c r="U30" i="25"/>
  <c r="N30" i="25"/>
  <c r="I30" i="25"/>
  <c r="H30" i="25"/>
  <c r="U29" i="25"/>
  <c r="Q29" i="25"/>
  <c r="N29" i="25"/>
  <c r="I29" i="25"/>
  <c r="H29" i="25"/>
  <c r="U28" i="25"/>
  <c r="N28" i="25"/>
  <c r="I28" i="25"/>
  <c r="H28" i="25"/>
  <c r="U27" i="25"/>
  <c r="Q27" i="25"/>
  <c r="N27" i="25"/>
  <c r="I27" i="25"/>
  <c r="H27" i="25"/>
  <c r="U26" i="25"/>
  <c r="N26" i="25"/>
  <c r="I26" i="25"/>
  <c r="H26" i="25"/>
  <c r="U25" i="25"/>
  <c r="Q25" i="25"/>
  <c r="N25" i="25"/>
  <c r="I25" i="25"/>
  <c r="H25" i="25"/>
  <c r="U24" i="25"/>
  <c r="Q24" i="25"/>
  <c r="N24" i="25"/>
  <c r="I24" i="25"/>
  <c r="H24" i="25"/>
  <c r="U23" i="25"/>
  <c r="N23" i="25"/>
  <c r="I23" i="25"/>
  <c r="H23" i="25"/>
  <c r="U22" i="25"/>
  <c r="N22" i="25"/>
  <c r="I22" i="25"/>
  <c r="H22" i="25"/>
  <c r="U21" i="25"/>
  <c r="Q21" i="25"/>
  <c r="N21" i="25"/>
  <c r="I21" i="25"/>
  <c r="H21" i="25"/>
  <c r="U20" i="25"/>
  <c r="N20" i="25"/>
  <c r="I20" i="25"/>
  <c r="H20" i="25"/>
  <c r="U19" i="25"/>
  <c r="Q19" i="25"/>
  <c r="N19" i="25"/>
  <c r="I19" i="25"/>
  <c r="H19" i="25"/>
  <c r="U18" i="25"/>
  <c r="Q18" i="25"/>
  <c r="N18" i="25"/>
  <c r="I18" i="25"/>
  <c r="H18" i="25"/>
  <c r="U17" i="25"/>
  <c r="Q17" i="25"/>
  <c r="N17" i="25"/>
  <c r="I17" i="25"/>
  <c r="H17" i="25"/>
  <c r="U16" i="25"/>
  <c r="Q16" i="25"/>
  <c r="N16" i="25"/>
  <c r="I16" i="25"/>
  <c r="H16" i="25"/>
  <c r="U15" i="25"/>
  <c r="Q15" i="25"/>
  <c r="N15" i="25"/>
  <c r="I15" i="25"/>
  <c r="H15" i="25"/>
  <c r="U14" i="25"/>
  <c r="Q14" i="25"/>
  <c r="N14" i="25"/>
  <c r="I14" i="25"/>
  <c r="H14" i="25"/>
  <c r="U13" i="25"/>
  <c r="Q13" i="25"/>
  <c r="N13" i="25"/>
  <c r="I13" i="25"/>
  <c r="H13" i="25"/>
  <c r="U12" i="25"/>
  <c r="Q12" i="25"/>
  <c r="N12" i="25"/>
  <c r="I12" i="25"/>
  <c r="H12" i="25"/>
  <c r="U11" i="25"/>
  <c r="Q11" i="25"/>
  <c r="N11" i="25"/>
  <c r="I11" i="25"/>
  <c r="H11" i="25"/>
  <c r="U10" i="25"/>
  <c r="Q10" i="25"/>
  <c r="N10" i="25"/>
  <c r="I10" i="25"/>
  <c r="H10" i="25"/>
  <c r="U9" i="25"/>
  <c r="Q9" i="25"/>
  <c r="N9" i="25"/>
  <c r="I9" i="25"/>
  <c r="H9" i="25"/>
  <c r="U8" i="25"/>
  <c r="Q8" i="25"/>
  <c r="N8" i="25"/>
  <c r="I8" i="25"/>
  <c r="H8" i="25"/>
  <c r="U7" i="25"/>
  <c r="Q7" i="25"/>
  <c r="N7" i="25"/>
  <c r="I7" i="25"/>
  <c r="H7" i="25"/>
  <c r="U6" i="25"/>
  <c r="Q6" i="25"/>
  <c r="N6" i="25"/>
  <c r="I6" i="25"/>
  <c r="H6" i="25"/>
  <c r="U5" i="25"/>
  <c r="Q5" i="25"/>
  <c r="N5" i="25"/>
  <c r="I5" i="25"/>
  <c r="H5" i="25"/>
  <c r="U4" i="25"/>
  <c r="Q4" i="25"/>
  <c r="N4" i="25"/>
  <c r="I4" i="25"/>
  <c r="H4" i="25"/>
  <c r="U3" i="25"/>
  <c r="Q3" i="25"/>
  <c r="N3" i="25"/>
  <c r="I3" i="25"/>
  <c r="H3" i="25"/>
  <c r="U2" i="25"/>
  <c r="Q2" i="25"/>
  <c r="Q36" i="25" s="1"/>
  <c r="N2" i="25"/>
  <c r="N33" i="25" s="1"/>
  <c r="I2" i="25"/>
  <c r="I33" i="25" s="1"/>
  <c r="H2" i="25"/>
  <c r="H33" i="25" s="1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" i="24"/>
  <c r="U2" i="24"/>
  <c r="Q37" i="23"/>
  <c r="Q36" i="23"/>
  <c r="Q37" i="24"/>
  <c r="V33" i="24"/>
  <c r="P33" i="24"/>
  <c r="Q33" i="24" s="1"/>
  <c r="M33" i="24"/>
  <c r="L33" i="24"/>
  <c r="K33" i="24"/>
  <c r="F33" i="24"/>
  <c r="E33" i="24"/>
  <c r="D33" i="24"/>
  <c r="B33" i="24"/>
  <c r="Q32" i="24"/>
  <c r="N32" i="24"/>
  <c r="I32" i="24"/>
  <c r="H32" i="24"/>
  <c r="Q31" i="24"/>
  <c r="N31" i="24"/>
  <c r="I31" i="24"/>
  <c r="H31" i="24"/>
  <c r="N30" i="24"/>
  <c r="I30" i="24"/>
  <c r="H30" i="24"/>
  <c r="Q29" i="24"/>
  <c r="N29" i="24"/>
  <c r="I29" i="24"/>
  <c r="H29" i="24"/>
  <c r="N28" i="24"/>
  <c r="I28" i="24"/>
  <c r="H28" i="24"/>
  <c r="Q27" i="24"/>
  <c r="N27" i="24"/>
  <c r="I27" i="24"/>
  <c r="H27" i="24"/>
  <c r="N26" i="24"/>
  <c r="I26" i="24"/>
  <c r="H26" i="24"/>
  <c r="Q25" i="24"/>
  <c r="N25" i="24"/>
  <c r="I25" i="24"/>
  <c r="H25" i="24"/>
  <c r="Q24" i="24"/>
  <c r="N24" i="24"/>
  <c r="I24" i="24"/>
  <c r="H24" i="24"/>
  <c r="N23" i="24"/>
  <c r="I23" i="24"/>
  <c r="H23" i="24"/>
  <c r="N22" i="24"/>
  <c r="I22" i="24"/>
  <c r="H22" i="24"/>
  <c r="Q21" i="24"/>
  <c r="N21" i="24"/>
  <c r="I21" i="24"/>
  <c r="H21" i="24"/>
  <c r="N20" i="24"/>
  <c r="I20" i="24"/>
  <c r="H20" i="24"/>
  <c r="Q19" i="24"/>
  <c r="N19" i="24"/>
  <c r="I19" i="24"/>
  <c r="H19" i="24"/>
  <c r="Q18" i="24"/>
  <c r="N18" i="24"/>
  <c r="I18" i="24"/>
  <c r="H18" i="24"/>
  <c r="Q17" i="24"/>
  <c r="N17" i="24"/>
  <c r="I17" i="24"/>
  <c r="H17" i="24"/>
  <c r="Q16" i="24"/>
  <c r="N16" i="24"/>
  <c r="I16" i="24"/>
  <c r="H16" i="24"/>
  <c r="Q15" i="24"/>
  <c r="N15" i="24"/>
  <c r="I15" i="24"/>
  <c r="H15" i="24"/>
  <c r="Q14" i="24"/>
  <c r="N14" i="24"/>
  <c r="I14" i="24"/>
  <c r="H14" i="24"/>
  <c r="Q13" i="24"/>
  <c r="N13" i="24"/>
  <c r="I13" i="24"/>
  <c r="H13" i="24"/>
  <c r="Q12" i="24"/>
  <c r="N12" i="24"/>
  <c r="I12" i="24"/>
  <c r="H12" i="24"/>
  <c r="Q11" i="24"/>
  <c r="N11" i="24"/>
  <c r="I11" i="24"/>
  <c r="H11" i="24"/>
  <c r="Q10" i="24"/>
  <c r="N10" i="24"/>
  <c r="I10" i="24"/>
  <c r="H10" i="24"/>
  <c r="Q9" i="24"/>
  <c r="N9" i="24"/>
  <c r="I9" i="24"/>
  <c r="H9" i="24"/>
  <c r="Q8" i="24"/>
  <c r="N8" i="24"/>
  <c r="I8" i="24"/>
  <c r="H8" i="24"/>
  <c r="Q7" i="24"/>
  <c r="N7" i="24"/>
  <c r="I7" i="24"/>
  <c r="H7" i="24"/>
  <c r="Q6" i="24"/>
  <c r="N6" i="24"/>
  <c r="I6" i="24"/>
  <c r="H6" i="24"/>
  <c r="Q5" i="24"/>
  <c r="N5" i="24"/>
  <c r="I5" i="24"/>
  <c r="H5" i="24"/>
  <c r="U4" i="24"/>
  <c r="Q4" i="24"/>
  <c r="N4" i="24"/>
  <c r="I4" i="24"/>
  <c r="H4" i="24"/>
  <c r="Q3" i="24"/>
  <c r="N3" i="24"/>
  <c r="I3" i="24"/>
  <c r="H3" i="24"/>
  <c r="Q2" i="24"/>
  <c r="Q36" i="24" s="1"/>
  <c r="N2" i="24"/>
  <c r="I2" i="24"/>
  <c r="I33" i="24" s="1"/>
  <c r="H2" i="24"/>
  <c r="U33" i="23"/>
  <c r="P33" i="23"/>
  <c r="Q33" i="23" s="1"/>
  <c r="M33" i="23"/>
  <c r="L33" i="23"/>
  <c r="K33" i="23"/>
  <c r="F33" i="23"/>
  <c r="E33" i="23"/>
  <c r="D33" i="23"/>
  <c r="B33" i="23"/>
  <c r="T32" i="23"/>
  <c r="Q32" i="23"/>
  <c r="N32" i="23"/>
  <c r="I32" i="23"/>
  <c r="H32" i="23"/>
  <c r="T31" i="23"/>
  <c r="Q31" i="23"/>
  <c r="N31" i="23"/>
  <c r="I31" i="23"/>
  <c r="H31" i="23"/>
  <c r="T30" i="23"/>
  <c r="Q30" i="23"/>
  <c r="N30" i="23"/>
  <c r="I30" i="23"/>
  <c r="H30" i="23"/>
  <c r="T29" i="23"/>
  <c r="Q29" i="23"/>
  <c r="N29" i="23"/>
  <c r="I29" i="23"/>
  <c r="H29" i="23"/>
  <c r="T28" i="23"/>
  <c r="Q28" i="23"/>
  <c r="N28" i="23"/>
  <c r="I28" i="23"/>
  <c r="H28" i="23"/>
  <c r="T27" i="23"/>
  <c r="Q27" i="23"/>
  <c r="N27" i="23"/>
  <c r="I27" i="23"/>
  <c r="H27" i="23"/>
  <c r="T26" i="23"/>
  <c r="Q26" i="23"/>
  <c r="N26" i="23"/>
  <c r="I26" i="23"/>
  <c r="H26" i="23"/>
  <c r="T25" i="23"/>
  <c r="Q25" i="23"/>
  <c r="N25" i="23"/>
  <c r="I25" i="23"/>
  <c r="H25" i="23"/>
  <c r="T24" i="23"/>
  <c r="Q24" i="23"/>
  <c r="N24" i="23"/>
  <c r="I24" i="23"/>
  <c r="H24" i="23"/>
  <c r="T23" i="23"/>
  <c r="Q23" i="23"/>
  <c r="N23" i="23"/>
  <c r="I23" i="23"/>
  <c r="H23" i="23"/>
  <c r="T22" i="23"/>
  <c r="Q22" i="23"/>
  <c r="N22" i="23"/>
  <c r="I22" i="23"/>
  <c r="H22" i="23"/>
  <c r="T21" i="23"/>
  <c r="Q21" i="23"/>
  <c r="N21" i="23"/>
  <c r="I21" i="23"/>
  <c r="H21" i="23"/>
  <c r="T20" i="23"/>
  <c r="Q20" i="23"/>
  <c r="N20" i="23"/>
  <c r="I20" i="23"/>
  <c r="H20" i="23"/>
  <c r="T19" i="23"/>
  <c r="Q19" i="23"/>
  <c r="N19" i="23"/>
  <c r="I19" i="23"/>
  <c r="H19" i="23"/>
  <c r="T18" i="23"/>
  <c r="Q18" i="23"/>
  <c r="N18" i="23"/>
  <c r="I18" i="23"/>
  <c r="H18" i="23"/>
  <c r="T17" i="23"/>
  <c r="Q17" i="23"/>
  <c r="N17" i="23"/>
  <c r="I17" i="23"/>
  <c r="H17" i="23"/>
  <c r="T16" i="23"/>
  <c r="Q16" i="23"/>
  <c r="N16" i="23"/>
  <c r="I16" i="23"/>
  <c r="H16" i="23"/>
  <c r="T15" i="23"/>
  <c r="Q15" i="23"/>
  <c r="N15" i="23"/>
  <c r="I15" i="23"/>
  <c r="H15" i="23"/>
  <c r="T14" i="23"/>
  <c r="Q14" i="23"/>
  <c r="N14" i="23"/>
  <c r="I14" i="23"/>
  <c r="H14" i="23"/>
  <c r="T13" i="23"/>
  <c r="Q13" i="23"/>
  <c r="N13" i="23"/>
  <c r="I13" i="23"/>
  <c r="H13" i="23"/>
  <c r="T12" i="23"/>
  <c r="Q12" i="23"/>
  <c r="N12" i="23"/>
  <c r="I12" i="23"/>
  <c r="H12" i="23"/>
  <c r="T11" i="23"/>
  <c r="Q11" i="23"/>
  <c r="N11" i="23"/>
  <c r="I11" i="23"/>
  <c r="H11" i="23"/>
  <c r="T10" i="23"/>
  <c r="Q10" i="23"/>
  <c r="N10" i="23"/>
  <c r="I10" i="23"/>
  <c r="H10" i="23"/>
  <c r="T9" i="23"/>
  <c r="Q9" i="23"/>
  <c r="N9" i="23"/>
  <c r="I9" i="23"/>
  <c r="H9" i="23"/>
  <c r="T8" i="23"/>
  <c r="Q8" i="23"/>
  <c r="N8" i="23"/>
  <c r="I8" i="23"/>
  <c r="H8" i="23"/>
  <c r="T7" i="23"/>
  <c r="Q7" i="23"/>
  <c r="N7" i="23"/>
  <c r="I7" i="23"/>
  <c r="H7" i="23"/>
  <c r="T6" i="23"/>
  <c r="Q6" i="23"/>
  <c r="N6" i="23"/>
  <c r="I6" i="23"/>
  <c r="H6" i="23"/>
  <c r="T5" i="23"/>
  <c r="Q5" i="23"/>
  <c r="N5" i="23"/>
  <c r="I5" i="23"/>
  <c r="H5" i="23"/>
  <c r="T4" i="23"/>
  <c r="Q4" i="23"/>
  <c r="N4" i="23"/>
  <c r="I4" i="23"/>
  <c r="H4" i="23"/>
  <c r="T3" i="23"/>
  <c r="Q3" i="23"/>
  <c r="N3" i="23"/>
  <c r="I3" i="23"/>
  <c r="H3" i="23"/>
  <c r="T2" i="23"/>
  <c r="Q2" i="23"/>
  <c r="N2" i="23"/>
  <c r="I2" i="23"/>
  <c r="H2" i="23"/>
  <c r="U33" i="22"/>
  <c r="P33" i="22"/>
  <c r="Q33" i="22" s="1"/>
  <c r="M33" i="22"/>
  <c r="L33" i="22"/>
  <c r="K33" i="22"/>
  <c r="F33" i="22"/>
  <c r="E33" i="22"/>
  <c r="D33" i="22"/>
  <c r="B33" i="22"/>
  <c r="T32" i="22"/>
  <c r="Q32" i="22"/>
  <c r="N32" i="22"/>
  <c r="I32" i="22"/>
  <c r="H32" i="22"/>
  <c r="T31" i="22"/>
  <c r="Q31" i="22"/>
  <c r="N31" i="22"/>
  <c r="I31" i="22"/>
  <c r="H31" i="22"/>
  <c r="T30" i="22"/>
  <c r="Q30" i="22"/>
  <c r="N30" i="22"/>
  <c r="I30" i="22"/>
  <c r="H30" i="22"/>
  <c r="T29" i="22"/>
  <c r="Q29" i="22"/>
  <c r="N29" i="22"/>
  <c r="I29" i="22"/>
  <c r="H29" i="22"/>
  <c r="T28" i="22"/>
  <c r="Q28" i="22"/>
  <c r="N28" i="22"/>
  <c r="I28" i="22"/>
  <c r="H28" i="22"/>
  <c r="T27" i="22"/>
  <c r="Q27" i="22"/>
  <c r="N27" i="22"/>
  <c r="I27" i="22"/>
  <c r="H27" i="22"/>
  <c r="T26" i="22"/>
  <c r="Q26" i="22"/>
  <c r="N26" i="22"/>
  <c r="I26" i="22"/>
  <c r="H26" i="22"/>
  <c r="T25" i="22"/>
  <c r="Q25" i="22"/>
  <c r="N25" i="22"/>
  <c r="I25" i="22"/>
  <c r="H25" i="22"/>
  <c r="T24" i="22"/>
  <c r="Q24" i="22"/>
  <c r="N24" i="22"/>
  <c r="I24" i="22"/>
  <c r="H24" i="22"/>
  <c r="T23" i="22"/>
  <c r="Q23" i="22"/>
  <c r="N23" i="22"/>
  <c r="I23" i="22"/>
  <c r="H23" i="22"/>
  <c r="T22" i="22"/>
  <c r="Q22" i="22"/>
  <c r="N22" i="22"/>
  <c r="I22" i="22"/>
  <c r="H22" i="22"/>
  <c r="T21" i="22"/>
  <c r="Q21" i="22"/>
  <c r="N21" i="22"/>
  <c r="I21" i="22"/>
  <c r="H21" i="22"/>
  <c r="T20" i="22"/>
  <c r="Q20" i="22"/>
  <c r="N20" i="22"/>
  <c r="I20" i="22"/>
  <c r="H20" i="22"/>
  <c r="T19" i="22"/>
  <c r="Q19" i="22"/>
  <c r="N19" i="22"/>
  <c r="I19" i="22"/>
  <c r="H19" i="22"/>
  <c r="T18" i="22"/>
  <c r="Q18" i="22"/>
  <c r="N18" i="22"/>
  <c r="I18" i="22"/>
  <c r="H18" i="22"/>
  <c r="T17" i="22"/>
  <c r="Q17" i="22"/>
  <c r="N17" i="22"/>
  <c r="I17" i="22"/>
  <c r="H17" i="22"/>
  <c r="T16" i="22"/>
  <c r="Q16" i="22"/>
  <c r="N16" i="22"/>
  <c r="I16" i="22"/>
  <c r="H16" i="22"/>
  <c r="T15" i="22"/>
  <c r="Q15" i="22"/>
  <c r="N15" i="22"/>
  <c r="I15" i="22"/>
  <c r="H15" i="22"/>
  <c r="T14" i="22"/>
  <c r="Q14" i="22"/>
  <c r="N14" i="22"/>
  <c r="I14" i="22"/>
  <c r="H14" i="22"/>
  <c r="T13" i="22"/>
  <c r="Q13" i="22"/>
  <c r="N13" i="22"/>
  <c r="I13" i="22"/>
  <c r="H13" i="22"/>
  <c r="T12" i="22"/>
  <c r="Q12" i="22"/>
  <c r="N12" i="22"/>
  <c r="I12" i="22"/>
  <c r="H12" i="22"/>
  <c r="T11" i="22"/>
  <c r="Q11" i="22"/>
  <c r="N11" i="22"/>
  <c r="I11" i="22"/>
  <c r="H11" i="22"/>
  <c r="T10" i="22"/>
  <c r="Q10" i="22"/>
  <c r="N10" i="22"/>
  <c r="I10" i="22"/>
  <c r="H10" i="22"/>
  <c r="T9" i="22"/>
  <c r="Q9" i="22"/>
  <c r="N9" i="22"/>
  <c r="I9" i="22"/>
  <c r="H9" i="22"/>
  <c r="T8" i="22"/>
  <c r="Q8" i="22"/>
  <c r="N8" i="22"/>
  <c r="I8" i="22"/>
  <c r="H8" i="22"/>
  <c r="T7" i="22"/>
  <c r="Q7" i="22"/>
  <c r="N7" i="22"/>
  <c r="I7" i="22"/>
  <c r="H7" i="22"/>
  <c r="T6" i="22"/>
  <c r="Q6" i="22"/>
  <c r="N6" i="22"/>
  <c r="I6" i="22"/>
  <c r="H6" i="22"/>
  <c r="T5" i="22"/>
  <c r="Q5" i="22"/>
  <c r="N5" i="22"/>
  <c r="I5" i="22"/>
  <c r="H5" i="22"/>
  <c r="T4" i="22"/>
  <c r="Q4" i="22"/>
  <c r="N4" i="22"/>
  <c r="I4" i="22"/>
  <c r="H4" i="22"/>
  <c r="T3" i="22"/>
  <c r="Q3" i="22"/>
  <c r="N3" i="22"/>
  <c r="I3" i="22"/>
  <c r="H3" i="22"/>
  <c r="T2" i="22"/>
  <c r="Q2" i="22"/>
  <c r="N2" i="22"/>
  <c r="I2" i="22"/>
  <c r="H2" i="22"/>
  <c r="D34" i="26" l="1"/>
  <c r="U33" i="26"/>
  <c r="Z2" i="26"/>
  <c r="S3" i="26" s="1"/>
  <c r="Z3" i="26" s="1"/>
  <c r="S4" i="26" s="1"/>
  <c r="Z4" i="26" s="1"/>
  <c r="S5" i="26" s="1"/>
  <c r="Z5" i="26" s="1"/>
  <c r="S6" i="26" s="1"/>
  <c r="Z6" i="26" s="1"/>
  <c r="S7" i="26" s="1"/>
  <c r="Z7" i="26" s="1"/>
  <c r="S8" i="26" s="1"/>
  <c r="Z8" i="26" s="1"/>
  <c r="S9" i="26" s="1"/>
  <c r="Z9" i="26" s="1"/>
  <c r="S10" i="26" s="1"/>
  <c r="Z10" i="26" s="1"/>
  <c r="S11" i="26" s="1"/>
  <c r="Z11" i="26" s="1"/>
  <c r="S12" i="26" s="1"/>
  <c r="Z12" i="26" s="1"/>
  <c r="S13" i="26" s="1"/>
  <c r="Z13" i="26" s="1"/>
  <c r="S14" i="26" s="1"/>
  <c r="Z14" i="26" s="1"/>
  <c r="S15" i="26" s="1"/>
  <c r="Z15" i="26" s="1"/>
  <c r="S16" i="26" s="1"/>
  <c r="Z16" i="26" s="1"/>
  <c r="S17" i="26" s="1"/>
  <c r="Z17" i="26" s="1"/>
  <c r="S18" i="26" s="1"/>
  <c r="Z18" i="26" s="1"/>
  <c r="S19" i="26" s="1"/>
  <c r="Z19" i="26" s="1"/>
  <c r="S20" i="26" s="1"/>
  <c r="Z20" i="26" s="1"/>
  <c r="S21" i="26" s="1"/>
  <c r="Z21" i="26" s="1"/>
  <c r="S22" i="26" s="1"/>
  <c r="Z22" i="26" s="1"/>
  <c r="S23" i="26" s="1"/>
  <c r="Z23" i="26" s="1"/>
  <c r="S24" i="26" s="1"/>
  <c r="Z24" i="26" s="1"/>
  <c r="S25" i="26" s="1"/>
  <c r="Z25" i="26" s="1"/>
  <c r="S26" i="26" s="1"/>
  <c r="Z26" i="26" s="1"/>
  <c r="S27" i="26" s="1"/>
  <c r="Z27" i="26" s="1"/>
  <c r="S28" i="26" s="1"/>
  <c r="Z28" i="26" s="1"/>
  <c r="S29" i="26" s="1"/>
  <c r="Z29" i="26" s="1"/>
  <c r="S30" i="26" s="1"/>
  <c r="Z30" i="26" s="1"/>
  <c r="S31" i="26" s="1"/>
  <c r="Z31" i="26" s="1"/>
  <c r="S32" i="26" s="1"/>
  <c r="Z32" i="26" s="1"/>
  <c r="Z33" i="26" s="1"/>
  <c r="Z2" i="25"/>
  <c r="S3" i="25" s="1"/>
  <c r="Z3" i="25" s="1"/>
  <c r="S4" i="25" s="1"/>
  <c r="Z4" i="25" s="1"/>
  <c r="S5" i="25" s="1"/>
  <c r="Z5" i="25" s="1"/>
  <c r="S6" i="25" s="1"/>
  <c r="Z6" i="25" s="1"/>
  <c r="S7" i="25" s="1"/>
  <c r="Z7" i="25" s="1"/>
  <c r="S8" i="25" s="1"/>
  <c r="Z8" i="25" s="1"/>
  <c r="S9" i="25" s="1"/>
  <c r="Z9" i="25" s="1"/>
  <c r="S10" i="25" s="1"/>
  <c r="Z10" i="25" s="1"/>
  <c r="S11" i="25" s="1"/>
  <c r="Z11" i="25" s="1"/>
  <c r="S12" i="25" s="1"/>
  <c r="Z12" i="25" s="1"/>
  <c r="S13" i="25" s="1"/>
  <c r="Z13" i="25" s="1"/>
  <c r="S14" i="25" s="1"/>
  <c r="Z14" i="25" s="1"/>
  <c r="S15" i="25" s="1"/>
  <c r="Z15" i="25" s="1"/>
  <c r="S16" i="25" s="1"/>
  <c r="Z16" i="25" s="1"/>
  <c r="S17" i="25" s="1"/>
  <c r="Z17" i="25" s="1"/>
  <c r="S18" i="25" s="1"/>
  <c r="Z18" i="25" s="1"/>
  <c r="S19" i="25" s="1"/>
  <c r="Z19" i="25" s="1"/>
  <c r="S20" i="25" s="1"/>
  <c r="Z20" i="25" s="1"/>
  <c r="S21" i="25" s="1"/>
  <c r="Z21" i="25" s="1"/>
  <c r="S22" i="25" s="1"/>
  <c r="Z22" i="25" s="1"/>
  <c r="S23" i="25" s="1"/>
  <c r="Z23" i="25" s="1"/>
  <c r="S24" i="25" s="1"/>
  <c r="Z24" i="25" s="1"/>
  <c r="S25" i="25" s="1"/>
  <c r="Z25" i="25" s="1"/>
  <c r="S26" i="25" s="1"/>
  <c r="Z26" i="25" s="1"/>
  <c r="S27" i="25" s="1"/>
  <c r="Z27" i="25" s="1"/>
  <c r="S28" i="25" s="1"/>
  <c r="Z28" i="25" s="1"/>
  <c r="S29" i="25" s="1"/>
  <c r="Z29" i="25" s="1"/>
  <c r="S30" i="25" s="1"/>
  <c r="Z30" i="25" s="1"/>
  <c r="S31" i="25" s="1"/>
  <c r="Z31" i="25" s="1"/>
  <c r="S32" i="25" s="1"/>
  <c r="Z32" i="25" s="1"/>
  <c r="H33" i="24"/>
  <c r="N33" i="24"/>
  <c r="D34" i="24"/>
  <c r="U33" i="24"/>
  <c r="Z2" i="24"/>
  <c r="S3" i="24" s="1"/>
  <c r="Z3" i="24" s="1"/>
  <c r="S4" i="24" s="1"/>
  <c r="Z4" i="24" s="1"/>
  <c r="S5" i="24" s="1"/>
  <c r="Z5" i="24" s="1"/>
  <c r="S6" i="24" s="1"/>
  <c r="Z6" i="24" s="1"/>
  <c r="S7" i="24" s="1"/>
  <c r="Z7" i="24" s="1"/>
  <c r="S8" i="24" s="1"/>
  <c r="Z8" i="24" s="1"/>
  <c r="S9" i="24" s="1"/>
  <c r="Z9" i="24" s="1"/>
  <c r="S10" i="24" s="1"/>
  <c r="Z10" i="24" s="1"/>
  <c r="S11" i="24" s="1"/>
  <c r="Z11" i="24" s="1"/>
  <c r="S12" i="24" s="1"/>
  <c r="Z12" i="24" s="1"/>
  <c r="S13" i="24" s="1"/>
  <c r="Z13" i="24" s="1"/>
  <c r="S14" i="24" s="1"/>
  <c r="Z14" i="24" s="1"/>
  <c r="S15" i="24" s="1"/>
  <c r="Z15" i="24" s="1"/>
  <c r="S16" i="24" s="1"/>
  <c r="Z16" i="24" s="1"/>
  <c r="S17" i="24" s="1"/>
  <c r="Z17" i="24" s="1"/>
  <c r="S18" i="24" s="1"/>
  <c r="Z18" i="24" s="1"/>
  <c r="S19" i="24" s="1"/>
  <c r="Z19" i="24" s="1"/>
  <c r="S20" i="24" s="1"/>
  <c r="Z20" i="24" s="1"/>
  <c r="S21" i="24" s="1"/>
  <c r="Z21" i="24" s="1"/>
  <c r="S22" i="24" s="1"/>
  <c r="Z22" i="24" s="1"/>
  <c r="S23" i="24" s="1"/>
  <c r="Z23" i="24" s="1"/>
  <c r="S24" i="24" s="1"/>
  <c r="Z24" i="24" s="1"/>
  <c r="S25" i="24" s="1"/>
  <c r="Z25" i="24" s="1"/>
  <c r="S26" i="24" s="1"/>
  <c r="Z26" i="24" s="1"/>
  <c r="S27" i="24" s="1"/>
  <c r="Z27" i="24" s="1"/>
  <c r="S28" i="24" s="1"/>
  <c r="Z28" i="24" s="1"/>
  <c r="S29" i="24" s="1"/>
  <c r="Z29" i="24" s="1"/>
  <c r="S30" i="24" s="1"/>
  <c r="Z30" i="24" s="1"/>
  <c r="S31" i="24" s="1"/>
  <c r="Z31" i="24" s="1"/>
  <c r="S32" i="24" s="1"/>
  <c r="Z32" i="24" s="1"/>
  <c r="Z33" i="24" s="1"/>
  <c r="I33" i="23"/>
  <c r="H33" i="23"/>
  <c r="N33" i="23"/>
  <c r="D34" i="23"/>
  <c r="T33" i="23"/>
  <c r="I33" i="22"/>
  <c r="H33" i="22"/>
  <c r="N33" i="22"/>
  <c r="D34" i="22"/>
  <c r="T33" i="22"/>
  <c r="Y2" i="22"/>
  <c r="S3" i="22" s="1"/>
  <c r="Y3" i="22" s="1"/>
  <c r="S4" i="22" s="1"/>
  <c r="Y4" i="22" s="1"/>
  <c r="S5" i="22" s="1"/>
  <c r="Y5" i="22" s="1"/>
  <c r="Y6" i="22" s="1"/>
  <c r="S7" i="22" s="1"/>
  <c r="Y7" i="22" s="1"/>
  <c r="S8" i="22" s="1"/>
  <c r="Y8" i="22" s="1"/>
  <c r="S9" i="22" s="1"/>
  <c r="Y9" i="22" s="1"/>
  <c r="S10" i="22" s="1"/>
  <c r="Y10" i="22" s="1"/>
  <c r="S11" i="22" s="1"/>
  <c r="Y11" i="22" s="1"/>
  <c r="S12" i="22" s="1"/>
  <c r="Y12" i="22" s="1"/>
  <c r="S13" i="22" s="1"/>
  <c r="Y13" i="22" s="1"/>
  <c r="S14" i="22" s="1"/>
  <c r="Y14" i="22" s="1"/>
  <c r="S15" i="22" s="1"/>
  <c r="Y15" i="22" s="1"/>
  <c r="S16" i="22" s="1"/>
  <c r="Y16" i="22" s="1"/>
  <c r="S17" i="22" s="1"/>
  <c r="Y17" i="22" s="1"/>
  <c r="S18" i="22" s="1"/>
  <c r="Y18" i="22" s="1"/>
  <c r="S19" i="22" s="1"/>
  <c r="Y19" i="22" s="1"/>
  <c r="S20" i="22" s="1"/>
  <c r="Y20" i="22" s="1"/>
  <c r="S21" i="22" s="1"/>
  <c r="Y21" i="22" s="1"/>
  <c r="S22" i="22" s="1"/>
  <c r="Y22" i="22" s="1"/>
  <c r="S23" i="22" s="1"/>
  <c r="Y23" i="22" s="1"/>
  <c r="S24" i="22" s="1"/>
  <c r="Y24" i="22" s="1"/>
  <c r="S25" i="22" s="1"/>
  <c r="Y25" i="22" s="1"/>
  <c r="S26" i="22" s="1"/>
  <c r="Y26" i="22" s="1"/>
  <c r="S27" i="22" s="1"/>
  <c r="Y27" i="22" s="1"/>
  <c r="S28" i="22" s="1"/>
  <c r="Y28" i="22" s="1"/>
  <c r="S29" i="22" s="1"/>
  <c r="Y29" i="22" s="1"/>
  <c r="S30" i="22" s="1"/>
  <c r="Y30" i="22" s="1"/>
  <c r="S31" i="22" s="1"/>
  <c r="Y31" i="22" s="1"/>
  <c r="S32" i="22" s="1"/>
  <c r="Y32" i="22" s="1"/>
  <c r="S2" i="23" s="1"/>
  <c r="Y2" i="23" s="1"/>
  <c r="S3" i="23" s="1"/>
  <c r="Y3" i="23" s="1"/>
  <c r="S4" i="23" s="1"/>
  <c r="Y4" i="23" s="1"/>
  <c r="S5" i="23" s="1"/>
  <c r="Y5" i="23" s="1"/>
  <c r="S6" i="23" s="1"/>
  <c r="Y6" i="23" s="1"/>
  <c r="S7" i="23" s="1"/>
  <c r="Y7" i="23" s="1"/>
  <c r="S8" i="23" s="1"/>
  <c r="Y8" i="23" s="1"/>
  <c r="S9" i="23" s="1"/>
  <c r="Y9" i="23" s="1"/>
  <c r="S10" i="23" s="1"/>
  <c r="Y10" i="23" s="1"/>
  <c r="S11" i="23" s="1"/>
  <c r="Y11" i="23" s="1"/>
  <c r="S12" i="23" s="1"/>
  <c r="Y12" i="23" s="1"/>
  <c r="S13" i="23" s="1"/>
  <c r="Y13" i="23" s="1"/>
  <c r="S14" i="23" s="1"/>
  <c r="Y14" i="23" s="1"/>
  <c r="S15" i="23" s="1"/>
  <c r="Y15" i="23" s="1"/>
  <c r="S16" i="23" s="1"/>
  <c r="Y16" i="23" s="1"/>
  <c r="S17" i="23" s="1"/>
  <c r="Y17" i="23" s="1"/>
  <c r="S18" i="23" s="1"/>
  <c r="Y18" i="23" s="1"/>
  <c r="S19" i="23" s="1"/>
  <c r="Y19" i="23" s="1"/>
  <c r="S20" i="23" s="1"/>
  <c r="Y20" i="23" s="1"/>
  <c r="S21" i="23" s="1"/>
  <c r="Y21" i="23" s="1"/>
  <c r="S22" i="23" s="1"/>
  <c r="Y22" i="23" s="1"/>
  <c r="S23" i="23" s="1"/>
  <c r="Y23" i="23" s="1"/>
  <c r="S24" i="23" s="1"/>
  <c r="Y24" i="23" s="1"/>
  <c r="S25" i="23" s="1"/>
  <c r="Y25" i="23" s="1"/>
  <c r="S26" i="23" s="1"/>
  <c r="Y26" i="23" s="1"/>
  <c r="S27" i="23" s="1"/>
  <c r="Y27" i="23" s="1"/>
  <c r="S28" i="23" s="1"/>
  <c r="Y28" i="23" s="1"/>
  <c r="S29" i="23" s="1"/>
  <c r="Y29" i="23" s="1"/>
  <c r="S30" i="23" s="1"/>
  <c r="Y30" i="23" s="1"/>
  <c r="S31" i="23" s="1"/>
  <c r="Y31" i="23" s="1"/>
  <c r="S32" i="23" s="1"/>
  <c r="Y32" i="23" s="1"/>
</calcChain>
</file>

<file path=xl/sharedStrings.xml><?xml version="1.0" encoding="utf-8"?>
<sst xmlns="http://schemas.openxmlformats.org/spreadsheetml/2006/main" count="187" uniqueCount="48">
  <si>
    <t>Novohost</t>
  </si>
  <si>
    <t>VIP fogyasztás</t>
  </si>
  <si>
    <t>Bankkártya</t>
  </si>
  <si>
    <t>VIP töltés</t>
  </si>
  <si>
    <t>VIP forgalom</t>
  </si>
  <si>
    <t>Tartalék kiadás</t>
  </si>
  <si>
    <t>Összesen</t>
  </si>
  <si>
    <t>Összesen VIP</t>
  </si>
  <si>
    <t>Mckinsey</t>
  </si>
  <si>
    <t>Protokoll</t>
  </si>
  <si>
    <t>Rendezvény</t>
  </si>
  <si>
    <t>Mindösszesen</t>
  </si>
  <si>
    <t>Fogy ltsz</t>
  </si>
  <si>
    <t>Fogy Össz</t>
  </si>
  <si>
    <t>Pénztár nyitó</t>
  </si>
  <si>
    <t>novo kp bevétel</t>
  </si>
  <si>
    <t>Egyéb bevétel</t>
  </si>
  <si>
    <t>Költött</t>
  </si>
  <si>
    <t>Kivét</t>
  </si>
  <si>
    <t>Eltérés</t>
  </si>
  <si>
    <t>Záró</t>
  </si>
  <si>
    <t>Megjegyzések</t>
  </si>
  <si>
    <t>Egyéb kiadás</t>
  </si>
  <si>
    <t>Vásárlás</t>
  </si>
  <si>
    <t>Vip töltés</t>
  </si>
  <si>
    <t>Matrica</t>
  </si>
  <si>
    <t>Media Markt</t>
  </si>
  <si>
    <t>Vásárlás, Vip töltés, Melinda, Parkolás</t>
  </si>
  <si>
    <t>Márk, Vip töltés</t>
  </si>
  <si>
    <t>Melinda</t>
  </si>
  <si>
    <t>kp</t>
  </si>
  <si>
    <t>Vip töltés, leadó</t>
  </si>
  <si>
    <t>Laci túlóra</t>
  </si>
  <si>
    <t>Vip töltés, Vásárlás, Melinda</t>
  </si>
  <si>
    <t>Kávékapszula</t>
  </si>
  <si>
    <t>Vip töltés, Többlet, Melinda</t>
  </si>
  <si>
    <t>Vip töltés, Nespresso visszajáró</t>
  </si>
  <si>
    <t>Zoli kölcsön</t>
  </si>
  <si>
    <t>Állomány létszám:</t>
  </si>
  <si>
    <t>Átl fogy sz</t>
  </si>
  <si>
    <t>Állomány előző év adott hónapban:</t>
  </si>
  <si>
    <t>Átl előző évi</t>
  </si>
  <si>
    <t>KP pénztár bevétel</t>
  </si>
  <si>
    <t>Melinda, Krisz áfa</t>
  </si>
  <si>
    <t>Csabi áfa</t>
  </si>
  <si>
    <t>Vásárlás, Zoli levonás</t>
  </si>
  <si>
    <t>Leadó</t>
  </si>
  <si>
    <t>Melinda, Krisztián nadrág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</si>
</sst>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"/>
  </numFmts>
  <fonts count="8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 style="dotted">
        <color theme="0" tint="-0.249977111117893"/>
      </left>
      <right/>
      <top/>
      <bottom style="dotted">
        <color theme="0" tint="-0.249977111117893"/>
      </bottom>
      <diagonal/>
    </border>
    <border>
      <left style="medium">
        <color rgb="FF000000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medium">
        <color rgb="FF000000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/>
      <top style="dotted">
        <color theme="0" tint="-0.249977111117893"/>
      </top>
      <bottom/>
      <diagonal/>
    </border>
    <border>
      <left style="dotted">
        <color theme="0" tint="-0.249977111117893"/>
      </left>
      <right style="medium">
        <color rgb="FF000000"/>
      </right>
      <top/>
      <bottom style="dotted">
        <color theme="0" tint="-0.249977111117893"/>
      </bottom>
      <diagonal/>
    </border>
    <border>
      <left style="dotted">
        <color theme="0" tint="-0.249977111117893"/>
      </left>
      <right style="medium">
        <color rgb="FF000000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medium">
        <color rgb="FF000000"/>
      </right>
      <top style="dotted">
        <color theme="0" tint="-0.249977111117893"/>
      </top>
      <bottom/>
      <diagonal/>
    </border>
    <border>
      <left style="thin">
        <color theme="1"/>
      </left>
      <right style="thin">
        <color theme="1"/>
      </right>
      <top style="medium">
        <color rgb="FF000000"/>
      </top>
      <bottom/>
      <diagonal/>
    </border>
    <border>
      <left style="thin">
        <color theme="1"/>
      </left>
      <right style="thin">
        <color theme="1"/>
      </right>
      <top/>
      <bottom style="dotted">
        <color theme="0" tint="-0.249977111117893"/>
      </bottom>
      <diagonal/>
    </border>
    <border>
      <left style="thin">
        <color theme="1"/>
      </left>
      <right style="thin">
        <color theme="1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1"/>
      </left>
      <right style="thin">
        <color theme="1"/>
      </right>
      <top style="dotted">
        <color theme="0" tint="-0.249977111117893"/>
      </top>
      <bottom/>
      <diagonal/>
    </border>
    <border>
      <left style="thin">
        <color theme="1"/>
      </left>
      <right style="thin">
        <color theme="1"/>
      </right>
      <top/>
      <bottom style="medium">
        <color rgb="FF000000"/>
      </bottom>
      <diagonal/>
    </border>
    <border>
      <left/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/>
      <right style="dotted">
        <color theme="0" tint="-0.249977111117893"/>
      </right>
      <top style="dotted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164" fontId="7" fillId="9" borderId="6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" fillId="16" borderId="4" xfId="0" applyNumberFormat="1" applyFont="1" applyFill="1" applyBorder="1" applyAlignment="1">
      <alignment horizontal="center" vertical="center"/>
    </xf>
    <xf numFmtId="164" fontId="5" fillId="10" borderId="7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0" borderId="0" xfId="0" applyFont="1"/>
    <xf numFmtId="164" fontId="1" fillId="1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" fillId="6" borderId="2" xfId="0" applyNumberFormat="1" applyFon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164" fontId="0" fillId="0" borderId="0" xfId="0" applyNumberFormat="1"/>
    <xf numFmtId="164" fontId="3" fillId="8" borderId="2" xfId="0" applyNumberFormat="1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164" fontId="5" fillId="10" borderId="6" xfId="0" applyNumberFormat="1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164" fontId="0" fillId="10" borderId="5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17" borderId="0" xfId="0" applyNumberForma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4" fillId="15" borderId="0" xfId="0" applyFont="1" applyFill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/>
    </xf>
    <xf numFmtId="164" fontId="7" fillId="8" borderId="6" xfId="0" applyNumberFormat="1" applyFont="1" applyFill="1" applyBorder="1" applyAlignment="1">
      <alignment horizontal="center" vertical="center"/>
    </xf>
    <xf numFmtId="0" fontId="7" fillId="15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164" fontId="0" fillId="2" borderId="9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1" fillId="16" borderId="11" xfId="0" applyNumberFormat="1" applyFon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4" fontId="0" fillId="13" borderId="18" xfId="0" applyNumberFormat="1" applyFill="1" applyBorder="1" applyAlignment="1">
      <alignment horizontal="center" vertical="center"/>
    </xf>
    <xf numFmtId="164" fontId="0" fillId="11" borderId="12" xfId="0" applyNumberForma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13" borderId="19" xfId="0" applyNumberFormat="1" applyFill="1" applyBorder="1" applyAlignment="1">
      <alignment horizontal="center" vertical="center"/>
    </xf>
    <xf numFmtId="164" fontId="0" fillId="11" borderId="15" xfId="0" applyNumberFormat="1" applyFill="1" applyBorder="1" applyAlignment="1">
      <alignment horizontal="center" vertical="center"/>
    </xf>
    <xf numFmtId="164" fontId="0" fillId="5" borderId="16" xfId="0" applyNumberFormat="1" applyFill="1" applyBorder="1" applyAlignment="1">
      <alignment horizontal="center" vertical="center"/>
    </xf>
    <xf numFmtId="164" fontId="0" fillId="13" borderId="20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17" xfId="0" applyNumberForma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7" fillId="7" borderId="25" xfId="0" applyNumberFormat="1" applyFont="1" applyFill="1" applyBorder="1" applyAlignment="1">
      <alignment horizontal="center" vertical="center"/>
    </xf>
    <xf numFmtId="16" fontId="0" fillId="0" borderId="0" xfId="0" applyNumberFormat="1"/>
    <xf numFmtId="9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3" borderId="29" xfId="0" applyNumberForma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164" fontId="5" fillId="3" borderId="29" xfId="0" applyNumberFormat="1" applyFont="1" applyFill="1" applyBorder="1" applyAlignment="1">
      <alignment horizontal="center"/>
    </xf>
    <xf numFmtId="164" fontId="5" fillId="17" borderId="0" xfId="0" applyNumberFormat="1" applyFont="1" applyFill="1" applyAlignment="1">
      <alignment horizontal="center"/>
    </xf>
    <xf numFmtId="164" fontId="2" fillId="15" borderId="2" xfId="0" applyNumberFormat="1" applyFont="1" applyFill="1" applyBorder="1" applyAlignment="1">
      <alignment horizontal="center" vertical="center"/>
    </xf>
    <xf numFmtId="164" fontId="0" fillId="20" borderId="26" xfId="0" applyNumberFormat="1" applyFill="1" applyBorder="1" applyAlignment="1">
      <alignment horizontal="center" vertical="center"/>
    </xf>
    <xf numFmtId="164" fontId="0" fillId="20" borderId="27" xfId="0" applyNumberFormat="1" applyFill="1" applyBorder="1" applyAlignment="1">
      <alignment horizontal="center" vertical="center"/>
    </xf>
    <xf numFmtId="164" fontId="0" fillId="20" borderId="28" xfId="0" applyNumberFormat="1" applyFill="1" applyBorder="1" applyAlignment="1">
      <alignment horizontal="center" vertical="center"/>
    </xf>
    <xf numFmtId="164" fontId="7" fillId="15" borderId="6" xfId="0" applyNumberFormat="1" applyFon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30" xfId="0" applyNumberFormat="1" applyFill="1" applyBorder="1" applyAlignment="1">
      <alignment horizontal="center" vertical="center"/>
    </xf>
    <xf numFmtId="14" fontId="4" fillId="15" borderId="0" xfId="0" applyNumberFormat="1" applyFont="1" applyFill="1" applyAlignment="1">
      <alignment horizontal="center" vertical="center"/>
    </xf>
    <xf numFmtId="0" fontId="0" fillId="20" borderId="0" xfId="0" applyFill="1"/>
    <xf numFmtId="0" fontId="0" fillId="10" borderId="0" xfId="0" applyFill="1" applyAlignment="1">
      <alignment horizontal="center"/>
    </xf>
    <xf numFmtId="164" fontId="0" fillId="21" borderId="29" xfId="0" applyNumberFormat="1" applyFill="1" applyBorder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AE0F3"/>
      <color rgb="FFFAB9BA"/>
      <color rgb="FFFA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Allamkincstar%20Pepper/Online%20t&#225;bl&#225;k/Forgalom%20M&#193;K%20-%202025.xlsx" TargetMode="External"/><Relationship Id="rId1" Type="http://schemas.openxmlformats.org/officeDocument/2006/relationships/externalLinkPath" Target="Forgalom%20M&#193;K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KFPF3TG4UOYRHKM3W6XZ4FZPXT">
      <xxl21:absoluteUrl r:id="rId2"/>
    </xxl21:alternateUrls>
    <sheetNames>
      <sheetName val="2025 december"/>
      <sheetName val="2025 november"/>
      <sheetName val="2025 október"/>
      <sheetName val="2025 szeptember"/>
      <sheetName val="2025 augusztus"/>
      <sheetName val="2025 július"/>
      <sheetName val="2025 június"/>
      <sheetName val="2025 május"/>
      <sheetName val="2025 április"/>
      <sheetName val="2025 február"/>
      <sheetName val="2025. március"/>
      <sheetName val="2025 január"/>
      <sheetName val="minta"/>
      <sheetName val="2025. februá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6">
          <cell r="P36">
            <v>190.1</v>
          </cell>
        </row>
      </sheetData>
      <sheetData sheetId="10">
        <row r="36">
          <cell r="P36">
            <v>183.14285714285714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1B12D7-89E8-4C10-8050-F8A6B4F707DA}">
  <we:reference id="WA200009404" version="1.0.0.8" store="en-gb" storeType="omex"/>
  <we:alternateReferences>
    <we:reference id="WA200009404" version="1.0.0.8" store="en-gb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6392-D4EE-4D65-B50F-EB1CB311452C}">
  <dimension ref="A1:AV34"/>
  <sheetViews>
    <sheetView tabSelected="1" workbookViewId="0">
      <pane ySplit="1" topLeftCell="A10" activePane="bottomLeft" state="frozen"/>
      <selection pane="bottomLeft" activeCell="M29" sqref="M29"/>
    </sheetView>
  </sheetViews>
  <sheetFormatPr defaultRowHeight="15"/>
  <cols>
    <col min="2" max="2" width="11" customWidth="1"/>
    <col min="3" max="3" width="0.140625" customWidth="1"/>
    <col min="4" max="4" width="11" customWidth="1"/>
    <col min="5" max="5" width="11.85546875" bestFit="1" customWidth="1"/>
    <col min="6" max="6" width="11.140625" bestFit="1" customWidth="1"/>
    <col min="7" max="7" width="11.85546875" customWidth="1"/>
    <col min="8" max="8" width="11" bestFit="1" customWidth="1"/>
    <col min="9" max="9" width="11.140625" bestFit="1" customWidth="1"/>
    <col min="11" max="11" width="11" bestFit="1" customWidth="1"/>
    <col min="12" max="12" width="9.5703125" bestFit="1" customWidth="1"/>
    <col min="13" max="13" width="11" bestFit="1" customWidth="1"/>
    <col min="14" max="14" width="12" bestFit="1" customWidth="1"/>
    <col min="19" max="19" width="12.7109375" customWidth="1"/>
    <col min="20" max="20" width="15.140625" customWidth="1"/>
    <col min="21" max="21" width="12.7109375" customWidth="1"/>
    <col min="22" max="22" width="9.5703125" bestFit="1" customWidth="1"/>
    <col min="23" max="23" width="14.140625" bestFit="1" customWidth="1"/>
    <col min="24" max="24" width="14.140625" customWidth="1"/>
    <col min="25" max="25" width="14.140625" style="15" customWidth="1"/>
    <col min="27" max="27" width="13.5703125" bestFit="1" customWidth="1"/>
    <col min="29" max="29" width="13.28515625" bestFit="1" customWidth="1"/>
    <col min="31" max="31" width="9.5703125" bestFit="1" customWidth="1"/>
    <col min="35" max="36" width="9.5703125" bestFit="1" customWidth="1"/>
    <col min="37" max="37" width="15.28515625" customWidth="1"/>
    <col min="38" max="38" width="13.140625" bestFit="1" customWidth="1"/>
    <col min="40" max="40" width="13.28515625" bestFit="1" customWidth="1"/>
    <col min="47" max="47" width="8.42578125" bestFit="1" customWidth="1"/>
    <col min="48" max="48" width="10.85546875" bestFit="1" customWidth="1"/>
  </cols>
  <sheetData>
    <row r="1" spans="1:48" ht="17.25" customHeight="1">
      <c r="B1" s="4" t="s">
        <v>0</v>
      </c>
      <c r="C1" s="18" t="s">
        <v>1</v>
      </c>
      <c r="D1" s="57" t="s">
        <v>2</v>
      </c>
      <c r="E1" s="70" t="s">
        <v>3</v>
      </c>
      <c r="F1" s="21" t="s">
        <v>4</v>
      </c>
      <c r="G1" s="21" t="s">
        <v>5</v>
      </c>
      <c r="H1" s="22" t="s">
        <v>6</v>
      </c>
      <c r="I1" s="24" t="s">
        <v>7</v>
      </c>
      <c r="J1" s="9"/>
      <c r="K1" s="14" t="s">
        <v>8</v>
      </c>
      <c r="L1" s="5" t="s">
        <v>9</v>
      </c>
      <c r="M1" s="6" t="s">
        <v>10</v>
      </c>
      <c r="N1" s="33" t="s">
        <v>11</v>
      </c>
      <c r="P1" s="30" t="s">
        <v>12</v>
      </c>
      <c r="Q1" s="34" t="s">
        <v>13</v>
      </c>
      <c r="S1" s="25" t="s">
        <v>14</v>
      </c>
      <c r="T1" s="25" t="s">
        <v>15</v>
      </c>
      <c r="U1" s="25" t="s">
        <v>16</v>
      </c>
      <c r="V1" s="25" t="s">
        <v>17</v>
      </c>
      <c r="W1" s="25" t="s">
        <v>18</v>
      </c>
      <c r="X1" s="25" t="s">
        <v>19</v>
      </c>
      <c r="Y1" s="67" t="s">
        <v>20</v>
      </c>
      <c r="Z1" s="82" t="s">
        <v>21</v>
      </c>
      <c r="AA1" s="82"/>
      <c r="AB1" s="82"/>
      <c r="AC1" s="17"/>
      <c r="AE1" s="63"/>
      <c r="AF1" s="63"/>
      <c r="AG1" s="63"/>
      <c r="AH1" s="26" t="s">
        <v>22</v>
      </c>
      <c r="AI1" s="17"/>
      <c r="AJ1" s="17"/>
      <c r="AK1" s="17"/>
      <c r="AL1" s="17"/>
      <c r="AN1" s="17"/>
      <c r="AO1" s="63"/>
      <c r="AP1" s="63"/>
      <c r="AQ1" s="63"/>
      <c r="AR1" s="63"/>
      <c r="AS1" s="17"/>
      <c r="AT1" s="17"/>
      <c r="AU1" s="17"/>
      <c r="AV1" s="17"/>
    </row>
    <row r="2" spans="1:48">
      <c r="A2" s="2">
        <v>1</v>
      </c>
      <c r="B2" s="38"/>
      <c r="C2" s="54"/>
      <c r="D2" s="58"/>
      <c r="E2" s="71"/>
      <c r="F2" s="39"/>
      <c r="G2" s="75"/>
      <c r="H2" s="40">
        <f>(B2+F2)</f>
        <v>0</v>
      </c>
      <c r="I2" s="12">
        <f>C2+E2</f>
        <v>0</v>
      </c>
      <c r="J2" s="10"/>
      <c r="K2" s="45"/>
      <c r="L2" s="46"/>
      <c r="M2" s="47"/>
      <c r="N2" s="16">
        <f>B2+L2+F2+K2+M2</f>
        <v>0</v>
      </c>
      <c r="P2" s="31"/>
      <c r="Q2" s="32">
        <f>P2</f>
        <v>0</v>
      </c>
      <c r="S2" s="66"/>
      <c r="T2" s="66">
        <f>B2-D2</f>
        <v>0</v>
      </c>
      <c r="U2" s="66"/>
      <c r="V2" s="66"/>
      <c r="W2" s="66"/>
      <c r="X2" s="66"/>
      <c r="Y2" s="68">
        <f>S2+T2+U2-V2-W2+X2</f>
        <v>0</v>
      </c>
      <c r="Z2" s="28"/>
      <c r="AC2" s="62"/>
      <c r="AD2" s="28"/>
      <c r="AE2" s="20"/>
      <c r="AF2" s="20"/>
      <c r="AG2" s="20"/>
      <c r="AH2" s="20"/>
      <c r="AI2" s="20"/>
      <c r="AJ2" s="20"/>
      <c r="AK2" s="64"/>
      <c r="AL2" s="20"/>
    </row>
    <row r="3" spans="1:48">
      <c r="A3" s="2">
        <v>2</v>
      </c>
      <c r="B3" s="38"/>
      <c r="C3" s="54"/>
      <c r="D3" s="58"/>
      <c r="E3" s="71"/>
      <c r="F3" s="39"/>
      <c r="G3" s="75"/>
      <c r="H3" s="40">
        <f t="shared" ref="H3:H32" si="0">(B3+F3)</f>
        <v>0</v>
      </c>
      <c r="I3" s="12">
        <f t="shared" ref="I3:I32" si="1">C3+E3</f>
        <v>0</v>
      </c>
      <c r="J3" s="1"/>
      <c r="K3" s="45"/>
      <c r="L3" s="49"/>
      <c r="M3" s="50"/>
      <c r="N3" s="16">
        <f>B3+L3+F3+K3+M3</f>
        <v>0</v>
      </c>
      <c r="P3" s="31"/>
      <c r="Q3" s="32">
        <f t="shared" ref="Q3:Q32" si="2">P3</f>
        <v>0</v>
      </c>
      <c r="S3" s="66">
        <f>Y2</f>
        <v>0</v>
      </c>
      <c r="T3" s="66">
        <f t="shared" ref="T3:T32" si="3">B3-D3</f>
        <v>0</v>
      </c>
      <c r="U3" s="66"/>
      <c r="V3" s="66"/>
      <c r="W3" s="66"/>
      <c r="X3" s="66"/>
      <c r="Y3" s="68">
        <f t="shared" ref="Y3:Y32" si="4">S3+T3+U3-V3-W3+X3</f>
        <v>0</v>
      </c>
      <c r="Z3" s="28"/>
      <c r="AC3" s="62"/>
      <c r="AD3" s="28"/>
      <c r="AE3" s="20"/>
      <c r="AF3" s="20"/>
      <c r="AG3" s="20"/>
      <c r="AH3" s="20"/>
      <c r="AI3" s="20"/>
      <c r="AJ3" s="20"/>
      <c r="AK3" s="64"/>
      <c r="AL3" s="20"/>
    </row>
    <row r="4" spans="1:48">
      <c r="A4" s="2">
        <v>3</v>
      </c>
      <c r="B4" s="41"/>
      <c r="C4" s="55"/>
      <c r="D4" s="59"/>
      <c r="E4" s="72"/>
      <c r="F4" s="42"/>
      <c r="G4" s="75"/>
      <c r="H4" s="40">
        <f t="shared" si="0"/>
        <v>0</v>
      </c>
      <c r="I4" s="12">
        <f t="shared" si="1"/>
        <v>0</v>
      </c>
      <c r="J4" s="1"/>
      <c r="K4" s="48"/>
      <c r="L4" s="49"/>
      <c r="M4" s="50"/>
      <c r="N4" s="16">
        <f t="shared" ref="N4:N32" si="5">B4+L4+F4+K4+M4</f>
        <v>0</v>
      </c>
      <c r="P4" s="31"/>
      <c r="Q4" s="32">
        <f t="shared" si="2"/>
        <v>0</v>
      </c>
      <c r="S4" s="66">
        <f t="shared" ref="S4:S32" si="6">Y3</f>
        <v>0</v>
      </c>
      <c r="T4" s="66">
        <f t="shared" si="3"/>
        <v>0</v>
      </c>
      <c r="U4" s="66"/>
      <c r="V4" s="66"/>
      <c r="W4" s="66"/>
      <c r="X4" s="66"/>
      <c r="Y4" s="68">
        <f t="shared" si="4"/>
        <v>0</v>
      </c>
      <c r="Z4" s="28"/>
      <c r="AC4" s="62"/>
      <c r="AD4" s="28"/>
      <c r="AE4" s="20"/>
      <c r="AF4" s="20"/>
      <c r="AG4" s="20"/>
      <c r="AH4" s="20"/>
      <c r="AI4" s="20"/>
      <c r="AJ4" s="20"/>
      <c r="AK4" s="65"/>
      <c r="AL4" s="20"/>
    </row>
    <row r="5" spans="1:48">
      <c r="A5" s="2">
        <v>4</v>
      </c>
      <c r="B5" s="38"/>
      <c r="C5" s="54"/>
      <c r="D5" s="58"/>
      <c r="E5" s="71"/>
      <c r="F5" s="39"/>
      <c r="G5" s="75"/>
      <c r="H5" s="40">
        <f t="shared" si="0"/>
        <v>0</v>
      </c>
      <c r="I5" s="12">
        <f t="shared" si="1"/>
        <v>0</v>
      </c>
      <c r="J5" s="1"/>
      <c r="K5" s="48"/>
      <c r="L5" s="49"/>
      <c r="M5" s="50"/>
      <c r="N5" s="16">
        <f t="shared" si="5"/>
        <v>0</v>
      </c>
      <c r="P5" s="31"/>
      <c r="Q5" s="32">
        <f t="shared" si="2"/>
        <v>0</v>
      </c>
      <c r="S5" s="66">
        <f t="shared" si="6"/>
        <v>0</v>
      </c>
      <c r="T5" s="66">
        <f t="shared" si="3"/>
        <v>0</v>
      </c>
      <c r="U5" s="66"/>
      <c r="V5" s="66"/>
      <c r="W5" s="66"/>
      <c r="X5" s="66"/>
      <c r="Y5" s="68">
        <f t="shared" si="4"/>
        <v>0</v>
      </c>
      <c r="Z5" s="28"/>
      <c r="AC5" s="62"/>
      <c r="AD5" s="28"/>
      <c r="AE5" s="20"/>
      <c r="AF5" s="20"/>
      <c r="AG5" s="20"/>
      <c r="AH5" s="20"/>
      <c r="AI5" s="20"/>
      <c r="AJ5" s="20"/>
      <c r="AK5" s="65"/>
      <c r="AL5" s="20"/>
    </row>
    <row r="6" spans="1:48">
      <c r="A6" s="2">
        <v>5</v>
      </c>
      <c r="B6" s="38">
        <v>348080</v>
      </c>
      <c r="C6" s="54"/>
      <c r="D6" s="58">
        <v>314305</v>
      </c>
      <c r="E6" s="71"/>
      <c r="F6" s="39">
        <v>17950</v>
      </c>
      <c r="G6" s="75"/>
      <c r="H6" s="40">
        <f t="shared" si="0"/>
        <v>366030</v>
      </c>
      <c r="I6" s="12">
        <f t="shared" si="1"/>
        <v>0</v>
      </c>
      <c r="J6" s="1"/>
      <c r="K6" s="45">
        <v>54000</v>
      </c>
      <c r="L6" s="49"/>
      <c r="M6" s="50"/>
      <c r="N6" s="16">
        <f t="shared" si="5"/>
        <v>420030</v>
      </c>
      <c r="P6" s="31">
        <v>182</v>
      </c>
      <c r="Q6" s="32">
        <f t="shared" si="2"/>
        <v>182</v>
      </c>
      <c r="S6" s="66">
        <v>119577</v>
      </c>
      <c r="T6" s="66">
        <f t="shared" si="3"/>
        <v>33775</v>
      </c>
      <c r="U6" s="66"/>
      <c r="V6" s="66"/>
      <c r="W6" s="66"/>
      <c r="X6" s="66"/>
      <c r="Y6" s="68">
        <f t="shared" si="4"/>
        <v>153352</v>
      </c>
      <c r="Z6" s="28"/>
      <c r="AC6" s="62"/>
      <c r="AD6" s="28"/>
      <c r="AE6" s="20"/>
      <c r="AF6" s="20"/>
      <c r="AG6" s="20"/>
      <c r="AH6" s="20"/>
      <c r="AI6" s="20"/>
      <c r="AJ6" s="20"/>
      <c r="AK6" s="64"/>
      <c r="AL6" s="20"/>
    </row>
    <row r="7" spans="1:48">
      <c r="A7" s="2">
        <v>6</v>
      </c>
      <c r="B7" s="41">
        <v>402810</v>
      </c>
      <c r="C7" s="55"/>
      <c r="D7" s="59">
        <v>426090</v>
      </c>
      <c r="E7" s="72">
        <v>40000</v>
      </c>
      <c r="F7" s="42">
        <v>9490</v>
      </c>
      <c r="G7" s="75"/>
      <c r="H7" s="40">
        <f t="shared" si="0"/>
        <v>412300</v>
      </c>
      <c r="I7" s="12">
        <f t="shared" si="1"/>
        <v>40000</v>
      </c>
      <c r="J7" s="1"/>
      <c r="K7" s="48">
        <v>54000</v>
      </c>
      <c r="L7" s="49"/>
      <c r="M7" s="50"/>
      <c r="N7" s="16">
        <f t="shared" si="5"/>
        <v>466300</v>
      </c>
      <c r="P7" s="31">
        <v>224</v>
      </c>
      <c r="Q7" s="32">
        <f t="shared" si="2"/>
        <v>224</v>
      </c>
      <c r="S7" s="66">
        <f t="shared" si="6"/>
        <v>153352</v>
      </c>
      <c r="T7" s="66">
        <f t="shared" si="3"/>
        <v>-23280</v>
      </c>
      <c r="U7" s="66">
        <v>44985</v>
      </c>
      <c r="V7" s="66">
        <v>3600</v>
      </c>
      <c r="W7" s="66"/>
      <c r="X7" s="66"/>
      <c r="Y7" s="68">
        <f t="shared" si="4"/>
        <v>171457</v>
      </c>
      <c r="Z7" s="28"/>
      <c r="AA7" t="s">
        <v>23</v>
      </c>
      <c r="AB7" t="s">
        <v>24</v>
      </c>
      <c r="AC7" s="62"/>
      <c r="AD7" s="28"/>
      <c r="AE7" s="20"/>
      <c r="AF7" s="20"/>
      <c r="AG7" s="20"/>
      <c r="AH7" s="20"/>
      <c r="AI7" s="20"/>
      <c r="AJ7" s="20"/>
      <c r="AK7" s="64"/>
      <c r="AL7" s="20"/>
    </row>
    <row r="8" spans="1:48">
      <c r="A8" s="2">
        <v>7</v>
      </c>
      <c r="B8" s="41">
        <v>410725</v>
      </c>
      <c r="C8" s="55"/>
      <c r="D8" s="59">
        <v>390215</v>
      </c>
      <c r="E8" s="72"/>
      <c r="F8" s="42">
        <v>12800</v>
      </c>
      <c r="G8" s="75"/>
      <c r="H8" s="40">
        <f t="shared" si="0"/>
        <v>423525</v>
      </c>
      <c r="I8" s="12">
        <f t="shared" si="1"/>
        <v>0</v>
      </c>
      <c r="J8" s="1"/>
      <c r="K8" s="48">
        <v>54000</v>
      </c>
      <c r="L8" s="49"/>
      <c r="M8" s="50">
        <v>33376</v>
      </c>
      <c r="N8" s="16">
        <f t="shared" si="5"/>
        <v>510901</v>
      </c>
      <c r="P8" s="31">
        <v>236</v>
      </c>
      <c r="Q8" s="32">
        <f t="shared" si="2"/>
        <v>236</v>
      </c>
      <c r="S8" s="66">
        <f t="shared" si="6"/>
        <v>171457</v>
      </c>
      <c r="T8" s="66">
        <f t="shared" si="3"/>
        <v>20510</v>
      </c>
      <c r="U8" s="66"/>
      <c r="V8" s="66"/>
      <c r="W8" s="66">
        <v>7190</v>
      </c>
      <c r="X8" s="66"/>
      <c r="Y8" s="68">
        <f t="shared" si="4"/>
        <v>184777</v>
      </c>
      <c r="Z8" s="28"/>
      <c r="AA8" t="s">
        <v>25</v>
      </c>
      <c r="AC8" s="62"/>
      <c r="AD8" s="28"/>
      <c r="AE8" s="20"/>
      <c r="AF8" s="20"/>
      <c r="AG8" s="20"/>
      <c r="AH8" s="20"/>
      <c r="AI8" s="20"/>
      <c r="AJ8" s="20"/>
      <c r="AK8" s="64"/>
      <c r="AL8" s="20"/>
    </row>
    <row r="9" spans="1:48">
      <c r="A9" s="2">
        <v>8</v>
      </c>
      <c r="B9" s="41">
        <v>443260</v>
      </c>
      <c r="C9" s="55"/>
      <c r="D9" s="59">
        <v>444435</v>
      </c>
      <c r="E9" s="72">
        <v>30000</v>
      </c>
      <c r="F9" s="42">
        <v>16540</v>
      </c>
      <c r="G9" s="75"/>
      <c r="H9" s="40">
        <f t="shared" si="0"/>
        <v>459800</v>
      </c>
      <c r="I9" s="12">
        <f t="shared" si="1"/>
        <v>30000</v>
      </c>
      <c r="J9" s="1"/>
      <c r="K9" s="48">
        <v>54000</v>
      </c>
      <c r="L9" s="49"/>
      <c r="M9" s="50"/>
      <c r="N9" s="16">
        <f t="shared" si="5"/>
        <v>513800</v>
      </c>
      <c r="P9" s="31">
        <v>227</v>
      </c>
      <c r="Q9" s="32">
        <f t="shared" si="2"/>
        <v>227</v>
      </c>
      <c r="S9" s="66">
        <f t="shared" si="6"/>
        <v>184777</v>
      </c>
      <c r="T9" s="66">
        <f t="shared" si="3"/>
        <v>-1175</v>
      </c>
      <c r="U9" s="66"/>
      <c r="V9" s="66">
        <v>22997</v>
      </c>
      <c r="W9" s="66"/>
      <c r="X9" s="66"/>
      <c r="Y9" s="68">
        <f t="shared" si="4"/>
        <v>160605</v>
      </c>
      <c r="Z9" s="28"/>
      <c r="AA9" t="s">
        <v>26</v>
      </c>
      <c r="AC9" s="62"/>
      <c r="AD9" s="28"/>
      <c r="AE9" s="20"/>
      <c r="AF9" s="20"/>
      <c r="AG9" s="20"/>
      <c r="AH9" s="20"/>
      <c r="AI9" s="20"/>
      <c r="AJ9" s="20"/>
      <c r="AK9" s="64"/>
      <c r="AL9" s="20"/>
    </row>
    <row r="10" spans="1:48">
      <c r="A10" s="2">
        <v>9</v>
      </c>
      <c r="B10" s="41">
        <v>361225</v>
      </c>
      <c r="C10" s="55"/>
      <c r="D10" s="59">
        <v>398960</v>
      </c>
      <c r="E10" s="72">
        <v>50000</v>
      </c>
      <c r="F10" s="42">
        <v>16555</v>
      </c>
      <c r="G10" s="75"/>
      <c r="H10" s="40">
        <f t="shared" si="0"/>
        <v>377780</v>
      </c>
      <c r="I10" s="12">
        <f t="shared" si="1"/>
        <v>50000</v>
      </c>
      <c r="J10" s="1"/>
      <c r="K10" s="48">
        <v>170900</v>
      </c>
      <c r="L10" s="49"/>
      <c r="M10" s="50"/>
      <c r="N10" s="16">
        <f t="shared" si="5"/>
        <v>548680</v>
      </c>
      <c r="P10" s="31">
        <v>206</v>
      </c>
      <c r="Q10" s="32">
        <f t="shared" si="2"/>
        <v>206</v>
      </c>
      <c r="S10" s="66">
        <f t="shared" si="6"/>
        <v>160605</v>
      </c>
      <c r="T10" s="66">
        <f t="shared" si="3"/>
        <v>-37735</v>
      </c>
      <c r="U10" s="66">
        <v>104000</v>
      </c>
      <c r="V10" s="66">
        <v>79850</v>
      </c>
      <c r="W10" s="66"/>
      <c r="X10" s="66"/>
      <c r="Y10" s="68">
        <f t="shared" si="4"/>
        <v>147020</v>
      </c>
      <c r="Z10" s="28"/>
      <c r="AA10" t="s">
        <v>27</v>
      </c>
      <c r="AC10" s="62"/>
      <c r="AD10" s="28"/>
      <c r="AE10" s="20"/>
      <c r="AF10" s="20"/>
      <c r="AG10" s="20"/>
      <c r="AH10" s="20"/>
      <c r="AI10" s="20"/>
      <c r="AJ10" s="20"/>
      <c r="AK10" s="65"/>
      <c r="AL10" s="20"/>
    </row>
    <row r="11" spans="1:48">
      <c r="A11" s="2">
        <v>10</v>
      </c>
      <c r="B11" s="41"/>
      <c r="C11" s="55"/>
      <c r="D11" s="59"/>
      <c r="E11" s="72"/>
      <c r="F11" s="42"/>
      <c r="G11" s="75"/>
      <c r="H11" s="40">
        <f t="shared" si="0"/>
        <v>0</v>
      </c>
      <c r="I11" s="12">
        <f t="shared" si="1"/>
        <v>0</v>
      </c>
      <c r="J11" s="1"/>
      <c r="K11" s="48"/>
      <c r="L11" s="49"/>
      <c r="M11" s="50">
        <v>707069</v>
      </c>
      <c r="N11" s="16">
        <f t="shared" si="5"/>
        <v>707069</v>
      </c>
      <c r="P11" s="31"/>
      <c r="Q11" s="32">
        <f t="shared" si="2"/>
        <v>0</v>
      </c>
      <c r="S11" s="66">
        <f t="shared" si="6"/>
        <v>147020</v>
      </c>
      <c r="T11" s="66">
        <f t="shared" si="3"/>
        <v>0</v>
      </c>
      <c r="U11" s="66"/>
      <c r="V11" s="66"/>
      <c r="W11" s="66"/>
      <c r="X11" s="66"/>
      <c r="Y11" s="68">
        <f t="shared" si="4"/>
        <v>147020</v>
      </c>
      <c r="Z11" s="28"/>
      <c r="AC11" s="62"/>
      <c r="AD11" s="28"/>
      <c r="AE11" s="20"/>
      <c r="AF11" s="20"/>
      <c r="AG11" s="20"/>
      <c r="AH11" s="20"/>
      <c r="AI11" s="20"/>
      <c r="AJ11" s="20"/>
      <c r="AK11" s="65"/>
      <c r="AL11" s="20"/>
    </row>
    <row r="12" spans="1:48">
      <c r="A12" s="2">
        <v>11</v>
      </c>
      <c r="B12" s="41"/>
      <c r="C12" s="55"/>
      <c r="D12" s="59"/>
      <c r="E12" s="72"/>
      <c r="F12" s="42"/>
      <c r="G12" s="75"/>
      <c r="H12" s="40">
        <f t="shared" si="0"/>
        <v>0</v>
      </c>
      <c r="I12" s="12">
        <f t="shared" si="1"/>
        <v>0</v>
      </c>
      <c r="J12" s="1"/>
      <c r="K12" s="48"/>
      <c r="L12" s="49"/>
      <c r="M12" s="50">
        <v>565465</v>
      </c>
      <c r="N12" s="16">
        <f t="shared" si="5"/>
        <v>565465</v>
      </c>
      <c r="P12" s="31"/>
      <c r="Q12" s="32">
        <f t="shared" si="2"/>
        <v>0</v>
      </c>
      <c r="S12" s="66">
        <f t="shared" si="6"/>
        <v>147020</v>
      </c>
      <c r="T12" s="66">
        <f t="shared" si="3"/>
        <v>0</v>
      </c>
      <c r="U12" s="66"/>
      <c r="V12" s="66"/>
      <c r="W12" s="66"/>
      <c r="X12" s="66"/>
      <c r="Y12" s="68">
        <f t="shared" si="4"/>
        <v>147020</v>
      </c>
      <c r="Z12" s="28"/>
      <c r="AC12" s="62"/>
      <c r="AD12" s="28"/>
      <c r="AE12" s="20"/>
      <c r="AF12" s="20"/>
      <c r="AG12" s="20"/>
      <c r="AH12" s="20"/>
      <c r="AI12" s="20"/>
      <c r="AJ12" s="20"/>
      <c r="AK12" s="65"/>
      <c r="AL12" s="20"/>
    </row>
    <row r="13" spans="1:48">
      <c r="A13" s="2">
        <v>12</v>
      </c>
      <c r="B13" s="41">
        <v>351355</v>
      </c>
      <c r="C13" s="55"/>
      <c r="D13" s="59">
        <v>332630</v>
      </c>
      <c r="E13" s="72"/>
      <c r="F13" s="42">
        <v>8560</v>
      </c>
      <c r="G13" s="75"/>
      <c r="H13" s="40">
        <f t="shared" si="0"/>
        <v>359915</v>
      </c>
      <c r="I13" s="12">
        <f t="shared" si="1"/>
        <v>0</v>
      </c>
      <c r="J13" s="1"/>
      <c r="K13" s="48">
        <v>108000</v>
      </c>
      <c r="L13" s="49"/>
      <c r="M13" s="50">
        <v>352651</v>
      </c>
      <c r="N13" s="16">
        <f t="shared" si="5"/>
        <v>820566</v>
      </c>
      <c r="P13" s="31">
        <v>178</v>
      </c>
      <c r="Q13" s="32">
        <f t="shared" si="2"/>
        <v>178</v>
      </c>
      <c r="S13" s="66">
        <f t="shared" si="6"/>
        <v>147020</v>
      </c>
      <c r="T13" s="66">
        <f t="shared" si="3"/>
        <v>18725</v>
      </c>
      <c r="U13" s="66"/>
      <c r="V13" s="66"/>
      <c r="W13" s="66"/>
      <c r="X13" s="66"/>
      <c r="Y13" s="68">
        <f t="shared" si="4"/>
        <v>165745</v>
      </c>
      <c r="Z13" s="28"/>
      <c r="AC13" s="62"/>
      <c r="AD13" s="28"/>
      <c r="AE13" s="20"/>
      <c r="AF13" s="20"/>
      <c r="AG13" s="20"/>
      <c r="AH13" s="20"/>
      <c r="AI13" s="20"/>
      <c r="AJ13" s="20"/>
      <c r="AK13" s="65"/>
      <c r="AL13" s="20"/>
    </row>
    <row r="14" spans="1:48">
      <c r="A14" s="2">
        <v>13</v>
      </c>
      <c r="B14" s="41">
        <v>466255</v>
      </c>
      <c r="C14" s="55"/>
      <c r="D14" s="59">
        <v>442630</v>
      </c>
      <c r="E14" s="72"/>
      <c r="F14" s="42">
        <v>13285</v>
      </c>
      <c r="G14" s="75"/>
      <c r="H14" s="40">
        <f t="shared" si="0"/>
        <v>479540</v>
      </c>
      <c r="I14" s="12">
        <f t="shared" si="1"/>
        <v>0</v>
      </c>
      <c r="J14" s="1"/>
      <c r="K14" s="48">
        <v>108000</v>
      </c>
      <c r="L14" s="49">
        <v>36462</v>
      </c>
      <c r="M14" s="50"/>
      <c r="N14" s="16">
        <f t="shared" si="5"/>
        <v>624002</v>
      </c>
      <c r="P14" s="31">
        <v>242</v>
      </c>
      <c r="Q14" s="32">
        <f t="shared" si="2"/>
        <v>242</v>
      </c>
      <c r="S14" s="66">
        <f t="shared" si="6"/>
        <v>165745</v>
      </c>
      <c r="T14" s="66">
        <f t="shared" si="3"/>
        <v>23625</v>
      </c>
      <c r="U14" s="66"/>
      <c r="V14" s="66"/>
      <c r="W14" s="66"/>
      <c r="X14" s="66"/>
      <c r="Y14" s="68">
        <f t="shared" si="4"/>
        <v>189370</v>
      </c>
      <c r="Z14" s="28"/>
      <c r="AC14" s="62"/>
      <c r="AD14" s="28"/>
      <c r="AE14" s="20"/>
      <c r="AF14" s="20"/>
      <c r="AG14" s="20"/>
      <c r="AH14" s="20"/>
      <c r="AI14" s="20"/>
      <c r="AJ14" s="20"/>
      <c r="AK14" s="65"/>
      <c r="AL14" s="20"/>
    </row>
    <row r="15" spans="1:48">
      <c r="A15" s="2">
        <v>14</v>
      </c>
      <c r="B15" s="41">
        <v>350790</v>
      </c>
      <c r="C15" s="55"/>
      <c r="D15" s="59">
        <v>371745</v>
      </c>
      <c r="E15" s="72">
        <v>41000</v>
      </c>
      <c r="F15" s="42">
        <v>12720</v>
      </c>
      <c r="G15" s="75"/>
      <c r="H15" s="40">
        <f t="shared" si="0"/>
        <v>363510</v>
      </c>
      <c r="I15" s="12">
        <f t="shared" si="1"/>
        <v>41000</v>
      </c>
      <c r="J15" s="1"/>
      <c r="K15" s="48">
        <v>108000</v>
      </c>
      <c r="L15" s="49"/>
      <c r="M15" s="50">
        <v>107880</v>
      </c>
      <c r="N15" s="16">
        <f t="shared" si="5"/>
        <v>579390</v>
      </c>
      <c r="P15" s="31">
        <v>217</v>
      </c>
      <c r="Q15" s="32">
        <f t="shared" si="2"/>
        <v>217</v>
      </c>
      <c r="S15" s="66">
        <f t="shared" si="6"/>
        <v>189370</v>
      </c>
      <c r="T15" s="66">
        <f t="shared" si="3"/>
        <v>-20955</v>
      </c>
      <c r="U15" s="66">
        <v>41000</v>
      </c>
      <c r="V15" s="66">
        <v>63000</v>
      </c>
      <c r="W15" s="66"/>
      <c r="X15" s="66"/>
      <c r="Y15" s="68">
        <f t="shared" si="4"/>
        <v>146415</v>
      </c>
      <c r="Z15" s="28"/>
      <c r="AA15" t="s">
        <v>28</v>
      </c>
      <c r="AC15" s="62"/>
      <c r="AD15" s="28"/>
      <c r="AE15" s="20"/>
      <c r="AF15" s="20"/>
      <c r="AG15" s="20"/>
      <c r="AH15" s="20"/>
      <c r="AI15" s="20"/>
      <c r="AJ15" s="20"/>
      <c r="AK15" s="65"/>
      <c r="AL15" s="20"/>
    </row>
    <row r="16" spans="1:48">
      <c r="A16" s="2">
        <v>15</v>
      </c>
      <c r="B16" s="41">
        <v>323750</v>
      </c>
      <c r="C16" s="55"/>
      <c r="D16" s="59">
        <v>325810</v>
      </c>
      <c r="E16" s="72">
        <v>30000</v>
      </c>
      <c r="F16" s="42">
        <v>11520</v>
      </c>
      <c r="G16" s="75"/>
      <c r="H16" s="40">
        <f t="shared" si="0"/>
        <v>335270</v>
      </c>
      <c r="I16" s="12">
        <f t="shared" si="1"/>
        <v>30000</v>
      </c>
      <c r="J16" s="1"/>
      <c r="K16" s="48">
        <v>108000</v>
      </c>
      <c r="L16" s="49"/>
      <c r="M16" s="50">
        <v>417787</v>
      </c>
      <c r="N16" s="16">
        <f t="shared" si="5"/>
        <v>861057</v>
      </c>
      <c r="P16" s="31">
        <v>198</v>
      </c>
      <c r="Q16" s="32">
        <f t="shared" si="2"/>
        <v>198</v>
      </c>
      <c r="S16" s="66">
        <f t="shared" si="6"/>
        <v>146415</v>
      </c>
      <c r="T16" s="66">
        <f t="shared" si="3"/>
        <v>-2060</v>
      </c>
      <c r="U16" s="66">
        <v>30000</v>
      </c>
      <c r="V16" s="66"/>
      <c r="W16" s="66"/>
      <c r="X16" s="66"/>
      <c r="Y16" s="68">
        <f t="shared" si="4"/>
        <v>174355</v>
      </c>
      <c r="Z16" s="28"/>
      <c r="AA16" t="s">
        <v>24</v>
      </c>
      <c r="AC16" s="62"/>
      <c r="AD16" s="28"/>
      <c r="AE16" s="20"/>
      <c r="AF16" s="20"/>
      <c r="AG16" s="20"/>
      <c r="AH16" s="20"/>
      <c r="AI16" s="20"/>
      <c r="AJ16" s="20"/>
      <c r="AK16" s="65"/>
      <c r="AL16" s="20"/>
    </row>
    <row r="17" spans="1:38">
      <c r="A17" s="2">
        <v>16</v>
      </c>
      <c r="B17" s="41">
        <v>280775</v>
      </c>
      <c r="C17" s="55"/>
      <c r="D17" s="59">
        <v>256270</v>
      </c>
      <c r="E17" s="72"/>
      <c r="F17" s="42">
        <v>3820</v>
      </c>
      <c r="G17" s="75"/>
      <c r="H17" s="40">
        <f t="shared" si="0"/>
        <v>284595</v>
      </c>
      <c r="I17" s="12">
        <f t="shared" si="1"/>
        <v>0</v>
      </c>
      <c r="J17" s="1"/>
      <c r="K17" s="48">
        <v>334900</v>
      </c>
      <c r="L17" s="49"/>
      <c r="M17" s="50">
        <v>224000</v>
      </c>
      <c r="N17" s="16">
        <f t="shared" si="5"/>
        <v>843495</v>
      </c>
      <c r="P17" s="31">
        <v>177</v>
      </c>
      <c r="Q17" s="32">
        <f t="shared" si="2"/>
        <v>177</v>
      </c>
      <c r="S17" s="66">
        <f t="shared" si="6"/>
        <v>174355</v>
      </c>
      <c r="T17" s="66">
        <f t="shared" si="3"/>
        <v>24505</v>
      </c>
      <c r="U17" s="66"/>
      <c r="V17" s="66">
        <v>99015</v>
      </c>
      <c r="W17" s="66"/>
      <c r="X17" s="66"/>
      <c r="Y17" s="68">
        <f t="shared" si="4"/>
        <v>99845</v>
      </c>
      <c r="Z17" s="28"/>
      <c r="AA17" t="s">
        <v>29</v>
      </c>
      <c r="AC17" s="62"/>
      <c r="AD17" s="28"/>
      <c r="AE17" s="20"/>
      <c r="AF17" s="20"/>
      <c r="AG17" s="20"/>
      <c r="AH17" s="20"/>
      <c r="AI17" s="20"/>
      <c r="AJ17" s="20"/>
      <c r="AK17" s="65"/>
      <c r="AL17" s="20"/>
    </row>
    <row r="18" spans="1:38">
      <c r="A18" s="2">
        <v>17</v>
      </c>
      <c r="B18" s="41"/>
      <c r="C18" s="55"/>
      <c r="D18" s="59"/>
      <c r="E18" s="72"/>
      <c r="F18" s="42"/>
      <c r="G18" s="75"/>
      <c r="H18" s="40">
        <f t="shared" si="0"/>
        <v>0</v>
      </c>
      <c r="I18" s="12">
        <f t="shared" si="1"/>
        <v>0</v>
      </c>
      <c r="J18" s="1"/>
      <c r="K18" s="48"/>
      <c r="L18" s="49"/>
      <c r="M18" s="50"/>
      <c r="N18" s="16">
        <f t="shared" si="5"/>
        <v>0</v>
      </c>
      <c r="P18" s="31"/>
      <c r="Q18" s="32">
        <f t="shared" si="2"/>
        <v>0</v>
      </c>
      <c r="S18" s="66">
        <f t="shared" si="6"/>
        <v>99845</v>
      </c>
      <c r="T18" s="66">
        <f t="shared" si="3"/>
        <v>0</v>
      </c>
      <c r="U18" s="66"/>
      <c r="V18" s="66"/>
      <c r="W18" s="66"/>
      <c r="X18" s="66"/>
      <c r="Y18" s="68">
        <f t="shared" si="4"/>
        <v>99845</v>
      </c>
      <c r="Z18" s="28"/>
      <c r="AC18" s="62"/>
      <c r="AD18" s="28"/>
      <c r="AE18" s="20"/>
      <c r="AF18" s="20"/>
      <c r="AG18" s="20"/>
      <c r="AH18" s="20"/>
      <c r="AI18" s="20"/>
      <c r="AJ18" s="20"/>
      <c r="AK18" s="65"/>
      <c r="AL18" s="20"/>
    </row>
    <row r="19" spans="1:38">
      <c r="A19" s="2">
        <v>18</v>
      </c>
      <c r="B19" s="41"/>
      <c r="C19" s="55"/>
      <c r="D19" s="59"/>
      <c r="E19" s="72"/>
      <c r="F19" s="42"/>
      <c r="G19" s="75"/>
      <c r="H19" s="40">
        <f t="shared" si="0"/>
        <v>0</v>
      </c>
      <c r="I19" s="12">
        <f t="shared" si="1"/>
        <v>0</v>
      </c>
      <c r="J19" s="1"/>
      <c r="K19" s="48"/>
      <c r="L19" s="49"/>
      <c r="M19" s="50"/>
      <c r="N19" s="16">
        <f t="shared" si="5"/>
        <v>0</v>
      </c>
      <c r="P19" s="31"/>
      <c r="Q19" s="32">
        <f t="shared" si="2"/>
        <v>0</v>
      </c>
      <c r="S19" s="66">
        <f t="shared" si="6"/>
        <v>99845</v>
      </c>
      <c r="T19" s="66">
        <f t="shared" si="3"/>
        <v>0</v>
      </c>
      <c r="U19" s="66"/>
      <c r="V19" s="66"/>
      <c r="W19" s="66"/>
      <c r="X19" s="66"/>
      <c r="Y19" s="68">
        <f t="shared" si="4"/>
        <v>99845</v>
      </c>
      <c r="Z19" s="28"/>
      <c r="AC19" s="62"/>
      <c r="AD19" s="28"/>
      <c r="AE19" s="20"/>
      <c r="AF19" s="20"/>
      <c r="AG19" s="20"/>
      <c r="AH19" s="20"/>
      <c r="AI19" s="20"/>
      <c r="AJ19" s="20"/>
      <c r="AK19" s="65"/>
      <c r="AL19" s="20"/>
    </row>
    <row r="20" spans="1:38">
      <c r="A20" s="2">
        <v>19</v>
      </c>
      <c r="B20" s="41">
        <v>295070</v>
      </c>
      <c r="C20" s="55"/>
      <c r="D20" s="59">
        <v>270295</v>
      </c>
      <c r="E20" s="72"/>
      <c r="F20" s="42">
        <v>16700</v>
      </c>
      <c r="G20" s="75"/>
      <c r="H20" s="40">
        <f t="shared" si="0"/>
        <v>311770</v>
      </c>
      <c r="I20" s="12">
        <f t="shared" si="1"/>
        <v>0</v>
      </c>
      <c r="J20" s="1"/>
      <c r="K20" s="48">
        <v>108000</v>
      </c>
      <c r="L20" s="49">
        <v>21552</v>
      </c>
      <c r="M20" s="50"/>
      <c r="N20" s="16">
        <f t="shared" si="5"/>
        <v>441322</v>
      </c>
      <c r="P20" s="31">
        <v>190</v>
      </c>
      <c r="Q20" s="32">
        <f t="shared" si="2"/>
        <v>190</v>
      </c>
      <c r="S20" s="66">
        <f t="shared" si="6"/>
        <v>99845</v>
      </c>
      <c r="T20" s="66">
        <f t="shared" si="3"/>
        <v>24775</v>
      </c>
      <c r="U20" s="66"/>
      <c r="V20" s="66"/>
      <c r="W20" s="66"/>
      <c r="X20" s="66"/>
      <c r="Y20" s="68">
        <f t="shared" si="4"/>
        <v>124620</v>
      </c>
      <c r="Z20" s="28"/>
      <c r="AC20" s="62"/>
      <c r="AD20" s="28"/>
      <c r="AE20" s="20"/>
      <c r="AF20" s="20"/>
      <c r="AG20" s="20"/>
      <c r="AH20" s="20"/>
      <c r="AI20" s="20"/>
      <c r="AJ20" s="20"/>
      <c r="AK20" s="65"/>
      <c r="AL20" s="20"/>
    </row>
    <row r="21" spans="1:38">
      <c r="A21" s="2">
        <v>20</v>
      </c>
      <c r="B21" s="41">
        <v>385175</v>
      </c>
      <c r="C21" s="55"/>
      <c r="D21" s="59">
        <v>356855</v>
      </c>
      <c r="E21" s="72"/>
      <c r="F21" s="42">
        <v>16450</v>
      </c>
      <c r="G21" s="75"/>
      <c r="H21" s="40">
        <f t="shared" si="0"/>
        <v>401625</v>
      </c>
      <c r="I21" s="12">
        <f t="shared" si="1"/>
        <v>0</v>
      </c>
      <c r="J21" s="1"/>
      <c r="K21" s="48">
        <v>108000</v>
      </c>
      <c r="L21" s="49">
        <v>21552</v>
      </c>
      <c r="M21" s="50">
        <v>115867</v>
      </c>
      <c r="N21" s="16">
        <f t="shared" si="5"/>
        <v>647044</v>
      </c>
      <c r="P21" s="31">
        <v>225</v>
      </c>
      <c r="Q21" s="32">
        <f t="shared" si="2"/>
        <v>225</v>
      </c>
      <c r="S21" s="66">
        <f t="shared" si="6"/>
        <v>124620</v>
      </c>
      <c r="T21" s="66">
        <f t="shared" si="3"/>
        <v>28320</v>
      </c>
      <c r="U21" s="66"/>
      <c r="V21" s="66"/>
      <c r="W21" s="66"/>
      <c r="X21" s="66"/>
      <c r="Y21" s="68">
        <f t="shared" si="4"/>
        <v>152940</v>
      </c>
      <c r="Z21" s="28"/>
      <c r="AC21" s="62"/>
      <c r="AD21" s="28"/>
      <c r="AE21" s="20"/>
      <c r="AF21" s="20"/>
      <c r="AG21" s="20"/>
      <c r="AH21" s="20"/>
      <c r="AI21" s="20"/>
      <c r="AJ21" s="20"/>
      <c r="AK21" s="65"/>
      <c r="AL21" s="20"/>
    </row>
    <row r="22" spans="1:38">
      <c r="A22" s="2">
        <v>21</v>
      </c>
      <c r="B22" s="41">
        <v>293265</v>
      </c>
      <c r="C22" s="55"/>
      <c r="D22" s="59">
        <v>267465</v>
      </c>
      <c r="E22" s="72"/>
      <c r="F22" s="42">
        <v>12730</v>
      </c>
      <c r="G22" s="75"/>
      <c r="H22" s="40">
        <f t="shared" si="0"/>
        <v>305995</v>
      </c>
      <c r="I22" s="12">
        <f t="shared" si="1"/>
        <v>0</v>
      </c>
      <c r="J22" s="1"/>
      <c r="K22" s="48">
        <v>108000</v>
      </c>
      <c r="L22" s="49"/>
      <c r="M22" s="50">
        <v>32680</v>
      </c>
      <c r="N22" s="16">
        <f t="shared" si="5"/>
        <v>446675</v>
      </c>
      <c r="P22" s="31">
        <v>184</v>
      </c>
      <c r="Q22" s="32">
        <f t="shared" si="2"/>
        <v>184</v>
      </c>
      <c r="S22" s="66">
        <f t="shared" si="6"/>
        <v>152940</v>
      </c>
      <c r="T22" s="66">
        <f>B22-D22</f>
        <v>25800</v>
      </c>
      <c r="U22" s="66"/>
      <c r="V22" s="66"/>
      <c r="W22" s="66"/>
      <c r="X22" s="66"/>
      <c r="Y22" s="68">
        <f t="shared" si="4"/>
        <v>178740</v>
      </c>
      <c r="Z22" s="28"/>
      <c r="AC22" s="62"/>
      <c r="AD22" s="28"/>
      <c r="AE22" s="20"/>
      <c r="AF22" s="20"/>
      <c r="AG22" s="20"/>
      <c r="AH22" s="20"/>
      <c r="AI22" s="20"/>
      <c r="AJ22" s="20"/>
      <c r="AK22" s="65"/>
      <c r="AL22" s="20"/>
    </row>
    <row r="23" spans="1:38">
      <c r="A23" s="2">
        <v>22</v>
      </c>
      <c r="B23" s="41">
        <v>361175</v>
      </c>
      <c r="C23" s="55"/>
      <c r="D23" s="59">
        <v>334225</v>
      </c>
      <c r="E23" s="72"/>
      <c r="F23" s="42">
        <v>25840</v>
      </c>
      <c r="G23" s="75"/>
      <c r="H23" s="40">
        <f t="shared" si="0"/>
        <v>387015</v>
      </c>
      <c r="I23" s="12">
        <f t="shared" si="1"/>
        <v>0</v>
      </c>
      <c r="J23" s="1"/>
      <c r="K23" s="48">
        <v>108000</v>
      </c>
      <c r="L23" s="49"/>
      <c r="M23" s="50"/>
      <c r="N23" s="16">
        <f t="shared" si="5"/>
        <v>495015</v>
      </c>
      <c r="P23" s="31">
        <v>218</v>
      </c>
      <c r="Q23" s="32">
        <f t="shared" si="2"/>
        <v>218</v>
      </c>
      <c r="S23" s="66">
        <f t="shared" si="6"/>
        <v>178740</v>
      </c>
      <c r="T23" s="66">
        <f t="shared" si="3"/>
        <v>26950</v>
      </c>
      <c r="U23" s="66"/>
      <c r="V23" s="66"/>
      <c r="W23" s="66"/>
      <c r="X23" s="66"/>
      <c r="Y23" s="68">
        <f t="shared" si="4"/>
        <v>205690</v>
      </c>
      <c r="Z23" s="28"/>
      <c r="AC23" s="62"/>
      <c r="AD23" s="28"/>
      <c r="AE23" s="20"/>
      <c r="AF23" s="20"/>
      <c r="AG23" s="20"/>
      <c r="AH23" s="20"/>
      <c r="AI23" s="20"/>
      <c r="AJ23" s="20"/>
      <c r="AK23" s="65"/>
      <c r="AL23" s="20"/>
    </row>
    <row r="24" spans="1:38">
      <c r="A24" s="2">
        <v>23</v>
      </c>
      <c r="B24" s="41">
        <v>292520</v>
      </c>
      <c r="C24" s="55"/>
      <c r="D24" s="59">
        <v>283730</v>
      </c>
      <c r="E24" s="72"/>
      <c r="F24" s="42">
        <v>16650</v>
      </c>
      <c r="G24" s="75"/>
      <c r="H24" s="40">
        <f t="shared" si="0"/>
        <v>309170</v>
      </c>
      <c r="I24" s="12">
        <f t="shared" si="1"/>
        <v>0</v>
      </c>
      <c r="J24" s="1"/>
      <c r="K24" s="48">
        <v>373400</v>
      </c>
      <c r="L24" s="49"/>
      <c r="M24" s="50"/>
      <c r="N24" s="16">
        <f t="shared" si="5"/>
        <v>682570</v>
      </c>
      <c r="P24" s="31">
        <v>172</v>
      </c>
      <c r="Q24" s="32">
        <f t="shared" si="2"/>
        <v>172</v>
      </c>
      <c r="S24" s="66">
        <f t="shared" si="6"/>
        <v>205690</v>
      </c>
      <c r="T24" s="66">
        <f t="shared" si="3"/>
        <v>8790</v>
      </c>
      <c r="U24" s="66"/>
      <c r="V24" s="66">
        <v>64015</v>
      </c>
      <c r="W24" s="66"/>
      <c r="X24" s="66"/>
      <c r="Y24" s="68">
        <f t="shared" si="4"/>
        <v>150465</v>
      </c>
      <c r="Z24" s="28"/>
      <c r="AA24" t="s">
        <v>29</v>
      </c>
      <c r="AC24" s="62"/>
      <c r="AD24" s="28"/>
      <c r="AE24" s="20"/>
      <c r="AF24" s="20"/>
      <c r="AG24" s="20"/>
      <c r="AH24" s="20"/>
      <c r="AI24" s="20"/>
      <c r="AJ24" s="20"/>
      <c r="AK24" s="65"/>
      <c r="AL24" s="20"/>
    </row>
    <row r="25" spans="1:38">
      <c r="A25" s="2">
        <v>24</v>
      </c>
      <c r="B25" s="41"/>
      <c r="C25" s="55"/>
      <c r="D25" s="59"/>
      <c r="E25" s="72"/>
      <c r="F25" s="42"/>
      <c r="G25" s="75"/>
      <c r="H25" s="40">
        <f t="shared" si="0"/>
        <v>0</v>
      </c>
      <c r="I25" s="12">
        <f t="shared" si="1"/>
        <v>0</v>
      </c>
      <c r="J25" s="1"/>
      <c r="K25" s="48"/>
      <c r="L25" s="49"/>
      <c r="M25" s="50"/>
      <c r="N25" s="16">
        <f t="shared" si="5"/>
        <v>0</v>
      </c>
      <c r="P25" s="31"/>
      <c r="Q25" s="32">
        <f t="shared" si="2"/>
        <v>0</v>
      </c>
      <c r="S25" s="66">
        <f t="shared" si="6"/>
        <v>150465</v>
      </c>
      <c r="T25" s="66">
        <f t="shared" si="3"/>
        <v>0</v>
      </c>
      <c r="U25" s="66"/>
      <c r="V25" s="66"/>
      <c r="W25" s="66"/>
      <c r="X25" s="66"/>
      <c r="Y25" s="68">
        <f t="shared" si="4"/>
        <v>150465</v>
      </c>
      <c r="Z25" s="28"/>
      <c r="AC25" s="62"/>
      <c r="AD25" s="28"/>
      <c r="AE25" s="20"/>
      <c r="AF25" s="20"/>
      <c r="AG25" s="20"/>
      <c r="AH25" s="20"/>
      <c r="AI25" s="20"/>
      <c r="AJ25" s="20"/>
      <c r="AK25" s="65"/>
      <c r="AL25" s="20"/>
    </row>
    <row r="26" spans="1:38">
      <c r="A26" s="2">
        <v>25</v>
      </c>
      <c r="B26" s="41"/>
      <c r="C26" s="55"/>
      <c r="D26" s="59"/>
      <c r="E26" s="72"/>
      <c r="F26" s="42"/>
      <c r="G26" s="75"/>
      <c r="H26" s="40">
        <f t="shared" si="0"/>
        <v>0</v>
      </c>
      <c r="I26" s="12">
        <f t="shared" si="1"/>
        <v>0</v>
      </c>
      <c r="J26" s="1"/>
      <c r="K26" s="48"/>
      <c r="L26" s="49"/>
      <c r="M26" s="50"/>
      <c r="N26" s="16">
        <f t="shared" si="5"/>
        <v>0</v>
      </c>
      <c r="P26" s="31"/>
      <c r="Q26" s="32">
        <f t="shared" si="2"/>
        <v>0</v>
      </c>
      <c r="S26" s="66">
        <f t="shared" si="6"/>
        <v>150465</v>
      </c>
      <c r="T26" s="66">
        <f t="shared" si="3"/>
        <v>0</v>
      </c>
      <c r="U26" s="66"/>
      <c r="V26" s="66"/>
      <c r="W26" s="66"/>
      <c r="X26" s="66"/>
      <c r="Y26" s="68">
        <f t="shared" si="4"/>
        <v>150465</v>
      </c>
      <c r="Z26" s="28"/>
      <c r="AC26" s="62"/>
      <c r="AD26" s="28"/>
      <c r="AE26" s="20"/>
      <c r="AF26" s="20"/>
      <c r="AG26" s="20"/>
      <c r="AH26" s="20"/>
      <c r="AI26" s="20"/>
      <c r="AJ26" s="20"/>
      <c r="AK26" s="65"/>
      <c r="AL26" s="20"/>
    </row>
    <row r="27" spans="1:38">
      <c r="A27" s="2">
        <v>26</v>
      </c>
      <c r="B27" s="41">
        <v>293395</v>
      </c>
      <c r="C27" s="55"/>
      <c r="D27" s="59">
        <v>272830</v>
      </c>
      <c r="E27" s="72"/>
      <c r="F27" s="42">
        <v>10630</v>
      </c>
      <c r="G27" s="75"/>
      <c r="H27" s="40">
        <f t="shared" si="0"/>
        <v>304025</v>
      </c>
      <c r="I27" s="12">
        <f t="shared" si="1"/>
        <v>0</v>
      </c>
      <c r="J27" s="1"/>
      <c r="K27" s="48">
        <v>108000</v>
      </c>
      <c r="L27" s="49"/>
      <c r="M27" s="50"/>
      <c r="N27" s="16">
        <f t="shared" si="5"/>
        <v>412025</v>
      </c>
      <c r="P27" s="31">
        <v>179</v>
      </c>
      <c r="Q27" s="32">
        <f t="shared" si="2"/>
        <v>179</v>
      </c>
      <c r="S27" s="66">
        <f t="shared" si="6"/>
        <v>150465</v>
      </c>
      <c r="T27" s="66">
        <f t="shared" si="3"/>
        <v>20565</v>
      </c>
      <c r="U27" s="66"/>
      <c r="V27" s="66"/>
      <c r="W27" s="66"/>
      <c r="X27" s="66"/>
      <c r="Y27" s="68">
        <f t="shared" si="4"/>
        <v>171030</v>
      </c>
      <c r="Z27" s="28"/>
      <c r="AC27" s="62"/>
      <c r="AD27" s="28"/>
      <c r="AE27" s="20"/>
      <c r="AF27" s="20"/>
      <c r="AG27" s="20"/>
      <c r="AH27" s="20"/>
      <c r="AI27" s="20"/>
      <c r="AJ27" s="20"/>
      <c r="AK27" s="65"/>
      <c r="AL27" s="20"/>
    </row>
    <row r="28" spans="1:38">
      <c r="A28" s="2">
        <v>27</v>
      </c>
      <c r="B28" s="41">
        <v>350595</v>
      </c>
      <c r="C28" s="55"/>
      <c r="D28" s="59">
        <v>324165</v>
      </c>
      <c r="E28" s="72"/>
      <c r="F28" s="42">
        <v>11615</v>
      </c>
      <c r="G28" s="75"/>
      <c r="H28" s="40">
        <f t="shared" si="0"/>
        <v>362210</v>
      </c>
      <c r="I28" s="12">
        <f t="shared" si="1"/>
        <v>0</v>
      </c>
      <c r="J28" s="1"/>
      <c r="K28" s="48">
        <v>108000</v>
      </c>
      <c r="L28" s="49"/>
      <c r="M28" s="50">
        <v>302006</v>
      </c>
      <c r="N28" s="16">
        <f t="shared" si="5"/>
        <v>772216</v>
      </c>
      <c r="P28" s="31">
        <v>200</v>
      </c>
      <c r="Q28" s="32">
        <f t="shared" si="2"/>
        <v>200</v>
      </c>
      <c r="S28" s="66">
        <f t="shared" si="6"/>
        <v>171030</v>
      </c>
      <c r="T28" s="66">
        <f t="shared" si="3"/>
        <v>26430</v>
      </c>
      <c r="U28" s="66"/>
      <c r="V28" s="66"/>
      <c r="W28" s="66"/>
      <c r="X28" s="66"/>
      <c r="Y28" s="68">
        <f t="shared" si="4"/>
        <v>197460</v>
      </c>
      <c r="Z28" s="28"/>
      <c r="AC28" s="62"/>
      <c r="AD28" s="28"/>
      <c r="AE28" s="20"/>
      <c r="AF28" s="20"/>
      <c r="AG28" s="20"/>
      <c r="AH28" s="20"/>
      <c r="AI28" s="20"/>
      <c r="AJ28" s="20"/>
      <c r="AK28" s="65"/>
      <c r="AL28" s="20"/>
    </row>
    <row r="29" spans="1:38">
      <c r="A29" s="2">
        <v>28</v>
      </c>
      <c r="B29" s="41">
        <v>311075</v>
      </c>
      <c r="C29" s="55"/>
      <c r="D29" s="59">
        <v>283275</v>
      </c>
      <c r="E29" s="72"/>
      <c r="F29" s="42">
        <v>10140</v>
      </c>
      <c r="G29" s="75"/>
      <c r="H29" s="40">
        <f t="shared" si="0"/>
        <v>321215</v>
      </c>
      <c r="I29" s="12">
        <f t="shared" si="1"/>
        <v>0</v>
      </c>
      <c r="J29" s="1"/>
      <c r="K29" s="48">
        <v>108000</v>
      </c>
      <c r="L29" s="49"/>
      <c r="M29" s="50">
        <v>32616</v>
      </c>
      <c r="N29" s="16">
        <f t="shared" si="5"/>
        <v>461831</v>
      </c>
      <c r="P29" s="31">
        <v>182</v>
      </c>
      <c r="Q29" s="32">
        <f t="shared" si="2"/>
        <v>182</v>
      </c>
      <c r="S29" s="66">
        <f t="shared" si="6"/>
        <v>197460</v>
      </c>
      <c r="T29" s="66">
        <f t="shared" si="3"/>
        <v>27800</v>
      </c>
      <c r="U29" s="66"/>
      <c r="V29" s="66"/>
      <c r="W29" s="66"/>
      <c r="X29" s="66"/>
      <c r="Y29" s="68">
        <f t="shared" si="4"/>
        <v>225260</v>
      </c>
      <c r="Z29" s="28"/>
      <c r="AC29" s="62"/>
      <c r="AD29" s="28"/>
      <c r="AE29" s="20"/>
      <c r="AF29" s="20"/>
      <c r="AG29" s="20"/>
      <c r="AH29" s="20"/>
      <c r="AI29" s="20"/>
      <c r="AJ29" s="20"/>
      <c r="AK29" s="65"/>
      <c r="AL29" s="20"/>
    </row>
    <row r="30" spans="1:38">
      <c r="A30" s="2">
        <v>29</v>
      </c>
      <c r="B30" s="41">
        <v>335240</v>
      </c>
      <c r="C30" s="55"/>
      <c r="D30" s="59">
        <v>348405</v>
      </c>
      <c r="E30" s="72">
        <v>40000</v>
      </c>
      <c r="F30" s="42">
        <v>15265</v>
      </c>
      <c r="G30" s="75"/>
      <c r="H30" s="40">
        <f t="shared" si="0"/>
        <v>350505</v>
      </c>
      <c r="I30" s="12">
        <f t="shared" si="1"/>
        <v>40000</v>
      </c>
      <c r="J30" s="1"/>
      <c r="K30" s="48">
        <v>108000</v>
      </c>
      <c r="L30" s="49"/>
      <c r="M30" s="50"/>
      <c r="N30" s="16">
        <f t="shared" si="5"/>
        <v>458505</v>
      </c>
      <c r="P30" s="31">
        <v>201</v>
      </c>
      <c r="Q30" s="32">
        <f t="shared" si="2"/>
        <v>201</v>
      </c>
      <c r="S30" s="66">
        <f t="shared" si="6"/>
        <v>225260</v>
      </c>
      <c r="T30" s="66">
        <f t="shared" si="3"/>
        <v>-13165</v>
      </c>
      <c r="U30" s="66">
        <v>40000</v>
      </c>
      <c r="V30" s="66"/>
      <c r="W30" s="66"/>
      <c r="X30" s="66"/>
      <c r="Y30" s="68">
        <f t="shared" si="4"/>
        <v>252095</v>
      </c>
      <c r="Z30" s="28"/>
      <c r="AA30" t="s">
        <v>24</v>
      </c>
      <c r="AC30" s="62"/>
      <c r="AD30" s="28"/>
      <c r="AE30" s="20"/>
      <c r="AF30" s="20"/>
      <c r="AG30" s="20"/>
      <c r="AH30" s="20"/>
      <c r="AI30" s="20"/>
      <c r="AJ30" s="20"/>
      <c r="AK30" s="65"/>
      <c r="AL30" s="20"/>
    </row>
    <row r="31" spans="1:38">
      <c r="A31" s="2">
        <v>30</v>
      </c>
      <c r="B31" s="41">
        <v>318595</v>
      </c>
      <c r="C31" s="55"/>
      <c r="D31" s="59">
        <v>302375</v>
      </c>
      <c r="E31" s="72"/>
      <c r="F31" s="42">
        <v>11995</v>
      </c>
      <c r="G31" s="75"/>
      <c r="H31" s="40">
        <f t="shared" si="0"/>
        <v>330590</v>
      </c>
      <c r="I31" s="12">
        <f t="shared" si="1"/>
        <v>0</v>
      </c>
      <c r="J31" s="1"/>
      <c r="K31" s="48">
        <v>423900</v>
      </c>
      <c r="L31" s="49"/>
      <c r="M31" s="50"/>
      <c r="N31" s="16">
        <f t="shared" si="5"/>
        <v>754490</v>
      </c>
      <c r="P31" s="31">
        <v>181</v>
      </c>
      <c r="Q31" s="32">
        <f t="shared" si="2"/>
        <v>181</v>
      </c>
      <c r="S31" s="66">
        <f t="shared" si="6"/>
        <v>252095</v>
      </c>
      <c r="T31" s="66">
        <f t="shared" si="3"/>
        <v>16220</v>
      </c>
      <c r="U31" s="66"/>
      <c r="V31" s="66">
        <v>64015</v>
      </c>
      <c r="W31" s="66"/>
      <c r="X31" s="66"/>
      <c r="Y31" s="68">
        <f t="shared" si="4"/>
        <v>204300</v>
      </c>
      <c r="Z31" s="28"/>
      <c r="AA31" t="s">
        <v>29</v>
      </c>
      <c r="AC31" s="62"/>
      <c r="AD31" s="28"/>
      <c r="AE31" s="20"/>
      <c r="AF31" s="20"/>
      <c r="AG31" s="20"/>
      <c r="AH31" s="20"/>
      <c r="AI31" s="20"/>
      <c r="AJ31" s="20"/>
      <c r="AK31" s="65"/>
      <c r="AL31" s="20"/>
    </row>
    <row r="32" spans="1:38">
      <c r="A32" s="2">
        <v>31</v>
      </c>
      <c r="B32" s="43"/>
      <c r="C32" s="56"/>
      <c r="D32" s="60"/>
      <c r="E32" s="73"/>
      <c r="F32" s="44"/>
      <c r="G32" s="76"/>
      <c r="H32" s="40">
        <f t="shared" si="0"/>
        <v>0</v>
      </c>
      <c r="I32" s="12">
        <f t="shared" si="1"/>
        <v>0</v>
      </c>
      <c r="J32" s="1"/>
      <c r="K32" s="51"/>
      <c r="L32" s="52"/>
      <c r="M32" s="53"/>
      <c r="N32" s="16">
        <f t="shared" si="5"/>
        <v>0</v>
      </c>
      <c r="P32" s="31"/>
      <c r="Q32" s="32">
        <f t="shared" si="2"/>
        <v>0</v>
      </c>
      <c r="S32" s="66">
        <f t="shared" si="6"/>
        <v>204300</v>
      </c>
      <c r="T32" s="66">
        <f t="shared" si="3"/>
        <v>0</v>
      </c>
      <c r="U32" s="66"/>
      <c r="V32" s="66"/>
      <c r="W32" s="66"/>
      <c r="X32" s="66"/>
      <c r="Y32" s="68">
        <f t="shared" si="4"/>
        <v>204300</v>
      </c>
      <c r="Z32" s="28"/>
      <c r="AC32" s="62"/>
      <c r="AD32" s="28"/>
      <c r="AE32" s="20"/>
      <c r="AF32" s="20"/>
      <c r="AG32" s="20"/>
      <c r="AH32" s="20"/>
      <c r="AI32" s="20"/>
      <c r="AJ32" s="20"/>
      <c r="AK32" s="65"/>
      <c r="AL32" s="20"/>
    </row>
    <row r="33" spans="1:30">
      <c r="A33" s="1"/>
      <c r="B33" s="7">
        <f>SUM(B2:B32)</f>
        <v>6975130</v>
      </c>
      <c r="C33" s="19"/>
      <c r="D33" s="61">
        <f>SUM(D2:D32)</f>
        <v>6746710</v>
      </c>
      <c r="E33" s="74">
        <f>SUM(E2:E32)</f>
        <v>231000</v>
      </c>
      <c r="F33" s="35">
        <f>SUM(F2:F32)</f>
        <v>271255</v>
      </c>
      <c r="G33" s="35"/>
      <c r="H33" s="23">
        <f>SUM(H2:H32)</f>
        <v>7246385</v>
      </c>
      <c r="I33" s="13">
        <f>SUM(I2:I32)</f>
        <v>231000</v>
      </c>
      <c r="J33" s="11"/>
      <c r="K33" s="27">
        <f>SUM(K2:K32)</f>
        <v>2815100</v>
      </c>
      <c r="L33" s="8">
        <f>SUM(L2:L32)</f>
        <v>79566</v>
      </c>
      <c r="M33" s="8">
        <f>SUM(M2:M32)</f>
        <v>2891397</v>
      </c>
      <c r="N33" s="3">
        <f>SUM(N2:N32)</f>
        <v>13032448</v>
      </c>
      <c r="P33" s="37">
        <f>SUM(P2:P32)</f>
        <v>4019</v>
      </c>
      <c r="Q33" s="36">
        <f>P33</f>
        <v>4019</v>
      </c>
      <c r="S33" s="29"/>
      <c r="T33" s="29">
        <f>SUM(T2:T32)</f>
        <v>228420</v>
      </c>
      <c r="U33" s="29">
        <f>SUM(U2:U32)</f>
        <v>259985</v>
      </c>
      <c r="V33" s="29"/>
      <c r="W33" s="29"/>
      <c r="X33" s="29"/>
      <c r="Y33" s="69"/>
      <c r="Z33" s="28"/>
      <c r="AD33" s="28"/>
    </row>
    <row r="34" spans="1:30">
      <c r="A34" t="s">
        <v>30</v>
      </c>
      <c r="D34" s="20">
        <f>B33-D33+U33</f>
        <v>488405</v>
      </c>
    </row>
  </sheetData>
  <mergeCells count="1">
    <mergeCell ref="Z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359D-8D09-4010-9AF9-AC2B77D97745}">
  <dimension ref="A1:AV37"/>
  <sheetViews>
    <sheetView workbookViewId="0">
      <pane ySplit="1" topLeftCell="A10" activePane="bottomLeft" state="frozen"/>
      <selection pane="bottomLeft" activeCell="M28" sqref="M28"/>
    </sheetView>
  </sheetViews>
  <sheetFormatPr defaultRowHeight="15"/>
  <cols>
    <col min="1" max="1" width="10.140625" bestFit="1" customWidth="1"/>
    <col min="2" max="2" width="11" customWidth="1"/>
    <col min="3" max="3" width="0.140625" customWidth="1"/>
    <col min="4" max="4" width="11" customWidth="1"/>
    <col min="5" max="5" width="11.85546875" bestFit="1" customWidth="1"/>
    <col min="6" max="6" width="11.140625" bestFit="1" customWidth="1"/>
    <col min="7" max="7" width="12.140625" customWidth="1"/>
    <col min="8" max="8" width="11" bestFit="1" customWidth="1"/>
    <col min="9" max="9" width="11.140625" bestFit="1" customWidth="1"/>
    <col min="11" max="11" width="11" bestFit="1" customWidth="1"/>
    <col min="12" max="12" width="9.5703125" bestFit="1" customWidth="1"/>
    <col min="13" max="13" width="11" bestFit="1" customWidth="1"/>
    <col min="14" max="14" width="12" bestFit="1" customWidth="1"/>
    <col min="19" max="19" width="12.7109375" customWidth="1"/>
    <col min="20" max="20" width="15.140625" customWidth="1"/>
    <col min="21" max="21" width="12.7109375" customWidth="1"/>
    <col min="22" max="22" width="11" bestFit="1" customWidth="1"/>
    <col min="23" max="23" width="14.140625" bestFit="1" customWidth="1"/>
    <col min="24" max="24" width="14.140625" customWidth="1"/>
    <col min="25" max="25" width="14.140625" style="15" customWidth="1"/>
    <col min="27" max="27" width="13.5703125" bestFit="1" customWidth="1"/>
    <col min="29" max="29" width="13.28515625" bestFit="1" customWidth="1"/>
    <col min="31" max="31" width="9.5703125" bestFit="1" customWidth="1"/>
    <col min="35" max="36" width="9.5703125" bestFit="1" customWidth="1"/>
    <col min="37" max="37" width="15.28515625" customWidth="1"/>
    <col min="38" max="38" width="13.140625" bestFit="1" customWidth="1"/>
    <col min="40" max="40" width="13.28515625" bestFit="1" customWidth="1"/>
    <col min="47" max="47" width="8.42578125" bestFit="1" customWidth="1"/>
    <col min="48" max="48" width="10.85546875" bestFit="1" customWidth="1"/>
  </cols>
  <sheetData>
    <row r="1" spans="1:48" ht="17.25" customHeight="1">
      <c r="B1" s="4" t="s">
        <v>0</v>
      </c>
      <c r="C1" s="18" t="s">
        <v>1</v>
      </c>
      <c r="D1" s="57" t="s">
        <v>2</v>
      </c>
      <c r="E1" s="70" t="s">
        <v>3</v>
      </c>
      <c r="F1" s="21" t="s">
        <v>4</v>
      </c>
      <c r="G1" s="21" t="s">
        <v>5</v>
      </c>
      <c r="H1" s="22" t="s">
        <v>6</v>
      </c>
      <c r="I1" s="24" t="s">
        <v>7</v>
      </c>
      <c r="J1" s="9"/>
      <c r="K1" s="14" t="s">
        <v>8</v>
      </c>
      <c r="L1" s="5" t="s">
        <v>9</v>
      </c>
      <c r="M1" s="6" t="s">
        <v>10</v>
      </c>
      <c r="N1" s="33" t="s">
        <v>11</v>
      </c>
      <c r="P1" s="30" t="s">
        <v>12</v>
      </c>
      <c r="Q1" s="34" t="s">
        <v>13</v>
      </c>
      <c r="S1" s="25" t="s">
        <v>14</v>
      </c>
      <c r="T1" s="25" t="s">
        <v>15</v>
      </c>
      <c r="U1" s="25" t="s">
        <v>16</v>
      </c>
      <c r="V1" s="25" t="s">
        <v>17</v>
      </c>
      <c r="W1" s="25" t="s">
        <v>18</v>
      </c>
      <c r="X1" s="25" t="s">
        <v>19</v>
      </c>
      <c r="Y1" s="67" t="s">
        <v>20</v>
      </c>
      <c r="Z1" s="82" t="s">
        <v>21</v>
      </c>
      <c r="AA1" s="82"/>
      <c r="AB1" s="82"/>
      <c r="AC1" s="17"/>
      <c r="AE1" s="63"/>
      <c r="AF1" s="63"/>
      <c r="AG1" s="63"/>
      <c r="AH1" s="26" t="s">
        <v>22</v>
      </c>
      <c r="AI1" s="17"/>
      <c r="AJ1" s="17"/>
      <c r="AK1" s="17"/>
      <c r="AL1" s="17"/>
      <c r="AN1" s="17"/>
      <c r="AO1" s="63"/>
      <c r="AP1" s="63"/>
      <c r="AQ1" s="63"/>
      <c r="AR1" s="63"/>
      <c r="AS1" s="17"/>
      <c r="AT1" s="17"/>
      <c r="AU1" s="17"/>
      <c r="AV1" s="17"/>
    </row>
    <row r="2" spans="1:48">
      <c r="A2" s="77">
        <v>46055</v>
      </c>
      <c r="B2" s="38">
        <v>319570</v>
      </c>
      <c r="C2" s="54"/>
      <c r="D2" s="58">
        <v>291082</v>
      </c>
      <c r="E2" s="71"/>
      <c r="F2" s="39">
        <v>15955</v>
      </c>
      <c r="G2" s="75"/>
      <c r="H2" s="40">
        <f>(B2+F2)</f>
        <v>335525</v>
      </c>
      <c r="I2" s="12">
        <f>C2+E2</f>
        <v>0</v>
      </c>
      <c r="J2" s="10"/>
      <c r="K2" s="45">
        <v>108000</v>
      </c>
      <c r="L2" s="46">
        <v>26060</v>
      </c>
      <c r="M2" s="47"/>
      <c r="N2" s="16">
        <f>B2+L2+F2+K2+M2</f>
        <v>469585</v>
      </c>
      <c r="P2" s="31">
        <v>175</v>
      </c>
      <c r="Q2" s="32">
        <f>P2</f>
        <v>175</v>
      </c>
      <c r="S2" s="66">
        <f>'2026 január'!Y32</f>
        <v>204300</v>
      </c>
      <c r="T2" s="66">
        <f>B2-D2</f>
        <v>28488</v>
      </c>
      <c r="U2" s="66"/>
      <c r="V2" s="66"/>
      <c r="W2" s="66"/>
      <c r="X2" s="66"/>
      <c r="Y2" s="68">
        <f>S2+T2+U2-V2-W2+X2</f>
        <v>232788</v>
      </c>
      <c r="Z2" s="28"/>
      <c r="AC2" s="62"/>
      <c r="AD2" s="28"/>
      <c r="AE2" s="20"/>
      <c r="AF2" s="20"/>
      <c r="AG2" s="20"/>
      <c r="AH2" s="20"/>
      <c r="AI2" s="20"/>
      <c r="AJ2" s="20"/>
      <c r="AK2" s="64"/>
      <c r="AL2" s="20"/>
    </row>
    <row r="3" spans="1:48">
      <c r="A3" s="77">
        <v>46056</v>
      </c>
      <c r="B3" s="38">
        <v>398070</v>
      </c>
      <c r="C3" s="54"/>
      <c r="D3" s="58">
        <v>348389</v>
      </c>
      <c r="E3" s="71"/>
      <c r="F3" s="39">
        <v>17280</v>
      </c>
      <c r="G3" s="75"/>
      <c r="H3" s="40">
        <f t="shared" ref="H3:H32" si="0">(B3+F3)</f>
        <v>415350</v>
      </c>
      <c r="I3" s="12">
        <f t="shared" ref="I3:I32" si="1">C3+E3</f>
        <v>0</v>
      </c>
      <c r="J3" s="1"/>
      <c r="K3" s="45">
        <v>108000</v>
      </c>
      <c r="L3" s="49">
        <v>21552</v>
      </c>
      <c r="M3" s="50"/>
      <c r="N3" s="16">
        <f>B3+L3+F3+K3+M3</f>
        <v>544902</v>
      </c>
      <c r="P3" s="31">
        <v>211</v>
      </c>
      <c r="Q3" s="32">
        <f t="shared" ref="Q3:Q32" si="2">P3</f>
        <v>211</v>
      </c>
      <c r="S3" s="66">
        <f>Y2</f>
        <v>232788</v>
      </c>
      <c r="T3" s="66">
        <f t="shared" ref="T3:T32" si="3">B3-D3</f>
        <v>49681</v>
      </c>
      <c r="U3" s="66"/>
      <c r="V3" s="66"/>
      <c r="W3" s="66"/>
      <c r="X3" s="66"/>
      <c r="Y3" s="68">
        <f t="shared" ref="Y3:Y32" si="4">S3+T3+U3-V3-W3+X3</f>
        <v>282469</v>
      </c>
      <c r="Z3" s="28"/>
      <c r="AC3" s="62"/>
      <c r="AD3" s="28"/>
      <c r="AE3" s="20"/>
      <c r="AF3" s="20"/>
      <c r="AG3" s="20"/>
      <c r="AH3" s="20"/>
      <c r="AI3" s="20"/>
      <c r="AJ3" s="20"/>
      <c r="AK3" s="64"/>
      <c r="AL3" s="20"/>
    </row>
    <row r="4" spans="1:48">
      <c r="A4" s="77">
        <v>46057</v>
      </c>
      <c r="B4" s="41">
        <v>398925</v>
      </c>
      <c r="C4" s="55"/>
      <c r="D4" s="59">
        <v>376681</v>
      </c>
      <c r="E4" s="72"/>
      <c r="F4" s="42">
        <v>10950</v>
      </c>
      <c r="G4" s="75"/>
      <c r="H4" s="40">
        <f t="shared" si="0"/>
        <v>409875</v>
      </c>
      <c r="I4" s="12">
        <f t="shared" si="1"/>
        <v>0</v>
      </c>
      <c r="J4" s="1"/>
      <c r="K4" s="48">
        <v>108000</v>
      </c>
      <c r="L4" s="49"/>
      <c r="M4" s="50">
        <v>104741</v>
      </c>
      <c r="N4" s="16">
        <f t="shared" ref="N4:N32" si="5">B4+L4+F4+K4+M4</f>
        <v>622616</v>
      </c>
      <c r="P4" s="31">
        <v>199</v>
      </c>
      <c r="Q4" s="32">
        <f t="shared" si="2"/>
        <v>199</v>
      </c>
      <c r="S4" s="66">
        <f t="shared" ref="S4:S32" si="6">Y3</f>
        <v>282469</v>
      </c>
      <c r="T4" s="66">
        <f t="shared" si="3"/>
        <v>22244</v>
      </c>
      <c r="U4" s="66"/>
      <c r="V4" s="66"/>
      <c r="W4" s="66"/>
      <c r="X4" s="66"/>
      <c r="Y4" s="68">
        <f t="shared" si="4"/>
        <v>304713</v>
      </c>
      <c r="Z4" s="28"/>
      <c r="AC4" s="62"/>
      <c r="AD4" s="28"/>
      <c r="AE4" s="20"/>
      <c r="AF4" s="20"/>
      <c r="AG4" s="20"/>
      <c r="AH4" s="20"/>
      <c r="AI4" s="20"/>
      <c r="AJ4" s="20"/>
      <c r="AK4" s="65"/>
      <c r="AL4" s="20"/>
    </row>
    <row r="5" spans="1:48">
      <c r="A5" s="77">
        <v>46058</v>
      </c>
      <c r="B5" s="38">
        <v>384305</v>
      </c>
      <c r="C5" s="54"/>
      <c r="D5" s="58">
        <v>367060</v>
      </c>
      <c r="E5" s="71"/>
      <c r="F5" s="39">
        <v>12210</v>
      </c>
      <c r="G5" s="75"/>
      <c r="H5" s="40">
        <f t="shared" si="0"/>
        <v>396515</v>
      </c>
      <c r="I5" s="12">
        <f t="shared" si="1"/>
        <v>0</v>
      </c>
      <c r="J5" s="1"/>
      <c r="K5" s="48">
        <v>108000</v>
      </c>
      <c r="L5" s="49"/>
      <c r="M5" s="50"/>
      <c r="N5" s="16">
        <f t="shared" si="5"/>
        <v>504515</v>
      </c>
      <c r="P5" s="31">
        <v>200</v>
      </c>
      <c r="Q5" s="32">
        <f t="shared" si="2"/>
        <v>200</v>
      </c>
      <c r="S5" s="66">
        <f t="shared" si="6"/>
        <v>304713</v>
      </c>
      <c r="T5" s="66">
        <f t="shared" si="3"/>
        <v>17245</v>
      </c>
      <c r="U5" s="66"/>
      <c r="V5" s="66"/>
      <c r="W5" s="66"/>
      <c r="X5" s="66"/>
      <c r="Y5" s="68">
        <f t="shared" si="4"/>
        <v>321958</v>
      </c>
      <c r="Z5" s="28"/>
      <c r="AC5" s="62"/>
      <c r="AD5" s="28"/>
      <c r="AE5" s="20"/>
      <c r="AF5" s="20"/>
      <c r="AG5" s="20"/>
      <c r="AH5" s="20"/>
      <c r="AI5" s="20"/>
      <c r="AJ5" s="20"/>
      <c r="AK5" s="65"/>
      <c r="AL5" s="20"/>
    </row>
    <row r="6" spans="1:48">
      <c r="A6" s="77">
        <v>46059</v>
      </c>
      <c r="B6" s="38">
        <v>311755</v>
      </c>
      <c r="C6" s="54"/>
      <c r="D6" s="58">
        <v>255940</v>
      </c>
      <c r="E6" s="71"/>
      <c r="F6" s="39">
        <v>22140</v>
      </c>
      <c r="G6" s="75"/>
      <c r="H6" s="40">
        <f t="shared" si="0"/>
        <v>333895</v>
      </c>
      <c r="I6" s="12">
        <f t="shared" si="1"/>
        <v>0</v>
      </c>
      <c r="J6" s="1"/>
      <c r="K6" s="45">
        <v>318400</v>
      </c>
      <c r="L6" s="49"/>
      <c r="M6" s="50"/>
      <c r="N6" s="16">
        <f t="shared" si="5"/>
        <v>652295</v>
      </c>
      <c r="P6" s="31">
        <v>189</v>
      </c>
      <c r="Q6" s="32">
        <f t="shared" si="2"/>
        <v>189</v>
      </c>
      <c r="S6" s="66">
        <f t="shared" si="6"/>
        <v>321958</v>
      </c>
      <c r="T6" s="66">
        <f t="shared" si="3"/>
        <v>55815</v>
      </c>
      <c r="U6" s="66"/>
      <c r="V6" s="66">
        <v>67825</v>
      </c>
      <c r="W6" s="66"/>
      <c r="X6" s="66"/>
      <c r="Y6" s="68">
        <f t="shared" si="4"/>
        <v>309948</v>
      </c>
      <c r="Z6" s="28"/>
      <c r="AA6" t="s">
        <v>29</v>
      </c>
      <c r="AC6" s="62"/>
      <c r="AD6" s="28"/>
      <c r="AE6" s="20"/>
      <c r="AF6" s="20"/>
      <c r="AG6" s="20"/>
      <c r="AH6" s="20"/>
      <c r="AI6" s="20"/>
      <c r="AJ6" s="20"/>
      <c r="AK6" s="64"/>
      <c r="AL6" s="20"/>
    </row>
    <row r="7" spans="1:48">
      <c r="A7" s="77">
        <v>46060</v>
      </c>
      <c r="B7" s="41"/>
      <c r="C7" s="55"/>
      <c r="D7" s="59"/>
      <c r="E7" s="72"/>
      <c r="F7" s="42"/>
      <c r="G7" s="75"/>
      <c r="H7" s="40">
        <f t="shared" si="0"/>
        <v>0</v>
      </c>
      <c r="I7" s="12">
        <f t="shared" si="1"/>
        <v>0</v>
      </c>
      <c r="J7" s="1"/>
      <c r="K7" s="48"/>
      <c r="L7" s="49"/>
      <c r="M7" s="50"/>
      <c r="N7" s="16">
        <f t="shared" si="5"/>
        <v>0</v>
      </c>
      <c r="P7" s="31"/>
      <c r="Q7" s="32">
        <f t="shared" si="2"/>
        <v>0</v>
      </c>
      <c r="S7" s="66">
        <f t="shared" si="6"/>
        <v>309948</v>
      </c>
      <c r="T7" s="66">
        <f t="shared" si="3"/>
        <v>0</v>
      </c>
      <c r="U7" s="66"/>
      <c r="V7" s="66"/>
      <c r="W7" s="66"/>
      <c r="X7" s="66"/>
      <c r="Y7" s="68">
        <f t="shared" si="4"/>
        <v>309948</v>
      </c>
      <c r="Z7" s="28"/>
      <c r="AC7" s="62"/>
      <c r="AD7" s="28"/>
      <c r="AE7" s="20"/>
      <c r="AF7" s="20"/>
      <c r="AG7" s="20"/>
      <c r="AH7" s="20"/>
      <c r="AI7" s="20"/>
      <c r="AJ7" s="20"/>
      <c r="AK7" s="64"/>
      <c r="AL7" s="20"/>
    </row>
    <row r="8" spans="1:48">
      <c r="A8" s="77">
        <v>46061</v>
      </c>
      <c r="B8" s="41"/>
      <c r="C8" s="55"/>
      <c r="D8" s="59"/>
      <c r="E8" s="72"/>
      <c r="F8" s="42"/>
      <c r="G8" s="75"/>
      <c r="H8" s="40">
        <f t="shared" si="0"/>
        <v>0</v>
      </c>
      <c r="I8" s="12">
        <f t="shared" si="1"/>
        <v>0</v>
      </c>
      <c r="J8" s="1"/>
      <c r="K8" s="48"/>
      <c r="L8" s="49"/>
      <c r="M8" s="50"/>
      <c r="N8" s="16">
        <f t="shared" si="5"/>
        <v>0</v>
      </c>
      <c r="P8" s="31"/>
      <c r="Q8" s="32">
        <f t="shared" si="2"/>
        <v>0</v>
      </c>
      <c r="S8" s="66">
        <f t="shared" si="6"/>
        <v>309948</v>
      </c>
      <c r="T8" s="66">
        <f t="shared" si="3"/>
        <v>0</v>
      </c>
      <c r="U8" s="66"/>
      <c r="V8" s="66"/>
      <c r="W8" s="66"/>
      <c r="X8" s="66"/>
      <c r="Y8" s="68">
        <f t="shared" si="4"/>
        <v>309948</v>
      </c>
      <c r="Z8" s="28"/>
      <c r="AC8" s="62"/>
      <c r="AD8" s="28"/>
      <c r="AE8" s="20"/>
      <c r="AF8" s="20"/>
      <c r="AG8" s="20"/>
      <c r="AH8" s="20"/>
      <c r="AI8" s="20"/>
      <c r="AJ8" s="20"/>
      <c r="AK8" s="64"/>
      <c r="AL8" s="20"/>
    </row>
    <row r="9" spans="1:48">
      <c r="A9" s="77">
        <v>46062</v>
      </c>
      <c r="B9" s="41">
        <v>327270</v>
      </c>
      <c r="C9" s="55"/>
      <c r="D9" s="59">
        <v>342165</v>
      </c>
      <c r="E9" s="72">
        <v>40000</v>
      </c>
      <c r="F9" s="42">
        <v>14610</v>
      </c>
      <c r="G9" s="75"/>
      <c r="H9" s="40">
        <f t="shared" si="0"/>
        <v>341880</v>
      </c>
      <c r="I9" s="12">
        <f t="shared" si="1"/>
        <v>40000</v>
      </c>
      <c r="J9" s="1"/>
      <c r="K9" s="48">
        <v>108000</v>
      </c>
      <c r="L9" s="49"/>
      <c r="M9" s="50"/>
      <c r="N9" s="16">
        <f t="shared" si="5"/>
        <v>449880</v>
      </c>
      <c r="P9" s="31">
        <v>184</v>
      </c>
      <c r="Q9" s="32">
        <f t="shared" si="2"/>
        <v>184</v>
      </c>
      <c r="S9" s="66">
        <f t="shared" si="6"/>
        <v>309948</v>
      </c>
      <c r="T9" s="66">
        <f t="shared" si="3"/>
        <v>-14895</v>
      </c>
      <c r="U9" s="66">
        <v>40000</v>
      </c>
      <c r="V9" s="66">
        <v>280000</v>
      </c>
      <c r="W9" s="66"/>
      <c r="X9" s="66"/>
      <c r="Y9" s="68">
        <f t="shared" si="4"/>
        <v>55053</v>
      </c>
      <c r="Z9" s="28"/>
      <c r="AA9" t="s">
        <v>31</v>
      </c>
      <c r="AC9" s="62"/>
      <c r="AD9" s="28"/>
      <c r="AE9" s="20"/>
      <c r="AF9" s="20"/>
      <c r="AG9" s="20"/>
      <c r="AH9" s="20"/>
      <c r="AI9" s="20"/>
      <c r="AJ9" s="20"/>
      <c r="AK9" s="64"/>
      <c r="AL9" s="20"/>
    </row>
    <row r="10" spans="1:48">
      <c r="A10" s="77">
        <v>46063</v>
      </c>
      <c r="B10" s="41">
        <v>435065</v>
      </c>
      <c r="C10" s="55"/>
      <c r="D10" s="59">
        <v>402035</v>
      </c>
      <c r="E10" s="72"/>
      <c r="F10" s="42">
        <v>14230</v>
      </c>
      <c r="G10" s="75"/>
      <c r="H10" s="40">
        <f t="shared" si="0"/>
        <v>449295</v>
      </c>
      <c r="I10" s="12">
        <f t="shared" si="1"/>
        <v>0</v>
      </c>
      <c r="J10" s="1"/>
      <c r="K10" s="48">
        <v>108000</v>
      </c>
      <c r="L10" s="49">
        <v>36462</v>
      </c>
      <c r="M10" s="50"/>
      <c r="N10" s="16">
        <f t="shared" si="5"/>
        <v>593757</v>
      </c>
      <c r="P10" s="31">
        <v>236</v>
      </c>
      <c r="Q10" s="32">
        <f t="shared" si="2"/>
        <v>236</v>
      </c>
      <c r="S10" s="66">
        <f t="shared" si="6"/>
        <v>55053</v>
      </c>
      <c r="T10" s="66">
        <f t="shared" si="3"/>
        <v>33030</v>
      </c>
      <c r="U10" s="66"/>
      <c r="V10" s="66"/>
      <c r="W10" s="66"/>
      <c r="X10" s="66"/>
      <c r="Y10" s="68">
        <f t="shared" si="4"/>
        <v>88083</v>
      </c>
      <c r="Z10" s="28"/>
      <c r="AC10" s="62"/>
      <c r="AD10" s="28"/>
      <c r="AE10" s="20"/>
      <c r="AF10" s="20"/>
      <c r="AG10" s="20"/>
      <c r="AH10" s="20"/>
      <c r="AI10" s="20"/>
      <c r="AJ10" s="20"/>
      <c r="AK10" s="65"/>
      <c r="AL10" s="20"/>
    </row>
    <row r="11" spans="1:48">
      <c r="A11" s="77">
        <v>46064</v>
      </c>
      <c r="B11" s="41">
        <v>434105</v>
      </c>
      <c r="C11" s="55"/>
      <c r="D11" s="59">
        <v>430760</v>
      </c>
      <c r="E11" s="72">
        <v>20000</v>
      </c>
      <c r="F11" s="42">
        <v>19490</v>
      </c>
      <c r="G11" s="75"/>
      <c r="H11" s="40">
        <f t="shared" si="0"/>
        <v>453595</v>
      </c>
      <c r="I11" s="12">
        <f t="shared" si="1"/>
        <v>20000</v>
      </c>
      <c r="J11" s="1"/>
      <c r="K11" s="48">
        <v>108000</v>
      </c>
      <c r="L11" s="49"/>
      <c r="M11" s="50">
        <v>68352</v>
      </c>
      <c r="N11" s="16">
        <f t="shared" si="5"/>
        <v>629947</v>
      </c>
      <c r="P11" s="31">
        <v>224</v>
      </c>
      <c r="Q11" s="32">
        <f t="shared" si="2"/>
        <v>224</v>
      </c>
      <c r="S11" s="66">
        <f t="shared" si="6"/>
        <v>88083</v>
      </c>
      <c r="T11" s="66">
        <f t="shared" si="3"/>
        <v>3345</v>
      </c>
      <c r="U11" s="66">
        <v>20000</v>
      </c>
      <c r="V11" s="66">
        <v>27000</v>
      </c>
      <c r="W11" s="66"/>
      <c r="X11" s="66"/>
      <c r="Y11" s="68">
        <f t="shared" si="4"/>
        <v>84428</v>
      </c>
      <c r="Z11" s="28"/>
      <c r="AA11" t="s">
        <v>32</v>
      </c>
      <c r="AB11" t="s">
        <v>24</v>
      </c>
      <c r="AC11" s="62"/>
      <c r="AD11" s="28"/>
      <c r="AE11" s="20"/>
      <c r="AF11" s="20"/>
      <c r="AG11" s="20"/>
      <c r="AH11" s="20"/>
      <c r="AI11" s="20"/>
      <c r="AJ11" s="20"/>
      <c r="AK11" s="65"/>
      <c r="AL11" s="20"/>
    </row>
    <row r="12" spans="1:48">
      <c r="A12" s="77">
        <v>46065</v>
      </c>
      <c r="B12" s="41">
        <v>444245</v>
      </c>
      <c r="C12" s="55"/>
      <c r="D12" s="59">
        <v>443875</v>
      </c>
      <c r="E12" s="72">
        <v>30000</v>
      </c>
      <c r="F12" s="42">
        <v>14330</v>
      </c>
      <c r="G12" s="75"/>
      <c r="H12" s="40">
        <f t="shared" si="0"/>
        <v>458575</v>
      </c>
      <c r="I12" s="12">
        <f t="shared" si="1"/>
        <v>30000</v>
      </c>
      <c r="J12" s="1"/>
      <c r="K12" s="48">
        <v>108000</v>
      </c>
      <c r="L12" s="49">
        <v>83407</v>
      </c>
      <c r="M12" s="50"/>
      <c r="N12" s="16">
        <f t="shared" si="5"/>
        <v>649982</v>
      </c>
      <c r="P12" s="31">
        <v>238</v>
      </c>
      <c r="Q12" s="32">
        <f t="shared" si="2"/>
        <v>238</v>
      </c>
      <c r="S12" s="66">
        <f t="shared" si="6"/>
        <v>84428</v>
      </c>
      <c r="T12" s="66">
        <f t="shared" si="3"/>
        <v>370</v>
      </c>
      <c r="U12" s="66">
        <v>32530</v>
      </c>
      <c r="V12" s="66">
        <v>67825</v>
      </c>
      <c r="W12" s="66"/>
      <c r="X12" s="66"/>
      <c r="Y12" s="68">
        <f t="shared" si="4"/>
        <v>49503</v>
      </c>
      <c r="Z12" s="28"/>
      <c r="AA12" t="s">
        <v>33</v>
      </c>
      <c r="AC12" s="62"/>
      <c r="AD12" s="28"/>
      <c r="AE12" s="20"/>
      <c r="AF12" s="20"/>
      <c r="AG12" s="20"/>
      <c r="AH12" s="20"/>
      <c r="AI12" s="20"/>
      <c r="AJ12" s="20"/>
      <c r="AK12" s="65"/>
      <c r="AL12" s="20"/>
    </row>
    <row r="13" spans="1:48">
      <c r="A13" s="77">
        <v>46066</v>
      </c>
      <c r="B13" s="41">
        <v>277730</v>
      </c>
      <c r="C13" s="55"/>
      <c r="D13" s="59">
        <v>265445</v>
      </c>
      <c r="E13" s="72"/>
      <c r="F13" s="42">
        <v>13510</v>
      </c>
      <c r="G13" s="75"/>
      <c r="H13" s="40">
        <f t="shared" si="0"/>
        <v>291240</v>
      </c>
      <c r="I13" s="12">
        <f t="shared" si="1"/>
        <v>0</v>
      </c>
      <c r="J13" s="1"/>
      <c r="K13" s="48">
        <v>361600</v>
      </c>
      <c r="L13" s="49"/>
      <c r="M13" s="50">
        <v>24072</v>
      </c>
      <c r="N13" s="16">
        <f t="shared" si="5"/>
        <v>676912</v>
      </c>
      <c r="P13" s="31">
        <v>159</v>
      </c>
      <c r="Q13" s="32">
        <f t="shared" si="2"/>
        <v>159</v>
      </c>
      <c r="S13" s="66">
        <f t="shared" si="6"/>
        <v>49503</v>
      </c>
      <c r="T13" s="66">
        <f t="shared" si="3"/>
        <v>12285</v>
      </c>
      <c r="U13" s="66"/>
      <c r="V13" s="66"/>
      <c r="W13" s="66"/>
      <c r="X13" s="66"/>
      <c r="Y13" s="68">
        <f t="shared" si="4"/>
        <v>61788</v>
      </c>
      <c r="Z13" s="28"/>
      <c r="AC13" s="62"/>
      <c r="AD13" s="28"/>
      <c r="AE13" s="20"/>
      <c r="AF13" s="20"/>
      <c r="AG13" s="20"/>
      <c r="AH13" s="20"/>
      <c r="AI13" s="20"/>
      <c r="AJ13" s="20"/>
      <c r="AK13" s="65"/>
      <c r="AL13" s="20"/>
    </row>
    <row r="14" spans="1:48">
      <c r="A14" s="77">
        <v>46067</v>
      </c>
      <c r="B14" s="41"/>
      <c r="C14" s="55"/>
      <c r="D14" s="59"/>
      <c r="E14" s="72"/>
      <c r="F14" s="42"/>
      <c r="G14" s="75"/>
      <c r="H14" s="40">
        <f t="shared" si="0"/>
        <v>0</v>
      </c>
      <c r="I14" s="12">
        <f t="shared" si="1"/>
        <v>0</v>
      </c>
      <c r="J14" s="1"/>
      <c r="K14" s="48"/>
      <c r="L14" s="49"/>
      <c r="M14" s="50"/>
      <c r="N14" s="16">
        <f t="shared" si="5"/>
        <v>0</v>
      </c>
      <c r="P14" s="31"/>
      <c r="Q14" s="32">
        <f t="shared" si="2"/>
        <v>0</v>
      </c>
      <c r="S14" s="66">
        <f t="shared" si="6"/>
        <v>61788</v>
      </c>
      <c r="T14" s="66">
        <f t="shared" si="3"/>
        <v>0</v>
      </c>
      <c r="U14" s="66"/>
      <c r="V14" s="66"/>
      <c r="W14" s="66"/>
      <c r="X14" s="66"/>
      <c r="Y14" s="68">
        <f t="shared" si="4"/>
        <v>61788</v>
      </c>
      <c r="Z14" s="28"/>
      <c r="AC14" s="62"/>
      <c r="AD14" s="28"/>
      <c r="AE14" s="20"/>
      <c r="AF14" s="20"/>
      <c r="AG14" s="20"/>
      <c r="AH14" s="20"/>
      <c r="AI14" s="20"/>
      <c r="AJ14" s="20"/>
      <c r="AK14" s="65"/>
      <c r="AL14" s="20"/>
    </row>
    <row r="15" spans="1:48">
      <c r="A15" s="77">
        <v>46068</v>
      </c>
      <c r="B15" s="41"/>
      <c r="C15" s="55"/>
      <c r="D15" s="59"/>
      <c r="E15" s="72"/>
      <c r="F15" s="42"/>
      <c r="G15" s="75"/>
      <c r="H15" s="40">
        <f t="shared" si="0"/>
        <v>0</v>
      </c>
      <c r="I15" s="12">
        <f t="shared" si="1"/>
        <v>0</v>
      </c>
      <c r="J15" s="1"/>
      <c r="K15" s="48"/>
      <c r="L15" s="49"/>
      <c r="M15" s="50"/>
      <c r="N15" s="16">
        <f t="shared" si="5"/>
        <v>0</v>
      </c>
      <c r="P15" s="31"/>
      <c r="Q15" s="32">
        <f t="shared" si="2"/>
        <v>0</v>
      </c>
      <c r="S15" s="66">
        <f t="shared" si="6"/>
        <v>61788</v>
      </c>
      <c r="T15" s="66">
        <f t="shared" si="3"/>
        <v>0</v>
      </c>
      <c r="U15" s="66"/>
      <c r="V15" s="66"/>
      <c r="W15" s="66"/>
      <c r="X15" s="66"/>
      <c r="Y15" s="68">
        <f t="shared" si="4"/>
        <v>61788</v>
      </c>
      <c r="Z15" s="28"/>
      <c r="AC15" s="62"/>
      <c r="AD15" s="28"/>
      <c r="AE15" s="20"/>
      <c r="AF15" s="20"/>
      <c r="AG15" s="20"/>
      <c r="AH15" s="20"/>
      <c r="AI15" s="20"/>
      <c r="AJ15" s="20"/>
      <c r="AK15" s="65"/>
      <c r="AL15" s="20"/>
    </row>
    <row r="16" spans="1:48">
      <c r="A16" s="77">
        <v>46069</v>
      </c>
      <c r="B16" s="41">
        <v>339365</v>
      </c>
      <c r="C16" s="55"/>
      <c r="D16" s="59">
        <v>315240</v>
      </c>
      <c r="E16" s="72"/>
      <c r="F16" s="42">
        <v>14040</v>
      </c>
      <c r="G16" s="75"/>
      <c r="H16" s="40">
        <f t="shared" si="0"/>
        <v>353405</v>
      </c>
      <c r="I16" s="12">
        <f t="shared" si="1"/>
        <v>0</v>
      </c>
      <c r="J16" s="1"/>
      <c r="K16" s="48">
        <v>108000</v>
      </c>
      <c r="L16" s="49">
        <v>21552</v>
      </c>
      <c r="M16" s="50"/>
      <c r="N16" s="16">
        <f t="shared" si="5"/>
        <v>482957</v>
      </c>
      <c r="P16" s="31">
        <v>199</v>
      </c>
      <c r="Q16" s="32">
        <f t="shared" si="2"/>
        <v>199</v>
      </c>
      <c r="S16" s="66">
        <f t="shared" si="6"/>
        <v>61788</v>
      </c>
      <c r="T16" s="66">
        <f t="shared" si="3"/>
        <v>24125</v>
      </c>
      <c r="U16" s="66">
        <v>4510</v>
      </c>
      <c r="V16" s="66"/>
      <c r="W16" s="66"/>
      <c r="X16" s="66"/>
      <c r="Y16" s="68">
        <f t="shared" si="4"/>
        <v>90423</v>
      </c>
      <c r="Z16" s="28"/>
      <c r="AA16" t="s">
        <v>34</v>
      </c>
      <c r="AC16" s="62"/>
      <c r="AD16" s="28"/>
      <c r="AE16" s="20"/>
      <c r="AF16" s="20"/>
      <c r="AG16" s="20"/>
      <c r="AH16" s="20"/>
      <c r="AI16" s="20"/>
      <c r="AJ16" s="20"/>
      <c r="AK16" s="65"/>
      <c r="AL16" s="20"/>
    </row>
    <row r="17" spans="1:38">
      <c r="A17" s="77">
        <v>46070</v>
      </c>
      <c r="B17" s="41">
        <v>425340</v>
      </c>
      <c r="C17" s="55"/>
      <c r="D17" s="59">
        <v>455835</v>
      </c>
      <c r="E17" s="72">
        <v>50000</v>
      </c>
      <c r="F17" s="42">
        <v>16240</v>
      </c>
      <c r="G17" s="75"/>
      <c r="H17" s="40">
        <f t="shared" si="0"/>
        <v>441580</v>
      </c>
      <c r="I17" s="12">
        <f t="shared" si="1"/>
        <v>50000</v>
      </c>
      <c r="J17" s="1"/>
      <c r="K17" s="48">
        <v>108000</v>
      </c>
      <c r="L17" s="49">
        <v>21552</v>
      </c>
      <c r="M17" s="50"/>
      <c r="N17" s="16">
        <f t="shared" si="5"/>
        <v>571132</v>
      </c>
      <c r="P17" s="31">
        <v>217</v>
      </c>
      <c r="Q17" s="32">
        <f t="shared" si="2"/>
        <v>217</v>
      </c>
      <c r="S17" s="66">
        <f t="shared" si="6"/>
        <v>90423</v>
      </c>
      <c r="T17" s="66">
        <f t="shared" si="3"/>
        <v>-30495</v>
      </c>
      <c r="U17" s="66">
        <v>53000</v>
      </c>
      <c r="V17" s="66">
        <v>67825</v>
      </c>
      <c r="W17" s="66"/>
      <c r="X17" s="66"/>
      <c r="Y17" s="68">
        <f t="shared" si="4"/>
        <v>45103</v>
      </c>
      <c r="Z17" s="28"/>
      <c r="AA17" t="s">
        <v>35</v>
      </c>
      <c r="AC17" s="62"/>
      <c r="AD17" s="28"/>
      <c r="AE17" s="20"/>
      <c r="AF17" s="20"/>
      <c r="AG17" s="20"/>
      <c r="AH17" s="20"/>
      <c r="AI17" s="20"/>
      <c r="AJ17" s="20"/>
      <c r="AK17" s="65"/>
      <c r="AL17" s="20"/>
    </row>
    <row r="18" spans="1:38">
      <c r="A18" s="77">
        <v>46071</v>
      </c>
      <c r="B18" s="41">
        <v>325560</v>
      </c>
      <c r="C18" s="55"/>
      <c r="D18" s="59">
        <v>311043</v>
      </c>
      <c r="E18" s="72"/>
      <c r="F18" s="42">
        <v>17515</v>
      </c>
      <c r="G18" s="75"/>
      <c r="H18" s="40">
        <f t="shared" si="0"/>
        <v>343075</v>
      </c>
      <c r="I18" s="12">
        <f t="shared" si="1"/>
        <v>0</v>
      </c>
      <c r="J18" s="1"/>
      <c r="K18" s="48">
        <v>108000</v>
      </c>
      <c r="L18" s="49"/>
      <c r="M18" s="50">
        <v>67048</v>
      </c>
      <c r="N18" s="16">
        <f t="shared" si="5"/>
        <v>518123</v>
      </c>
      <c r="P18" s="31">
        <v>188</v>
      </c>
      <c r="Q18" s="32">
        <f t="shared" si="2"/>
        <v>188</v>
      </c>
      <c r="S18" s="66">
        <f t="shared" si="6"/>
        <v>45103</v>
      </c>
      <c r="T18" s="66">
        <f t="shared" si="3"/>
        <v>14517</v>
      </c>
      <c r="U18" s="66"/>
      <c r="V18" s="66"/>
      <c r="W18" s="66"/>
      <c r="X18" s="66"/>
      <c r="Y18" s="68">
        <f t="shared" si="4"/>
        <v>59620</v>
      </c>
      <c r="Z18" s="28"/>
      <c r="AC18" s="62"/>
      <c r="AD18" s="28"/>
      <c r="AE18" s="20"/>
      <c r="AF18" s="20"/>
      <c r="AG18" s="20"/>
      <c r="AH18" s="20"/>
      <c r="AI18" s="20"/>
      <c r="AJ18" s="20"/>
      <c r="AK18" s="65"/>
      <c r="AL18" s="20"/>
    </row>
    <row r="19" spans="1:38">
      <c r="A19" s="77">
        <v>46072</v>
      </c>
      <c r="B19" s="41">
        <v>418215</v>
      </c>
      <c r="C19" s="55"/>
      <c r="D19" s="59">
        <v>444535</v>
      </c>
      <c r="E19" s="72">
        <v>50000</v>
      </c>
      <c r="F19" s="42">
        <v>22710</v>
      </c>
      <c r="G19" s="75"/>
      <c r="H19" s="40">
        <f t="shared" si="0"/>
        <v>440925</v>
      </c>
      <c r="I19" s="12">
        <f t="shared" si="1"/>
        <v>50000</v>
      </c>
      <c r="J19" s="1"/>
      <c r="K19" s="48">
        <v>108000</v>
      </c>
      <c r="L19" s="49"/>
      <c r="M19" s="50"/>
      <c r="N19" s="16">
        <f t="shared" si="5"/>
        <v>548925</v>
      </c>
      <c r="P19" s="31">
        <v>225</v>
      </c>
      <c r="Q19" s="32">
        <f t="shared" si="2"/>
        <v>225</v>
      </c>
      <c r="S19" s="66">
        <f t="shared" si="6"/>
        <v>59620</v>
      </c>
      <c r="T19" s="66">
        <f t="shared" si="3"/>
        <v>-26320</v>
      </c>
      <c r="U19" s="66">
        <v>50000</v>
      </c>
      <c r="V19" s="66"/>
      <c r="W19" s="66"/>
      <c r="X19" s="66"/>
      <c r="Y19" s="68">
        <f t="shared" si="4"/>
        <v>83300</v>
      </c>
      <c r="Z19" s="28"/>
      <c r="AA19" t="s">
        <v>24</v>
      </c>
      <c r="AC19" s="62"/>
      <c r="AD19" s="28"/>
      <c r="AE19" s="20"/>
      <c r="AF19" s="20"/>
      <c r="AG19" s="20"/>
      <c r="AH19" s="20"/>
      <c r="AI19" s="20"/>
      <c r="AJ19" s="20"/>
      <c r="AK19" s="65"/>
      <c r="AL19" s="20"/>
    </row>
    <row r="20" spans="1:38">
      <c r="A20" s="77">
        <v>46073</v>
      </c>
      <c r="B20" s="41">
        <v>288020</v>
      </c>
      <c r="C20" s="55"/>
      <c r="D20" s="59">
        <v>311655</v>
      </c>
      <c r="E20" s="72">
        <v>50000</v>
      </c>
      <c r="F20" s="42">
        <v>21200</v>
      </c>
      <c r="G20" s="75"/>
      <c r="H20" s="40">
        <f t="shared" si="0"/>
        <v>309220</v>
      </c>
      <c r="I20" s="12">
        <f t="shared" si="1"/>
        <v>50000</v>
      </c>
      <c r="J20" s="1"/>
      <c r="K20" s="48">
        <v>362400</v>
      </c>
      <c r="L20" s="49"/>
      <c r="M20" s="50"/>
      <c r="N20" s="16">
        <f t="shared" si="5"/>
        <v>671620</v>
      </c>
      <c r="P20" s="31">
        <v>161</v>
      </c>
      <c r="Q20" s="32">
        <f t="shared" si="2"/>
        <v>161</v>
      </c>
      <c r="S20" s="66">
        <f t="shared" si="6"/>
        <v>83300</v>
      </c>
      <c r="T20" s="66">
        <f t="shared" si="3"/>
        <v>-23635</v>
      </c>
      <c r="U20" s="66">
        <v>66000</v>
      </c>
      <c r="V20" s="66"/>
      <c r="W20" s="66"/>
      <c r="X20" s="66"/>
      <c r="Y20" s="68">
        <f t="shared" si="4"/>
        <v>125665</v>
      </c>
      <c r="Z20" s="28"/>
      <c r="AA20" t="s">
        <v>36</v>
      </c>
      <c r="AC20" s="62"/>
      <c r="AD20" s="28"/>
      <c r="AE20" s="20"/>
      <c r="AF20" s="20"/>
      <c r="AG20" s="20"/>
      <c r="AH20" s="20"/>
      <c r="AI20" s="20"/>
      <c r="AJ20" s="20"/>
      <c r="AK20" s="65"/>
      <c r="AL20" s="20"/>
    </row>
    <row r="21" spans="1:38">
      <c r="A21" s="77">
        <v>46074</v>
      </c>
      <c r="B21" s="41"/>
      <c r="C21" s="55"/>
      <c r="D21" s="59"/>
      <c r="E21" s="72"/>
      <c r="F21" s="42"/>
      <c r="G21" s="75"/>
      <c r="H21" s="40">
        <f t="shared" si="0"/>
        <v>0</v>
      </c>
      <c r="I21" s="12">
        <f t="shared" si="1"/>
        <v>0</v>
      </c>
      <c r="J21" s="1"/>
      <c r="K21" s="48"/>
      <c r="L21" s="49"/>
      <c r="M21" s="50"/>
      <c r="N21" s="16">
        <f t="shared" si="5"/>
        <v>0</v>
      </c>
      <c r="P21" s="31"/>
      <c r="Q21" s="32">
        <f t="shared" si="2"/>
        <v>0</v>
      </c>
      <c r="S21" s="66">
        <f t="shared" si="6"/>
        <v>125665</v>
      </c>
      <c r="T21" s="66">
        <f t="shared" si="3"/>
        <v>0</v>
      </c>
      <c r="U21" s="66"/>
      <c r="V21" s="66"/>
      <c r="W21" s="66"/>
      <c r="X21" s="66"/>
      <c r="Y21" s="68">
        <f t="shared" si="4"/>
        <v>125665</v>
      </c>
      <c r="Z21" s="28"/>
      <c r="AC21" s="62"/>
      <c r="AD21" s="28"/>
      <c r="AE21" s="20"/>
      <c r="AF21" s="20"/>
      <c r="AG21" s="20"/>
      <c r="AH21" s="20"/>
      <c r="AI21" s="20"/>
      <c r="AJ21" s="20"/>
      <c r="AK21" s="65"/>
      <c r="AL21" s="20"/>
    </row>
    <row r="22" spans="1:38">
      <c r="A22" s="77">
        <v>46075</v>
      </c>
      <c r="B22" s="41"/>
      <c r="C22" s="55"/>
      <c r="D22" s="59"/>
      <c r="E22" s="72"/>
      <c r="F22" s="42"/>
      <c r="G22" s="75"/>
      <c r="H22" s="40">
        <f t="shared" si="0"/>
        <v>0</v>
      </c>
      <c r="I22" s="12">
        <f t="shared" si="1"/>
        <v>0</v>
      </c>
      <c r="J22" s="1"/>
      <c r="K22" s="48"/>
      <c r="L22" s="49"/>
      <c r="M22" s="50"/>
      <c r="N22" s="16">
        <f t="shared" si="5"/>
        <v>0</v>
      </c>
      <c r="P22" s="31"/>
      <c r="Q22" s="32">
        <f t="shared" si="2"/>
        <v>0</v>
      </c>
      <c r="S22" s="66">
        <f t="shared" si="6"/>
        <v>125665</v>
      </c>
      <c r="T22" s="66">
        <f>B22-D22</f>
        <v>0</v>
      </c>
      <c r="U22" s="66"/>
      <c r="V22" s="66"/>
      <c r="W22" s="66"/>
      <c r="X22" s="66"/>
      <c r="Y22" s="68">
        <f t="shared" si="4"/>
        <v>125665</v>
      </c>
      <c r="Z22" s="28"/>
      <c r="AC22" s="62"/>
      <c r="AD22" s="28"/>
      <c r="AE22" s="20"/>
      <c r="AF22" s="20"/>
      <c r="AG22" s="20"/>
      <c r="AH22" s="20"/>
      <c r="AI22" s="20"/>
      <c r="AJ22" s="20"/>
      <c r="AK22" s="65"/>
      <c r="AL22" s="20"/>
    </row>
    <row r="23" spans="1:38">
      <c r="A23" s="77">
        <v>46076</v>
      </c>
      <c r="B23" s="41">
        <v>302885</v>
      </c>
      <c r="C23" s="55"/>
      <c r="D23" s="59">
        <v>288695</v>
      </c>
      <c r="E23" s="72"/>
      <c r="F23" s="42">
        <v>14090</v>
      </c>
      <c r="G23" s="75"/>
      <c r="H23" s="40">
        <f t="shared" si="0"/>
        <v>316975</v>
      </c>
      <c r="I23" s="12">
        <f t="shared" si="1"/>
        <v>0</v>
      </c>
      <c r="J23" s="1"/>
      <c r="K23" s="48">
        <v>108000</v>
      </c>
      <c r="L23" s="49"/>
      <c r="M23" s="50">
        <v>37704</v>
      </c>
      <c r="N23" s="16">
        <f t="shared" si="5"/>
        <v>462679</v>
      </c>
      <c r="P23" s="31">
        <v>188</v>
      </c>
      <c r="Q23" s="32">
        <f t="shared" si="2"/>
        <v>188</v>
      </c>
      <c r="S23" s="66">
        <f t="shared" si="6"/>
        <v>125665</v>
      </c>
      <c r="T23" s="66">
        <f t="shared" si="3"/>
        <v>14190</v>
      </c>
      <c r="U23" s="66"/>
      <c r="V23" s="66"/>
      <c r="W23" s="66"/>
      <c r="X23" s="66"/>
      <c r="Y23" s="68">
        <f t="shared" si="4"/>
        <v>139855</v>
      </c>
      <c r="Z23" s="28"/>
      <c r="AC23" s="62"/>
      <c r="AD23" s="28"/>
      <c r="AE23" s="20"/>
      <c r="AF23" s="20"/>
      <c r="AG23" s="20"/>
      <c r="AH23" s="20"/>
      <c r="AI23" s="20"/>
      <c r="AJ23" s="20"/>
      <c r="AK23" s="65"/>
      <c r="AL23" s="20"/>
    </row>
    <row r="24" spans="1:38">
      <c r="A24" s="77">
        <v>46077</v>
      </c>
      <c r="B24" s="41">
        <v>349225</v>
      </c>
      <c r="C24" s="55"/>
      <c r="D24" s="59">
        <v>316810</v>
      </c>
      <c r="E24" s="72"/>
      <c r="F24" s="42">
        <v>12270</v>
      </c>
      <c r="G24" s="75"/>
      <c r="H24" s="40">
        <f t="shared" si="0"/>
        <v>361495</v>
      </c>
      <c r="I24" s="12">
        <f t="shared" si="1"/>
        <v>0</v>
      </c>
      <c r="J24" s="1"/>
      <c r="K24" s="48">
        <v>108000</v>
      </c>
      <c r="L24" s="49"/>
      <c r="M24" s="50"/>
      <c r="N24" s="16">
        <f t="shared" si="5"/>
        <v>469495</v>
      </c>
      <c r="P24" s="31">
        <v>194</v>
      </c>
      <c r="Q24" s="32">
        <f t="shared" si="2"/>
        <v>194</v>
      </c>
      <c r="S24" s="66">
        <f t="shared" si="6"/>
        <v>139855</v>
      </c>
      <c r="T24" s="66">
        <f t="shared" si="3"/>
        <v>32415</v>
      </c>
      <c r="U24" s="66"/>
      <c r="V24" s="66"/>
      <c r="W24" s="66"/>
      <c r="X24" s="66"/>
      <c r="Y24" s="68">
        <f t="shared" si="4"/>
        <v>172270</v>
      </c>
      <c r="Z24" s="28"/>
      <c r="AC24" s="62"/>
      <c r="AD24" s="28"/>
      <c r="AE24" s="20"/>
      <c r="AF24" s="20"/>
      <c r="AG24" s="20"/>
      <c r="AH24" s="20"/>
      <c r="AI24" s="20"/>
      <c r="AJ24" s="20"/>
      <c r="AK24" s="65"/>
      <c r="AL24" s="20"/>
    </row>
    <row r="25" spans="1:38">
      <c r="A25" s="77">
        <v>46078</v>
      </c>
      <c r="B25" s="41">
        <v>375775</v>
      </c>
      <c r="C25" s="55"/>
      <c r="D25" s="59">
        <v>355165</v>
      </c>
      <c r="E25" s="72"/>
      <c r="F25" s="42">
        <v>19945</v>
      </c>
      <c r="G25" s="75"/>
      <c r="H25" s="40">
        <f t="shared" si="0"/>
        <v>395720</v>
      </c>
      <c r="I25" s="12">
        <f t="shared" si="1"/>
        <v>0</v>
      </c>
      <c r="J25" s="1"/>
      <c r="K25" s="48">
        <v>108000</v>
      </c>
      <c r="L25" s="49"/>
      <c r="M25" s="50">
        <v>82360</v>
      </c>
      <c r="N25" s="16">
        <f t="shared" si="5"/>
        <v>586080</v>
      </c>
      <c r="P25" s="31">
        <v>210</v>
      </c>
      <c r="Q25" s="32">
        <f t="shared" si="2"/>
        <v>210</v>
      </c>
      <c r="S25" s="66">
        <f t="shared" si="6"/>
        <v>172270</v>
      </c>
      <c r="T25" s="66">
        <f t="shared" si="3"/>
        <v>20610</v>
      </c>
      <c r="U25" s="66"/>
      <c r="V25" s="66">
        <v>100000</v>
      </c>
      <c r="W25" s="66"/>
      <c r="X25" s="66"/>
      <c r="Y25" s="68">
        <f t="shared" si="4"/>
        <v>92880</v>
      </c>
      <c r="Z25" s="28"/>
      <c r="AA25" t="s">
        <v>37</v>
      </c>
      <c r="AC25" s="62"/>
      <c r="AD25" s="28"/>
      <c r="AE25" s="20"/>
      <c r="AF25" s="20"/>
      <c r="AG25" s="20"/>
      <c r="AH25" s="20"/>
      <c r="AI25" s="20"/>
      <c r="AJ25" s="20"/>
      <c r="AK25" s="65"/>
      <c r="AL25" s="20"/>
    </row>
    <row r="26" spans="1:38">
      <c r="A26" s="77">
        <v>46079</v>
      </c>
      <c r="B26" s="41">
        <v>348485</v>
      </c>
      <c r="C26" s="55"/>
      <c r="D26" s="59">
        <v>320195</v>
      </c>
      <c r="E26" s="72"/>
      <c r="F26" s="42">
        <v>19095</v>
      </c>
      <c r="G26" s="75"/>
      <c r="H26" s="40">
        <f t="shared" si="0"/>
        <v>367580</v>
      </c>
      <c r="I26" s="12">
        <f t="shared" si="1"/>
        <v>0</v>
      </c>
      <c r="J26" s="1"/>
      <c r="K26" s="48">
        <v>108000</v>
      </c>
      <c r="L26" s="49"/>
      <c r="M26" s="50"/>
      <c r="N26" s="16">
        <f t="shared" si="5"/>
        <v>475580</v>
      </c>
      <c r="P26" s="31">
        <v>196</v>
      </c>
      <c r="Q26" s="32">
        <f t="shared" si="2"/>
        <v>196</v>
      </c>
      <c r="S26" s="66">
        <f t="shared" si="6"/>
        <v>92880</v>
      </c>
      <c r="T26" s="66">
        <f t="shared" si="3"/>
        <v>28290</v>
      </c>
      <c r="U26" s="66"/>
      <c r="V26" s="66">
        <v>67825</v>
      </c>
      <c r="W26" s="66"/>
      <c r="X26" s="66"/>
      <c r="Y26" s="68">
        <f t="shared" si="4"/>
        <v>53345</v>
      </c>
      <c r="Z26" s="28"/>
      <c r="AA26" t="s">
        <v>29</v>
      </c>
      <c r="AC26" s="62"/>
      <c r="AD26" s="28"/>
      <c r="AE26" s="20"/>
      <c r="AF26" s="20"/>
      <c r="AG26" s="20"/>
      <c r="AH26" s="20"/>
      <c r="AI26" s="20"/>
      <c r="AJ26" s="20"/>
      <c r="AK26" s="65"/>
      <c r="AL26" s="20"/>
    </row>
    <row r="27" spans="1:38">
      <c r="A27" s="77">
        <v>46080</v>
      </c>
      <c r="B27" s="41">
        <v>299350</v>
      </c>
      <c r="C27" s="55"/>
      <c r="D27" s="59">
        <v>277502</v>
      </c>
      <c r="E27" s="72"/>
      <c r="F27" s="42">
        <v>19950</v>
      </c>
      <c r="G27" s="75"/>
      <c r="H27" s="40">
        <f t="shared" si="0"/>
        <v>319300</v>
      </c>
      <c r="I27" s="12">
        <f t="shared" si="1"/>
        <v>0</v>
      </c>
      <c r="J27" s="1"/>
      <c r="K27" s="48">
        <v>340400</v>
      </c>
      <c r="L27" s="49"/>
      <c r="M27" s="50">
        <v>53205</v>
      </c>
      <c r="N27" s="16">
        <f t="shared" si="5"/>
        <v>712905</v>
      </c>
      <c r="P27" s="31">
        <v>163</v>
      </c>
      <c r="Q27" s="32">
        <f t="shared" si="2"/>
        <v>163</v>
      </c>
      <c r="S27" s="66">
        <f t="shared" si="6"/>
        <v>53345</v>
      </c>
      <c r="T27" s="66">
        <f t="shared" si="3"/>
        <v>21848</v>
      </c>
      <c r="U27" s="66"/>
      <c r="V27" s="66"/>
      <c r="W27" s="66"/>
      <c r="X27" s="66"/>
      <c r="Y27" s="68">
        <f t="shared" si="4"/>
        <v>75193</v>
      </c>
      <c r="Z27" s="28"/>
      <c r="AC27" s="62"/>
      <c r="AD27" s="28"/>
      <c r="AE27" s="20"/>
      <c r="AF27" s="20"/>
      <c r="AG27" s="20"/>
      <c r="AH27" s="20"/>
      <c r="AI27" s="20"/>
      <c r="AJ27" s="20"/>
      <c r="AK27" s="65"/>
      <c r="AL27" s="20"/>
    </row>
    <row r="28" spans="1:38">
      <c r="A28" s="77">
        <v>46081</v>
      </c>
      <c r="B28" s="41"/>
      <c r="C28" s="55"/>
      <c r="D28" s="59"/>
      <c r="E28" s="72"/>
      <c r="F28" s="42"/>
      <c r="G28" s="75"/>
      <c r="H28" s="40">
        <f t="shared" si="0"/>
        <v>0</v>
      </c>
      <c r="I28" s="12">
        <f t="shared" si="1"/>
        <v>0</v>
      </c>
      <c r="J28" s="1"/>
      <c r="K28" s="48"/>
      <c r="L28" s="49"/>
      <c r="M28" s="50"/>
      <c r="N28" s="16">
        <f t="shared" si="5"/>
        <v>0</v>
      </c>
      <c r="P28" s="31"/>
      <c r="Q28" s="32">
        <f t="shared" si="2"/>
        <v>0</v>
      </c>
      <c r="S28" s="66">
        <f t="shared" si="6"/>
        <v>75193</v>
      </c>
      <c r="T28" s="66">
        <f t="shared" si="3"/>
        <v>0</v>
      </c>
      <c r="U28" s="66"/>
      <c r="V28" s="66"/>
      <c r="W28" s="66"/>
      <c r="X28" s="66"/>
      <c r="Y28" s="68">
        <f t="shared" si="4"/>
        <v>75193</v>
      </c>
      <c r="Z28" s="28"/>
      <c r="AC28" s="62"/>
      <c r="AD28" s="28"/>
      <c r="AE28" s="20"/>
      <c r="AF28" s="20"/>
      <c r="AG28" s="20"/>
      <c r="AH28" s="20"/>
      <c r="AI28" s="20"/>
      <c r="AJ28" s="20"/>
      <c r="AK28" s="65"/>
      <c r="AL28" s="20"/>
    </row>
    <row r="29" spans="1:38">
      <c r="A29" s="2"/>
      <c r="B29" s="41"/>
      <c r="C29" s="55"/>
      <c r="D29" s="59"/>
      <c r="E29" s="72"/>
      <c r="F29" s="42"/>
      <c r="G29" s="75"/>
      <c r="H29" s="40">
        <f t="shared" si="0"/>
        <v>0</v>
      </c>
      <c r="I29" s="12">
        <f t="shared" si="1"/>
        <v>0</v>
      </c>
      <c r="J29" s="1"/>
      <c r="K29" s="48"/>
      <c r="L29" s="49"/>
      <c r="M29" s="50"/>
      <c r="N29" s="16">
        <f t="shared" si="5"/>
        <v>0</v>
      </c>
      <c r="P29" s="31"/>
      <c r="Q29" s="32">
        <f t="shared" si="2"/>
        <v>0</v>
      </c>
      <c r="S29" s="66">
        <f t="shared" si="6"/>
        <v>75193</v>
      </c>
      <c r="T29" s="66">
        <f t="shared" si="3"/>
        <v>0</v>
      </c>
      <c r="U29" s="66"/>
      <c r="V29" s="66"/>
      <c r="W29" s="66"/>
      <c r="X29" s="66"/>
      <c r="Y29" s="68">
        <f t="shared" si="4"/>
        <v>75193</v>
      </c>
      <c r="Z29" s="28"/>
      <c r="AC29" s="62"/>
      <c r="AD29" s="28"/>
      <c r="AE29" s="20"/>
      <c r="AF29" s="20"/>
      <c r="AG29" s="20"/>
      <c r="AH29" s="20"/>
      <c r="AI29" s="20"/>
      <c r="AJ29" s="20"/>
      <c r="AK29" s="65"/>
      <c r="AL29" s="20"/>
    </row>
    <row r="30" spans="1:38">
      <c r="A30" s="2"/>
      <c r="B30" s="41"/>
      <c r="C30" s="55"/>
      <c r="D30" s="59"/>
      <c r="E30" s="72"/>
      <c r="F30" s="42"/>
      <c r="G30" s="75"/>
      <c r="H30" s="40">
        <f t="shared" si="0"/>
        <v>0</v>
      </c>
      <c r="I30" s="12">
        <f t="shared" si="1"/>
        <v>0</v>
      </c>
      <c r="J30" s="1"/>
      <c r="K30" s="48"/>
      <c r="L30" s="49"/>
      <c r="M30" s="50"/>
      <c r="N30" s="16">
        <f t="shared" si="5"/>
        <v>0</v>
      </c>
      <c r="P30" s="31"/>
      <c r="Q30" s="32">
        <f t="shared" si="2"/>
        <v>0</v>
      </c>
      <c r="S30" s="66">
        <f t="shared" si="6"/>
        <v>75193</v>
      </c>
      <c r="T30" s="66">
        <f t="shared" si="3"/>
        <v>0</v>
      </c>
      <c r="U30" s="66"/>
      <c r="V30" s="66"/>
      <c r="W30" s="66"/>
      <c r="X30" s="66"/>
      <c r="Y30" s="68">
        <f t="shared" si="4"/>
        <v>75193</v>
      </c>
      <c r="Z30" s="28"/>
      <c r="AC30" s="62"/>
      <c r="AD30" s="28"/>
      <c r="AE30" s="20"/>
      <c r="AF30" s="20"/>
      <c r="AG30" s="20"/>
      <c r="AH30" s="20"/>
      <c r="AI30" s="20"/>
      <c r="AJ30" s="20"/>
      <c r="AK30" s="65"/>
      <c r="AL30" s="20"/>
    </row>
    <row r="31" spans="1:38">
      <c r="A31" s="2"/>
      <c r="B31" s="41"/>
      <c r="C31" s="55"/>
      <c r="D31" s="59"/>
      <c r="E31" s="72"/>
      <c r="F31" s="42"/>
      <c r="G31" s="75"/>
      <c r="H31" s="40">
        <f t="shared" si="0"/>
        <v>0</v>
      </c>
      <c r="I31" s="12">
        <f t="shared" si="1"/>
        <v>0</v>
      </c>
      <c r="J31" s="1"/>
      <c r="K31" s="48"/>
      <c r="L31" s="49"/>
      <c r="M31" s="50"/>
      <c r="N31" s="16">
        <f t="shared" si="5"/>
        <v>0</v>
      </c>
      <c r="P31" s="31"/>
      <c r="Q31" s="32">
        <f t="shared" si="2"/>
        <v>0</v>
      </c>
      <c r="S31" s="66">
        <f t="shared" si="6"/>
        <v>75193</v>
      </c>
      <c r="T31" s="66">
        <f t="shared" si="3"/>
        <v>0</v>
      </c>
      <c r="U31" s="66"/>
      <c r="V31" s="66"/>
      <c r="W31" s="66"/>
      <c r="X31" s="66"/>
      <c r="Y31" s="68">
        <f t="shared" si="4"/>
        <v>75193</v>
      </c>
      <c r="Z31" s="28"/>
      <c r="AC31" s="62"/>
      <c r="AD31" s="28"/>
      <c r="AE31" s="20"/>
      <c r="AF31" s="20"/>
      <c r="AG31" s="20"/>
      <c r="AH31" s="20"/>
      <c r="AI31" s="20"/>
      <c r="AJ31" s="20"/>
      <c r="AK31" s="65"/>
      <c r="AL31" s="20"/>
    </row>
    <row r="32" spans="1:38">
      <c r="A32" s="2"/>
      <c r="B32" s="43"/>
      <c r="C32" s="56"/>
      <c r="D32" s="60"/>
      <c r="E32" s="73"/>
      <c r="F32" s="44"/>
      <c r="G32" s="76"/>
      <c r="H32" s="40">
        <f t="shared" si="0"/>
        <v>0</v>
      </c>
      <c r="I32" s="12">
        <f t="shared" si="1"/>
        <v>0</v>
      </c>
      <c r="J32" s="1"/>
      <c r="K32" s="51"/>
      <c r="L32" s="52"/>
      <c r="M32" s="53"/>
      <c r="N32" s="16">
        <f t="shared" si="5"/>
        <v>0</v>
      </c>
      <c r="P32" s="31"/>
      <c r="Q32" s="32">
        <f t="shared" si="2"/>
        <v>0</v>
      </c>
      <c r="S32" s="66">
        <f t="shared" si="6"/>
        <v>75193</v>
      </c>
      <c r="T32" s="66">
        <f t="shared" si="3"/>
        <v>0</v>
      </c>
      <c r="U32" s="66"/>
      <c r="V32" s="66"/>
      <c r="W32" s="66"/>
      <c r="X32" s="66"/>
      <c r="Y32" s="68">
        <f t="shared" si="4"/>
        <v>75193</v>
      </c>
      <c r="Z32" s="28"/>
      <c r="AC32" s="62"/>
      <c r="AD32" s="28"/>
      <c r="AE32" s="20"/>
      <c r="AF32" s="20"/>
      <c r="AG32" s="20"/>
      <c r="AH32" s="20"/>
      <c r="AI32" s="20"/>
      <c r="AJ32" s="20"/>
      <c r="AK32" s="65"/>
      <c r="AL32" s="20"/>
    </row>
    <row r="33" spans="1:30">
      <c r="A33" s="1"/>
      <c r="B33" s="7">
        <f>SUM(B2:B32)</f>
        <v>7203260</v>
      </c>
      <c r="C33" s="19"/>
      <c r="D33" s="61">
        <f>SUM(D2:D32)</f>
        <v>6920107</v>
      </c>
      <c r="E33" s="74">
        <f>SUM(E2:E32)</f>
        <v>240000</v>
      </c>
      <c r="F33" s="35">
        <f>SUM(F2:F32)</f>
        <v>331760</v>
      </c>
      <c r="G33" s="35"/>
      <c r="H33" s="23">
        <f>SUM(H2:H32)</f>
        <v>7535020</v>
      </c>
      <c r="I33" s="13">
        <f>SUM(I2:I32)</f>
        <v>240000</v>
      </c>
      <c r="J33" s="11"/>
      <c r="K33" s="27">
        <f>SUM(K2:K32)</f>
        <v>3110800</v>
      </c>
      <c r="L33" s="8">
        <f>SUM(L2:L32)</f>
        <v>210585</v>
      </c>
      <c r="M33" s="8">
        <f>SUM(M2:M32)</f>
        <v>437482</v>
      </c>
      <c r="N33" s="3">
        <f>SUM(N2:N32)</f>
        <v>11293887</v>
      </c>
      <c r="P33" s="37">
        <f>SUM(P2:P32)</f>
        <v>3956</v>
      </c>
      <c r="Q33" s="36">
        <f>P33</f>
        <v>3956</v>
      </c>
      <c r="S33" s="29"/>
      <c r="T33" s="29">
        <f>SUM(T2:T32)</f>
        <v>283153</v>
      </c>
      <c r="U33" s="29">
        <f>SUM(U2:U32)</f>
        <v>266040</v>
      </c>
      <c r="V33" s="29"/>
      <c r="W33" s="29"/>
      <c r="X33" s="29"/>
      <c r="Y33" s="69"/>
      <c r="Z33" s="28"/>
      <c r="AD33" s="28"/>
    </row>
    <row r="34" spans="1:30">
      <c r="A34" t="s">
        <v>30</v>
      </c>
      <c r="D34" s="20">
        <f>B33-D33+U33</f>
        <v>549193</v>
      </c>
    </row>
    <row r="36" spans="1:30">
      <c r="B36" t="s">
        <v>38</v>
      </c>
      <c r="F36" s="78"/>
      <c r="P36" t="s">
        <v>39</v>
      </c>
      <c r="Q36">
        <f>AVERAGEIF(Q2:Q32,"&gt;0")</f>
        <v>197.8</v>
      </c>
    </row>
    <row r="37" spans="1:30">
      <c r="B37" t="s">
        <v>40</v>
      </c>
      <c r="F37" s="78"/>
      <c r="P37" t="s">
        <v>41</v>
      </c>
      <c r="Q37" s="65">
        <f>'[1]2025 február'!$P$36</f>
        <v>190.1</v>
      </c>
    </row>
  </sheetData>
  <mergeCells count="1">
    <mergeCell ref="Z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3BF9-8C5A-42C2-9D09-F68723B74398}">
  <dimension ref="A1:AW37"/>
  <sheetViews>
    <sheetView topLeftCell="M1" workbookViewId="0">
      <pane ySplit="1" topLeftCell="A11" activePane="bottomLeft" state="frozen"/>
      <selection pane="bottomLeft" activeCell="AB33" sqref="AB33"/>
    </sheetView>
  </sheetViews>
  <sheetFormatPr defaultRowHeight="15"/>
  <cols>
    <col min="2" max="2" width="11" customWidth="1"/>
    <col min="3" max="3" width="0.140625" customWidth="1"/>
    <col min="4" max="4" width="11" customWidth="1"/>
    <col min="5" max="5" width="11.85546875" bestFit="1" customWidth="1"/>
    <col min="6" max="6" width="11.140625" bestFit="1" customWidth="1"/>
    <col min="7" max="7" width="11.85546875" customWidth="1"/>
    <col min="8" max="8" width="11" bestFit="1" customWidth="1"/>
    <col min="9" max="9" width="11.140625" bestFit="1" customWidth="1"/>
    <col min="11" max="11" width="11" bestFit="1" customWidth="1"/>
    <col min="12" max="12" width="9.5703125" bestFit="1" customWidth="1"/>
    <col min="13" max="13" width="11" bestFit="1" customWidth="1"/>
    <col min="14" max="14" width="12" bestFit="1" customWidth="1"/>
    <col min="16" max="16" width="10.7109375" customWidth="1"/>
    <col min="17" max="17" width="12.42578125" customWidth="1"/>
    <col min="19" max="19" width="12.7109375" customWidth="1"/>
    <col min="20" max="20" width="17.42578125" customWidth="1"/>
    <col min="21" max="21" width="15.140625" customWidth="1"/>
    <col min="22" max="22" width="12.7109375" customWidth="1"/>
    <col min="23" max="23" width="9.5703125" bestFit="1" customWidth="1"/>
    <col min="24" max="24" width="14.140625" bestFit="1" customWidth="1"/>
    <col min="25" max="25" width="14.140625" customWidth="1"/>
    <col min="26" max="26" width="14.140625" style="15" customWidth="1"/>
    <col min="28" max="28" width="13.5703125" bestFit="1" customWidth="1"/>
    <col min="30" max="30" width="13.28515625" bestFit="1" customWidth="1"/>
    <col min="32" max="32" width="9.5703125" bestFit="1" customWidth="1"/>
    <col min="36" max="37" width="9.5703125" bestFit="1" customWidth="1"/>
    <col min="38" max="38" width="15.28515625" customWidth="1"/>
    <col min="39" max="39" width="13.140625" bestFit="1" customWidth="1"/>
    <col min="41" max="41" width="13.28515625" bestFit="1" customWidth="1"/>
    <col min="48" max="48" width="8.42578125" bestFit="1" customWidth="1"/>
    <col min="49" max="49" width="10.85546875" bestFit="1" customWidth="1"/>
  </cols>
  <sheetData>
    <row r="1" spans="1:49" ht="17.25" customHeight="1">
      <c r="B1" s="4" t="s">
        <v>0</v>
      </c>
      <c r="C1" s="18" t="s">
        <v>1</v>
      </c>
      <c r="D1" s="57" t="s">
        <v>2</v>
      </c>
      <c r="E1" s="70" t="s">
        <v>3</v>
      </c>
      <c r="F1" s="21" t="s">
        <v>4</v>
      </c>
      <c r="G1" s="21" t="s">
        <v>5</v>
      </c>
      <c r="H1" s="22" t="s">
        <v>6</v>
      </c>
      <c r="I1" s="24" t="s">
        <v>7</v>
      </c>
      <c r="J1" s="9"/>
      <c r="K1" s="14" t="s">
        <v>8</v>
      </c>
      <c r="L1" s="5" t="s">
        <v>9</v>
      </c>
      <c r="M1" s="6" t="s">
        <v>10</v>
      </c>
      <c r="N1" s="33" t="s">
        <v>11</v>
      </c>
      <c r="P1" s="30" t="s">
        <v>12</v>
      </c>
      <c r="Q1" s="34" t="s">
        <v>13</v>
      </c>
      <c r="S1" s="25" t="s">
        <v>14</v>
      </c>
      <c r="T1" s="79" t="s">
        <v>42</v>
      </c>
      <c r="U1" s="25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67" t="s">
        <v>20</v>
      </c>
      <c r="AA1" s="82" t="s">
        <v>21</v>
      </c>
      <c r="AB1" s="82"/>
      <c r="AC1" s="82"/>
      <c r="AD1" s="17"/>
      <c r="AF1" s="63"/>
      <c r="AG1" s="63"/>
      <c r="AH1" s="63"/>
      <c r="AI1" s="26" t="s">
        <v>22</v>
      </c>
      <c r="AJ1" s="17"/>
      <c r="AK1" s="17"/>
      <c r="AL1" s="17"/>
      <c r="AM1" s="17"/>
      <c r="AO1" s="17"/>
      <c r="AP1" s="63"/>
      <c r="AQ1" s="63"/>
      <c r="AR1" s="63"/>
      <c r="AS1" s="63"/>
      <c r="AT1" s="17"/>
      <c r="AU1" s="17"/>
      <c r="AV1" s="17"/>
      <c r="AW1" s="17"/>
    </row>
    <row r="2" spans="1:49">
      <c r="A2" s="2">
        <v>1</v>
      </c>
      <c r="B2" s="38"/>
      <c r="C2" s="54"/>
      <c r="D2" s="58"/>
      <c r="E2" s="71"/>
      <c r="F2" s="39"/>
      <c r="G2" s="75"/>
      <c r="H2" s="40">
        <f>(B2+F2)</f>
        <v>0</v>
      </c>
      <c r="I2" s="12">
        <f>C2+E2</f>
        <v>0</v>
      </c>
      <c r="J2" s="10"/>
      <c r="K2" s="45"/>
      <c r="L2" s="46"/>
      <c r="M2" s="47"/>
      <c r="N2" s="16">
        <f>B2+L2+F2+K2+M2</f>
        <v>0</v>
      </c>
      <c r="P2" s="31"/>
      <c r="Q2" s="32">
        <f>P2</f>
        <v>0</v>
      </c>
      <c r="S2" s="66">
        <v>75193</v>
      </c>
      <c r="T2" s="80"/>
      <c r="U2" s="66">
        <f>B2-D2-T2</f>
        <v>0</v>
      </c>
      <c r="V2" s="66"/>
      <c r="W2" s="66"/>
      <c r="X2" s="66"/>
      <c r="Y2" s="66"/>
      <c r="Z2" s="68">
        <f>S2+U2+V2-W2-X2+Y2</f>
        <v>75193</v>
      </c>
      <c r="AA2" s="28"/>
      <c r="AD2" s="62"/>
      <c r="AE2" s="28"/>
      <c r="AF2" s="20"/>
      <c r="AG2" s="20"/>
      <c r="AH2" s="20"/>
      <c r="AI2" s="20"/>
      <c r="AJ2" s="20"/>
      <c r="AK2" s="20"/>
      <c r="AL2" s="64"/>
      <c r="AM2" s="20"/>
    </row>
    <row r="3" spans="1:49">
      <c r="A3" s="2">
        <v>2</v>
      </c>
      <c r="B3" s="38">
        <v>322750</v>
      </c>
      <c r="C3" s="54"/>
      <c r="D3" s="58">
        <v>296080</v>
      </c>
      <c r="E3" s="71"/>
      <c r="F3" s="39">
        <v>15210</v>
      </c>
      <c r="G3" s="75"/>
      <c r="H3" s="40">
        <f t="shared" ref="H3:H32" si="0">(B3+F3)</f>
        <v>337960</v>
      </c>
      <c r="I3" s="12">
        <f t="shared" ref="I3:I32" si="1">C3+E3</f>
        <v>0</v>
      </c>
      <c r="J3" s="1"/>
      <c r="K3" s="45">
        <v>108000</v>
      </c>
      <c r="L3" s="49"/>
      <c r="M3" s="50"/>
      <c r="N3" s="16">
        <f>B3+L3+F3+K3+M3</f>
        <v>445960</v>
      </c>
      <c r="P3" s="31">
        <v>182</v>
      </c>
      <c r="Q3" s="32">
        <f t="shared" ref="Q3:Q32" si="2">P3</f>
        <v>182</v>
      </c>
      <c r="S3" s="66">
        <f>Z2</f>
        <v>75193</v>
      </c>
      <c r="T3" s="80">
        <v>26670</v>
      </c>
      <c r="U3" s="66">
        <f>B3-D3-T3</f>
        <v>0</v>
      </c>
      <c r="V3" s="66"/>
      <c r="W3" s="66"/>
      <c r="X3" s="66"/>
      <c r="Y3" s="66"/>
      <c r="Z3" s="68">
        <f t="shared" ref="Z3:Z32" si="3">S3+U3+V3-W3-X3+Y3</f>
        <v>75193</v>
      </c>
      <c r="AA3" s="28"/>
      <c r="AD3" s="62"/>
      <c r="AE3" s="28"/>
      <c r="AF3" s="20"/>
      <c r="AG3" s="20"/>
      <c r="AH3" s="20"/>
      <c r="AI3" s="20"/>
      <c r="AJ3" s="20"/>
      <c r="AK3" s="20"/>
      <c r="AL3" s="64"/>
      <c r="AM3" s="20"/>
    </row>
    <row r="4" spans="1:49">
      <c r="A4" s="2">
        <v>3</v>
      </c>
      <c r="B4" s="41">
        <v>386090</v>
      </c>
      <c r="C4" s="55"/>
      <c r="D4" s="59">
        <v>352475</v>
      </c>
      <c r="E4" s="72"/>
      <c r="F4" s="42">
        <v>14960</v>
      </c>
      <c r="G4" s="75"/>
      <c r="H4" s="40">
        <f t="shared" si="0"/>
        <v>401050</v>
      </c>
      <c r="I4" s="12">
        <f t="shared" si="1"/>
        <v>0</v>
      </c>
      <c r="J4" s="1"/>
      <c r="K4" s="48">
        <v>108000</v>
      </c>
      <c r="L4" s="49"/>
      <c r="M4" s="50"/>
      <c r="N4" s="16">
        <f t="shared" ref="N4:N32" si="4">B4+L4+F4+K4+M4</f>
        <v>509050</v>
      </c>
      <c r="P4" s="31">
        <v>191</v>
      </c>
      <c r="Q4" s="32">
        <f t="shared" si="2"/>
        <v>191</v>
      </c>
      <c r="S4" s="66">
        <f t="shared" ref="S4:S32" si="5">Z3</f>
        <v>75193</v>
      </c>
      <c r="T4" s="80">
        <v>33615</v>
      </c>
      <c r="U4" s="66">
        <f t="shared" ref="U4:U32" si="6">B4-D4</f>
        <v>33615</v>
      </c>
      <c r="V4" s="66"/>
      <c r="W4" s="66"/>
      <c r="X4" s="66"/>
      <c r="Y4" s="66"/>
      <c r="Z4" s="68">
        <f t="shared" si="3"/>
        <v>108808</v>
      </c>
      <c r="AA4" s="28"/>
      <c r="AD4" s="62"/>
      <c r="AE4" s="28"/>
      <c r="AF4" s="20"/>
      <c r="AG4" s="20"/>
      <c r="AH4" s="20"/>
      <c r="AI4" s="20"/>
      <c r="AJ4" s="20"/>
      <c r="AK4" s="20"/>
      <c r="AL4" s="65"/>
      <c r="AM4" s="20"/>
    </row>
    <row r="5" spans="1:49">
      <c r="A5" s="2">
        <v>4</v>
      </c>
      <c r="B5" s="38">
        <v>429935</v>
      </c>
      <c r="C5" s="54"/>
      <c r="D5" s="58">
        <v>396520</v>
      </c>
      <c r="E5" s="71">
        <v>10000</v>
      </c>
      <c r="F5" s="39">
        <v>18620</v>
      </c>
      <c r="G5" s="75"/>
      <c r="H5" s="40">
        <f t="shared" si="0"/>
        <v>448555</v>
      </c>
      <c r="I5" s="12">
        <f t="shared" si="1"/>
        <v>10000</v>
      </c>
      <c r="J5" s="1"/>
      <c r="K5" s="48">
        <v>355690</v>
      </c>
      <c r="L5" s="49"/>
      <c r="M5" s="50">
        <v>19424</v>
      </c>
      <c r="N5" s="16">
        <f t="shared" si="4"/>
        <v>823669</v>
      </c>
      <c r="P5" s="31">
        <v>215</v>
      </c>
      <c r="Q5" s="32">
        <f t="shared" si="2"/>
        <v>215</v>
      </c>
      <c r="S5" s="66">
        <f t="shared" si="5"/>
        <v>108808</v>
      </c>
      <c r="T5" s="80">
        <v>33765</v>
      </c>
      <c r="U5" s="66">
        <f t="shared" si="6"/>
        <v>33415</v>
      </c>
      <c r="V5" s="66">
        <v>10000</v>
      </c>
      <c r="W5" s="66"/>
      <c r="X5" s="66"/>
      <c r="Y5" s="66"/>
      <c r="Z5" s="68">
        <f t="shared" si="3"/>
        <v>152223</v>
      </c>
      <c r="AA5" s="28"/>
      <c r="AB5" t="s">
        <v>24</v>
      </c>
      <c r="AD5" s="62"/>
      <c r="AE5" s="28"/>
      <c r="AF5" s="20"/>
      <c r="AG5" s="20"/>
      <c r="AH5" s="20"/>
      <c r="AI5" s="20"/>
      <c r="AJ5" s="20"/>
      <c r="AK5" s="20"/>
      <c r="AL5" s="65"/>
      <c r="AM5" s="20"/>
    </row>
    <row r="6" spans="1:49">
      <c r="A6" s="2">
        <v>5</v>
      </c>
      <c r="B6" s="38">
        <v>394770</v>
      </c>
      <c r="C6" s="54"/>
      <c r="D6" s="58">
        <v>358350</v>
      </c>
      <c r="E6" s="71"/>
      <c r="F6" s="39">
        <v>10650</v>
      </c>
      <c r="G6" s="75"/>
      <c r="H6" s="40">
        <f t="shared" si="0"/>
        <v>405420</v>
      </c>
      <c r="I6" s="12">
        <f t="shared" si="1"/>
        <v>0</v>
      </c>
      <c r="J6" s="1"/>
      <c r="K6" s="45">
        <v>302990</v>
      </c>
      <c r="L6" s="49"/>
      <c r="M6" s="50">
        <v>90130</v>
      </c>
      <c r="N6" s="16">
        <f t="shared" si="4"/>
        <v>798540</v>
      </c>
      <c r="P6" s="31">
        <v>199</v>
      </c>
      <c r="Q6" s="32">
        <f t="shared" si="2"/>
        <v>199</v>
      </c>
      <c r="S6" s="66">
        <f t="shared" si="5"/>
        <v>152223</v>
      </c>
      <c r="T6" s="80">
        <v>25770</v>
      </c>
      <c r="U6" s="66">
        <f t="shared" si="6"/>
        <v>36420</v>
      </c>
      <c r="V6" s="66"/>
      <c r="W6" s="66">
        <v>81810</v>
      </c>
      <c r="X6" s="66"/>
      <c r="Y6" s="66"/>
      <c r="Z6" s="68">
        <f t="shared" si="3"/>
        <v>106833</v>
      </c>
      <c r="AA6" s="28"/>
      <c r="AB6" t="s">
        <v>43</v>
      </c>
      <c r="AD6" s="62"/>
      <c r="AE6" s="28"/>
      <c r="AF6" s="20"/>
      <c r="AG6" s="20"/>
      <c r="AH6" s="20"/>
      <c r="AI6" s="20"/>
      <c r="AJ6" s="20"/>
      <c r="AK6" s="20"/>
      <c r="AL6" s="64"/>
      <c r="AM6" s="20"/>
    </row>
    <row r="7" spans="1:49">
      <c r="A7" s="2">
        <v>6</v>
      </c>
      <c r="B7" s="41">
        <v>290155</v>
      </c>
      <c r="C7" s="55"/>
      <c r="D7" s="59">
        <v>277025</v>
      </c>
      <c r="E7" s="72"/>
      <c r="F7" s="42">
        <v>13025</v>
      </c>
      <c r="G7" s="75"/>
      <c r="H7" s="40">
        <f t="shared" si="0"/>
        <v>303180</v>
      </c>
      <c r="I7" s="12">
        <f t="shared" si="1"/>
        <v>0</v>
      </c>
      <c r="J7" s="1"/>
      <c r="K7" s="48">
        <v>285400</v>
      </c>
      <c r="L7" s="49"/>
      <c r="M7" s="50"/>
      <c r="N7" s="16">
        <f t="shared" si="4"/>
        <v>588580</v>
      </c>
      <c r="P7" s="31">
        <v>160</v>
      </c>
      <c r="Q7" s="32">
        <f t="shared" si="2"/>
        <v>160</v>
      </c>
      <c r="S7" s="66">
        <f t="shared" si="5"/>
        <v>106833</v>
      </c>
      <c r="T7" s="80">
        <v>13130</v>
      </c>
      <c r="U7" s="66">
        <f t="shared" si="6"/>
        <v>13130</v>
      </c>
      <c r="V7" s="66"/>
      <c r="W7" s="66">
        <v>1870</v>
      </c>
      <c r="X7" s="66"/>
      <c r="Y7" s="66"/>
      <c r="Z7" s="68">
        <f t="shared" si="3"/>
        <v>118093</v>
      </c>
      <c r="AA7" s="28"/>
      <c r="AB7" t="s">
        <v>44</v>
      </c>
      <c r="AD7" s="62"/>
      <c r="AE7" s="28"/>
      <c r="AF7" s="20"/>
      <c r="AG7" s="20"/>
      <c r="AH7" s="20"/>
      <c r="AI7" s="20"/>
      <c r="AJ7" s="20"/>
      <c r="AK7" s="20"/>
      <c r="AL7" s="64"/>
      <c r="AM7" s="20"/>
    </row>
    <row r="8" spans="1:49">
      <c r="A8" s="2">
        <v>7</v>
      </c>
      <c r="B8" s="41"/>
      <c r="C8" s="55"/>
      <c r="D8" s="59"/>
      <c r="E8" s="72"/>
      <c r="F8" s="42"/>
      <c r="G8" s="75"/>
      <c r="H8" s="40">
        <f t="shared" si="0"/>
        <v>0</v>
      </c>
      <c r="I8" s="12">
        <f t="shared" si="1"/>
        <v>0</v>
      </c>
      <c r="J8" s="1"/>
      <c r="K8" s="48"/>
      <c r="L8" s="49"/>
      <c r="M8" s="50"/>
      <c r="N8" s="16">
        <f t="shared" si="4"/>
        <v>0</v>
      </c>
      <c r="P8" s="31"/>
      <c r="Q8" s="32">
        <f t="shared" si="2"/>
        <v>0</v>
      </c>
      <c r="S8" s="66">
        <f t="shared" si="5"/>
        <v>118093</v>
      </c>
      <c r="T8" s="80"/>
      <c r="U8" s="66">
        <f t="shared" si="6"/>
        <v>0</v>
      </c>
      <c r="V8" s="66"/>
      <c r="W8" s="66"/>
      <c r="X8" s="66"/>
      <c r="Y8" s="66"/>
      <c r="Z8" s="68">
        <f t="shared" si="3"/>
        <v>118093</v>
      </c>
      <c r="AA8" s="28"/>
      <c r="AD8" s="62"/>
      <c r="AE8" s="28"/>
      <c r="AF8" s="20"/>
      <c r="AG8" s="20"/>
      <c r="AH8" s="20"/>
      <c r="AI8" s="20"/>
      <c r="AJ8" s="20"/>
      <c r="AK8" s="20"/>
      <c r="AL8" s="64"/>
      <c r="AM8" s="20"/>
    </row>
    <row r="9" spans="1:49">
      <c r="A9" s="2">
        <v>8</v>
      </c>
      <c r="B9" s="41"/>
      <c r="C9" s="55"/>
      <c r="D9" s="59"/>
      <c r="E9" s="72"/>
      <c r="F9" s="42"/>
      <c r="G9" s="75"/>
      <c r="H9" s="40">
        <f t="shared" si="0"/>
        <v>0</v>
      </c>
      <c r="I9" s="12">
        <f t="shared" si="1"/>
        <v>0</v>
      </c>
      <c r="J9" s="1"/>
      <c r="K9" s="48"/>
      <c r="L9" s="49"/>
      <c r="M9" s="50"/>
      <c r="N9" s="16">
        <f t="shared" si="4"/>
        <v>0</v>
      </c>
      <c r="P9" s="31"/>
      <c r="Q9" s="32">
        <f t="shared" si="2"/>
        <v>0</v>
      </c>
      <c r="S9" s="66">
        <f t="shared" si="5"/>
        <v>118093</v>
      </c>
      <c r="T9" s="80"/>
      <c r="U9" s="66">
        <f t="shared" si="6"/>
        <v>0</v>
      </c>
      <c r="V9" s="66"/>
      <c r="W9" s="66"/>
      <c r="X9" s="66"/>
      <c r="Y9" s="66"/>
      <c r="Z9" s="68">
        <f t="shared" si="3"/>
        <v>118093</v>
      </c>
      <c r="AA9" s="28"/>
      <c r="AD9" s="62"/>
      <c r="AE9" s="28"/>
      <c r="AF9" s="20"/>
      <c r="AG9" s="20"/>
      <c r="AH9" s="20"/>
      <c r="AI9" s="20"/>
      <c r="AJ9" s="20"/>
      <c r="AK9" s="20"/>
      <c r="AL9" s="64"/>
      <c r="AM9" s="20"/>
    </row>
    <row r="10" spans="1:49">
      <c r="A10" s="2">
        <v>9</v>
      </c>
      <c r="B10" s="41">
        <v>356025</v>
      </c>
      <c r="C10" s="55"/>
      <c r="D10" s="59">
        <v>342635</v>
      </c>
      <c r="E10" s="72"/>
      <c r="F10" s="42">
        <v>12240</v>
      </c>
      <c r="G10" s="75"/>
      <c r="H10" s="40">
        <f t="shared" si="0"/>
        <v>368265</v>
      </c>
      <c r="I10" s="12">
        <f t="shared" si="1"/>
        <v>0</v>
      </c>
      <c r="J10" s="1"/>
      <c r="K10" s="48">
        <v>108000</v>
      </c>
      <c r="L10" s="49"/>
      <c r="M10" s="50"/>
      <c r="N10" s="16">
        <f t="shared" si="4"/>
        <v>476265</v>
      </c>
      <c r="P10" s="31">
        <v>198</v>
      </c>
      <c r="Q10" s="32">
        <f t="shared" si="2"/>
        <v>198</v>
      </c>
      <c r="S10" s="66">
        <f t="shared" si="5"/>
        <v>118093</v>
      </c>
      <c r="T10" s="80">
        <v>13390</v>
      </c>
      <c r="U10" s="66">
        <f t="shared" si="6"/>
        <v>13390</v>
      </c>
      <c r="V10" s="66">
        <v>44800</v>
      </c>
      <c r="W10" s="66"/>
      <c r="X10" s="66"/>
      <c r="Y10" s="66"/>
      <c r="Z10" s="68">
        <f t="shared" si="3"/>
        <v>176283</v>
      </c>
      <c r="AA10" s="28"/>
      <c r="AB10" t="s">
        <v>45</v>
      </c>
      <c r="AD10" s="62"/>
      <c r="AE10" s="28"/>
      <c r="AF10" s="20"/>
      <c r="AG10" s="20"/>
      <c r="AH10" s="20"/>
      <c r="AI10" s="20"/>
      <c r="AJ10" s="20"/>
      <c r="AK10" s="20"/>
      <c r="AL10" s="65"/>
      <c r="AM10" s="20"/>
    </row>
    <row r="11" spans="1:49">
      <c r="A11" s="2">
        <v>10</v>
      </c>
      <c r="B11" s="41">
        <v>380025</v>
      </c>
      <c r="C11" s="55"/>
      <c r="D11" s="59">
        <v>353495</v>
      </c>
      <c r="E11" s="72"/>
      <c r="F11" s="42">
        <v>7495</v>
      </c>
      <c r="G11" s="75"/>
      <c r="H11" s="40">
        <f t="shared" si="0"/>
        <v>387520</v>
      </c>
      <c r="I11" s="12">
        <f t="shared" si="1"/>
        <v>0</v>
      </c>
      <c r="J11" s="1"/>
      <c r="K11" s="48">
        <v>108000</v>
      </c>
      <c r="L11" s="49">
        <v>36462</v>
      </c>
      <c r="M11" s="50"/>
      <c r="N11" s="16">
        <f t="shared" si="4"/>
        <v>531982</v>
      </c>
      <c r="P11" s="31">
        <v>205</v>
      </c>
      <c r="Q11" s="32">
        <f t="shared" si="2"/>
        <v>205</v>
      </c>
      <c r="S11" s="66">
        <f t="shared" si="5"/>
        <v>176283</v>
      </c>
      <c r="T11" s="80">
        <v>26530</v>
      </c>
      <c r="U11" s="66">
        <f t="shared" si="6"/>
        <v>26530</v>
      </c>
      <c r="V11" s="66"/>
      <c r="W11" s="66">
        <v>60550</v>
      </c>
      <c r="X11" s="66"/>
      <c r="Y11" s="66"/>
      <c r="Z11" s="68">
        <f t="shared" si="3"/>
        <v>142263</v>
      </c>
      <c r="AA11" s="28"/>
      <c r="AB11" t="s">
        <v>29</v>
      </c>
      <c r="AD11" s="62"/>
      <c r="AE11" s="28"/>
      <c r="AF11" s="20"/>
      <c r="AG11" s="20"/>
      <c r="AH11" s="20"/>
      <c r="AI11" s="20"/>
      <c r="AJ11" s="20"/>
      <c r="AK11" s="20"/>
      <c r="AL11" s="65"/>
      <c r="AM11" s="20"/>
    </row>
    <row r="12" spans="1:49">
      <c r="A12" s="2">
        <v>11</v>
      </c>
      <c r="B12" s="41">
        <v>390400</v>
      </c>
      <c r="C12" s="55"/>
      <c r="D12" s="59">
        <v>410300</v>
      </c>
      <c r="E12" s="72">
        <v>40000</v>
      </c>
      <c r="F12" s="42">
        <v>11595</v>
      </c>
      <c r="G12" s="75"/>
      <c r="H12" s="40">
        <f t="shared" si="0"/>
        <v>401995</v>
      </c>
      <c r="I12" s="12">
        <f t="shared" si="1"/>
        <v>40000</v>
      </c>
      <c r="J12" s="1"/>
      <c r="K12" s="48">
        <v>108000</v>
      </c>
      <c r="L12" s="49"/>
      <c r="M12" s="50">
        <v>29840</v>
      </c>
      <c r="N12" s="16">
        <f t="shared" si="4"/>
        <v>539835</v>
      </c>
      <c r="P12" s="31">
        <v>188</v>
      </c>
      <c r="Q12" s="32">
        <f t="shared" si="2"/>
        <v>188</v>
      </c>
      <c r="S12" s="66">
        <f t="shared" si="5"/>
        <v>142263</v>
      </c>
      <c r="T12" s="80">
        <v>20100</v>
      </c>
      <c r="U12" s="66">
        <f t="shared" si="6"/>
        <v>-19900</v>
      </c>
      <c r="V12" s="66">
        <v>40000</v>
      </c>
      <c r="W12" s="66"/>
      <c r="X12" s="66"/>
      <c r="Y12" s="66"/>
      <c r="Z12" s="68">
        <f t="shared" si="3"/>
        <v>162363</v>
      </c>
      <c r="AA12" s="28"/>
      <c r="AB12" t="s">
        <v>24</v>
      </c>
      <c r="AD12" s="62"/>
      <c r="AE12" s="28"/>
      <c r="AF12" s="20"/>
      <c r="AG12" s="20"/>
      <c r="AH12" s="20"/>
      <c r="AI12" s="20"/>
      <c r="AJ12" s="20"/>
      <c r="AK12" s="20"/>
      <c r="AL12" s="65"/>
      <c r="AM12" s="20"/>
    </row>
    <row r="13" spans="1:49">
      <c r="A13" s="2">
        <v>12</v>
      </c>
      <c r="B13" s="41">
        <v>420805</v>
      </c>
      <c r="C13" s="55"/>
      <c r="D13" s="59">
        <v>423350</v>
      </c>
      <c r="E13" s="72">
        <v>30000</v>
      </c>
      <c r="F13" s="42">
        <v>10355</v>
      </c>
      <c r="G13" s="75"/>
      <c r="H13" s="40">
        <f t="shared" si="0"/>
        <v>431160</v>
      </c>
      <c r="I13" s="12">
        <f t="shared" si="1"/>
        <v>30000</v>
      </c>
      <c r="J13" s="1"/>
      <c r="K13" s="48">
        <v>108000</v>
      </c>
      <c r="L13" s="49"/>
      <c r="M13" s="50"/>
      <c r="N13" s="16">
        <f t="shared" si="4"/>
        <v>539160</v>
      </c>
      <c r="P13" s="31">
        <v>214</v>
      </c>
      <c r="Q13" s="32">
        <f t="shared" si="2"/>
        <v>214</v>
      </c>
      <c r="S13" s="66">
        <f t="shared" si="5"/>
        <v>162363</v>
      </c>
      <c r="T13" s="80">
        <v>27455</v>
      </c>
      <c r="U13" s="66">
        <f t="shared" si="6"/>
        <v>-2545</v>
      </c>
      <c r="V13" s="66">
        <v>30000</v>
      </c>
      <c r="W13" s="66"/>
      <c r="X13" s="66"/>
      <c r="Y13" s="66"/>
      <c r="Z13" s="68">
        <f t="shared" si="3"/>
        <v>189818</v>
      </c>
      <c r="AA13" s="28"/>
      <c r="AB13" t="s">
        <v>24</v>
      </c>
      <c r="AD13" s="62"/>
      <c r="AE13" s="28"/>
      <c r="AF13" s="20"/>
      <c r="AG13" s="20"/>
      <c r="AH13" s="20"/>
      <c r="AI13" s="20"/>
      <c r="AJ13" s="20"/>
      <c r="AK13" s="20"/>
      <c r="AL13" s="65"/>
      <c r="AM13" s="20"/>
    </row>
    <row r="14" spans="1:49">
      <c r="A14" s="2">
        <v>13</v>
      </c>
      <c r="B14" s="41">
        <v>304015</v>
      </c>
      <c r="C14" s="55"/>
      <c r="D14" s="59">
        <v>329465</v>
      </c>
      <c r="E14" s="72">
        <v>30000</v>
      </c>
      <c r="F14" s="42">
        <v>6590</v>
      </c>
      <c r="G14" s="75"/>
      <c r="H14" s="40">
        <f t="shared" si="0"/>
        <v>310605</v>
      </c>
      <c r="I14" s="12">
        <f t="shared" si="1"/>
        <v>30000</v>
      </c>
      <c r="J14" s="1"/>
      <c r="K14" s="48">
        <v>340400</v>
      </c>
      <c r="L14" s="49"/>
      <c r="M14" s="50"/>
      <c r="N14" s="16">
        <f t="shared" si="4"/>
        <v>651005</v>
      </c>
      <c r="P14" s="31">
        <v>167</v>
      </c>
      <c r="Q14" s="32">
        <f t="shared" si="2"/>
        <v>167</v>
      </c>
      <c r="S14" s="66">
        <f t="shared" si="5"/>
        <v>189818</v>
      </c>
      <c r="T14" s="80">
        <v>4550</v>
      </c>
      <c r="U14" s="66">
        <f t="shared" si="6"/>
        <v>-25450</v>
      </c>
      <c r="V14" s="66">
        <v>30000</v>
      </c>
      <c r="W14" s="66"/>
      <c r="X14" s="66"/>
      <c r="Y14" s="66"/>
      <c r="Z14" s="68">
        <f t="shared" si="3"/>
        <v>194368</v>
      </c>
      <c r="AA14" s="28"/>
      <c r="AB14" t="s">
        <v>24</v>
      </c>
      <c r="AD14" s="62"/>
      <c r="AE14" s="28"/>
      <c r="AF14" s="20"/>
      <c r="AG14" s="20"/>
      <c r="AH14" s="20"/>
      <c r="AI14" s="20"/>
      <c r="AJ14" s="20"/>
      <c r="AK14" s="20"/>
      <c r="AL14" s="65"/>
      <c r="AM14" s="20"/>
    </row>
    <row r="15" spans="1:49">
      <c r="A15" s="2">
        <v>14</v>
      </c>
      <c r="B15" s="41"/>
      <c r="C15" s="55"/>
      <c r="D15" s="59"/>
      <c r="E15" s="72"/>
      <c r="F15" s="42"/>
      <c r="G15" s="75"/>
      <c r="H15" s="40">
        <f t="shared" si="0"/>
        <v>0</v>
      </c>
      <c r="I15" s="12">
        <f t="shared" si="1"/>
        <v>0</v>
      </c>
      <c r="J15" s="1"/>
      <c r="K15" s="48"/>
      <c r="L15" s="49"/>
      <c r="M15" s="50"/>
      <c r="N15" s="16">
        <f t="shared" si="4"/>
        <v>0</v>
      </c>
      <c r="P15" s="31"/>
      <c r="Q15" s="32">
        <f t="shared" si="2"/>
        <v>0</v>
      </c>
      <c r="S15" s="66">
        <f t="shared" si="5"/>
        <v>194368</v>
      </c>
      <c r="T15" s="80"/>
      <c r="U15" s="66">
        <f t="shared" si="6"/>
        <v>0</v>
      </c>
      <c r="V15" s="66"/>
      <c r="W15" s="66"/>
      <c r="X15" s="66"/>
      <c r="Y15" s="66"/>
      <c r="Z15" s="68">
        <f t="shared" si="3"/>
        <v>194368</v>
      </c>
      <c r="AA15" s="28"/>
      <c r="AD15" s="62"/>
      <c r="AE15" s="28"/>
      <c r="AF15" s="20"/>
      <c r="AG15" s="20"/>
      <c r="AH15" s="20"/>
      <c r="AI15" s="20"/>
      <c r="AJ15" s="20"/>
      <c r="AK15" s="20"/>
      <c r="AL15" s="65"/>
      <c r="AM15" s="20"/>
    </row>
    <row r="16" spans="1:49">
      <c r="A16" s="2">
        <v>15</v>
      </c>
      <c r="B16" s="41"/>
      <c r="C16" s="55"/>
      <c r="D16" s="59"/>
      <c r="E16" s="72"/>
      <c r="F16" s="42"/>
      <c r="G16" s="75"/>
      <c r="H16" s="40">
        <f t="shared" si="0"/>
        <v>0</v>
      </c>
      <c r="I16" s="12">
        <f t="shared" si="1"/>
        <v>0</v>
      </c>
      <c r="J16" s="1"/>
      <c r="K16" s="48"/>
      <c r="L16" s="49"/>
      <c r="M16" s="50"/>
      <c r="N16" s="16">
        <f t="shared" si="4"/>
        <v>0</v>
      </c>
      <c r="P16" s="31"/>
      <c r="Q16" s="32">
        <f t="shared" si="2"/>
        <v>0</v>
      </c>
      <c r="S16" s="66">
        <f t="shared" si="5"/>
        <v>194368</v>
      </c>
      <c r="T16" s="80"/>
      <c r="U16" s="66">
        <f t="shared" si="6"/>
        <v>0</v>
      </c>
      <c r="V16" s="66"/>
      <c r="W16" s="66"/>
      <c r="X16" s="66"/>
      <c r="Y16" s="66"/>
      <c r="Z16" s="68">
        <f t="shared" si="3"/>
        <v>194368</v>
      </c>
      <c r="AA16" s="28"/>
      <c r="AD16" s="62"/>
      <c r="AE16" s="28"/>
      <c r="AF16" s="20"/>
      <c r="AG16" s="20"/>
      <c r="AH16" s="20"/>
      <c r="AI16" s="20"/>
      <c r="AJ16" s="20"/>
      <c r="AK16" s="20"/>
      <c r="AL16" s="65"/>
      <c r="AM16" s="20"/>
    </row>
    <row r="17" spans="1:39">
      <c r="A17" s="2">
        <v>16</v>
      </c>
      <c r="B17" s="41">
        <v>367265</v>
      </c>
      <c r="C17" s="55"/>
      <c r="D17" s="59">
        <v>389725</v>
      </c>
      <c r="E17" s="72">
        <v>45000</v>
      </c>
      <c r="F17" s="42">
        <v>11485</v>
      </c>
      <c r="G17" s="75"/>
      <c r="H17" s="40">
        <f t="shared" si="0"/>
        <v>378750</v>
      </c>
      <c r="I17" s="12">
        <f t="shared" si="1"/>
        <v>45000</v>
      </c>
      <c r="J17" s="1"/>
      <c r="K17" s="48">
        <v>108000</v>
      </c>
      <c r="L17" s="49"/>
      <c r="M17" s="50">
        <v>120015</v>
      </c>
      <c r="N17" s="16">
        <f t="shared" si="4"/>
        <v>606765</v>
      </c>
      <c r="P17" s="31">
        <v>220</v>
      </c>
      <c r="Q17" s="32">
        <f t="shared" si="2"/>
        <v>220</v>
      </c>
      <c r="S17" s="66">
        <f t="shared" si="5"/>
        <v>194368</v>
      </c>
      <c r="T17" s="80">
        <v>22540</v>
      </c>
      <c r="U17" s="66">
        <f t="shared" si="6"/>
        <v>-22460</v>
      </c>
      <c r="V17" s="66">
        <v>45000</v>
      </c>
      <c r="W17" s="66"/>
      <c r="X17" s="66"/>
      <c r="Y17" s="66"/>
      <c r="Z17" s="68">
        <f t="shared" si="3"/>
        <v>216908</v>
      </c>
      <c r="AA17" s="28"/>
      <c r="AB17" t="s">
        <v>24</v>
      </c>
      <c r="AD17" s="62"/>
      <c r="AE17" s="28"/>
      <c r="AF17" s="20"/>
      <c r="AG17" s="20"/>
      <c r="AH17" s="20"/>
      <c r="AI17" s="20"/>
      <c r="AJ17" s="20"/>
      <c r="AK17" s="20"/>
      <c r="AL17" s="65"/>
      <c r="AM17" s="20"/>
    </row>
    <row r="18" spans="1:39">
      <c r="A18" s="2">
        <v>17</v>
      </c>
      <c r="B18" s="41">
        <v>339810</v>
      </c>
      <c r="C18" s="55"/>
      <c r="D18" s="59">
        <v>370925</v>
      </c>
      <c r="E18" s="72">
        <v>50000</v>
      </c>
      <c r="F18" s="42">
        <v>9350</v>
      </c>
      <c r="G18" s="75"/>
      <c r="H18" s="40">
        <f t="shared" si="0"/>
        <v>349160</v>
      </c>
      <c r="I18" s="12">
        <f t="shared" si="1"/>
        <v>50000</v>
      </c>
      <c r="J18" s="1"/>
      <c r="K18" s="48">
        <v>108000</v>
      </c>
      <c r="L18" s="49"/>
      <c r="M18" s="50"/>
      <c r="N18" s="16">
        <f t="shared" si="4"/>
        <v>457160</v>
      </c>
      <c r="P18" s="31">
        <v>180</v>
      </c>
      <c r="Q18" s="32">
        <f t="shared" si="2"/>
        <v>180</v>
      </c>
      <c r="S18" s="66">
        <f t="shared" si="5"/>
        <v>216908</v>
      </c>
      <c r="T18" s="80">
        <v>18885</v>
      </c>
      <c r="U18" s="66">
        <f t="shared" si="6"/>
        <v>-31115</v>
      </c>
      <c r="V18" s="66">
        <v>50000</v>
      </c>
      <c r="W18" s="66"/>
      <c r="X18" s="66"/>
      <c r="Y18" s="66"/>
      <c r="Z18" s="68">
        <f t="shared" si="3"/>
        <v>235793</v>
      </c>
      <c r="AA18" s="28"/>
      <c r="AB18" t="s">
        <v>24</v>
      </c>
      <c r="AD18" s="62"/>
      <c r="AE18" s="28"/>
      <c r="AF18" s="20"/>
      <c r="AG18" s="20"/>
      <c r="AH18" s="20"/>
      <c r="AI18" s="20"/>
      <c r="AJ18" s="20"/>
      <c r="AK18" s="20"/>
      <c r="AL18" s="65"/>
      <c r="AM18" s="20"/>
    </row>
    <row r="19" spans="1:39">
      <c r="A19" s="2">
        <v>18</v>
      </c>
      <c r="B19" s="41">
        <v>352275</v>
      </c>
      <c r="C19" s="55"/>
      <c r="D19" s="59">
        <v>333705</v>
      </c>
      <c r="E19" s="72"/>
      <c r="F19" s="42">
        <v>21290</v>
      </c>
      <c r="G19" s="75"/>
      <c r="H19" s="40">
        <f t="shared" si="0"/>
        <v>373565</v>
      </c>
      <c r="I19" s="12">
        <f t="shared" si="1"/>
        <v>0</v>
      </c>
      <c r="J19" s="1"/>
      <c r="K19" s="48">
        <v>108000</v>
      </c>
      <c r="L19" s="49"/>
      <c r="M19" s="50">
        <v>24952</v>
      </c>
      <c r="N19" s="16">
        <f t="shared" si="4"/>
        <v>506517</v>
      </c>
      <c r="P19" s="31">
        <v>212</v>
      </c>
      <c r="Q19" s="32">
        <f t="shared" si="2"/>
        <v>212</v>
      </c>
      <c r="S19" s="66">
        <f t="shared" si="5"/>
        <v>235793</v>
      </c>
      <c r="T19" s="80">
        <v>17520</v>
      </c>
      <c r="U19" s="66">
        <f t="shared" si="6"/>
        <v>18570</v>
      </c>
      <c r="V19" s="66"/>
      <c r="W19" s="66"/>
      <c r="X19" s="66"/>
      <c r="Y19" s="66"/>
      <c r="Z19" s="68">
        <f t="shared" si="3"/>
        <v>254363</v>
      </c>
      <c r="AA19" s="28"/>
      <c r="AD19" s="62"/>
      <c r="AE19" s="28"/>
      <c r="AF19" s="20"/>
      <c r="AG19" s="20"/>
      <c r="AH19" s="20"/>
      <c r="AI19" s="20"/>
      <c r="AJ19" s="20"/>
      <c r="AK19" s="20"/>
      <c r="AL19" s="65"/>
      <c r="AM19" s="20"/>
    </row>
    <row r="20" spans="1:39">
      <c r="A20" s="2">
        <v>19</v>
      </c>
      <c r="B20" s="41">
        <v>415440</v>
      </c>
      <c r="C20" s="55"/>
      <c r="D20" s="59">
        <v>386680</v>
      </c>
      <c r="E20" s="72"/>
      <c r="F20" s="42">
        <v>14600</v>
      </c>
      <c r="G20" s="75"/>
      <c r="H20" s="40">
        <f t="shared" si="0"/>
        <v>430040</v>
      </c>
      <c r="I20" s="12">
        <f t="shared" si="1"/>
        <v>0</v>
      </c>
      <c r="J20" s="1"/>
      <c r="K20" s="48">
        <v>364000</v>
      </c>
      <c r="L20" s="49"/>
      <c r="M20" s="50"/>
      <c r="N20" s="16">
        <f t="shared" si="4"/>
        <v>794040</v>
      </c>
      <c r="P20" s="31">
        <v>229</v>
      </c>
      <c r="Q20" s="32">
        <v>0</v>
      </c>
      <c r="S20" s="66">
        <f t="shared" si="5"/>
        <v>254363</v>
      </c>
      <c r="T20" s="80">
        <v>28760</v>
      </c>
      <c r="U20" s="66">
        <f t="shared" si="6"/>
        <v>28760</v>
      </c>
      <c r="V20" s="66"/>
      <c r="W20" s="66">
        <v>60550</v>
      </c>
      <c r="X20" s="66"/>
      <c r="Y20" s="66"/>
      <c r="Z20" s="68">
        <f t="shared" si="3"/>
        <v>222573</v>
      </c>
      <c r="AA20" s="28"/>
      <c r="AB20" t="s">
        <v>29</v>
      </c>
      <c r="AD20" s="62"/>
      <c r="AE20" s="28"/>
      <c r="AF20" s="20"/>
      <c r="AG20" s="20"/>
      <c r="AH20" s="20"/>
      <c r="AI20" s="20"/>
      <c r="AJ20" s="20"/>
      <c r="AK20" s="20"/>
      <c r="AL20" s="65"/>
      <c r="AM20" s="20"/>
    </row>
    <row r="21" spans="1:39">
      <c r="A21" s="2">
        <v>20</v>
      </c>
      <c r="B21" s="41">
        <v>265175</v>
      </c>
      <c r="C21" s="55"/>
      <c r="D21" s="59">
        <v>247075</v>
      </c>
      <c r="E21" s="72"/>
      <c r="F21" s="42">
        <v>17060</v>
      </c>
      <c r="G21" s="75"/>
      <c r="H21" s="40">
        <f t="shared" si="0"/>
        <v>282235</v>
      </c>
      <c r="I21" s="12">
        <f t="shared" si="1"/>
        <v>0</v>
      </c>
      <c r="J21" s="1"/>
      <c r="K21" s="48">
        <v>601900</v>
      </c>
      <c r="L21" s="49"/>
      <c r="M21" s="50">
        <v>167640</v>
      </c>
      <c r="N21" s="16">
        <f t="shared" si="4"/>
        <v>1051775</v>
      </c>
      <c r="P21" s="31">
        <v>158</v>
      </c>
      <c r="Q21" s="32">
        <f t="shared" si="2"/>
        <v>158</v>
      </c>
      <c r="S21" s="66">
        <f t="shared" si="5"/>
        <v>222573</v>
      </c>
      <c r="T21" s="80">
        <v>18100</v>
      </c>
      <c r="U21" s="66">
        <f t="shared" si="6"/>
        <v>18100</v>
      </c>
      <c r="V21" s="66"/>
      <c r="W21" s="66"/>
      <c r="X21" s="66"/>
      <c r="Y21" s="66"/>
      <c r="Z21" s="68">
        <f t="shared" si="3"/>
        <v>240673</v>
      </c>
      <c r="AA21" s="28"/>
      <c r="AD21" s="62"/>
      <c r="AE21" s="28"/>
      <c r="AF21" s="20"/>
      <c r="AG21" s="20"/>
      <c r="AH21" s="20"/>
      <c r="AI21" s="20"/>
      <c r="AJ21" s="20"/>
      <c r="AK21" s="20"/>
      <c r="AL21" s="65"/>
      <c r="AM21" s="20"/>
    </row>
    <row r="22" spans="1:39">
      <c r="A22" s="2">
        <v>21</v>
      </c>
      <c r="B22" s="41"/>
      <c r="C22" s="55"/>
      <c r="D22" s="59"/>
      <c r="E22" s="72"/>
      <c r="F22" s="42"/>
      <c r="G22" s="75"/>
      <c r="H22" s="40">
        <f t="shared" si="0"/>
        <v>0</v>
      </c>
      <c r="I22" s="12">
        <f t="shared" si="1"/>
        <v>0</v>
      </c>
      <c r="J22" s="1"/>
      <c r="K22" s="48"/>
      <c r="L22" s="49"/>
      <c r="M22" s="50"/>
      <c r="N22" s="16">
        <f t="shared" si="4"/>
        <v>0</v>
      </c>
      <c r="P22" s="31"/>
      <c r="Q22" s="32">
        <v>0</v>
      </c>
      <c r="S22" s="66">
        <f t="shared" si="5"/>
        <v>240673</v>
      </c>
      <c r="T22" s="80"/>
      <c r="U22" s="66">
        <f t="shared" si="6"/>
        <v>0</v>
      </c>
      <c r="V22" s="66"/>
      <c r="W22" s="66"/>
      <c r="X22" s="66"/>
      <c r="Y22" s="66"/>
      <c r="Z22" s="68">
        <f t="shared" si="3"/>
        <v>240673</v>
      </c>
      <c r="AA22" s="28"/>
      <c r="AD22" s="62"/>
      <c r="AE22" s="28"/>
      <c r="AF22" s="20"/>
      <c r="AG22" s="20"/>
      <c r="AH22" s="20"/>
      <c r="AI22" s="20"/>
      <c r="AJ22" s="20"/>
      <c r="AK22" s="20"/>
      <c r="AL22" s="65"/>
      <c r="AM22" s="20"/>
    </row>
    <row r="23" spans="1:39">
      <c r="A23" s="2">
        <v>22</v>
      </c>
      <c r="B23" s="41"/>
      <c r="C23" s="55"/>
      <c r="D23" s="59"/>
      <c r="E23" s="72"/>
      <c r="F23" s="42"/>
      <c r="G23" s="75"/>
      <c r="H23" s="40">
        <f t="shared" si="0"/>
        <v>0</v>
      </c>
      <c r="I23" s="12">
        <f t="shared" si="1"/>
        <v>0</v>
      </c>
      <c r="J23" s="1"/>
      <c r="K23" s="48"/>
      <c r="L23" s="49"/>
      <c r="M23" s="50"/>
      <c r="N23" s="16">
        <f t="shared" si="4"/>
        <v>0</v>
      </c>
      <c r="P23" s="31"/>
      <c r="Q23" s="32">
        <v>0</v>
      </c>
      <c r="S23" s="66">
        <f t="shared" si="5"/>
        <v>240673</v>
      </c>
      <c r="T23" s="80"/>
      <c r="U23" s="66">
        <f t="shared" si="6"/>
        <v>0</v>
      </c>
      <c r="V23" s="66"/>
      <c r="W23" s="66"/>
      <c r="X23" s="66"/>
      <c r="Y23" s="66"/>
      <c r="Z23" s="68">
        <f t="shared" si="3"/>
        <v>240673</v>
      </c>
      <c r="AA23" s="28"/>
      <c r="AD23" s="62"/>
      <c r="AE23" s="28"/>
      <c r="AF23" s="20"/>
      <c r="AG23" s="20"/>
      <c r="AH23" s="20"/>
      <c r="AI23" s="20"/>
      <c r="AJ23" s="20"/>
      <c r="AK23" s="20"/>
      <c r="AL23" s="65"/>
      <c r="AM23" s="20"/>
    </row>
    <row r="24" spans="1:39">
      <c r="A24" s="2">
        <v>23</v>
      </c>
      <c r="B24" s="41">
        <v>327250</v>
      </c>
      <c r="C24" s="55"/>
      <c r="D24" s="59">
        <v>303610</v>
      </c>
      <c r="E24" s="72"/>
      <c r="F24" s="42">
        <v>13120</v>
      </c>
      <c r="G24" s="75"/>
      <c r="H24" s="40">
        <f t="shared" si="0"/>
        <v>340370</v>
      </c>
      <c r="I24" s="12">
        <f t="shared" si="1"/>
        <v>0</v>
      </c>
      <c r="J24" s="1"/>
      <c r="K24" s="48">
        <v>108000</v>
      </c>
      <c r="L24" s="49"/>
      <c r="M24" s="50"/>
      <c r="N24" s="16">
        <f t="shared" si="4"/>
        <v>448370</v>
      </c>
      <c r="P24" s="31">
        <v>188</v>
      </c>
      <c r="Q24" s="32">
        <f t="shared" si="2"/>
        <v>188</v>
      </c>
      <c r="S24" s="66">
        <f t="shared" si="5"/>
        <v>240673</v>
      </c>
      <c r="T24" s="80">
        <v>23640</v>
      </c>
      <c r="U24" s="66">
        <f t="shared" si="6"/>
        <v>23640</v>
      </c>
      <c r="V24" s="66"/>
      <c r="W24" s="66"/>
      <c r="X24" s="66"/>
      <c r="Y24" s="66"/>
      <c r="Z24" s="68">
        <f t="shared" si="3"/>
        <v>264313</v>
      </c>
      <c r="AA24" s="28"/>
      <c r="AD24" s="62"/>
      <c r="AE24" s="28"/>
      <c r="AF24" s="20"/>
      <c r="AG24" s="20"/>
      <c r="AH24" s="20"/>
      <c r="AI24" s="20"/>
      <c r="AJ24" s="20"/>
      <c r="AK24" s="20"/>
      <c r="AL24" s="65"/>
      <c r="AM24" s="20"/>
    </row>
    <row r="25" spans="1:39">
      <c r="A25" s="2">
        <v>24</v>
      </c>
      <c r="B25" s="41">
        <v>408580</v>
      </c>
      <c r="C25" s="55"/>
      <c r="D25" s="59">
        <v>384190</v>
      </c>
      <c r="E25" s="72"/>
      <c r="F25" s="42">
        <v>23905</v>
      </c>
      <c r="G25" s="75"/>
      <c r="H25" s="40">
        <f t="shared" si="0"/>
        <v>432485</v>
      </c>
      <c r="I25" s="12">
        <f t="shared" si="1"/>
        <v>0</v>
      </c>
      <c r="J25" s="1"/>
      <c r="K25" s="48">
        <v>108000</v>
      </c>
      <c r="L25" s="49"/>
      <c r="M25" s="50">
        <v>326898</v>
      </c>
      <c r="N25" s="16">
        <f t="shared" si="4"/>
        <v>867383</v>
      </c>
      <c r="P25" s="31">
        <v>227</v>
      </c>
      <c r="Q25" s="32">
        <f t="shared" si="2"/>
        <v>227</v>
      </c>
      <c r="S25" s="66">
        <f t="shared" si="5"/>
        <v>264313</v>
      </c>
      <c r="T25" s="80">
        <v>24390</v>
      </c>
      <c r="U25" s="66">
        <f t="shared" si="6"/>
        <v>24390</v>
      </c>
      <c r="V25" s="66"/>
      <c r="W25" s="66"/>
      <c r="X25" s="66"/>
      <c r="Y25" s="66"/>
      <c r="Z25" s="68">
        <f t="shared" si="3"/>
        <v>288703</v>
      </c>
      <c r="AA25" s="28"/>
      <c r="AD25" s="62"/>
      <c r="AE25" s="28"/>
      <c r="AF25" s="20"/>
      <c r="AG25" s="20"/>
      <c r="AH25" s="20"/>
      <c r="AI25" s="20"/>
      <c r="AJ25" s="20"/>
      <c r="AK25" s="20"/>
      <c r="AL25" s="65"/>
      <c r="AM25" s="20"/>
    </row>
    <row r="26" spans="1:39">
      <c r="A26" s="2">
        <v>25</v>
      </c>
      <c r="B26" s="41">
        <v>351335</v>
      </c>
      <c r="C26" s="55"/>
      <c r="D26" s="59">
        <v>313520</v>
      </c>
      <c r="E26" s="72"/>
      <c r="F26" s="42">
        <v>9670</v>
      </c>
      <c r="G26" s="75"/>
      <c r="H26" s="40">
        <f t="shared" si="0"/>
        <v>361005</v>
      </c>
      <c r="I26" s="12">
        <f t="shared" si="1"/>
        <v>0</v>
      </c>
      <c r="J26" s="1"/>
      <c r="K26" s="48">
        <v>108000</v>
      </c>
      <c r="L26" s="49">
        <v>17012</v>
      </c>
      <c r="M26" s="50">
        <v>35136</v>
      </c>
      <c r="N26" s="16">
        <f t="shared" si="4"/>
        <v>521153</v>
      </c>
      <c r="P26" s="31">
        <v>187</v>
      </c>
      <c r="Q26" s="32">
        <v>0</v>
      </c>
      <c r="S26" s="66">
        <f t="shared" si="5"/>
        <v>288703</v>
      </c>
      <c r="T26" s="80">
        <v>37815</v>
      </c>
      <c r="U26" s="66">
        <f t="shared" si="6"/>
        <v>37815</v>
      </c>
      <c r="V26" s="66"/>
      <c r="W26" s="66"/>
      <c r="X26" s="66"/>
      <c r="Y26" s="66"/>
      <c r="Z26" s="68">
        <f t="shared" si="3"/>
        <v>326518</v>
      </c>
      <c r="AA26" s="28"/>
      <c r="AD26" s="62"/>
      <c r="AE26" s="28"/>
      <c r="AF26" s="20"/>
      <c r="AG26" s="20"/>
      <c r="AH26" s="20"/>
      <c r="AI26" s="20"/>
      <c r="AJ26" s="20"/>
      <c r="AK26" s="20"/>
      <c r="AL26" s="65"/>
      <c r="AM26" s="20"/>
    </row>
    <row r="27" spans="1:39">
      <c r="A27" s="2">
        <v>26</v>
      </c>
      <c r="B27" s="41">
        <v>422685</v>
      </c>
      <c r="C27" s="55"/>
      <c r="D27" s="59">
        <v>389180</v>
      </c>
      <c r="E27" s="72"/>
      <c r="F27" s="42">
        <v>15010</v>
      </c>
      <c r="G27" s="75"/>
      <c r="H27" s="40">
        <f t="shared" si="0"/>
        <v>437695</v>
      </c>
      <c r="I27" s="12">
        <f t="shared" si="1"/>
        <v>0</v>
      </c>
      <c r="J27" s="1"/>
      <c r="K27" s="48">
        <v>381700</v>
      </c>
      <c r="L27" s="49"/>
      <c r="M27" s="50">
        <v>117600</v>
      </c>
      <c r="N27" s="16">
        <f t="shared" si="4"/>
        <v>936995</v>
      </c>
      <c r="P27" s="31">
        <v>226</v>
      </c>
      <c r="Q27" s="32">
        <f t="shared" si="2"/>
        <v>226</v>
      </c>
      <c r="S27" s="66">
        <f t="shared" si="5"/>
        <v>326518</v>
      </c>
      <c r="T27" s="80">
        <v>33505</v>
      </c>
      <c r="U27" s="66">
        <f t="shared" si="6"/>
        <v>33505</v>
      </c>
      <c r="V27" s="66"/>
      <c r="W27" s="66">
        <v>60550</v>
      </c>
      <c r="X27" s="66"/>
      <c r="Y27" s="66"/>
      <c r="Z27" s="68">
        <f t="shared" si="3"/>
        <v>299473</v>
      </c>
      <c r="AA27" s="28"/>
      <c r="AB27" t="s">
        <v>29</v>
      </c>
      <c r="AD27" s="62"/>
      <c r="AE27" s="28"/>
      <c r="AF27" s="20"/>
      <c r="AG27" s="20"/>
      <c r="AH27" s="20"/>
      <c r="AI27" s="20"/>
      <c r="AJ27" s="20"/>
      <c r="AK27" s="20"/>
      <c r="AL27" s="65"/>
      <c r="AM27" s="20"/>
    </row>
    <row r="28" spans="1:39">
      <c r="A28" s="2">
        <v>27</v>
      </c>
      <c r="B28" s="41">
        <v>306505</v>
      </c>
      <c r="C28" s="55"/>
      <c r="D28" s="59">
        <v>300535</v>
      </c>
      <c r="E28" s="72">
        <v>10000</v>
      </c>
      <c r="F28" s="42">
        <v>13680</v>
      </c>
      <c r="G28" s="75"/>
      <c r="H28" s="40">
        <f t="shared" si="0"/>
        <v>320185</v>
      </c>
      <c r="I28" s="12">
        <f t="shared" si="1"/>
        <v>10000</v>
      </c>
      <c r="J28" s="1"/>
      <c r="K28" s="48">
        <v>614100</v>
      </c>
      <c r="L28" s="49"/>
      <c r="M28" s="50">
        <v>84582</v>
      </c>
      <c r="N28" s="16">
        <f t="shared" si="4"/>
        <v>1018867</v>
      </c>
      <c r="P28" s="31">
        <v>166</v>
      </c>
      <c r="Q28" s="32">
        <v>0</v>
      </c>
      <c r="S28" s="66">
        <f t="shared" si="5"/>
        <v>299473</v>
      </c>
      <c r="T28" s="80">
        <v>15970</v>
      </c>
      <c r="U28" s="66">
        <f t="shared" si="6"/>
        <v>5970</v>
      </c>
      <c r="V28" s="66">
        <v>10000</v>
      </c>
      <c r="W28" s="66"/>
      <c r="X28" s="66"/>
      <c r="Y28" s="66"/>
      <c r="Z28" s="68">
        <f t="shared" si="3"/>
        <v>315443</v>
      </c>
      <c r="AA28" s="28"/>
      <c r="AB28" t="s">
        <v>24</v>
      </c>
      <c r="AD28" s="62"/>
      <c r="AE28" s="28"/>
      <c r="AF28" s="20"/>
      <c r="AG28" s="20"/>
      <c r="AH28" s="20"/>
      <c r="AI28" s="20"/>
      <c r="AJ28" s="20"/>
      <c r="AK28" s="20"/>
      <c r="AL28" s="65"/>
      <c r="AM28" s="20"/>
    </row>
    <row r="29" spans="1:39">
      <c r="A29" s="2">
        <v>28</v>
      </c>
      <c r="B29" s="41"/>
      <c r="C29" s="55"/>
      <c r="D29" s="59"/>
      <c r="E29" s="72"/>
      <c r="F29" s="42"/>
      <c r="G29" s="75"/>
      <c r="H29" s="40">
        <f t="shared" si="0"/>
        <v>0</v>
      </c>
      <c r="I29" s="12">
        <f t="shared" si="1"/>
        <v>0</v>
      </c>
      <c r="J29" s="1"/>
      <c r="K29" s="48"/>
      <c r="L29" s="49"/>
      <c r="M29" s="50"/>
      <c r="N29" s="16">
        <f t="shared" si="4"/>
        <v>0</v>
      </c>
      <c r="P29" s="31"/>
      <c r="Q29" s="32">
        <f t="shared" si="2"/>
        <v>0</v>
      </c>
      <c r="S29" s="66">
        <f t="shared" si="5"/>
        <v>315443</v>
      </c>
      <c r="T29" s="80"/>
      <c r="U29" s="66">
        <f t="shared" si="6"/>
        <v>0</v>
      </c>
      <c r="V29" s="66"/>
      <c r="W29" s="66"/>
      <c r="X29" s="66"/>
      <c r="Y29" s="66"/>
      <c r="Z29" s="68">
        <f t="shared" si="3"/>
        <v>315443</v>
      </c>
      <c r="AA29" s="28"/>
      <c r="AD29" s="62"/>
      <c r="AE29" s="28"/>
      <c r="AF29" s="20"/>
      <c r="AG29" s="20"/>
      <c r="AH29" s="20"/>
      <c r="AI29" s="20"/>
      <c r="AJ29" s="20"/>
      <c r="AK29" s="20"/>
      <c r="AL29" s="65"/>
      <c r="AM29" s="20"/>
    </row>
    <row r="30" spans="1:39">
      <c r="A30" s="2">
        <v>29</v>
      </c>
      <c r="B30" s="41"/>
      <c r="C30" s="55"/>
      <c r="D30" s="59"/>
      <c r="E30" s="72"/>
      <c r="F30" s="42"/>
      <c r="G30" s="75"/>
      <c r="H30" s="40">
        <f t="shared" si="0"/>
        <v>0</v>
      </c>
      <c r="I30" s="12">
        <f t="shared" si="1"/>
        <v>0</v>
      </c>
      <c r="J30" s="1"/>
      <c r="K30" s="48"/>
      <c r="L30" s="49"/>
      <c r="M30" s="50"/>
      <c r="N30" s="16">
        <f t="shared" si="4"/>
        <v>0</v>
      </c>
      <c r="P30" s="31"/>
      <c r="Q30" s="32">
        <v>0</v>
      </c>
      <c r="S30" s="66">
        <f t="shared" si="5"/>
        <v>315443</v>
      </c>
      <c r="T30" s="80"/>
      <c r="U30" s="66">
        <f t="shared" si="6"/>
        <v>0</v>
      </c>
      <c r="V30" s="66"/>
      <c r="W30" s="66"/>
      <c r="X30" s="66"/>
      <c r="Y30" s="66"/>
      <c r="Z30" s="68">
        <f t="shared" si="3"/>
        <v>315443</v>
      </c>
      <c r="AA30" s="28"/>
      <c r="AD30" s="62"/>
      <c r="AE30" s="28"/>
      <c r="AF30" s="20"/>
      <c r="AG30" s="20"/>
      <c r="AH30" s="20"/>
      <c r="AI30" s="20"/>
      <c r="AJ30" s="20"/>
      <c r="AK30" s="20"/>
      <c r="AL30" s="65"/>
      <c r="AM30" s="20"/>
    </row>
    <row r="31" spans="1:39">
      <c r="A31" s="2">
        <v>30</v>
      </c>
      <c r="B31" s="41">
        <v>337820</v>
      </c>
      <c r="C31" s="55"/>
      <c r="D31" s="59">
        <v>311810</v>
      </c>
      <c r="E31" s="72"/>
      <c r="F31" s="42">
        <v>16755</v>
      </c>
      <c r="G31" s="75"/>
      <c r="H31" s="40">
        <f t="shared" si="0"/>
        <v>354575</v>
      </c>
      <c r="I31" s="12">
        <f t="shared" si="1"/>
        <v>0</v>
      </c>
      <c r="J31" s="1"/>
      <c r="K31" s="48">
        <v>108000</v>
      </c>
      <c r="L31" s="49"/>
      <c r="M31" s="50"/>
      <c r="N31" s="16">
        <f t="shared" si="4"/>
        <v>462575</v>
      </c>
      <c r="P31" s="31">
        <v>192</v>
      </c>
      <c r="Q31" s="32">
        <f t="shared" si="2"/>
        <v>192</v>
      </c>
      <c r="S31" s="66">
        <f t="shared" si="5"/>
        <v>315443</v>
      </c>
      <c r="T31" s="80">
        <v>26010</v>
      </c>
      <c r="U31" s="66">
        <f t="shared" si="6"/>
        <v>26010</v>
      </c>
      <c r="V31" s="66"/>
      <c r="W31" s="66"/>
      <c r="X31" s="66"/>
      <c r="Y31" s="66"/>
      <c r="Z31" s="68">
        <f t="shared" si="3"/>
        <v>341453</v>
      </c>
      <c r="AA31" s="28"/>
      <c r="AD31" s="62"/>
      <c r="AE31" s="28"/>
      <c r="AF31" s="20"/>
      <c r="AG31" s="20"/>
      <c r="AH31" s="20"/>
      <c r="AI31" s="20"/>
      <c r="AJ31" s="20"/>
      <c r="AK31" s="20"/>
      <c r="AL31" s="65"/>
      <c r="AM31" s="20"/>
    </row>
    <row r="32" spans="1:39">
      <c r="A32" s="2">
        <v>31</v>
      </c>
      <c r="B32" s="43">
        <v>449635</v>
      </c>
      <c r="C32" s="56"/>
      <c r="D32" s="60">
        <v>416475</v>
      </c>
      <c r="E32" s="73"/>
      <c r="F32" s="44">
        <v>26700</v>
      </c>
      <c r="G32" s="76"/>
      <c r="H32" s="40">
        <f t="shared" si="0"/>
        <v>476335</v>
      </c>
      <c r="I32" s="12">
        <f t="shared" si="1"/>
        <v>0</v>
      </c>
      <c r="J32" s="1"/>
      <c r="K32" s="51">
        <v>108000</v>
      </c>
      <c r="L32" s="52"/>
      <c r="M32" s="53"/>
      <c r="N32" s="16">
        <f t="shared" si="4"/>
        <v>584335</v>
      </c>
      <c r="P32" s="31">
        <v>227</v>
      </c>
      <c r="Q32" s="32">
        <f t="shared" si="2"/>
        <v>227</v>
      </c>
      <c r="S32" s="66">
        <f t="shared" si="5"/>
        <v>341453</v>
      </c>
      <c r="T32" s="80">
        <v>33160</v>
      </c>
      <c r="U32" s="66">
        <f t="shared" si="6"/>
        <v>33160</v>
      </c>
      <c r="V32" s="66"/>
      <c r="W32" s="66">
        <v>300000</v>
      </c>
      <c r="X32" s="66"/>
      <c r="Y32" s="66"/>
      <c r="Z32" s="68">
        <f t="shared" si="3"/>
        <v>74613</v>
      </c>
      <c r="AA32" s="28"/>
      <c r="AB32" t="s">
        <v>46</v>
      </c>
      <c r="AD32" s="62"/>
      <c r="AE32" s="28"/>
      <c r="AF32" s="20"/>
      <c r="AG32" s="20"/>
      <c r="AH32" s="20"/>
      <c r="AI32" s="20"/>
      <c r="AJ32" s="20"/>
      <c r="AK32" s="20"/>
      <c r="AL32" s="65"/>
      <c r="AM32" s="20"/>
    </row>
    <row r="33" spans="1:31">
      <c r="A33" s="1"/>
      <c r="B33" s="7">
        <f>SUM(B2:B32)</f>
        <v>8018745</v>
      </c>
      <c r="C33" s="19"/>
      <c r="D33" s="61">
        <f>SUM(D2:D32)</f>
        <v>7687125</v>
      </c>
      <c r="E33" s="74">
        <f>SUM(E2:E32)</f>
        <v>215000</v>
      </c>
      <c r="F33" s="35">
        <f>SUM(F2:F32)</f>
        <v>313365</v>
      </c>
      <c r="G33" s="35"/>
      <c r="H33" s="23">
        <f>SUM(H2:H32)</f>
        <v>8332110</v>
      </c>
      <c r="I33" s="13">
        <f>SUM(I2:I32)</f>
        <v>215000</v>
      </c>
      <c r="J33" s="11"/>
      <c r="K33" s="27">
        <f>SUM(K2:K32)</f>
        <v>4758180</v>
      </c>
      <c r="L33" s="8">
        <f>SUM(L2:L32)</f>
        <v>53474</v>
      </c>
      <c r="M33" s="8">
        <f>SUM(M2:M32)</f>
        <v>1016217</v>
      </c>
      <c r="N33" s="3">
        <f>SUM(N2:N32)</f>
        <v>14159981</v>
      </c>
      <c r="P33" s="37">
        <f>SUM(P2:P32)</f>
        <v>4331</v>
      </c>
      <c r="Q33" s="36">
        <f>P33</f>
        <v>4331</v>
      </c>
      <c r="S33" s="29"/>
      <c r="T33" s="81">
        <f>SUM(T2:T32)</f>
        <v>525270</v>
      </c>
      <c r="U33" s="29">
        <f>SUM(U2:U32)</f>
        <v>304950</v>
      </c>
      <c r="V33" s="29">
        <f>SUM(V2:V32)</f>
        <v>259800</v>
      </c>
      <c r="W33" s="29"/>
      <c r="X33" s="29"/>
      <c r="Y33" s="29"/>
      <c r="Z33" s="69">
        <f>T33+Z32</f>
        <v>599883</v>
      </c>
      <c r="AA33" s="28"/>
      <c r="AE33" s="28"/>
    </row>
    <row r="34" spans="1:31">
      <c r="A34" t="s">
        <v>30</v>
      </c>
      <c r="D34" s="20">
        <f>B33-D33+V33</f>
        <v>591420</v>
      </c>
    </row>
    <row r="36" spans="1:31">
      <c r="B36" t="s">
        <v>38</v>
      </c>
      <c r="F36" s="78"/>
      <c r="P36" t="s">
        <v>39</v>
      </c>
      <c r="Q36">
        <f>AVERAGEIF(Q2:Q32,"&gt;0")</f>
        <v>197.31578947368422</v>
      </c>
    </row>
    <row r="37" spans="1:31">
      <c r="B37" t="s">
        <v>40</v>
      </c>
      <c r="F37" s="78"/>
      <c r="P37" t="s">
        <v>41</v>
      </c>
      <c r="Q37" s="65">
        <f>'[1]2025. március'!$P$36</f>
        <v>183.14285714285714</v>
      </c>
    </row>
  </sheetData>
  <mergeCells count="1">
    <mergeCell ref="AA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69B0-5935-4B83-81CF-AE0143D09B82}">
  <dimension ref="A1:AW37"/>
  <sheetViews>
    <sheetView workbookViewId="0">
      <pane ySplit="1" topLeftCell="A2" activePane="bottomLeft" state="frozen"/>
      <selection pane="bottomLeft" activeCell="AB4" sqref="AB4"/>
    </sheetView>
  </sheetViews>
  <sheetFormatPr defaultRowHeight="15"/>
  <cols>
    <col min="2" max="2" width="11" customWidth="1"/>
    <col min="3" max="3" width="0.140625" customWidth="1"/>
    <col min="4" max="4" width="11" customWidth="1"/>
    <col min="5" max="5" width="11.85546875" bestFit="1" customWidth="1"/>
    <col min="6" max="6" width="11.140625" bestFit="1" customWidth="1"/>
    <col min="7" max="7" width="11.85546875" customWidth="1"/>
    <col min="8" max="8" width="11" bestFit="1" customWidth="1"/>
    <col min="9" max="9" width="11.140625" bestFit="1" customWidth="1"/>
    <col min="11" max="11" width="11" bestFit="1" customWidth="1"/>
    <col min="12" max="12" width="9.5703125" bestFit="1" customWidth="1"/>
    <col min="13" max="13" width="11" bestFit="1" customWidth="1"/>
    <col min="14" max="14" width="12" bestFit="1" customWidth="1"/>
    <col min="16" max="16" width="10.7109375" customWidth="1"/>
    <col min="17" max="17" width="12.42578125" customWidth="1"/>
    <col min="19" max="19" width="12.7109375" customWidth="1"/>
    <col min="20" max="20" width="17.42578125" customWidth="1"/>
    <col min="21" max="21" width="15.140625" customWidth="1"/>
    <col min="22" max="22" width="12.7109375" customWidth="1"/>
    <col min="23" max="23" width="9.5703125" bestFit="1" customWidth="1"/>
    <col min="24" max="24" width="14.140625" bestFit="1" customWidth="1"/>
    <col min="25" max="25" width="14.140625" customWidth="1"/>
    <col min="26" max="26" width="14.140625" style="15" customWidth="1"/>
    <col min="28" max="28" width="13.5703125" bestFit="1" customWidth="1"/>
    <col min="30" max="30" width="13.28515625" bestFit="1" customWidth="1"/>
    <col min="32" max="32" width="9.5703125" bestFit="1" customWidth="1"/>
    <col min="36" max="37" width="9.5703125" bestFit="1" customWidth="1"/>
    <col min="38" max="38" width="15.28515625" customWidth="1"/>
    <col min="39" max="39" width="13.140625" bestFit="1" customWidth="1"/>
    <col min="41" max="41" width="13.28515625" bestFit="1" customWidth="1"/>
    <col min="48" max="48" width="8.42578125" bestFit="1" customWidth="1"/>
    <col min="49" max="49" width="10.85546875" bestFit="1" customWidth="1"/>
  </cols>
  <sheetData>
    <row r="1" spans="1:49" ht="17.25" customHeight="1">
      <c r="B1" s="4" t="s">
        <v>0</v>
      </c>
      <c r="C1" s="18" t="s">
        <v>1</v>
      </c>
      <c r="D1" s="57" t="s">
        <v>2</v>
      </c>
      <c r="E1" s="70" t="s">
        <v>3</v>
      </c>
      <c r="F1" s="21" t="s">
        <v>4</v>
      </c>
      <c r="G1" s="21" t="s">
        <v>5</v>
      </c>
      <c r="H1" s="22" t="s">
        <v>6</v>
      </c>
      <c r="I1" s="24" t="s">
        <v>7</v>
      </c>
      <c r="J1" s="9"/>
      <c r="K1" s="14" t="s">
        <v>8</v>
      </c>
      <c r="L1" s="5" t="s">
        <v>9</v>
      </c>
      <c r="M1" s="6" t="s">
        <v>10</v>
      </c>
      <c r="N1" s="33" t="s">
        <v>11</v>
      </c>
      <c r="P1" s="30" t="s">
        <v>12</v>
      </c>
      <c r="Q1" s="34" t="s">
        <v>13</v>
      </c>
      <c r="S1" s="25" t="s">
        <v>14</v>
      </c>
      <c r="T1" s="79" t="s">
        <v>42</v>
      </c>
      <c r="U1" s="25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67" t="s">
        <v>20</v>
      </c>
      <c r="AA1" s="82" t="s">
        <v>21</v>
      </c>
      <c r="AB1" s="82"/>
      <c r="AC1" s="82"/>
      <c r="AD1" s="17"/>
      <c r="AF1" s="63"/>
      <c r="AG1" s="63"/>
      <c r="AH1" s="63"/>
      <c r="AI1" s="26" t="s">
        <v>22</v>
      </c>
      <c r="AJ1" s="17"/>
      <c r="AK1" s="17"/>
      <c r="AL1" s="17"/>
      <c r="AM1" s="17"/>
      <c r="AO1" s="17"/>
      <c r="AP1" s="63"/>
      <c r="AQ1" s="63"/>
      <c r="AR1" s="63"/>
      <c r="AS1" s="63"/>
      <c r="AT1" s="17"/>
      <c r="AU1" s="17"/>
      <c r="AV1" s="17"/>
      <c r="AW1" s="17"/>
    </row>
    <row r="2" spans="1:49">
      <c r="A2" s="2">
        <v>1</v>
      </c>
      <c r="B2" s="38">
        <v>375815</v>
      </c>
      <c r="C2" s="54"/>
      <c r="D2" s="58">
        <v>391210</v>
      </c>
      <c r="E2" s="71">
        <v>35000</v>
      </c>
      <c r="F2" s="39">
        <v>9380</v>
      </c>
      <c r="G2" s="75"/>
      <c r="H2" s="40">
        <f>(B2+F2)</f>
        <v>385195</v>
      </c>
      <c r="I2" s="12">
        <f>C2+E2</f>
        <v>35000</v>
      </c>
      <c r="J2" s="10"/>
      <c r="K2" s="45">
        <v>108000</v>
      </c>
      <c r="L2" s="46"/>
      <c r="M2" s="47">
        <v>21016</v>
      </c>
      <c r="N2" s="16">
        <f>B2+L2+F2+K2+M2</f>
        <v>514211</v>
      </c>
      <c r="P2" s="31"/>
      <c r="Q2" s="32">
        <f>P2</f>
        <v>0</v>
      </c>
      <c r="S2" s="66">
        <v>341453</v>
      </c>
      <c r="T2" s="80">
        <v>18975</v>
      </c>
      <c r="U2" s="66">
        <f>B2-D2-T2</f>
        <v>-34370</v>
      </c>
      <c r="V2" s="66">
        <v>35000</v>
      </c>
      <c r="W2" s="66"/>
      <c r="X2" s="66"/>
      <c r="Y2" s="66"/>
      <c r="Z2" s="68">
        <f>S2+U2+V2-W2-X2+Y2</f>
        <v>342083</v>
      </c>
      <c r="AA2" s="28"/>
      <c r="AB2" t="s">
        <v>24</v>
      </c>
      <c r="AD2" s="62"/>
      <c r="AE2" s="28"/>
      <c r="AF2" s="20"/>
      <c r="AG2" s="20"/>
      <c r="AH2" s="20"/>
      <c r="AI2" s="20"/>
      <c r="AJ2" s="20"/>
      <c r="AK2" s="20"/>
      <c r="AL2" s="64"/>
      <c r="AM2" s="20"/>
    </row>
    <row r="3" spans="1:49">
      <c r="A3" s="2">
        <v>2</v>
      </c>
      <c r="B3" s="38"/>
      <c r="C3" s="54"/>
      <c r="D3" s="58"/>
      <c r="E3" s="71"/>
      <c r="F3" s="39"/>
      <c r="G3" s="75"/>
      <c r="H3" s="40">
        <f t="shared" ref="H3:H32" si="0">(B3+F3)</f>
        <v>0</v>
      </c>
      <c r="I3" s="12">
        <f t="shared" ref="I3:I32" si="1">C3+E3</f>
        <v>0</v>
      </c>
      <c r="J3" s="1"/>
      <c r="K3" s="45"/>
      <c r="L3" s="49"/>
      <c r="M3" s="50"/>
      <c r="N3" s="16">
        <f>B3+L3+F3+K3+M3</f>
        <v>0</v>
      </c>
      <c r="P3" s="31"/>
      <c r="Q3" s="32">
        <f t="shared" ref="Q3:Q32" si="2">P3</f>
        <v>0</v>
      </c>
      <c r="S3" s="66">
        <f>Z2</f>
        <v>342083</v>
      </c>
      <c r="T3" s="80"/>
      <c r="U3" s="66">
        <f>B3-D3-T3</f>
        <v>0</v>
      </c>
      <c r="V3" s="66"/>
      <c r="W3" s="66">
        <v>70695</v>
      </c>
      <c r="X3" s="66"/>
      <c r="Y3" s="66"/>
      <c r="Z3" s="68">
        <f t="shared" ref="Z3:Z32" si="3">S3+U3+V3-W3-X3+Y3</f>
        <v>271388</v>
      </c>
      <c r="AA3" s="28"/>
      <c r="AB3" t="s">
        <v>47</v>
      </c>
      <c r="AD3" s="62"/>
      <c r="AE3" s="28"/>
      <c r="AF3" s="20"/>
      <c r="AG3" s="20"/>
      <c r="AH3" s="20"/>
      <c r="AI3" s="20"/>
      <c r="AJ3" s="20"/>
      <c r="AK3" s="20"/>
      <c r="AL3" s="64"/>
      <c r="AM3" s="20"/>
    </row>
    <row r="4" spans="1:49">
      <c r="A4" s="2">
        <v>3</v>
      </c>
      <c r="B4" s="41"/>
      <c r="C4" s="55"/>
      <c r="D4" s="59"/>
      <c r="E4" s="72"/>
      <c r="F4" s="42"/>
      <c r="G4" s="75"/>
      <c r="H4" s="40">
        <f t="shared" si="0"/>
        <v>0</v>
      </c>
      <c r="I4" s="12">
        <f t="shared" si="1"/>
        <v>0</v>
      </c>
      <c r="J4" s="1"/>
      <c r="K4" s="48"/>
      <c r="L4" s="49"/>
      <c r="M4" s="50"/>
      <c r="N4" s="16">
        <f t="shared" ref="N4:N32" si="4">B4+L4+F4+K4+M4</f>
        <v>0</v>
      </c>
      <c r="P4" s="31"/>
      <c r="Q4" s="32">
        <f t="shared" si="2"/>
        <v>0</v>
      </c>
      <c r="S4" s="66">
        <f t="shared" ref="S4:S32" si="5">Z3</f>
        <v>271388</v>
      </c>
      <c r="T4" s="80"/>
      <c r="U4" s="66">
        <f t="shared" ref="U4:U32" si="6">B4-D4</f>
        <v>0</v>
      </c>
      <c r="V4" s="66"/>
      <c r="W4" s="66"/>
      <c r="X4" s="66"/>
      <c r="Y4" s="66"/>
      <c r="Z4" s="68">
        <f t="shared" si="3"/>
        <v>271388</v>
      </c>
      <c r="AA4" s="28"/>
      <c r="AD4" s="62"/>
      <c r="AE4" s="28"/>
      <c r="AF4" s="20"/>
      <c r="AG4" s="20"/>
      <c r="AH4" s="20"/>
      <c r="AI4" s="20"/>
      <c r="AJ4" s="20"/>
      <c r="AK4" s="20"/>
      <c r="AL4" s="65"/>
      <c r="AM4" s="20"/>
    </row>
    <row r="5" spans="1:49">
      <c r="A5" s="2">
        <v>4</v>
      </c>
      <c r="B5" s="38"/>
      <c r="C5" s="54"/>
      <c r="D5" s="58"/>
      <c r="E5" s="71"/>
      <c r="F5" s="39"/>
      <c r="G5" s="75"/>
      <c r="H5" s="40">
        <f t="shared" si="0"/>
        <v>0</v>
      </c>
      <c r="I5" s="12">
        <f t="shared" si="1"/>
        <v>0</v>
      </c>
      <c r="J5" s="1"/>
      <c r="K5" s="48"/>
      <c r="L5" s="49"/>
      <c r="M5" s="50"/>
      <c r="N5" s="16">
        <f t="shared" si="4"/>
        <v>0</v>
      </c>
      <c r="P5" s="31"/>
      <c r="Q5" s="32">
        <f t="shared" si="2"/>
        <v>0</v>
      </c>
      <c r="S5" s="66">
        <f t="shared" si="5"/>
        <v>271388</v>
      </c>
      <c r="T5" s="80"/>
      <c r="U5" s="66">
        <f t="shared" si="6"/>
        <v>0</v>
      </c>
      <c r="V5" s="66"/>
      <c r="W5" s="66"/>
      <c r="X5" s="66"/>
      <c r="Y5" s="66"/>
      <c r="Z5" s="68">
        <f t="shared" si="3"/>
        <v>271388</v>
      </c>
      <c r="AA5" s="28"/>
      <c r="AD5" s="62"/>
      <c r="AE5" s="28"/>
      <c r="AF5" s="20"/>
      <c r="AG5" s="20"/>
      <c r="AH5" s="20"/>
      <c r="AI5" s="20"/>
      <c r="AJ5" s="20"/>
      <c r="AK5" s="20"/>
      <c r="AL5" s="65"/>
      <c r="AM5" s="20"/>
    </row>
    <row r="6" spans="1:49">
      <c r="A6" s="2">
        <v>5</v>
      </c>
      <c r="B6" s="38"/>
      <c r="C6" s="54"/>
      <c r="D6" s="58"/>
      <c r="E6" s="71"/>
      <c r="F6" s="39"/>
      <c r="G6" s="75"/>
      <c r="H6" s="40">
        <f t="shared" si="0"/>
        <v>0</v>
      </c>
      <c r="I6" s="12">
        <f t="shared" si="1"/>
        <v>0</v>
      </c>
      <c r="J6" s="1"/>
      <c r="K6" s="45"/>
      <c r="L6" s="49"/>
      <c r="M6" s="50"/>
      <c r="N6" s="16">
        <f t="shared" si="4"/>
        <v>0</v>
      </c>
      <c r="P6" s="31"/>
      <c r="Q6" s="32">
        <f t="shared" si="2"/>
        <v>0</v>
      </c>
      <c r="S6" s="66">
        <f t="shared" si="5"/>
        <v>271388</v>
      </c>
      <c r="T6" s="80"/>
      <c r="U6" s="66">
        <f t="shared" si="6"/>
        <v>0</v>
      </c>
      <c r="V6" s="66"/>
      <c r="W6" s="66"/>
      <c r="X6" s="66"/>
      <c r="Y6" s="66"/>
      <c r="Z6" s="68">
        <f t="shared" si="3"/>
        <v>271388</v>
      </c>
      <c r="AA6" s="28"/>
      <c r="AD6" s="62"/>
      <c r="AE6" s="28"/>
      <c r="AF6" s="20"/>
      <c r="AG6" s="20"/>
      <c r="AH6" s="20"/>
      <c r="AI6" s="20"/>
      <c r="AJ6" s="20"/>
      <c r="AK6" s="20"/>
      <c r="AL6" s="64"/>
      <c r="AM6" s="20"/>
    </row>
    <row r="7" spans="1:49">
      <c r="A7" s="2">
        <v>6</v>
      </c>
      <c r="B7" s="41"/>
      <c r="C7" s="55"/>
      <c r="D7" s="59"/>
      <c r="E7" s="72"/>
      <c r="F7" s="42"/>
      <c r="G7" s="75"/>
      <c r="H7" s="40">
        <f t="shared" si="0"/>
        <v>0</v>
      </c>
      <c r="I7" s="12">
        <f t="shared" si="1"/>
        <v>0</v>
      </c>
      <c r="J7" s="1"/>
      <c r="K7" s="48"/>
      <c r="L7" s="49"/>
      <c r="M7" s="50"/>
      <c r="N7" s="16">
        <f t="shared" si="4"/>
        <v>0</v>
      </c>
      <c r="P7" s="31"/>
      <c r="Q7" s="32">
        <f t="shared" si="2"/>
        <v>0</v>
      </c>
      <c r="S7" s="66">
        <f t="shared" si="5"/>
        <v>271388</v>
      </c>
      <c r="T7" s="80"/>
      <c r="U7" s="66">
        <f t="shared" si="6"/>
        <v>0</v>
      </c>
      <c r="V7" s="66"/>
      <c r="W7" s="66"/>
      <c r="X7" s="66"/>
      <c r="Y7" s="66"/>
      <c r="Z7" s="68">
        <f t="shared" si="3"/>
        <v>271388</v>
      </c>
      <c r="AA7" s="28"/>
      <c r="AD7" s="62"/>
      <c r="AE7" s="28"/>
      <c r="AF7" s="20"/>
      <c r="AG7" s="20"/>
      <c r="AH7" s="20"/>
      <c r="AI7" s="20"/>
      <c r="AJ7" s="20"/>
      <c r="AK7" s="20"/>
      <c r="AL7" s="64"/>
      <c r="AM7" s="20"/>
    </row>
    <row r="8" spans="1:49">
      <c r="A8" s="2">
        <v>7</v>
      </c>
      <c r="B8" s="41"/>
      <c r="C8" s="55"/>
      <c r="D8" s="59"/>
      <c r="E8" s="72"/>
      <c r="F8" s="42"/>
      <c r="G8" s="75"/>
      <c r="H8" s="40">
        <f t="shared" si="0"/>
        <v>0</v>
      </c>
      <c r="I8" s="12">
        <f t="shared" si="1"/>
        <v>0</v>
      </c>
      <c r="J8" s="1"/>
      <c r="K8" s="48"/>
      <c r="L8" s="49"/>
      <c r="M8" s="50"/>
      <c r="N8" s="16">
        <f t="shared" si="4"/>
        <v>0</v>
      </c>
      <c r="P8" s="31"/>
      <c r="Q8" s="32">
        <f t="shared" si="2"/>
        <v>0</v>
      </c>
      <c r="S8" s="66">
        <f t="shared" si="5"/>
        <v>271388</v>
      </c>
      <c r="T8" s="80"/>
      <c r="U8" s="66">
        <f t="shared" si="6"/>
        <v>0</v>
      </c>
      <c r="V8" s="66"/>
      <c r="W8" s="66"/>
      <c r="X8" s="66"/>
      <c r="Y8" s="66"/>
      <c r="Z8" s="68">
        <f t="shared" si="3"/>
        <v>271388</v>
      </c>
      <c r="AA8" s="28"/>
      <c r="AD8" s="62"/>
      <c r="AE8" s="28"/>
      <c r="AF8" s="20"/>
      <c r="AG8" s="20"/>
      <c r="AH8" s="20"/>
      <c r="AI8" s="20"/>
      <c r="AJ8" s="20"/>
      <c r="AK8" s="20"/>
      <c r="AL8" s="64"/>
      <c r="AM8" s="20"/>
    </row>
    <row r="9" spans="1:49">
      <c r="A9" s="2">
        <v>8</v>
      </c>
      <c r="B9" s="41"/>
      <c r="C9" s="55"/>
      <c r="D9" s="59"/>
      <c r="E9" s="72"/>
      <c r="F9" s="42"/>
      <c r="G9" s="75"/>
      <c r="H9" s="40">
        <f t="shared" si="0"/>
        <v>0</v>
      </c>
      <c r="I9" s="12">
        <f t="shared" si="1"/>
        <v>0</v>
      </c>
      <c r="J9" s="1"/>
      <c r="K9" s="48"/>
      <c r="L9" s="49"/>
      <c r="M9" s="50"/>
      <c r="N9" s="16">
        <f t="shared" si="4"/>
        <v>0</v>
      </c>
      <c r="P9" s="31"/>
      <c r="Q9" s="32">
        <f t="shared" si="2"/>
        <v>0</v>
      </c>
      <c r="S9" s="66">
        <f t="shared" si="5"/>
        <v>271388</v>
      </c>
      <c r="T9" s="80"/>
      <c r="U9" s="66">
        <f t="shared" si="6"/>
        <v>0</v>
      </c>
      <c r="V9" s="66"/>
      <c r="W9" s="66"/>
      <c r="X9" s="66"/>
      <c r="Y9" s="66"/>
      <c r="Z9" s="68">
        <f t="shared" si="3"/>
        <v>271388</v>
      </c>
      <c r="AA9" s="28"/>
      <c r="AD9" s="62"/>
      <c r="AE9" s="28"/>
      <c r="AF9" s="20"/>
      <c r="AG9" s="20"/>
      <c r="AH9" s="20"/>
      <c r="AI9" s="20"/>
      <c r="AJ9" s="20"/>
      <c r="AK9" s="20"/>
      <c r="AL9" s="64"/>
      <c r="AM9" s="20"/>
    </row>
    <row r="10" spans="1:49">
      <c r="A10" s="2">
        <v>9</v>
      </c>
      <c r="B10" s="41"/>
      <c r="C10" s="55"/>
      <c r="D10" s="59"/>
      <c r="E10" s="72"/>
      <c r="F10" s="42"/>
      <c r="G10" s="75"/>
      <c r="H10" s="40">
        <f t="shared" si="0"/>
        <v>0</v>
      </c>
      <c r="I10" s="12">
        <f t="shared" si="1"/>
        <v>0</v>
      </c>
      <c r="J10" s="1"/>
      <c r="K10" s="48"/>
      <c r="L10" s="49"/>
      <c r="M10" s="50"/>
      <c r="N10" s="16">
        <f t="shared" si="4"/>
        <v>0</v>
      </c>
      <c r="P10" s="31"/>
      <c r="Q10" s="32">
        <f t="shared" si="2"/>
        <v>0</v>
      </c>
      <c r="S10" s="66">
        <f t="shared" si="5"/>
        <v>271388</v>
      </c>
      <c r="T10" s="80"/>
      <c r="U10" s="66">
        <f t="shared" si="6"/>
        <v>0</v>
      </c>
      <c r="V10" s="66"/>
      <c r="W10" s="66"/>
      <c r="X10" s="66"/>
      <c r="Y10" s="66"/>
      <c r="Z10" s="68">
        <f t="shared" si="3"/>
        <v>271388</v>
      </c>
      <c r="AA10" s="28"/>
      <c r="AD10" s="62"/>
      <c r="AE10" s="28"/>
      <c r="AF10" s="20"/>
      <c r="AG10" s="20"/>
      <c r="AH10" s="20"/>
      <c r="AI10" s="20"/>
      <c r="AJ10" s="20"/>
      <c r="AK10" s="20"/>
      <c r="AL10" s="65"/>
      <c r="AM10" s="20"/>
    </row>
    <row r="11" spans="1:49">
      <c r="A11" s="2">
        <v>10</v>
      </c>
      <c r="B11" s="41"/>
      <c r="C11" s="55"/>
      <c r="D11" s="59"/>
      <c r="E11" s="72"/>
      <c r="F11" s="42"/>
      <c r="G11" s="75"/>
      <c r="H11" s="40">
        <f t="shared" si="0"/>
        <v>0</v>
      </c>
      <c r="I11" s="12">
        <f t="shared" si="1"/>
        <v>0</v>
      </c>
      <c r="J11" s="1"/>
      <c r="K11" s="48"/>
      <c r="L11" s="49"/>
      <c r="M11" s="50"/>
      <c r="N11" s="16">
        <f t="shared" si="4"/>
        <v>0</v>
      </c>
      <c r="P11" s="31"/>
      <c r="Q11" s="32">
        <f t="shared" si="2"/>
        <v>0</v>
      </c>
      <c r="S11" s="66">
        <f t="shared" si="5"/>
        <v>271388</v>
      </c>
      <c r="T11" s="80"/>
      <c r="U11" s="66">
        <f t="shared" si="6"/>
        <v>0</v>
      </c>
      <c r="V11" s="66"/>
      <c r="W11" s="66"/>
      <c r="X11" s="66"/>
      <c r="Y11" s="66"/>
      <c r="Z11" s="68">
        <f t="shared" si="3"/>
        <v>271388</v>
      </c>
      <c r="AA11" s="28"/>
      <c r="AD11" s="62"/>
      <c r="AE11" s="28"/>
      <c r="AF11" s="20"/>
      <c r="AG11" s="20"/>
      <c r="AH11" s="20"/>
      <c r="AI11" s="20"/>
      <c r="AJ11" s="20"/>
      <c r="AK11" s="20"/>
      <c r="AL11" s="65"/>
      <c r="AM11" s="20"/>
    </row>
    <row r="12" spans="1:49">
      <c r="A12" s="2">
        <v>11</v>
      </c>
      <c r="B12" s="41"/>
      <c r="C12" s="55"/>
      <c r="D12" s="59"/>
      <c r="E12" s="72"/>
      <c r="F12" s="42"/>
      <c r="G12" s="75"/>
      <c r="H12" s="40">
        <f t="shared" si="0"/>
        <v>0</v>
      </c>
      <c r="I12" s="12">
        <f t="shared" si="1"/>
        <v>0</v>
      </c>
      <c r="J12" s="1"/>
      <c r="K12" s="48"/>
      <c r="L12" s="49"/>
      <c r="M12" s="50"/>
      <c r="N12" s="16">
        <f t="shared" si="4"/>
        <v>0</v>
      </c>
      <c r="P12" s="31"/>
      <c r="Q12" s="32">
        <f t="shared" si="2"/>
        <v>0</v>
      </c>
      <c r="S12" s="66">
        <f t="shared" si="5"/>
        <v>271388</v>
      </c>
      <c r="T12" s="80"/>
      <c r="U12" s="66">
        <f t="shared" si="6"/>
        <v>0</v>
      </c>
      <c r="V12" s="66"/>
      <c r="W12" s="66"/>
      <c r="X12" s="66"/>
      <c r="Y12" s="66"/>
      <c r="Z12" s="68">
        <f t="shared" si="3"/>
        <v>271388</v>
      </c>
      <c r="AA12" s="28"/>
      <c r="AD12" s="62"/>
      <c r="AE12" s="28"/>
      <c r="AF12" s="20"/>
      <c r="AG12" s="20"/>
      <c r="AH12" s="20"/>
      <c r="AI12" s="20"/>
      <c r="AJ12" s="20"/>
      <c r="AK12" s="20"/>
      <c r="AL12" s="65"/>
      <c r="AM12" s="20"/>
    </row>
    <row r="13" spans="1:49">
      <c r="A13" s="2">
        <v>12</v>
      </c>
      <c r="B13" s="41"/>
      <c r="C13" s="55"/>
      <c r="D13" s="59"/>
      <c r="E13" s="72"/>
      <c r="F13" s="42"/>
      <c r="G13" s="75"/>
      <c r="H13" s="40">
        <f t="shared" si="0"/>
        <v>0</v>
      </c>
      <c r="I13" s="12">
        <f t="shared" si="1"/>
        <v>0</v>
      </c>
      <c r="J13" s="1"/>
      <c r="K13" s="48"/>
      <c r="L13" s="49"/>
      <c r="M13" s="50"/>
      <c r="N13" s="16">
        <f t="shared" si="4"/>
        <v>0</v>
      </c>
      <c r="P13" s="31"/>
      <c r="Q13" s="32">
        <f t="shared" si="2"/>
        <v>0</v>
      </c>
      <c r="S13" s="66">
        <f t="shared" si="5"/>
        <v>271388</v>
      </c>
      <c r="T13" s="80"/>
      <c r="U13" s="66">
        <f t="shared" si="6"/>
        <v>0</v>
      </c>
      <c r="V13" s="66"/>
      <c r="W13" s="66"/>
      <c r="X13" s="66"/>
      <c r="Y13" s="66"/>
      <c r="Z13" s="68">
        <f t="shared" si="3"/>
        <v>271388</v>
      </c>
      <c r="AA13" s="28"/>
      <c r="AD13" s="62"/>
      <c r="AE13" s="28"/>
      <c r="AF13" s="20"/>
      <c r="AG13" s="20"/>
      <c r="AH13" s="20"/>
      <c r="AI13" s="20"/>
      <c r="AJ13" s="20"/>
      <c r="AK13" s="20"/>
      <c r="AL13" s="65"/>
      <c r="AM13" s="20"/>
    </row>
    <row r="14" spans="1:49">
      <c r="A14" s="2">
        <v>13</v>
      </c>
      <c r="B14" s="41"/>
      <c r="C14" s="55"/>
      <c r="D14" s="59"/>
      <c r="E14" s="72"/>
      <c r="F14" s="42"/>
      <c r="G14" s="75"/>
      <c r="H14" s="40">
        <f t="shared" si="0"/>
        <v>0</v>
      </c>
      <c r="I14" s="12">
        <f t="shared" si="1"/>
        <v>0</v>
      </c>
      <c r="J14" s="1"/>
      <c r="K14" s="48"/>
      <c r="L14" s="49"/>
      <c r="M14" s="50"/>
      <c r="N14" s="16">
        <f t="shared" si="4"/>
        <v>0</v>
      </c>
      <c r="P14" s="31"/>
      <c r="Q14" s="32">
        <f t="shared" si="2"/>
        <v>0</v>
      </c>
      <c r="S14" s="66">
        <f t="shared" si="5"/>
        <v>271388</v>
      </c>
      <c r="T14" s="80"/>
      <c r="U14" s="66">
        <f t="shared" si="6"/>
        <v>0</v>
      </c>
      <c r="V14" s="66"/>
      <c r="W14" s="66"/>
      <c r="X14" s="66"/>
      <c r="Y14" s="66"/>
      <c r="Z14" s="68">
        <f t="shared" si="3"/>
        <v>271388</v>
      </c>
      <c r="AA14" s="28"/>
      <c r="AD14" s="62"/>
      <c r="AE14" s="28"/>
      <c r="AF14" s="20"/>
      <c r="AG14" s="20"/>
      <c r="AH14" s="20"/>
      <c r="AI14" s="20"/>
      <c r="AJ14" s="20"/>
      <c r="AK14" s="20"/>
      <c r="AL14" s="65"/>
      <c r="AM14" s="20"/>
    </row>
    <row r="15" spans="1:49">
      <c r="A15" s="2">
        <v>14</v>
      </c>
      <c r="B15" s="41"/>
      <c r="C15" s="55"/>
      <c r="D15" s="59"/>
      <c r="E15" s="72"/>
      <c r="F15" s="42"/>
      <c r="G15" s="75"/>
      <c r="H15" s="40">
        <f t="shared" si="0"/>
        <v>0</v>
      </c>
      <c r="I15" s="12">
        <f t="shared" si="1"/>
        <v>0</v>
      </c>
      <c r="J15" s="1"/>
      <c r="K15" s="48"/>
      <c r="L15" s="49"/>
      <c r="M15" s="50"/>
      <c r="N15" s="16">
        <f t="shared" si="4"/>
        <v>0</v>
      </c>
      <c r="P15" s="31"/>
      <c r="Q15" s="32">
        <f t="shared" si="2"/>
        <v>0</v>
      </c>
      <c r="S15" s="66">
        <f t="shared" si="5"/>
        <v>271388</v>
      </c>
      <c r="T15" s="80"/>
      <c r="U15" s="66">
        <f t="shared" si="6"/>
        <v>0</v>
      </c>
      <c r="V15" s="66"/>
      <c r="W15" s="66"/>
      <c r="X15" s="66"/>
      <c r="Y15" s="66"/>
      <c r="Z15" s="68">
        <f t="shared" si="3"/>
        <v>271388</v>
      </c>
      <c r="AA15" s="28"/>
      <c r="AD15" s="62"/>
      <c r="AE15" s="28"/>
      <c r="AF15" s="20"/>
      <c r="AG15" s="20"/>
      <c r="AH15" s="20"/>
      <c r="AI15" s="20"/>
      <c r="AJ15" s="20"/>
      <c r="AK15" s="20"/>
      <c r="AL15" s="65"/>
      <c r="AM15" s="20"/>
    </row>
    <row r="16" spans="1:49">
      <c r="A16" s="2">
        <v>15</v>
      </c>
      <c r="B16" s="41"/>
      <c r="C16" s="55"/>
      <c r="D16" s="59"/>
      <c r="E16" s="72"/>
      <c r="F16" s="42"/>
      <c r="G16" s="75"/>
      <c r="H16" s="40">
        <f t="shared" si="0"/>
        <v>0</v>
      </c>
      <c r="I16" s="12">
        <f t="shared" si="1"/>
        <v>0</v>
      </c>
      <c r="J16" s="1"/>
      <c r="K16" s="48"/>
      <c r="L16" s="49"/>
      <c r="M16" s="50"/>
      <c r="N16" s="16">
        <f t="shared" si="4"/>
        <v>0</v>
      </c>
      <c r="P16" s="31"/>
      <c r="Q16" s="32">
        <f t="shared" si="2"/>
        <v>0</v>
      </c>
      <c r="S16" s="66">
        <f t="shared" si="5"/>
        <v>271388</v>
      </c>
      <c r="T16" s="80"/>
      <c r="U16" s="66">
        <f t="shared" si="6"/>
        <v>0</v>
      </c>
      <c r="V16" s="66"/>
      <c r="W16" s="66"/>
      <c r="X16" s="66"/>
      <c r="Y16" s="66"/>
      <c r="Z16" s="68">
        <f t="shared" si="3"/>
        <v>271388</v>
      </c>
      <c r="AA16" s="28"/>
      <c r="AD16" s="62"/>
      <c r="AE16" s="28"/>
      <c r="AF16" s="20"/>
      <c r="AG16" s="20"/>
      <c r="AH16" s="20"/>
      <c r="AI16" s="20"/>
      <c r="AJ16" s="20"/>
      <c r="AK16" s="20"/>
      <c r="AL16" s="65"/>
      <c r="AM16" s="20"/>
    </row>
    <row r="17" spans="1:39">
      <c r="A17" s="2">
        <v>16</v>
      </c>
      <c r="B17" s="41"/>
      <c r="C17" s="55"/>
      <c r="D17" s="59"/>
      <c r="E17" s="72"/>
      <c r="F17" s="42"/>
      <c r="G17" s="75"/>
      <c r="H17" s="40">
        <f t="shared" si="0"/>
        <v>0</v>
      </c>
      <c r="I17" s="12">
        <f t="shared" si="1"/>
        <v>0</v>
      </c>
      <c r="J17" s="1"/>
      <c r="K17" s="48"/>
      <c r="L17" s="49"/>
      <c r="M17" s="50"/>
      <c r="N17" s="16">
        <f t="shared" si="4"/>
        <v>0</v>
      </c>
      <c r="P17" s="31"/>
      <c r="Q17" s="32">
        <f t="shared" si="2"/>
        <v>0</v>
      </c>
      <c r="S17" s="66">
        <f t="shared" si="5"/>
        <v>271388</v>
      </c>
      <c r="T17" s="80"/>
      <c r="U17" s="66">
        <f t="shared" si="6"/>
        <v>0</v>
      </c>
      <c r="V17" s="66"/>
      <c r="W17" s="66"/>
      <c r="X17" s="66"/>
      <c r="Y17" s="66"/>
      <c r="Z17" s="68">
        <f t="shared" si="3"/>
        <v>271388</v>
      </c>
      <c r="AA17" s="28"/>
      <c r="AD17" s="62"/>
      <c r="AE17" s="28"/>
      <c r="AF17" s="20"/>
      <c r="AG17" s="20"/>
      <c r="AH17" s="20"/>
      <c r="AI17" s="20"/>
      <c r="AJ17" s="20"/>
      <c r="AK17" s="20"/>
      <c r="AL17" s="65"/>
      <c r="AM17" s="20"/>
    </row>
    <row r="18" spans="1:39">
      <c r="A18" s="2">
        <v>17</v>
      </c>
      <c r="B18" s="41"/>
      <c r="C18" s="55"/>
      <c r="D18" s="59"/>
      <c r="E18" s="72"/>
      <c r="F18" s="42"/>
      <c r="G18" s="75"/>
      <c r="H18" s="40">
        <f t="shared" si="0"/>
        <v>0</v>
      </c>
      <c r="I18" s="12">
        <f t="shared" si="1"/>
        <v>0</v>
      </c>
      <c r="J18" s="1"/>
      <c r="K18" s="48"/>
      <c r="L18" s="49"/>
      <c r="M18" s="50"/>
      <c r="N18" s="16">
        <f t="shared" si="4"/>
        <v>0</v>
      </c>
      <c r="P18" s="31"/>
      <c r="Q18" s="32">
        <f t="shared" si="2"/>
        <v>0</v>
      </c>
      <c r="S18" s="66">
        <f t="shared" si="5"/>
        <v>271388</v>
      </c>
      <c r="T18" s="80"/>
      <c r="U18" s="66">
        <f t="shared" si="6"/>
        <v>0</v>
      </c>
      <c r="V18" s="66"/>
      <c r="W18" s="66"/>
      <c r="X18" s="66"/>
      <c r="Y18" s="66"/>
      <c r="Z18" s="68">
        <f t="shared" si="3"/>
        <v>271388</v>
      </c>
      <c r="AA18" s="28"/>
      <c r="AD18" s="62"/>
      <c r="AE18" s="28"/>
      <c r="AF18" s="20"/>
      <c r="AG18" s="20"/>
      <c r="AH18" s="20"/>
      <c r="AI18" s="20"/>
      <c r="AJ18" s="20"/>
      <c r="AK18" s="20"/>
      <c r="AL18" s="65"/>
      <c r="AM18" s="20"/>
    </row>
    <row r="19" spans="1:39">
      <c r="A19" s="2">
        <v>18</v>
      </c>
      <c r="B19" s="41"/>
      <c r="C19" s="55"/>
      <c r="D19" s="59"/>
      <c r="E19" s="72"/>
      <c r="F19" s="42"/>
      <c r="G19" s="75"/>
      <c r="H19" s="40">
        <f t="shared" si="0"/>
        <v>0</v>
      </c>
      <c r="I19" s="12">
        <f t="shared" si="1"/>
        <v>0</v>
      </c>
      <c r="J19" s="1"/>
      <c r="K19" s="48"/>
      <c r="L19" s="49"/>
      <c r="M19" s="50"/>
      <c r="N19" s="16">
        <f t="shared" si="4"/>
        <v>0</v>
      </c>
      <c r="P19" s="31"/>
      <c r="Q19" s="32">
        <f t="shared" si="2"/>
        <v>0</v>
      </c>
      <c r="S19" s="66">
        <f t="shared" si="5"/>
        <v>271388</v>
      </c>
      <c r="T19" s="80"/>
      <c r="U19" s="66">
        <f t="shared" si="6"/>
        <v>0</v>
      </c>
      <c r="V19" s="66"/>
      <c r="W19" s="66"/>
      <c r="X19" s="66"/>
      <c r="Y19" s="66"/>
      <c r="Z19" s="68">
        <f t="shared" si="3"/>
        <v>271388</v>
      </c>
      <c r="AA19" s="28"/>
      <c r="AD19" s="62"/>
      <c r="AE19" s="28"/>
      <c r="AF19" s="20"/>
      <c r="AG19" s="20"/>
      <c r="AH19" s="20"/>
      <c r="AI19" s="20"/>
      <c r="AJ19" s="20"/>
      <c r="AK19" s="20"/>
      <c r="AL19" s="65"/>
      <c r="AM19" s="20"/>
    </row>
    <row r="20" spans="1:39">
      <c r="A20" s="2">
        <v>19</v>
      </c>
      <c r="B20" s="41"/>
      <c r="C20" s="55"/>
      <c r="D20" s="59"/>
      <c r="E20" s="72"/>
      <c r="F20" s="42"/>
      <c r="G20" s="75"/>
      <c r="H20" s="40">
        <f t="shared" si="0"/>
        <v>0</v>
      </c>
      <c r="I20" s="12">
        <f t="shared" si="1"/>
        <v>0</v>
      </c>
      <c r="J20" s="1"/>
      <c r="K20" s="48"/>
      <c r="L20" s="49"/>
      <c r="M20" s="50"/>
      <c r="N20" s="16">
        <f t="shared" si="4"/>
        <v>0</v>
      </c>
      <c r="P20" s="31"/>
      <c r="Q20" s="32">
        <v>0</v>
      </c>
      <c r="S20" s="66">
        <f t="shared" si="5"/>
        <v>271388</v>
      </c>
      <c r="T20" s="80"/>
      <c r="U20" s="66">
        <f t="shared" si="6"/>
        <v>0</v>
      </c>
      <c r="V20" s="66"/>
      <c r="W20" s="66"/>
      <c r="X20" s="66"/>
      <c r="Y20" s="66"/>
      <c r="Z20" s="68">
        <f t="shared" si="3"/>
        <v>271388</v>
      </c>
      <c r="AA20" s="28"/>
      <c r="AD20" s="62"/>
      <c r="AE20" s="28"/>
      <c r="AF20" s="20"/>
      <c r="AG20" s="20"/>
      <c r="AH20" s="20"/>
      <c r="AI20" s="20"/>
      <c r="AJ20" s="20"/>
      <c r="AK20" s="20"/>
      <c r="AL20" s="65"/>
      <c r="AM20" s="20"/>
    </row>
    <row r="21" spans="1:39">
      <c r="A21" s="2">
        <v>20</v>
      </c>
      <c r="B21" s="41"/>
      <c r="C21" s="55"/>
      <c r="D21" s="59"/>
      <c r="E21" s="72"/>
      <c r="F21" s="42"/>
      <c r="G21" s="75"/>
      <c r="H21" s="40">
        <f t="shared" si="0"/>
        <v>0</v>
      </c>
      <c r="I21" s="12">
        <f t="shared" si="1"/>
        <v>0</v>
      </c>
      <c r="J21" s="1"/>
      <c r="K21" s="48"/>
      <c r="L21" s="49"/>
      <c r="M21" s="50"/>
      <c r="N21" s="16">
        <f t="shared" si="4"/>
        <v>0</v>
      </c>
      <c r="P21" s="31"/>
      <c r="Q21" s="32">
        <f t="shared" si="2"/>
        <v>0</v>
      </c>
      <c r="S21" s="66">
        <f t="shared" si="5"/>
        <v>271388</v>
      </c>
      <c r="T21" s="80"/>
      <c r="U21" s="66">
        <f t="shared" si="6"/>
        <v>0</v>
      </c>
      <c r="V21" s="66"/>
      <c r="W21" s="66"/>
      <c r="X21" s="66"/>
      <c r="Y21" s="66"/>
      <c r="Z21" s="68">
        <f t="shared" si="3"/>
        <v>271388</v>
      </c>
      <c r="AA21" s="28"/>
      <c r="AD21" s="62"/>
      <c r="AE21" s="28"/>
      <c r="AF21" s="20"/>
      <c r="AG21" s="20"/>
      <c r="AH21" s="20"/>
      <c r="AI21" s="20"/>
      <c r="AJ21" s="20"/>
      <c r="AK21" s="20"/>
      <c r="AL21" s="65"/>
      <c r="AM21" s="20"/>
    </row>
    <row r="22" spans="1:39">
      <c r="A22" s="2">
        <v>21</v>
      </c>
      <c r="B22" s="41"/>
      <c r="C22" s="55"/>
      <c r="D22" s="59"/>
      <c r="E22" s="72"/>
      <c r="F22" s="42"/>
      <c r="G22" s="75"/>
      <c r="H22" s="40">
        <f t="shared" si="0"/>
        <v>0</v>
      </c>
      <c r="I22" s="12">
        <f t="shared" si="1"/>
        <v>0</v>
      </c>
      <c r="J22" s="1"/>
      <c r="K22" s="48"/>
      <c r="L22" s="49"/>
      <c r="M22" s="50"/>
      <c r="N22" s="16">
        <f t="shared" si="4"/>
        <v>0</v>
      </c>
      <c r="P22" s="31"/>
      <c r="Q22" s="32">
        <v>0</v>
      </c>
      <c r="S22" s="66">
        <f t="shared" si="5"/>
        <v>271388</v>
      </c>
      <c r="T22" s="80"/>
      <c r="U22" s="66">
        <f t="shared" si="6"/>
        <v>0</v>
      </c>
      <c r="V22" s="66"/>
      <c r="W22" s="66"/>
      <c r="X22" s="66"/>
      <c r="Y22" s="66"/>
      <c r="Z22" s="68">
        <f t="shared" si="3"/>
        <v>271388</v>
      </c>
      <c r="AA22" s="28"/>
      <c r="AD22" s="62"/>
      <c r="AE22" s="28"/>
      <c r="AF22" s="20"/>
      <c r="AG22" s="20"/>
      <c r="AH22" s="20"/>
      <c r="AI22" s="20"/>
      <c r="AJ22" s="20"/>
      <c r="AK22" s="20"/>
      <c r="AL22" s="65"/>
      <c r="AM22" s="20"/>
    </row>
    <row r="23" spans="1:39">
      <c r="A23" s="2">
        <v>22</v>
      </c>
      <c r="B23" s="41"/>
      <c r="C23" s="55"/>
      <c r="D23" s="59"/>
      <c r="E23" s="72"/>
      <c r="F23" s="42"/>
      <c r="G23" s="75"/>
      <c r="H23" s="40">
        <f t="shared" si="0"/>
        <v>0</v>
      </c>
      <c r="I23" s="12">
        <f t="shared" si="1"/>
        <v>0</v>
      </c>
      <c r="J23" s="1"/>
      <c r="K23" s="48"/>
      <c r="L23" s="49"/>
      <c r="M23" s="50"/>
      <c r="N23" s="16">
        <f t="shared" si="4"/>
        <v>0</v>
      </c>
      <c r="P23" s="31"/>
      <c r="Q23" s="32">
        <v>0</v>
      </c>
      <c r="S23" s="66">
        <f t="shared" si="5"/>
        <v>271388</v>
      </c>
      <c r="T23" s="80"/>
      <c r="U23" s="66">
        <f t="shared" si="6"/>
        <v>0</v>
      </c>
      <c r="V23" s="66"/>
      <c r="W23" s="66"/>
      <c r="X23" s="66"/>
      <c r="Y23" s="66"/>
      <c r="Z23" s="68">
        <f t="shared" si="3"/>
        <v>271388</v>
      </c>
      <c r="AA23" s="28"/>
      <c r="AD23" s="62"/>
      <c r="AE23" s="28"/>
      <c r="AF23" s="20"/>
      <c r="AG23" s="20"/>
      <c r="AH23" s="20"/>
      <c r="AI23" s="20"/>
      <c r="AJ23" s="20"/>
      <c r="AK23" s="20"/>
      <c r="AL23" s="65"/>
      <c r="AM23" s="20"/>
    </row>
    <row r="24" spans="1:39">
      <c r="A24" s="2">
        <v>23</v>
      </c>
      <c r="B24" s="41"/>
      <c r="C24" s="55"/>
      <c r="D24" s="59"/>
      <c r="E24" s="72"/>
      <c r="F24" s="42"/>
      <c r="G24" s="75"/>
      <c r="H24" s="40">
        <f t="shared" si="0"/>
        <v>0</v>
      </c>
      <c r="I24" s="12">
        <f t="shared" si="1"/>
        <v>0</v>
      </c>
      <c r="J24" s="1"/>
      <c r="K24" s="48"/>
      <c r="L24" s="49"/>
      <c r="M24" s="50"/>
      <c r="N24" s="16">
        <f t="shared" si="4"/>
        <v>0</v>
      </c>
      <c r="P24" s="31"/>
      <c r="Q24" s="32">
        <f t="shared" si="2"/>
        <v>0</v>
      </c>
      <c r="S24" s="66">
        <f t="shared" si="5"/>
        <v>271388</v>
      </c>
      <c r="T24" s="80"/>
      <c r="U24" s="66">
        <f t="shared" si="6"/>
        <v>0</v>
      </c>
      <c r="V24" s="66"/>
      <c r="W24" s="66"/>
      <c r="X24" s="66"/>
      <c r="Y24" s="66"/>
      <c r="Z24" s="68">
        <f t="shared" si="3"/>
        <v>271388</v>
      </c>
      <c r="AA24" s="28"/>
      <c r="AD24" s="62"/>
      <c r="AE24" s="28"/>
      <c r="AF24" s="20"/>
      <c r="AG24" s="20"/>
      <c r="AH24" s="20"/>
      <c r="AI24" s="20"/>
      <c r="AJ24" s="20"/>
      <c r="AK24" s="20"/>
      <c r="AL24" s="65"/>
      <c r="AM24" s="20"/>
    </row>
    <row r="25" spans="1:39">
      <c r="A25" s="2">
        <v>24</v>
      </c>
      <c r="B25" s="41"/>
      <c r="C25" s="55"/>
      <c r="D25" s="59"/>
      <c r="E25" s="72"/>
      <c r="F25" s="42"/>
      <c r="G25" s="75"/>
      <c r="H25" s="40">
        <f t="shared" si="0"/>
        <v>0</v>
      </c>
      <c r="I25" s="12">
        <f t="shared" si="1"/>
        <v>0</v>
      </c>
      <c r="J25" s="1"/>
      <c r="K25" s="48"/>
      <c r="L25" s="49"/>
      <c r="M25" s="50"/>
      <c r="N25" s="16">
        <f t="shared" si="4"/>
        <v>0</v>
      </c>
      <c r="P25" s="31"/>
      <c r="Q25" s="32">
        <f t="shared" si="2"/>
        <v>0</v>
      </c>
      <c r="S25" s="66">
        <f t="shared" si="5"/>
        <v>271388</v>
      </c>
      <c r="T25" s="80"/>
      <c r="U25" s="66">
        <f t="shared" si="6"/>
        <v>0</v>
      </c>
      <c r="V25" s="66"/>
      <c r="W25" s="66"/>
      <c r="X25" s="66"/>
      <c r="Y25" s="66"/>
      <c r="Z25" s="68">
        <f t="shared" si="3"/>
        <v>271388</v>
      </c>
      <c r="AA25" s="28"/>
      <c r="AD25" s="62"/>
      <c r="AE25" s="28"/>
      <c r="AF25" s="20"/>
      <c r="AG25" s="20"/>
      <c r="AH25" s="20"/>
      <c r="AI25" s="20"/>
      <c r="AJ25" s="20"/>
      <c r="AK25" s="20"/>
      <c r="AL25" s="65"/>
      <c r="AM25" s="20"/>
    </row>
    <row r="26" spans="1:39">
      <c r="A26" s="2">
        <v>25</v>
      </c>
      <c r="B26" s="41"/>
      <c r="C26" s="55"/>
      <c r="D26" s="59"/>
      <c r="E26" s="72"/>
      <c r="F26" s="42"/>
      <c r="G26" s="75"/>
      <c r="H26" s="40">
        <f t="shared" si="0"/>
        <v>0</v>
      </c>
      <c r="I26" s="12">
        <f t="shared" si="1"/>
        <v>0</v>
      </c>
      <c r="J26" s="1"/>
      <c r="K26" s="48"/>
      <c r="L26" s="49"/>
      <c r="M26" s="50"/>
      <c r="N26" s="16">
        <f t="shared" si="4"/>
        <v>0</v>
      </c>
      <c r="P26" s="31"/>
      <c r="Q26" s="32">
        <v>0</v>
      </c>
      <c r="S26" s="66">
        <f t="shared" si="5"/>
        <v>271388</v>
      </c>
      <c r="T26" s="80"/>
      <c r="U26" s="66">
        <f t="shared" si="6"/>
        <v>0</v>
      </c>
      <c r="V26" s="66"/>
      <c r="W26" s="66"/>
      <c r="X26" s="66"/>
      <c r="Y26" s="66"/>
      <c r="Z26" s="68">
        <f t="shared" si="3"/>
        <v>271388</v>
      </c>
      <c r="AA26" s="28"/>
      <c r="AD26" s="62"/>
      <c r="AE26" s="28"/>
      <c r="AF26" s="20"/>
      <c r="AG26" s="20"/>
      <c r="AH26" s="20"/>
      <c r="AI26" s="20"/>
      <c r="AJ26" s="20"/>
      <c r="AK26" s="20"/>
      <c r="AL26" s="65"/>
      <c r="AM26" s="20"/>
    </row>
    <row r="27" spans="1:39">
      <c r="A27" s="2">
        <v>26</v>
      </c>
      <c r="B27" s="41"/>
      <c r="C27" s="55"/>
      <c r="D27" s="59"/>
      <c r="E27" s="72"/>
      <c r="F27" s="42"/>
      <c r="G27" s="75"/>
      <c r="H27" s="40">
        <f t="shared" si="0"/>
        <v>0</v>
      </c>
      <c r="I27" s="12">
        <f t="shared" si="1"/>
        <v>0</v>
      </c>
      <c r="J27" s="1"/>
      <c r="K27" s="48"/>
      <c r="L27" s="49"/>
      <c r="M27" s="50"/>
      <c r="N27" s="16">
        <f t="shared" si="4"/>
        <v>0</v>
      </c>
      <c r="P27" s="31"/>
      <c r="Q27" s="32">
        <f t="shared" si="2"/>
        <v>0</v>
      </c>
      <c r="S27" s="66">
        <f t="shared" si="5"/>
        <v>271388</v>
      </c>
      <c r="T27" s="80"/>
      <c r="U27" s="66">
        <f t="shared" si="6"/>
        <v>0</v>
      </c>
      <c r="V27" s="66"/>
      <c r="W27" s="66"/>
      <c r="X27" s="66"/>
      <c r="Y27" s="66"/>
      <c r="Z27" s="68">
        <f t="shared" si="3"/>
        <v>271388</v>
      </c>
      <c r="AA27" s="28"/>
      <c r="AD27" s="62"/>
      <c r="AE27" s="28"/>
      <c r="AF27" s="20"/>
      <c r="AG27" s="20"/>
      <c r="AH27" s="20"/>
      <c r="AI27" s="20"/>
      <c r="AJ27" s="20"/>
      <c r="AK27" s="20"/>
      <c r="AL27" s="65"/>
      <c r="AM27" s="20"/>
    </row>
    <row r="28" spans="1:39">
      <c r="A28" s="2">
        <v>27</v>
      </c>
      <c r="B28" s="41"/>
      <c r="C28" s="55"/>
      <c r="D28" s="59"/>
      <c r="E28" s="72"/>
      <c r="F28" s="42"/>
      <c r="G28" s="75"/>
      <c r="H28" s="40">
        <f t="shared" si="0"/>
        <v>0</v>
      </c>
      <c r="I28" s="12">
        <f t="shared" si="1"/>
        <v>0</v>
      </c>
      <c r="J28" s="1"/>
      <c r="K28" s="48"/>
      <c r="L28" s="49"/>
      <c r="M28" s="50"/>
      <c r="N28" s="16">
        <f t="shared" si="4"/>
        <v>0</v>
      </c>
      <c r="P28" s="31"/>
      <c r="Q28" s="32">
        <v>0</v>
      </c>
      <c r="S28" s="66">
        <f t="shared" si="5"/>
        <v>271388</v>
      </c>
      <c r="T28" s="80"/>
      <c r="U28" s="66">
        <f t="shared" si="6"/>
        <v>0</v>
      </c>
      <c r="V28" s="66"/>
      <c r="W28" s="66"/>
      <c r="X28" s="66"/>
      <c r="Y28" s="66"/>
      <c r="Z28" s="68">
        <f t="shared" si="3"/>
        <v>271388</v>
      </c>
      <c r="AA28" s="28"/>
      <c r="AD28" s="62"/>
      <c r="AE28" s="28"/>
      <c r="AF28" s="20"/>
      <c r="AG28" s="20"/>
      <c r="AH28" s="20"/>
      <c r="AI28" s="20"/>
      <c r="AJ28" s="20"/>
      <c r="AK28" s="20"/>
      <c r="AL28" s="65"/>
      <c r="AM28" s="20"/>
    </row>
    <row r="29" spans="1:39">
      <c r="A29" s="2">
        <v>28</v>
      </c>
      <c r="B29" s="41"/>
      <c r="C29" s="55"/>
      <c r="D29" s="59"/>
      <c r="E29" s="72"/>
      <c r="F29" s="42"/>
      <c r="G29" s="75"/>
      <c r="H29" s="40">
        <f t="shared" si="0"/>
        <v>0</v>
      </c>
      <c r="I29" s="12">
        <f t="shared" si="1"/>
        <v>0</v>
      </c>
      <c r="J29" s="1"/>
      <c r="K29" s="48"/>
      <c r="L29" s="49"/>
      <c r="M29" s="50"/>
      <c r="N29" s="16">
        <f t="shared" si="4"/>
        <v>0</v>
      </c>
      <c r="P29" s="31"/>
      <c r="Q29" s="32">
        <f t="shared" si="2"/>
        <v>0</v>
      </c>
      <c r="S29" s="66">
        <f t="shared" si="5"/>
        <v>271388</v>
      </c>
      <c r="T29" s="80"/>
      <c r="U29" s="66">
        <f t="shared" si="6"/>
        <v>0</v>
      </c>
      <c r="V29" s="66"/>
      <c r="W29" s="66"/>
      <c r="X29" s="66"/>
      <c r="Y29" s="66"/>
      <c r="Z29" s="68">
        <f t="shared" si="3"/>
        <v>271388</v>
      </c>
      <c r="AA29" s="28"/>
      <c r="AD29" s="62"/>
      <c r="AE29" s="28"/>
      <c r="AF29" s="20"/>
      <c r="AG29" s="20"/>
      <c r="AH29" s="20"/>
      <c r="AI29" s="20"/>
      <c r="AJ29" s="20"/>
      <c r="AK29" s="20"/>
      <c r="AL29" s="65"/>
      <c r="AM29" s="20"/>
    </row>
    <row r="30" spans="1:39">
      <c r="A30" s="2">
        <v>29</v>
      </c>
      <c r="B30" s="41"/>
      <c r="C30" s="55"/>
      <c r="D30" s="59"/>
      <c r="E30" s="72"/>
      <c r="F30" s="42"/>
      <c r="G30" s="75"/>
      <c r="H30" s="40">
        <f t="shared" si="0"/>
        <v>0</v>
      </c>
      <c r="I30" s="12">
        <f t="shared" si="1"/>
        <v>0</v>
      </c>
      <c r="J30" s="1"/>
      <c r="K30" s="48"/>
      <c r="L30" s="49"/>
      <c r="M30" s="50"/>
      <c r="N30" s="16">
        <f t="shared" si="4"/>
        <v>0</v>
      </c>
      <c r="P30" s="31"/>
      <c r="Q30" s="32">
        <v>0</v>
      </c>
      <c r="S30" s="66">
        <f t="shared" si="5"/>
        <v>271388</v>
      </c>
      <c r="T30" s="80"/>
      <c r="U30" s="66">
        <f t="shared" si="6"/>
        <v>0</v>
      </c>
      <c r="V30" s="66"/>
      <c r="W30" s="66"/>
      <c r="X30" s="66"/>
      <c r="Y30" s="66"/>
      <c r="Z30" s="68">
        <f t="shared" si="3"/>
        <v>271388</v>
      </c>
      <c r="AA30" s="28"/>
      <c r="AD30" s="62"/>
      <c r="AE30" s="28"/>
      <c r="AF30" s="20"/>
      <c r="AG30" s="20"/>
      <c r="AH30" s="20"/>
      <c r="AI30" s="20"/>
      <c r="AJ30" s="20"/>
      <c r="AK30" s="20"/>
      <c r="AL30" s="65"/>
      <c r="AM30" s="20"/>
    </row>
    <row r="31" spans="1:39">
      <c r="A31" s="2">
        <v>30</v>
      </c>
      <c r="B31" s="41"/>
      <c r="C31" s="55"/>
      <c r="D31" s="59"/>
      <c r="E31" s="72"/>
      <c r="F31" s="42"/>
      <c r="G31" s="75"/>
      <c r="H31" s="40">
        <f t="shared" si="0"/>
        <v>0</v>
      </c>
      <c r="I31" s="12">
        <f t="shared" si="1"/>
        <v>0</v>
      </c>
      <c r="J31" s="1"/>
      <c r="K31" s="48"/>
      <c r="L31" s="49"/>
      <c r="M31" s="50"/>
      <c r="N31" s="16">
        <f t="shared" si="4"/>
        <v>0</v>
      </c>
      <c r="P31" s="31"/>
      <c r="Q31" s="32">
        <f t="shared" si="2"/>
        <v>0</v>
      </c>
      <c r="S31" s="66">
        <f t="shared" si="5"/>
        <v>271388</v>
      </c>
      <c r="T31" s="80"/>
      <c r="U31" s="66">
        <f t="shared" si="6"/>
        <v>0</v>
      </c>
      <c r="V31" s="66"/>
      <c r="W31" s="66"/>
      <c r="X31" s="66"/>
      <c r="Y31" s="66"/>
      <c r="Z31" s="68">
        <f t="shared" si="3"/>
        <v>271388</v>
      </c>
      <c r="AA31" s="28"/>
      <c r="AD31" s="62"/>
      <c r="AE31" s="28"/>
      <c r="AF31" s="20"/>
      <c r="AG31" s="20"/>
      <c r="AH31" s="20"/>
      <c r="AI31" s="20"/>
      <c r="AJ31" s="20"/>
      <c r="AK31" s="20"/>
      <c r="AL31" s="65"/>
      <c r="AM31" s="20"/>
    </row>
    <row r="32" spans="1:39">
      <c r="A32" s="2">
        <v>31</v>
      </c>
      <c r="B32" s="43"/>
      <c r="C32" s="56"/>
      <c r="D32" s="60"/>
      <c r="E32" s="73"/>
      <c r="F32" s="44"/>
      <c r="G32" s="76"/>
      <c r="H32" s="40">
        <f t="shared" si="0"/>
        <v>0</v>
      </c>
      <c r="I32" s="12">
        <f t="shared" si="1"/>
        <v>0</v>
      </c>
      <c r="J32" s="1"/>
      <c r="K32" s="51"/>
      <c r="L32" s="52"/>
      <c r="M32" s="53"/>
      <c r="N32" s="16">
        <f t="shared" si="4"/>
        <v>0</v>
      </c>
      <c r="P32" s="31"/>
      <c r="Q32" s="32">
        <f t="shared" si="2"/>
        <v>0</v>
      </c>
      <c r="S32" s="66">
        <f t="shared" si="5"/>
        <v>271388</v>
      </c>
      <c r="T32" s="80"/>
      <c r="U32" s="66">
        <f t="shared" si="6"/>
        <v>0</v>
      </c>
      <c r="V32" s="66"/>
      <c r="W32" s="66"/>
      <c r="X32" s="66"/>
      <c r="Y32" s="66"/>
      <c r="Z32" s="68">
        <f t="shared" si="3"/>
        <v>271388</v>
      </c>
      <c r="AA32" s="28"/>
      <c r="AD32" s="62"/>
      <c r="AE32" s="28"/>
      <c r="AF32" s="20"/>
      <c r="AG32" s="20"/>
      <c r="AH32" s="20"/>
      <c r="AI32" s="20"/>
      <c r="AJ32" s="20"/>
      <c r="AK32" s="20"/>
      <c r="AL32" s="65"/>
      <c r="AM32" s="20"/>
    </row>
    <row r="33" spans="1:31">
      <c r="A33" s="1"/>
      <c r="B33" s="7">
        <f>SUM(B2:B32)</f>
        <v>375815</v>
      </c>
      <c r="C33" s="19"/>
      <c r="D33" s="61">
        <f>SUM(D2:D32)</f>
        <v>391210</v>
      </c>
      <c r="E33" s="74">
        <f>SUM(E2:E32)</f>
        <v>35000</v>
      </c>
      <c r="F33" s="35">
        <f>SUM(F2:F32)</f>
        <v>9380</v>
      </c>
      <c r="G33" s="35"/>
      <c r="H33" s="23">
        <f>SUM(H2:H32)</f>
        <v>385195</v>
      </c>
      <c r="I33" s="13">
        <f>SUM(I2:I32)</f>
        <v>35000</v>
      </c>
      <c r="J33" s="11"/>
      <c r="K33" s="27">
        <f>SUM(K2:K32)</f>
        <v>108000</v>
      </c>
      <c r="L33" s="8">
        <f>SUM(L2:L32)</f>
        <v>0</v>
      </c>
      <c r="M33" s="8">
        <f>SUM(M2:M32)</f>
        <v>21016</v>
      </c>
      <c r="N33" s="3">
        <f>SUM(N2:N32)</f>
        <v>514211</v>
      </c>
      <c r="P33" s="37">
        <f>SUM(P2:P32)</f>
        <v>0</v>
      </c>
      <c r="Q33" s="36">
        <f>P33</f>
        <v>0</v>
      </c>
      <c r="S33" s="29"/>
      <c r="T33" s="81">
        <f>SUM(T2:T32)</f>
        <v>18975</v>
      </c>
      <c r="U33" s="29">
        <f>SUM(U2:U32)</f>
        <v>-34370</v>
      </c>
      <c r="V33" s="29">
        <f>SUM(V2:V32)</f>
        <v>35000</v>
      </c>
      <c r="W33" s="29"/>
      <c r="X33" s="29"/>
      <c r="Y33" s="29"/>
      <c r="Z33" s="69">
        <f>T33+Z32</f>
        <v>290363</v>
      </c>
      <c r="AA33" s="28"/>
      <c r="AE33" s="28"/>
    </row>
    <row r="34" spans="1:31">
      <c r="A34" t="s">
        <v>30</v>
      </c>
      <c r="D34" s="20">
        <f>B33-D33+V33</f>
        <v>19605</v>
      </c>
    </row>
    <row r="36" spans="1:31">
      <c r="B36" t="s">
        <v>38</v>
      </c>
      <c r="F36" s="78"/>
      <c r="P36" t="s">
        <v>39</v>
      </c>
      <c r="Q36" t="e">
        <f>AVERAGEIF(Q2:Q32,"&gt;0")</f>
        <v>#DIV/0!</v>
      </c>
    </row>
    <row r="37" spans="1:31">
      <c r="B37" t="s">
        <v>40</v>
      </c>
      <c r="F37" s="78"/>
      <c r="P37" t="s">
        <v>41</v>
      </c>
      <c r="Q37" s="65">
        <f>'[1]2025. március'!$P$36</f>
        <v>183.14285714285714</v>
      </c>
    </row>
  </sheetData>
  <mergeCells count="1">
    <mergeCell ref="AA1:A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7AE1-FA05-45EE-A13F-89338B795FD1}">
  <dimension ref="A1:AW37"/>
  <sheetViews>
    <sheetView workbookViewId="0">
      <pane ySplit="1" topLeftCell="A2" activePane="bottomLeft" state="frozen"/>
      <selection pane="bottomLeft" activeCell="T33" sqref="T33:Z33"/>
    </sheetView>
  </sheetViews>
  <sheetFormatPr defaultRowHeight="15"/>
  <cols>
    <col min="2" max="2" width="11" customWidth="1"/>
    <col min="3" max="3" width="0.140625" customWidth="1"/>
    <col min="4" max="4" width="11" customWidth="1"/>
    <col min="5" max="5" width="11.85546875" bestFit="1" customWidth="1"/>
    <col min="6" max="6" width="11.140625" bestFit="1" customWidth="1"/>
    <col min="7" max="7" width="11.85546875" customWidth="1"/>
    <col min="8" max="8" width="11" bestFit="1" customWidth="1"/>
    <col min="9" max="9" width="11.140625" bestFit="1" customWidth="1"/>
    <col min="11" max="11" width="11" bestFit="1" customWidth="1"/>
    <col min="12" max="12" width="9.5703125" bestFit="1" customWidth="1"/>
    <col min="13" max="13" width="11" bestFit="1" customWidth="1"/>
    <col min="14" max="14" width="12" bestFit="1" customWidth="1"/>
    <col min="16" max="16" width="10.7109375" customWidth="1"/>
    <col min="17" max="17" width="12.42578125" customWidth="1"/>
    <col min="19" max="19" width="12.7109375" customWidth="1"/>
    <col min="20" max="20" width="17.42578125" customWidth="1"/>
    <col min="21" max="21" width="15.140625" customWidth="1"/>
    <col min="22" max="22" width="12.7109375" customWidth="1"/>
    <col min="23" max="23" width="9.5703125" bestFit="1" customWidth="1"/>
    <col min="24" max="24" width="14.140625" bestFit="1" customWidth="1"/>
    <col min="25" max="25" width="14.140625" customWidth="1"/>
    <col min="26" max="26" width="14.140625" style="15" customWidth="1"/>
    <col min="28" max="28" width="13.5703125" bestFit="1" customWidth="1"/>
    <col min="30" max="30" width="13.28515625" bestFit="1" customWidth="1"/>
    <col min="32" max="32" width="9.5703125" bestFit="1" customWidth="1"/>
    <col min="36" max="37" width="9.5703125" bestFit="1" customWidth="1"/>
    <col min="38" max="38" width="15.28515625" customWidth="1"/>
    <col min="39" max="39" width="13.140625" bestFit="1" customWidth="1"/>
    <col min="41" max="41" width="13.28515625" bestFit="1" customWidth="1"/>
    <col min="48" max="48" width="8.42578125" bestFit="1" customWidth="1"/>
    <col min="49" max="49" width="10.85546875" bestFit="1" customWidth="1"/>
  </cols>
  <sheetData>
    <row r="1" spans="1:49" ht="17.25" customHeight="1">
      <c r="B1" s="4" t="s">
        <v>0</v>
      </c>
      <c r="C1" s="18" t="s">
        <v>1</v>
      </c>
      <c r="D1" s="57" t="s">
        <v>2</v>
      </c>
      <c r="E1" s="70" t="s">
        <v>3</v>
      </c>
      <c r="F1" s="21" t="s">
        <v>4</v>
      </c>
      <c r="G1" s="21" t="s">
        <v>5</v>
      </c>
      <c r="H1" s="22" t="s">
        <v>6</v>
      </c>
      <c r="I1" s="24" t="s">
        <v>7</v>
      </c>
      <c r="J1" s="9"/>
      <c r="K1" s="14" t="s">
        <v>8</v>
      </c>
      <c r="L1" s="5" t="s">
        <v>9</v>
      </c>
      <c r="M1" s="6" t="s">
        <v>10</v>
      </c>
      <c r="N1" s="33" t="s">
        <v>11</v>
      </c>
      <c r="P1" s="30" t="s">
        <v>12</v>
      </c>
      <c r="Q1" s="34" t="s">
        <v>13</v>
      </c>
      <c r="S1" s="25" t="s">
        <v>14</v>
      </c>
      <c r="T1" s="79" t="s">
        <v>42</v>
      </c>
      <c r="U1" s="25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67" t="s">
        <v>20</v>
      </c>
      <c r="AA1" s="82" t="s">
        <v>21</v>
      </c>
      <c r="AB1" s="82"/>
      <c r="AC1" s="82"/>
      <c r="AD1" s="17"/>
      <c r="AF1" s="63"/>
      <c r="AG1" s="63"/>
      <c r="AH1" s="63"/>
      <c r="AI1" s="26" t="s">
        <v>22</v>
      </c>
      <c r="AJ1" s="17"/>
      <c r="AK1" s="17"/>
      <c r="AL1" s="17"/>
      <c r="AM1" s="17"/>
      <c r="AO1" s="17"/>
      <c r="AP1" s="63"/>
      <c r="AQ1" s="63"/>
      <c r="AR1" s="63"/>
      <c r="AS1" s="63"/>
      <c r="AT1" s="17"/>
      <c r="AU1" s="17"/>
      <c r="AV1" s="17"/>
      <c r="AW1" s="17"/>
    </row>
    <row r="2" spans="1:49">
      <c r="A2" s="2">
        <v>1</v>
      </c>
      <c r="B2" s="38"/>
      <c r="C2" s="54"/>
      <c r="D2" s="58"/>
      <c r="E2" s="71"/>
      <c r="F2" s="39"/>
      <c r="G2" s="75"/>
      <c r="H2" s="40">
        <f>(B2+F2)</f>
        <v>0</v>
      </c>
      <c r="I2" s="12">
        <f>C2+E2</f>
        <v>0</v>
      </c>
      <c r="J2" s="10"/>
      <c r="K2" s="45"/>
      <c r="L2" s="46"/>
      <c r="M2" s="47"/>
      <c r="N2" s="16">
        <f>B2+L2+F2+K2+M2</f>
        <v>0</v>
      </c>
      <c r="P2" s="31"/>
      <c r="Q2" s="32">
        <f>P2</f>
        <v>0</v>
      </c>
      <c r="S2" s="66"/>
      <c r="T2" s="80"/>
      <c r="U2" s="66">
        <f>B2-D2-T2</f>
        <v>0</v>
      </c>
      <c r="V2" s="66"/>
      <c r="W2" s="66"/>
      <c r="X2" s="66"/>
      <c r="Y2" s="66"/>
      <c r="Z2" s="68">
        <f>S2+U2+V2-W2-X2+Y2</f>
        <v>0</v>
      </c>
      <c r="AA2" s="28"/>
      <c r="AD2" s="62"/>
      <c r="AE2" s="28"/>
      <c r="AF2" s="20"/>
      <c r="AG2" s="20"/>
      <c r="AH2" s="20"/>
      <c r="AI2" s="20"/>
      <c r="AJ2" s="20"/>
      <c r="AK2" s="20"/>
      <c r="AL2" s="64"/>
      <c r="AM2" s="20"/>
    </row>
    <row r="3" spans="1:49">
      <c r="A3" s="2">
        <v>2</v>
      </c>
      <c r="B3" s="38"/>
      <c r="C3" s="54"/>
      <c r="D3" s="58"/>
      <c r="E3" s="71"/>
      <c r="F3" s="39"/>
      <c r="G3" s="75"/>
      <c r="H3" s="40">
        <f t="shared" ref="H3:H32" si="0">(B3+F3)</f>
        <v>0</v>
      </c>
      <c r="I3" s="12">
        <f t="shared" ref="I3:I32" si="1">C3+E3</f>
        <v>0</v>
      </c>
      <c r="J3" s="1"/>
      <c r="K3" s="45"/>
      <c r="L3" s="49"/>
      <c r="M3" s="50"/>
      <c r="N3" s="16">
        <f>B3+L3+F3+K3+M3</f>
        <v>0</v>
      </c>
      <c r="P3" s="31"/>
      <c r="Q3" s="32">
        <f t="shared" ref="Q3:Q32" si="2">P3</f>
        <v>0</v>
      </c>
      <c r="S3" s="66">
        <f>Z2</f>
        <v>0</v>
      </c>
      <c r="T3" s="80"/>
      <c r="U3" s="66">
        <f>B3-D3-T3</f>
        <v>0</v>
      </c>
      <c r="V3" s="66"/>
      <c r="W3" s="66"/>
      <c r="X3" s="66"/>
      <c r="Y3" s="66"/>
      <c r="Z3" s="68">
        <f t="shared" ref="Z3:Z32" si="3">S3+U3+V3-W3-X3+Y3</f>
        <v>0</v>
      </c>
      <c r="AA3" s="28"/>
      <c r="AD3" s="62"/>
      <c r="AE3" s="28"/>
      <c r="AF3" s="20"/>
      <c r="AG3" s="20"/>
      <c r="AH3" s="20"/>
      <c r="AI3" s="20"/>
      <c r="AJ3" s="20"/>
      <c r="AK3" s="20"/>
      <c r="AL3" s="64"/>
      <c r="AM3" s="20"/>
    </row>
    <row r="4" spans="1:49">
      <c r="A4" s="2">
        <v>3</v>
      </c>
      <c r="B4" s="41"/>
      <c r="C4" s="55"/>
      <c r="D4" s="59"/>
      <c r="E4" s="72"/>
      <c r="F4" s="42"/>
      <c r="G4" s="75"/>
      <c r="H4" s="40">
        <f t="shared" si="0"/>
        <v>0</v>
      </c>
      <c r="I4" s="12">
        <f t="shared" si="1"/>
        <v>0</v>
      </c>
      <c r="J4" s="1"/>
      <c r="K4" s="48"/>
      <c r="L4" s="49"/>
      <c r="M4" s="50"/>
      <c r="N4" s="16">
        <f t="shared" ref="N4:N32" si="4">B4+L4+F4+K4+M4</f>
        <v>0</v>
      </c>
      <c r="P4" s="31"/>
      <c r="Q4" s="32">
        <f t="shared" si="2"/>
        <v>0</v>
      </c>
      <c r="S4" s="66">
        <f t="shared" ref="S4:S32" si="5">Z3</f>
        <v>0</v>
      </c>
      <c r="T4" s="80"/>
      <c r="U4" s="66">
        <f t="shared" ref="U4:U32" si="6">B4-D4</f>
        <v>0</v>
      </c>
      <c r="V4" s="66"/>
      <c r="W4" s="66"/>
      <c r="X4" s="66"/>
      <c r="Y4" s="66"/>
      <c r="Z4" s="68">
        <f t="shared" si="3"/>
        <v>0</v>
      </c>
      <c r="AA4" s="28"/>
      <c r="AD4" s="62"/>
      <c r="AE4" s="28"/>
      <c r="AF4" s="20"/>
      <c r="AG4" s="20"/>
      <c r="AH4" s="20"/>
      <c r="AI4" s="20"/>
      <c r="AJ4" s="20"/>
      <c r="AK4" s="20"/>
      <c r="AL4" s="65"/>
      <c r="AM4" s="20"/>
    </row>
    <row r="5" spans="1:49">
      <c r="A5" s="2">
        <v>4</v>
      </c>
      <c r="B5" s="38"/>
      <c r="C5" s="54"/>
      <c r="D5" s="58"/>
      <c r="E5" s="71"/>
      <c r="F5" s="39"/>
      <c r="G5" s="75"/>
      <c r="H5" s="40">
        <f t="shared" si="0"/>
        <v>0</v>
      </c>
      <c r="I5" s="12">
        <f t="shared" si="1"/>
        <v>0</v>
      </c>
      <c r="J5" s="1"/>
      <c r="K5" s="48"/>
      <c r="L5" s="49"/>
      <c r="M5" s="50"/>
      <c r="N5" s="16">
        <f t="shared" si="4"/>
        <v>0</v>
      </c>
      <c r="P5" s="31"/>
      <c r="Q5" s="32">
        <f t="shared" si="2"/>
        <v>0</v>
      </c>
      <c r="S5" s="66">
        <f t="shared" si="5"/>
        <v>0</v>
      </c>
      <c r="T5" s="80"/>
      <c r="U5" s="66">
        <f t="shared" si="6"/>
        <v>0</v>
      </c>
      <c r="V5" s="66"/>
      <c r="W5" s="66"/>
      <c r="X5" s="66"/>
      <c r="Y5" s="66"/>
      <c r="Z5" s="68">
        <f t="shared" si="3"/>
        <v>0</v>
      </c>
      <c r="AA5" s="28"/>
      <c r="AB5" t="s">
        <v>24</v>
      </c>
      <c r="AD5" s="62"/>
      <c r="AE5" s="28"/>
      <c r="AF5" s="20"/>
      <c r="AG5" s="20"/>
      <c r="AH5" s="20"/>
      <c r="AI5" s="20"/>
      <c r="AJ5" s="20"/>
      <c r="AK5" s="20"/>
      <c r="AL5" s="65"/>
      <c r="AM5" s="20"/>
    </row>
    <row r="6" spans="1:49">
      <c r="A6" s="2">
        <v>5</v>
      </c>
      <c r="B6" s="38"/>
      <c r="C6" s="54"/>
      <c r="D6" s="58"/>
      <c r="E6" s="71"/>
      <c r="F6" s="39"/>
      <c r="G6" s="75"/>
      <c r="H6" s="40">
        <f t="shared" si="0"/>
        <v>0</v>
      </c>
      <c r="I6" s="12">
        <f t="shared" si="1"/>
        <v>0</v>
      </c>
      <c r="J6" s="1"/>
      <c r="K6" s="45"/>
      <c r="L6" s="49"/>
      <c r="M6" s="50"/>
      <c r="N6" s="16">
        <f t="shared" si="4"/>
        <v>0</v>
      </c>
      <c r="P6" s="31"/>
      <c r="Q6" s="32">
        <f t="shared" si="2"/>
        <v>0</v>
      </c>
      <c r="S6" s="66">
        <f t="shared" si="5"/>
        <v>0</v>
      </c>
      <c r="T6" s="80"/>
      <c r="U6" s="66">
        <f t="shared" si="6"/>
        <v>0</v>
      </c>
      <c r="V6" s="66"/>
      <c r="W6" s="66"/>
      <c r="X6" s="66"/>
      <c r="Y6" s="66"/>
      <c r="Z6" s="68">
        <f t="shared" si="3"/>
        <v>0</v>
      </c>
      <c r="AA6" s="28"/>
      <c r="AB6" t="s">
        <v>43</v>
      </c>
      <c r="AD6" s="62"/>
      <c r="AE6" s="28"/>
      <c r="AF6" s="20"/>
      <c r="AG6" s="20"/>
      <c r="AH6" s="20"/>
      <c r="AI6" s="20"/>
      <c r="AJ6" s="20"/>
      <c r="AK6" s="20"/>
      <c r="AL6" s="64"/>
      <c r="AM6" s="20"/>
    </row>
    <row r="7" spans="1:49">
      <c r="A7" s="2">
        <v>6</v>
      </c>
      <c r="B7" s="41"/>
      <c r="C7" s="55"/>
      <c r="D7" s="59"/>
      <c r="E7" s="72"/>
      <c r="F7" s="42"/>
      <c r="G7" s="75"/>
      <c r="H7" s="40">
        <f t="shared" si="0"/>
        <v>0</v>
      </c>
      <c r="I7" s="12">
        <f t="shared" si="1"/>
        <v>0</v>
      </c>
      <c r="J7" s="1"/>
      <c r="K7" s="48"/>
      <c r="L7" s="49"/>
      <c r="M7" s="50"/>
      <c r="N7" s="16">
        <f t="shared" si="4"/>
        <v>0</v>
      </c>
      <c r="P7" s="31"/>
      <c r="Q7" s="32">
        <f t="shared" si="2"/>
        <v>0</v>
      </c>
      <c r="S7" s="66">
        <f t="shared" si="5"/>
        <v>0</v>
      </c>
      <c r="T7" s="80"/>
      <c r="U7" s="66">
        <f t="shared" si="6"/>
        <v>0</v>
      </c>
      <c r="V7" s="66"/>
      <c r="W7" s="66"/>
      <c r="X7" s="66"/>
      <c r="Y7" s="66"/>
      <c r="Z7" s="68">
        <f t="shared" si="3"/>
        <v>0</v>
      </c>
      <c r="AA7" s="28"/>
      <c r="AB7" t="s">
        <v>44</v>
      </c>
      <c r="AD7" s="62"/>
      <c r="AE7" s="28"/>
      <c r="AF7" s="20"/>
      <c r="AG7" s="20"/>
      <c r="AH7" s="20"/>
      <c r="AI7" s="20"/>
      <c r="AJ7" s="20"/>
      <c r="AK7" s="20"/>
      <c r="AL7" s="64"/>
      <c r="AM7" s="20"/>
    </row>
    <row r="8" spans="1:49">
      <c r="A8" s="2">
        <v>7</v>
      </c>
      <c r="B8" s="41"/>
      <c r="C8" s="55"/>
      <c r="D8" s="59"/>
      <c r="E8" s="72"/>
      <c r="F8" s="42"/>
      <c r="G8" s="75"/>
      <c r="H8" s="40">
        <f t="shared" si="0"/>
        <v>0</v>
      </c>
      <c r="I8" s="12">
        <f t="shared" si="1"/>
        <v>0</v>
      </c>
      <c r="J8" s="1"/>
      <c r="K8" s="48"/>
      <c r="L8" s="49"/>
      <c r="M8" s="50"/>
      <c r="N8" s="16">
        <f t="shared" si="4"/>
        <v>0</v>
      </c>
      <c r="P8" s="31"/>
      <c r="Q8" s="32">
        <f t="shared" si="2"/>
        <v>0</v>
      </c>
      <c r="S8" s="66">
        <f t="shared" si="5"/>
        <v>0</v>
      </c>
      <c r="T8" s="80"/>
      <c r="U8" s="66">
        <f t="shared" si="6"/>
        <v>0</v>
      </c>
      <c r="V8" s="66"/>
      <c r="W8" s="66"/>
      <c r="X8" s="66"/>
      <c r="Y8" s="66"/>
      <c r="Z8" s="68">
        <f t="shared" si="3"/>
        <v>0</v>
      </c>
      <c r="AA8" s="28"/>
      <c r="AD8" s="62"/>
      <c r="AE8" s="28"/>
      <c r="AF8" s="20"/>
      <c r="AG8" s="20"/>
      <c r="AH8" s="20"/>
      <c r="AI8" s="20"/>
      <c r="AJ8" s="20"/>
      <c r="AK8" s="20"/>
      <c r="AL8" s="64"/>
      <c r="AM8" s="20"/>
    </row>
    <row r="9" spans="1:49">
      <c r="A9" s="2">
        <v>8</v>
      </c>
      <c r="B9" s="41"/>
      <c r="C9" s="55"/>
      <c r="D9" s="59"/>
      <c r="E9" s="72"/>
      <c r="F9" s="42"/>
      <c r="G9" s="75"/>
      <c r="H9" s="40">
        <f t="shared" si="0"/>
        <v>0</v>
      </c>
      <c r="I9" s="12">
        <f t="shared" si="1"/>
        <v>0</v>
      </c>
      <c r="J9" s="1"/>
      <c r="K9" s="48"/>
      <c r="L9" s="49"/>
      <c r="M9" s="50"/>
      <c r="N9" s="16">
        <f t="shared" si="4"/>
        <v>0</v>
      </c>
      <c r="P9" s="31"/>
      <c r="Q9" s="32">
        <f t="shared" si="2"/>
        <v>0</v>
      </c>
      <c r="S9" s="66">
        <f t="shared" si="5"/>
        <v>0</v>
      </c>
      <c r="T9" s="80"/>
      <c r="U9" s="66">
        <f t="shared" si="6"/>
        <v>0</v>
      </c>
      <c r="V9" s="66"/>
      <c r="W9" s="66"/>
      <c r="X9" s="66"/>
      <c r="Y9" s="66"/>
      <c r="Z9" s="68">
        <f t="shared" si="3"/>
        <v>0</v>
      </c>
      <c r="AA9" s="28"/>
      <c r="AD9" s="62"/>
      <c r="AE9" s="28"/>
      <c r="AF9" s="20"/>
      <c r="AG9" s="20"/>
      <c r="AH9" s="20"/>
      <c r="AI9" s="20"/>
      <c r="AJ9" s="20"/>
      <c r="AK9" s="20"/>
      <c r="AL9" s="64"/>
      <c r="AM9" s="20"/>
    </row>
    <row r="10" spans="1:49">
      <c r="A10" s="2">
        <v>9</v>
      </c>
      <c r="B10" s="41"/>
      <c r="C10" s="55"/>
      <c r="D10" s="59"/>
      <c r="E10" s="72"/>
      <c r="F10" s="42"/>
      <c r="G10" s="75"/>
      <c r="H10" s="40">
        <f t="shared" si="0"/>
        <v>0</v>
      </c>
      <c r="I10" s="12">
        <f t="shared" si="1"/>
        <v>0</v>
      </c>
      <c r="J10" s="1"/>
      <c r="K10" s="48"/>
      <c r="L10" s="49"/>
      <c r="M10" s="50"/>
      <c r="N10" s="16">
        <f t="shared" si="4"/>
        <v>0</v>
      </c>
      <c r="P10" s="31"/>
      <c r="Q10" s="32">
        <f t="shared" si="2"/>
        <v>0</v>
      </c>
      <c r="S10" s="66">
        <f t="shared" si="5"/>
        <v>0</v>
      </c>
      <c r="T10" s="80"/>
      <c r="U10" s="66">
        <f t="shared" si="6"/>
        <v>0</v>
      </c>
      <c r="V10" s="66"/>
      <c r="W10" s="66"/>
      <c r="X10" s="66"/>
      <c r="Y10" s="66"/>
      <c r="Z10" s="68">
        <f t="shared" si="3"/>
        <v>0</v>
      </c>
      <c r="AA10" s="28"/>
      <c r="AB10" t="s">
        <v>45</v>
      </c>
      <c r="AD10" s="62"/>
      <c r="AE10" s="28"/>
      <c r="AF10" s="20"/>
      <c r="AG10" s="20"/>
      <c r="AH10" s="20"/>
      <c r="AI10" s="20"/>
      <c r="AJ10" s="20"/>
      <c r="AK10" s="20"/>
      <c r="AL10" s="65"/>
      <c r="AM10" s="20"/>
    </row>
    <row r="11" spans="1:49">
      <c r="A11" s="2">
        <v>10</v>
      </c>
      <c r="B11" s="41"/>
      <c r="C11" s="55"/>
      <c r="D11" s="59"/>
      <c r="E11" s="72"/>
      <c r="F11" s="42"/>
      <c r="G11" s="75"/>
      <c r="H11" s="40">
        <f t="shared" si="0"/>
        <v>0</v>
      </c>
      <c r="I11" s="12">
        <f t="shared" si="1"/>
        <v>0</v>
      </c>
      <c r="J11" s="1"/>
      <c r="K11" s="48"/>
      <c r="L11" s="49"/>
      <c r="M11" s="50"/>
      <c r="N11" s="16">
        <f t="shared" si="4"/>
        <v>0</v>
      </c>
      <c r="P11" s="31"/>
      <c r="Q11" s="32">
        <f t="shared" si="2"/>
        <v>0</v>
      </c>
      <c r="S11" s="66">
        <f t="shared" si="5"/>
        <v>0</v>
      </c>
      <c r="T11" s="80"/>
      <c r="U11" s="66">
        <f t="shared" si="6"/>
        <v>0</v>
      </c>
      <c r="V11" s="66"/>
      <c r="W11" s="66"/>
      <c r="X11" s="66"/>
      <c r="Y11" s="66"/>
      <c r="Z11" s="68">
        <f t="shared" si="3"/>
        <v>0</v>
      </c>
      <c r="AA11" s="28"/>
      <c r="AB11" t="s">
        <v>29</v>
      </c>
      <c r="AD11" s="62"/>
      <c r="AE11" s="28"/>
      <c r="AF11" s="20"/>
      <c r="AG11" s="20"/>
      <c r="AH11" s="20"/>
      <c r="AI11" s="20"/>
      <c r="AJ11" s="20"/>
      <c r="AK11" s="20"/>
      <c r="AL11" s="65"/>
      <c r="AM11" s="20"/>
    </row>
    <row r="12" spans="1:49">
      <c r="A12" s="2">
        <v>11</v>
      </c>
      <c r="B12" s="41"/>
      <c r="C12" s="55"/>
      <c r="D12" s="59"/>
      <c r="E12" s="72"/>
      <c r="F12" s="42"/>
      <c r="G12" s="75"/>
      <c r="H12" s="40">
        <f t="shared" si="0"/>
        <v>0</v>
      </c>
      <c r="I12" s="12">
        <f t="shared" si="1"/>
        <v>0</v>
      </c>
      <c r="J12" s="1"/>
      <c r="K12" s="48"/>
      <c r="L12" s="49"/>
      <c r="M12" s="50"/>
      <c r="N12" s="16">
        <f t="shared" si="4"/>
        <v>0</v>
      </c>
      <c r="P12" s="31"/>
      <c r="Q12" s="32">
        <f t="shared" si="2"/>
        <v>0</v>
      </c>
      <c r="S12" s="66">
        <f t="shared" si="5"/>
        <v>0</v>
      </c>
      <c r="T12" s="80"/>
      <c r="U12" s="66">
        <f t="shared" si="6"/>
        <v>0</v>
      </c>
      <c r="V12" s="66"/>
      <c r="W12" s="66"/>
      <c r="X12" s="66"/>
      <c r="Y12" s="66"/>
      <c r="Z12" s="68">
        <f t="shared" si="3"/>
        <v>0</v>
      </c>
      <c r="AA12" s="28"/>
      <c r="AB12" t="s">
        <v>24</v>
      </c>
      <c r="AD12" s="62"/>
      <c r="AE12" s="28"/>
      <c r="AF12" s="20"/>
      <c r="AG12" s="20"/>
      <c r="AH12" s="20"/>
      <c r="AI12" s="20"/>
      <c r="AJ12" s="20"/>
      <c r="AK12" s="20"/>
      <c r="AL12" s="65"/>
      <c r="AM12" s="20"/>
    </row>
    <row r="13" spans="1:49">
      <c r="A13" s="2">
        <v>12</v>
      </c>
      <c r="B13" s="41"/>
      <c r="C13" s="55"/>
      <c r="D13" s="59"/>
      <c r="E13" s="72"/>
      <c r="F13" s="42"/>
      <c r="G13" s="75"/>
      <c r="H13" s="40">
        <f t="shared" si="0"/>
        <v>0</v>
      </c>
      <c r="I13" s="12">
        <f t="shared" si="1"/>
        <v>0</v>
      </c>
      <c r="J13" s="1"/>
      <c r="K13" s="48"/>
      <c r="L13" s="49"/>
      <c r="M13" s="50"/>
      <c r="N13" s="16">
        <f t="shared" si="4"/>
        <v>0</v>
      </c>
      <c r="P13" s="31"/>
      <c r="Q13" s="32">
        <f t="shared" si="2"/>
        <v>0</v>
      </c>
      <c r="S13" s="66">
        <f t="shared" si="5"/>
        <v>0</v>
      </c>
      <c r="T13" s="80"/>
      <c r="U13" s="66">
        <f t="shared" si="6"/>
        <v>0</v>
      </c>
      <c r="V13" s="66"/>
      <c r="W13" s="66"/>
      <c r="X13" s="66"/>
      <c r="Y13" s="66"/>
      <c r="Z13" s="68">
        <f t="shared" si="3"/>
        <v>0</v>
      </c>
      <c r="AA13" s="28"/>
      <c r="AB13" t="s">
        <v>24</v>
      </c>
      <c r="AD13" s="62"/>
      <c r="AE13" s="28"/>
      <c r="AF13" s="20"/>
      <c r="AG13" s="20"/>
      <c r="AH13" s="20"/>
      <c r="AI13" s="20"/>
      <c r="AJ13" s="20"/>
      <c r="AK13" s="20"/>
      <c r="AL13" s="65"/>
      <c r="AM13" s="20"/>
    </row>
    <row r="14" spans="1:49">
      <c r="A14" s="2">
        <v>13</v>
      </c>
      <c r="B14" s="41"/>
      <c r="C14" s="55"/>
      <c r="D14" s="59"/>
      <c r="E14" s="72"/>
      <c r="F14" s="42"/>
      <c r="G14" s="75"/>
      <c r="H14" s="40">
        <f t="shared" si="0"/>
        <v>0</v>
      </c>
      <c r="I14" s="12">
        <f t="shared" si="1"/>
        <v>0</v>
      </c>
      <c r="J14" s="1"/>
      <c r="K14" s="48"/>
      <c r="L14" s="49"/>
      <c r="M14" s="50"/>
      <c r="N14" s="16">
        <f t="shared" si="4"/>
        <v>0</v>
      </c>
      <c r="P14" s="31"/>
      <c r="Q14" s="32">
        <f t="shared" si="2"/>
        <v>0</v>
      </c>
      <c r="S14" s="66">
        <f t="shared" si="5"/>
        <v>0</v>
      </c>
      <c r="T14" s="80"/>
      <c r="U14" s="66">
        <f t="shared" si="6"/>
        <v>0</v>
      </c>
      <c r="V14" s="66"/>
      <c r="W14" s="66"/>
      <c r="X14" s="66"/>
      <c r="Y14" s="66"/>
      <c r="Z14" s="68">
        <f t="shared" si="3"/>
        <v>0</v>
      </c>
      <c r="AA14" s="28"/>
      <c r="AB14" t="s">
        <v>24</v>
      </c>
      <c r="AD14" s="62"/>
      <c r="AE14" s="28"/>
      <c r="AF14" s="20"/>
      <c r="AG14" s="20"/>
      <c r="AH14" s="20"/>
      <c r="AI14" s="20"/>
      <c r="AJ14" s="20"/>
      <c r="AK14" s="20"/>
      <c r="AL14" s="65"/>
      <c r="AM14" s="20"/>
    </row>
    <row r="15" spans="1:49">
      <c r="A15" s="2">
        <v>14</v>
      </c>
      <c r="B15" s="41"/>
      <c r="C15" s="55"/>
      <c r="D15" s="59"/>
      <c r="E15" s="72"/>
      <c r="F15" s="42"/>
      <c r="G15" s="75"/>
      <c r="H15" s="40">
        <f t="shared" si="0"/>
        <v>0</v>
      </c>
      <c r="I15" s="12">
        <f t="shared" si="1"/>
        <v>0</v>
      </c>
      <c r="J15" s="1"/>
      <c r="K15" s="48"/>
      <c r="L15" s="49"/>
      <c r="M15" s="50"/>
      <c r="N15" s="16">
        <f t="shared" si="4"/>
        <v>0</v>
      </c>
      <c r="P15" s="31"/>
      <c r="Q15" s="32">
        <f t="shared" si="2"/>
        <v>0</v>
      </c>
      <c r="S15" s="66">
        <f t="shared" si="5"/>
        <v>0</v>
      </c>
      <c r="T15" s="80"/>
      <c r="U15" s="66">
        <f t="shared" si="6"/>
        <v>0</v>
      </c>
      <c r="V15" s="66"/>
      <c r="W15" s="66"/>
      <c r="X15" s="66"/>
      <c r="Y15" s="66"/>
      <c r="Z15" s="68">
        <f t="shared" si="3"/>
        <v>0</v>
      </c>
      <c r="AA15" s="28"/>
      <c r="AD15" s="62"/>
      <c r="AE15" s="28"/>
      <c r="AF15" s="20"/>
      <c r="AG15" s="20"/>
      <c r="AH15" s="20"/>
      <c r="AI15" s="20"/>
      <c r="AJ15" s="20"/>
      <c r="AK15" s="20"/>
      <c r="AL15" s="65"/>
      <c r="AM15" s="20"/>
    </row>
    <row r="16" spans="1:49">
      <c r="A16" s="2">
        <v>15</v>
      </c>
      <c r="B16" s="41"/>
      <c r="C16" s="55"/>
      <c r="D16" s="59"/>
      <c r="E16" s="72"/>
      <c r="F16" s="42"/>
      <c r="G16" s="75"/>
      <c r="H16" s="40">
        <f t="shared" si="0"/>
        <v>0</v>
      </c>
      <c r="I16" s="12">
        <f t="shared" si="1"/>
        <v>0</v>
      </c>
      <c r="J16" s="1"/>
      <c r="K16" s="48"/>
      <c r="L16" s="49"/>
      <c r="M16" s="50"/>
      <c r="N16" s="16">
        <f t="shared" si="4"/>
        <v>0</v>
      </c>
      <c r="P16" s="31"/>
      <c r="Q16" s="32">
        <f t="shared" si="2"/>
        <v>0</v>
      </c>
      <c r="S16" s="66">
        <f t="shared" si="5"/>
        <v>0</v>
      </c>
      <c r="T16" s="80"/>
      <c r="U16" s="66">
        <f t="shared" si="6"/>
        <v>0</v>
      </c>
      <c r="V16" s="66"/>
      <c r="W16" s="66"/>
      <c r="X16" s="66"/>
      <c r="Y16" s="66"/>
      <c r="Z16" s="68">
        <f t="shared" si="3"/>
        <v>0</v>
      </c>
      <c r="AA16" s="28"/>
      <c r="AD16" s="62"/>
      <c r="AE16" s="28"/>
      <c r="AF16" s="20"/>
      <c r="AG16" s="20"/>
      <c r="AH16" s="20"/>
      <c r="AI16" s="20"/>
      <c r="AJ16" s="20"/>
      <c r="AK16" s="20"/>
      <c r="AL16" s="65"/>
      <c r="AM16" s="20"/>
    </row>
    <row r="17" spans="1:39">
      <c r="A17" s="2">
        <v>16</v>
      </c>
      <c r="B17" s="41"/>
      <c r="C17" s="55"/>
      <c r="D17" s="59"/>
      <c r="E17" s="72"/>
      <c r="F17" s="42"/>
      <c r="G17" s="75"/>
      <c r="H17" s="40">
        <f t="shared" si="0"/>
        <v>0</v>
      </c>
      <c r="I17" s="12">
        <f t="shared" si="1"/>
        <v>0</v>
      </c>
      <c r="J17" s="1"/>
      <c r="K17" s="48"/>
      <c r="L17" s="49"/>
      <c r="M17" s="50"/>
      <c r="N17" s="16">
        <f t="shared" si="4"/>
        <v>0</v>
      </c>
      <c r="P17" s="31"/>
      <c r="Q17" s="32">
        <f t="shared" si="2"/>
        <v>0</v>
      </c>
      <c r="S17" s="66">
        <f t="shared" si="5"/>
        <v>0</v>
      </c>
      <c r="T17" s="80"/>
      <c r="U17" s="66">
        <f t="shared" si="6"/>
        <v>0</v>
      </c>
      <c r="V17" s="66"/>
      <c r="W17" s="66"/>
      <c r="X17" s="66"/>
      <c r="Y17" s="66"/>
      <c r="Z17" s="68">
        <f t="shared" si="3"/>
        <v>0</v>
      </c>
      <c r="AA17" s="28"/>
      <c r="AB17" t="s">
        <v>24</v>
      </c>
      <c r="AD17" s="62"/>
      <c r="AE17" s="28"/>
      <c r="AF17" s="20"/>
      <c r="AG17" s="20"/>
      <c r="AH17" s="20"/>
      <c r="AI17" s="20"/>
      <c r="AJ17" s="20"/>
      <c r="AK17" s="20"/>
      <c r="AL17" s="65"/>
      <c r="AM17" s="20"/>
    </row>
    <row r="18" spans="1:39">
      <c r="A18" s="2">
        <v>17</v>
      </c>
      <c r="B18" s="41"/>
      <c r="C18" s="55"/>
      <c r="D18" s="59"/>
      <c r="E18" s="72"/>
      <c r="F18" s="42"/>
      <c r="G18" s="75"/>
      <c r="H18" s="40">
        <f t="shared" si="0"/>
        <v>0</v>
      </c>
      <c r="I18" s="12">
        <f t="shared" si="1"/>
        <v>0</v>
      </c>
      <c r="J18" s="1"/>
      <c r="K18" s="48"/>
      <c r="L18" s="49"/>
      <c r="M18" s="50"/>
      <c r="N18" s="16">
        <f t="shared" si="4"/>
        <v>0</v>
      </c>
      <c r="P18" s="31"/>
      <c r="Q18" s="32">
        <f t="shared" si="2"/>
        <v>0</v>
      </c>
      <c r="S18" s="66">
        <f t="shared" si="5"/>
        <v>0</v>
      </c>
      <c r="T18" s="80"/>
      <c r="U18" s="66">
        <f t="shared" si="6"/>
        <v>0</v>
      </c>
      <c r="V18" s="66"/>
      <c r="W18" s="66"/>
      <c r="X18" s="66"/>
      <c r="Y18" s="66"/>
      <c r="Z18" s="68">
        <f t="shared" si="3"/>
        <v>0</v>
      </c>
      <c r="AA18" s="28"/>
      <c r="AB18" t="s">
        <v>24</v>
      </c>
      <c r="AD18" s="62"/>
      <c r="AE18" s="28"/>
      <c r="AF18" s="20"/>
      <c r="AG18" s="20"/>
      <c r="AH18" s="20"/>
      <c r="AI18" s="20"/>
      <c r="AJ18" s="20"/>
      <c r="AK18" s="20"/>
      <c r="AL18" s="65"/>
      <c r="AM18" s="20"/>
    </row>
    <row r="19" spans="1:39">
      <c r="A19" s="2">
        <v>18</v>
      </c>
      <c r="B19" s="41"/>
      <c r="C19" s="55"/>
      <c r="D19" s="59"/>
      <c r="E19" s="72"/>
      <c r="F19" s="42"/>
      <c r="G19" s="75"/>
      <c r="H19" s="40">
        <f t="shared" si="0"/>
        <v>0</v>
      </c>
      <c r="I19" s="12">
        <f t="shared" si="1"/>
        <v>0</v>
      </c>
      <c r="J19" s="1"/>
      <c r="K19" s="48"/>
      <c r="L19" s="49"/>
      <c r="M19" s="50"/>
      <c r="N19" s="16">
        <f t="shared" si="4"/>
        <v>0</v>
      </c>
      <c r="P19" s="31"/>
      <c r="Q19" s="32">
        <f t="shared" si="2"/>
        <v>0</v>
      </c>
      <c r="S19" s="66">
        <f t="shared" si="5"/>
        <v>0</v>
      </c>
      <c r="T19" s="80"/>
      <c r="U19" s="66">
        <f t="shared" si="6"/>
        <v>0</v>
      </c>
      <c r="V19" s="66"/>
      <c r="W19" s="66"/>
      <c r="X19" s="66"/>
      <c r="Y19" s="66"/>
      <c r="Z19" s="68">
        <f t="shared" si="3"/>
        <v>0</v>
      </c>
      <c r="AA19" s="28"/>
      <c r="AD19" s="62"/>
      <c r="AE19" s="28"/>
      <c r="AF19" s="20"/>
      <c r="AG19" s="20"/>
      <c r="AH19" s="20"/>
      <c r="AI19" s="20"/>
      <c r="AJ19" s="20"/>
      <c r="AK19" s="20"/>
      <c r="AL19" s="65"/>
      <c r="AM19" s="20"/>
    </row>
    <row r="20" spans="1:39">
      <c r="A20" s="2">
        <v>19</v>
      </c>
      <c r="B20" s="41"/>
      <c r="C20" s="55"/>
      <c r="D20" s="59"/>
      <c r="E20" s="72"/>
      <c r="F20" s="42"/>
      <c r="G20" s="75"/>
      <c r="H20" s="40">
        <f t="shared" si="0"/>
        <v>0</v>
      </c>
      <c r="I20" s="12">
        <f t="shared" si="1"/>
        <v>0</v>
      </c>
      <c r="J20" s="1"/>
      <c r="K20" s="48"/>
      <c r="L20" s="49"/>
      <c r="M20" s="50"/>
      <c r="N20" s="16">
        <f t="shared" si="4"/>
        <v>0</v>
      </c>
      <c r="P20" s="31"/>
      <c r="Q20" s="32">
        <v>0</v>
      </c>
      <c r="S20" s="66">
        <f t="shared" si="5"/>
        <v>0</v>
      </c>
      <c r="T20" s="80"/>
      <c r="U20" s="66">
        <f t="shared" si="6"/>
        <v>0</v>
      </c>
      <c r="V20" s="66"/>
      <c r="W20" s="66"/>
      <c r="X20" s="66"/>
      <c r="Y20" s="66"/>
      <c r="Z20" s="68">
        <f t="shared" si="3"/>
        <v>0</v>
      </c>
      <c r="AA20" s="28"/>
      <c r="AD20" s="62"/>
      <c r="AE20" s="28"/>
      <c r="AF20" s="20"/>
      <c r="AG20" s="20"/>
      <c r="AH20" s="20"/>
      <c r="AI20" s="20"/>
      <c r="AJ20" s="20"/>
      <c r="AK20" s="20"/>
      <c r="AL20" s="65"/>
      <c r="AM20" s="20"/>
    </row>
    <row r="21" spans="1:39">
      <c r="A21" s="2">
        <v>20</v>
      </c>
      <c r="B21" s="41"/>
      <c r="C21" s="55"/>
      <c r="D21" s="59"/>
      <c r="E21" s="72"/>
      <c r="F21" s="42"/>
      <c r="G21" s="75"/>
      <c r="H21" s="40">
        <f t="shared" si="0"/>
        <v>0</v>
      </c>
      <c r="I21" s="12">
        <f t="shared" si="1"/>
        <v>0</v>
      </c>
      <c r="J21" s="1"/>
      <c r="K21" s="48"/>
      <c r="L21" s="49"/>
      <c r="M21" s="50"/>
      <c r="N21" s="16">
        <f t="shared" si="4"/>
        <v>0</v>
      </c>
      <c r="P21" s="31"/>
      <c r="Q21" s="32">
        <f t="shared" si="2"/>
        <v>0</v>
      </c>
      <c r="S21" s="66">
        <f t="shared" si="5"/>
        <v>0</v>
      </c>
      <c r="T21" s="80"/>
      <c r="U21" s="66">
        <f t="shared" si="6"/>
        <v>0</v>
      </c>
      <c r="V21" s="66"/>
      <c r="W21" s="66"/>
      <c r="X21" s="66"/>
      <c r="Y21" s="66"/>
      <c r="Z21" s="68">
        <f t="shared" si="3"/>
        <v>0</v>
      </c>
      <c r="AA21" s="28"/>
      <c r="AD21" s="62"/>
      <c r="AE21" s="28"/>
      <c r="AF21" s="20"/>
      <c r="AG21" s="20"/>
      <c r="AH21" s="20"/>
      <c r="AI21" s="20"/>
      <c r="AJ21" s="20"/>
      <c r="AK21" s="20"/>
      <c r="AL21" s="65"/>
      <c r="AM21" s="20"/>
    </row>
    <row r="22" spans="1:39">
      <c r="A22" s="2">
        <v>21</v>
      </c>
      <c r="B22" s="41"/>
      <c r="C22" s="55"/>
      <c r="D22" s="59"/>
      <c r="E22" s="72"/>
      <c r="F22" s="42"/>
      <c r="G22" s="75"/>
      <c r="H22" s="40">
        <f t="shared" si="0"/>
        <v>0</v>
      </c>
      <c r="I22" s="12">
        <f t="shared" si="1"/>
        <v>0</v>
      </c>
      <c r="J22" s="1"/>
      <c r="K22" s="48"/>
      <c r="L22" s="49"/>
      <c r="M22" s="50"/>
      <c r="N22" s="16">
        <f t="shared" si="4"/>
        <v>0</v>
      </c>
      <c r="P22" s="31"/>
      <c r="Q22" s="32">
        <v>0</v>
      </c>
      <c r="S22" s="66">
        <f t="shared" si="5"/>
        <v>0</v>
      </c>
      <c r="T22" s="80"/>
      <c r="U22" s="66">
        <f t="shared" si="6"/>
        <v>0</v>
      </c>
      <c r="V22" s="66"/>
      <c r="W22" s="66"/>
      <c r="X22" s="66"/>
      <c r="Y22" s="66"/>
      <c r="Z22" s="68">
        <f t="shared" si="3"/>
        <v>0</v>
      </c>
      <c r="AA22" s="28"/>
      <c r="AD22" s="62"/>
      <c r="AE22" s="28"/>
      <c r="AF22" s="20"/>
      <c r="AG22" s="20"/>
      <c r="AH22" s="20"/>
      <c r="AI22" s="20"/>
      <c r="AJ22" s="20"/>
      <c r="AK22" s="20"/>
      <c r="AL22" s="65"/>
      <c r="AM22" s="20"/>
    </row>
    <row r="23" spans="1:39">
      <c r="A23" s="2">
        <v>22</v>
      </c>
      <c r="B23" s="41"/>
      <c r="C23" s="55"/>
      <c r="D23" s="59"/>
      <c r="E23" s="72"/>
      <c r="F23" s="42"/>
      <c r="G23" s="75"/>
      <c r="H23" s="40">
        <f t="shared" si="0"/>
        <v>0</v>
      </c>
      <c r="I23" s="12">
        <f t="shared" si="1"/>
        <v>0</v>
      </c>
      <c r="J23" s="1"/>
      <c r="K23" s="48"/>
      <c r="L23" s="49"/>
      <c r="M23" s="50"/>
      <c r="N23" s="16">
        <f t="shared" si="4"/>
        <v>0</v>
      </c>
      <c r="P23" s="31"/>
      <c r="Q23" s="32">
        <v>0</v>
      </c>
      <c r="S23" s="66">
        <f t="shared" si="5"/>
        <v>0</v>
      </c>
      <c r="T23" s="80"/>
      <c r="U23" s="66">
        <f t="shared" si="6"/>
        <v>0</v>
      </c>
      <c r="V23" s="66"/>
      <c r="W23" s="66"/>
      <c r="X23" s="66"/>
      <c r="Y23" s="66"/>
      <c r="Z23" s="68">
        <f t="shared" si="3"/>
        <v>0</v>
      </c>
      <c r="AA23" s="28"/>
      <c r="AD23" s="62"/>
      <c r="AE23" s="28"/>
      <c r="AF23" s="20"/>
      <c r="AG23" s="20"/>
      <c r="AH23" s="20"/>
      <c r="AI23" s="20"/>
      <c r="AJ23" s="20"/>
      <c r="AK23" s="20"/>
      <c r="AL23" s="65"/>
      <c r="AM23" s="20"/>
    </row>
    <row r="24" spans="1:39">
      <c r="A24" s="2">
        <v>23</v>
      </c>
      <c r="B24" s="41"/>
      <c r="C24" s="55"/>
      <c r="D24" s="59"/>
      <c r="E24" s="72"/>
      <c r="F24" s="42"/>
      <c r="G24" s="75"/>
      <c r="H24" s="40">
        <f t="shared" si="0"/>
        <v>0</v>
      </c>
      <c r="I24" s="12">
        <f t="shared" si="1"/>
        <v>0</v>
      </c>
      <c r="J24" s="1"/>
      <c r="K24" s="48"/>
      <c r="L24" s="49"/>
      <c r="M24" s="50"/>
      <c r="N24" s="16">
        <f t="shared" si="4"/>
        <v>0</v>
      </c>
      <c r="P24" s="31"/>
      <c r="Q24" s="32">
        <f t="shared" si="2"/>
        <v>0</v>
      </c>
      <c r="S24" s="66">
        <f t="shared" si="5"/>
        <v>0</v>
      </c>
      <c r="T24" s="80"/>
      <c r="U24" s="66">
        <f t="shared" si="6"/>
        <v>0</v>
      </c>
      <c r="V24" s="66"/>
      <c r="W24" s="66"/>
      <c r="X24" s="66"/>
      <c r="Y24" s="66"/>
      <c r="Z24" s="68">
        <f t="shared" si="3"/>
        <v>0</v>
      </c>
      <c r="AA24" s="28"/>
      <c r="AD24" s="62"/>
      <c r="AE24" s="28"/>
      <c r="AF24" s="20"/>
      <c r="AG24" s="20"/>
      <c r="AH24" s="20"/>
      <c r="AI24" s="20"/>
      <c r="AJ24" s="20"/>
      <c r="AK24" s="20"/>
      <c r="AL24" s="65"/>
      <c r="AM24" s="20"/>
    </row>
    <row r="25" spans="1:39">
      <c r="A25" s="2">
        <v>24</v>
      </c>
      <c r="B25" s="41"/>
      <c r="C25" s="55"/>
      <c r="D25" s="59"/>
      <c r="E25" s="72"/>
      <c r="F25" s="42"/>
      <c r="G25" s="75"/>
      <c r="H25" s="40">
        <f t="shared" si="0"/>
        <v>0</v>
      </c>
      <c r="I25" s="12">
        <f t="shared" si="1"/>
        <v>0</v>
      </c>
      <c r="J25" s="1"/>
      <c r="K25" s="48"/>
      <c r="L25" s="49"/>
      <c r="M25" s="50"/>
      <c r="N25" s="16">
        <f t="shared" si="4"/>
        <v>0</v>
      </c>
      <c r="P25" s="31"/>
      <c r="Q25" s="32">
        <f t="shared" si="2"/>
        <v>0</v>
      </c>
      <c r="S25" s="66">
        <f t="shared" si="5"/>
        <v>0</v>
      </c>
      <c r="T25" s="80"/>
      <c r="U25" s="66">
        <f t="shared" si="6"/>
        <v>0</v>
      </c>
      <c r="V25" s="66"/>
      <c r="W25" s="66"/>
      <c r="X25" s="66"/>
      <c r="Y25" s="66"/>
      <c r="Z25" s="68">
        <f t="shared" si="3"/>
        <v>0</v>
      </c>
      <c r="AA25" s="28"/>
      <c r="AD25" s="62"/>
      <c r="AE25" s="28"/>
      <c r="AF25" s="20"/>
      <c r="AG25" s="20"/>
      <c r="AH25" s="20"/>
      <c r="AI25" s="20"/>
      <c r="AJ25" s="20"/>
      <c r="AK25" s="20"/>
      <c r="AL25" s="65"/>
      <c r="AM25" s="20"/>
    </row>
    <row r="26" spans="1:39">
      <c r="A26" s="2">
        <v>25</v>
      </c>
      <c r="B26" s="41"/>
      <c r="C26" s="55"/>
      <c r="D26" s="59"/>
      <c r="E26" s="72"/>
      <c r="F26" s="42"/>
      <c r="G26" s="75"/>
      <c r="H26" s="40">
        <f t="shared" si="0"/>
        <v>0</v>
      </c>
      <c r="I26" s="12">
        <f t="shared" si="1"/>
        <v>0</v>
      </c>
      <c r="J26" s="1"/>
      <c r="K26" s="48"/>
      <c r="L26" s="49"/>
      <c r="M26" s="50"/>
      <c r="N26" s="16">
        <f t="shared" si="4"/>
        <v>0</v>
      </c>
      <c r="P26" s="31"/>
      <c r="Q26" s="32">
        <v>0</v>
      </c>
      <c r="S26" s="66">
        <f t="shared" si="5"/>
        <v>0</v>
      </c>
      <c r="T26" s="80"/>
      <c r="U26" s="66">
        <f t="shared" si="6"/>
        <v>0</v>
      </c>
      <c r="V26" s="66"/>
      <c r="W26" s="66"/>
      <c r="X26" s="66"/>
      <c r="Y26" s="66"/>
      <c r="Z26" s="68">
        <f t="shared" si="3"/>
        <v>0</v>
      </c>
      <c r="AA26" s="28"/>
      <c r="AD26" s="62"/>
      <c r="AE26" s="28"/>
      <c r="AF26" s="20"/>
      <c r="AG26" s="20"/>
      <c r="AH26" s="20"/>
      <c r="AI26" s="20"/>
      <c r="AJ26" s="20"/>
      <c r="AK26" s="20"/>
      <c r="AL26" s="65"/>
      <c r="AM26" s="20"/>
    </row>
    <row r="27" spans="1:39">
      <c r="A27" s="2">
        <v>26</v>
      </c>
      <c r="B27" s="41"/>
      <c r="C27" s="55"/>
      <c r="D27" s="59"/>
      <c r="E27" s="72"/>
      <c r="F27" s="42"/>
      <c r="G27" s="75"/>
      <c r="H27" s="40">
        <f t="shared" si="0"/>
        <v>0</v>
      </c>
      <c r="I27" s="12">
        <f t="shared" si="1"/>
        <v>0</v>
      </c>
      <c r="J27" s="1"/>
      <c r="K27" s="48"/>
      <c r="L27" s="49"/>
      <c r="M27" s="50"/>
      <c r="N27" s="16">
        <f t="shared" si="4"/>
        <v>0</v>
      </c>
      <c r="P27" s="31"/>
      <c r="Q27" s="32">
        <f t="shared" si="2"/>
        <v>0</v>
      </c>
      <c r="S27" s="66">
        <f t="shared" si="5"/>
        <v>0</v>
      </c>
      <c r="T27" s="80"/>
      <c r="U27" s="66">
        <f t="shared" si="6"/>
        <v>0</v>
      </c>
      <c r="V27" s="66"/>
      <c r="W27" s="66"/>
      <c r="X27" s="66"/>
      <c r="Y27" s="66"/>
      <c r="Z27" s="68">
        <f t="shared" si="3"/>
        <v>0</v>
      </c>
      <c r="AA27" s="28"/>
      <c r="AD27" s="62"/>
      <c r="AE27" s="28"/>
      <c r="AF27" s="20"/>
      <c r="AG27" s="20"/>
      <c r="AH27" s="20"/>
      <c r="AI27" s="20"/>
      <c r="AJ27" s="20"/>
      <c r="AK27" s="20"/>
      <c r="AL27" s="65"/>
      <c r="AM27" s="20"/>
    </row>
    <row r="28" spans="1:39">
      <c r="A28" s="2">
        <v>27</v>
      </c>
      <c r="B28" s="41"/>
      <c r="C28" s="55"/>
      <c r="D28" s="59"/>
      <c r="E28" s="72"/>
      <c r="F28" s="42"/>
      <c r="G28" s="75"/>
      <c r="H28" s="40">
        <f t="shared" si="0"/>
        <v>0</v>
      </c>
      <c r="I28" s="12">
        <f t="shared" si="1"/>
        <v>0</v>
      </c>
      <c r="J28" s="1"/>
      <c r="K28" s="48"/>
      <c r="L28" s="49"/>
      <c r="M28" s="50"/>
      <c r="N28" s="16">
        <f t="shared" si="4"/>
        <v>0</v>
      </c>
      <c r="P28" s="31"/>
      <c r="Q28" s="32">
        <v>0</v>
      </c>
      <c r="S28" s="66">
        <f t="shared" si="5"/>
        <v>0</v>
      </c>
      <c r="T28" s="80"/>
      <c r="U28" s="66">
        <f t="shared" si="6"/>
        <v>0</v>
      </c>
      <c r="V28" s="66"/>
      <c r="W28" s="66"/>
      <c r="X28" s="66"/>
      <c r="Y28" s="66"/>
      <c r="Z28" s="68">
        <f t="shared" si="3"/>
        <v>0</v>
      </c>
      <c r="AA28" s="28"/>
      <c r="AD28" s="62"/>
      <c r="AE28" s="28"/>
      <c r="AF28" s="20"/>
      <c r="AG28" s="20"/>
      <c r="AH28" s="20"/>
      <c r="AI28" s="20"/>
      <c r="AJ28" s="20"/>
      <c r="AK28" s="20"/>
      <c r="AL28" s="65"/>
      <c r="AM28" s="20"/>
    </row>
    <row r="29" spans="1:39">
      <c r="A29" s="2">
        <v>28</v>
      </c>
      <c r="B29" s="41"/>
      <c r="C29" s="55"/>
      <c r="D29" s="59"/>
      <c r="E29" s="72"/>
      <c r="F29" s="42"/>
      <c r="G29" s="75"/>
      <c r="H29" s="40">
        <f t="shared" si="0"/>
        <v>0</v>
      </c>
      <c r="I29" s="12">
        <f t="shared" si="1"/>
        <v>0</v>
      </c>
      <c r="J29" s="1"/>
      <c r="K29" s="48"/>
      <c r="L29" s="49"/>
      <c r="M29" s="50"/>
      <c r="N29" s="16">
        <f t="shared" si="4"/>
        <v>0</v>
      </c>
      <c r="P29" s="31"/>
      <c r="Q29" s="32">
        <f t="shared" si="2"/>
        <v>0</v>
      </c>
      <c r="S29" s="66">
        <f t="shared" si="5"/>
        <v>0</v>
      </c>
      <c r="T29" s="80"/>
      <c r="U29" s="66">
        <f t="shared" si="6"/>
        <v>0</v>
      </c>
      <c r="V29" s="66"/>
      <c r="W29" s="66"/>
      <c r="X29" s="66"/>
      <c r="Y29" s="66"/>
      <c r="Z29" s="68">
        <f t="shared" si="3"/>
        <v>0</v>
      </c>
      <c r="AA29" s="28"/>
      <c r="AD29" s="62"/>
      <c r="AE29" s="28"/>
      <c r="AF29" s="20"/>
      <c r="AG29" s="20"/>
      <c r="AH29" s="20"/>
      <c r="AI29" s="20"/>
      <c r="AJ29" s="20"/>
      <c r="AK29" s="20"/>
      <c r="AL29" s="65"/>
      <c r="AM29" s="20"/>
    </row>
    <row r="30" spans="1:39">
      <c r="A30" s="2">
        <v>29</v>
      </c>
      <c r="B30" s="41"/>
      <c r="C30" s="55"/>
      <c r="D30" s="59"/>
      <c r="E30" s="72"/>
      <c r="F30" s="42"/>
      <c r="G30" s="75"/>
      <c r="H30" s="40">
        <f t="shared" si="0"/>
        <v>0</v>
      </c>
      <c r="I30" s="12">
        <f t="shared" si="1"/>
        <v>0</v>
      </c>
      <c r="J30" s="1"/>
      <c r="K30" s="48"/>
      <c r="L30" s="49"/>
      <c r="M30" s="50"/>
      <c r="N30" s="16">
        <f t="shared" si="4"/>
        <v>0</v>
      </c>
      <c r="P30" s="31"/>
      <c r="Q30" s="32">
        <v>0</v>
      </c>
      <c r="S30" s="66">
        <f t="shared" si="5"/>
        <v>0</v>
      </c>
      <c r="T30" s="80"/>
      <c r="U30" s="66">
        <f t="shared" si="6"/>
        <v>0</v>
      </c>
      <c r="V30" s="66"/>
      <c r="W30" s="66"/>
      <c r="X30" s="66"/>
      <c r="Y30" s="66"/>
      <c r="Z30" s="68">
        <f t="shared" si="3"/>
        <v>0</v>
      </c>
      <c r="AA30" s="28"/>
      <c r="AD30" s="62"/>
      <c r="AE30" s="28"/>
      <c r="AF30" s="20"/>
      <c r="AG30" s="20"/>
      <c r="AH30" s="20"/>
      <c r="AI30" s="20"/>
      <c r="AJ30" s="20"/>
      <c r="AK30" s="20"/>
      <c r="AL30" s="65"/>
      <c r="AM30" s="20"/>
    </row>
    <row r="31" spans="1:39">
      <c r="A31" s="2">
        <v>30</v>
      </c>
      <c r="B31" s="41"/>
      <c r="C31" s="55"/>
      <c r="D31" s="59"/>
      <c r="E31" s="72"/>
      <c r="F31" s="42"/>
      <c r="G31" s="75"/>
      <c r="H31" s="40">
        <f t="shared" si="0"/>
        <v>0</v>
      </c>
      <c r="I31" s="12">
        <f t="shared" si="1"/>
        <v>0</v>
      </c>
      <c r="J31" s="1"/>
      <c r="K31" s="48"/>
      <c r="L31" s="49"/>
      <c r="M31" s="50"/>
      <c r="N31" s="16">
        <f t="shared" si="4"/>
        <v>0</v>
      </c>
      <c r="P31" s="31"/>
      <c r="Q31" s="32">
        <f t="shared" si="2"/>
        <v>0</v>
      </c>
      <c r="S31" s="66">
        <f t="shared" si="5"/>
        <v>0</v>
      </c>
      <c r="T31" s="80"/>
      <c r="U31" s="66">
        <f t="shared" si="6"/>
        <v>0</v>
      </c>
      <c r="V31" s="66"/>
      <c r="W31" s="66"/>
      <c r="X31" s="66"/>
      <c r="Y31" s="66"/>
      <c r="Z31" s="68">
        <f t="shared" si="3"/>
        <v>0</v>
      </c>
      <c r="AA31" s="28"/>
      <c r="AD31" s="62"/>
      <c r="AE31" s="28"/>
      <c r="AF31" s="20"/>
      <c r="AG31" s="20"/>
      <c r="AH31" s="20"/>
      <c r="AI31" s="20"/>
      <c r="AJ31" s="20"/>
      <c r="AK31" s="20"/>
      <c r="AL31" s="65"/>
      <c r="AM31" s="20"/>
    </row>
    <row r="32" spans="1:39">
      <c r="A32" s="2">
        <v>31</v>
      </c>
      <c r="B32" s="43"/>
      <c r="C32" s="56"/>
      <c r="D32" s="60"/>
      <c r="E32" s="73"/>
      <c r="F32" s="44"/>
      <c r="G32" s="76"/>
      <c r="H32" s="40">
        <f t="shared" si="0"/>
        <v>0</v>
      </c>
      <c r="I32" s="12">
        <f t="shared" si="1"/>
        <v>0</v>
      </c>
      <c r="J32" s="1"/>
      <c r="K32" s="51"/>
      <c r="L32" s="52"/>
      <c r="M32" s="53"/>
      <c r="N32" s="16">
        <f t="shared" si="4"/>
        <v>0</v>
      </c>
      <c r="P32" s="31"/>
      <c r="Q32" s="32">
        <f t="shared" si="2"/>
        <v>0</v>
      </c>
      <c r="S32" s="66">
        <f t="shared" si="5"/>
        <v>0</v>
      </c>
      <c r="T32" s="80"/>
      <c r="U32" s="66">
        <f t="shared" si="6"/>
        <v>0</v>
      </c>
      <c r="V32" s="66"/>
      <c r="W32" s="66"/>
      <c r="X32" s="66"/>
      <c r="Y32" s="66"/>
      <c r="Z32" s="68">
        <f t="shared" si="3"/>
        <v>0</v>
      </c>
      <c r="AA32" s="28"/>
      <c r="AD32" s="62"/>
      <c r="AE32" s="28"/>
      <c r="AF32" s="20"/>
      <c r="AG32" s="20"/>
      <c r="AH32" s="20"/>
      <c r="AI32" s="20"/>
      <c r="AJ32" s="20"/>
      <c r="AK32" s="20"/>
      <c r="AL32" s="65"/>
      <c r="AM32" s="20"/>
    </row>
    <row r="33" spans="1:31">
      <c r="A33" s="1"/>
      <c r="B33" s="7">
        <f>SUM(B2:B32)</f>
        <v>0</v>
      </c>
      <c r="C33" s="19"/>
      <c r="D33" s="61">
        <f>SUM(D2:D32)</f>
        <v>0</v>
      </c>
      <c r="E33" s="74">
        <f>SUM(E2:E32)</f>
        <v>0</v>
      </c>
      <c r="F33" s="35">
        <f>SUM(F2:F32)</f>
        <v>0</v>
      </c>
      <c r="G33" s="35"/>
      <c r="H33" s="23">
        <f>SUM(H2:H32)</f>
        <v>0</v>
      </c>
      <c r="I33" s="13">
        <f>SUM(I2:I32)</f>
        <v>0</v>
      </c>
      <c r="J33" s="11"/>
      <c r="K33" s="27">
        <f>SUM(K2:K32)</f>
        <v>0</v>
      </c>
      <c r="L33" s="8">
        <f>SUM(L2:L32)</f>
        <v>0</v>
      </c>
      <c r="M33" s="8">
        <f>SUM(M2:M32)</f>
        <v>0</v>
      </c>
      <c r="N33" s="3">
        <f>SUM(N2:N32)</f>
        <v>0</v>
      </c>
      <c r="P33" s="37">
        <f>SUM(P2:P32)</f>
        <v>0</v>
      </c>
      <c r="Q33" s="36">
        <f>P33</f>
        <v>0</v>
      </c>
      <c r="S33" s="29"/>
      <c r="T33" s="81">
        <f>SUM(T2:T32)</f>
        <v>0</v>
      </c>
      <c r="U33" s="29">
        <f>SUM(U2:U32)</f>
        <v>0</v>
      </c>
      <c r="V33" s="29">
        <f>SUM(V2:V32)</f>
        <v>0</v>
      </c>
      <c r="W33" s="29"/>
      <c r="X33" s="29"/>
      <c r="Y33" s="29"/>
      <c r="Z33" s="69">
        <f>T33+Z32</f>
        <v>0</v>
      </c>
      <c r="AA33" s="28"/>
      <c r="AE33" s="28"/>
    </row>
    <row r="34" spans="1:31">
      <c r="A34" t="s">
        <v>30</v>
      </c>
      <c r="D34" s="20">
        <f>B33-D33+V33</f>
        <v>0</v>
      </c>
    </row>
    <row r="36" spans="1:31">
      <c r="B36" t="s">
        <v>38</v>
      </c>
      <c r="F36" s="78"/>
      <c r="P36" t="s">
        <v>39</v>
      </c>
      <c r="Q36" t="e">
        <f>AVERAGEIF(Q2:Q32,"&gt;0")</f>
        <v>#DIV/0!</v>
      </c>
    </row>
    <row r="37" spans="1:31">
      <c r="B37" t="s">
        <v>40</v>
      </c>
      <c r="F37" s="78"/>
      <c r="P37" t="s">
        <v>41</v>
      </c>
      <c r="Q37" s="65">
        <f>'[1]2025. március'!$P$36</f>
        <v>183.14285714285714</v>
      </c>
    </row>
  </sheetData>
  <mergeCells count="1">
    <mergeCell ref="AA1:A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facbdf-97b7-4f76-9dcf-529ea665ef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F68D3FC109DE498211CF23545E534D" ma:contentTypeVersion="13" ma:contentTypeDescription="Új dokumentum létrehozása." ma:contentTypeScope="" ma:versionID="981d0f6cb29deb3f94d5ea9025e87608">
  <xsd:schema xmlns:xsd="http://www.w3.org/2001/XMLSchema" xmlns:xs="http://www.w3.org/2001/XMLSchema" xmlns:p="http://schemas.microsoft.com/office/2006/metadata/properties" xmlns:ns3="27facbdf-97b7-4f76-9dcf-529ea665ef9f" xmlns:ns4="42dea71c-af40-4c78-9024-e511e33bb990" targetNamespace="http://schemas.microsoft.com/office/2006/metadata/properties" ma:root="true" ma:fieldsID="26ccbe5787c72050e2b6b747d5c7f21c" ns3:_="" ns4:_="">
    <xsd:import namespace="27facbdf-97b7-4f76-9dcf-529ea665ef9f"/>
    <xsd:import namespace="42dea71c-af40-4c78-9024-e511e33bb9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acbdf-97b7-4f76-9dcf-529ea665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ea71c-af40-4c78-9024-e511e33bb9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4C5857-706E-477A-B153-EE45842BC9BA}"/>
</file>

<file path=customXml/itemProps2.xml><?xml version="1.0" encoding="utf-8"?>
<ds:datastoreItem xmlns:ds="http://schemas.openxmlformats.org/officeDocument/2006/customXml" ds:itemID="{C3F04167-0488-4203-8BC0-09F4A83E471C}"/>
</file>

<file path=customXml/itemProps3.xml><?xml version="1.0" encoding="utf-8"?>
<ds:datastoreItem xmlns:ds="http://schemas.openxmlformats.org/officeDocument/2006/customXml" ds:itemID="{C23C2372-303B-4A19-A36A-DC4030F85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2006-09-16T00:00:00Z</dcterms:created>
  <dcterms:modified xsi:type="dcterms:W3CDTF">2026-04-06T22:33:15Z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0x010100B1F68D3FC109DE498211CF23545E534D</vt:lpwstr>
  </property>
</Properties>
</file>