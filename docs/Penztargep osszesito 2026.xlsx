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updateLinks="always"/>
  <mc:AlternateContent xmlns:mc="http://schemas.openxmlformats.org/markup-compatibility/2006">
    <mc:Choice Requires="x15">
      <x15ac:absPath xmlns:x15ac="http://schemas.microsoft.com/office/spreadsheetml/2010/11/ac" url="https://mediazen-my.sharepoint.com/personal/info_pepperhouse_hu/Documents/Egységek/"/>
    </mc:Choice>
  </mc:AlternateContent>
  <xr:revisionPtr revIDLastSave="0" documentId="8_{B5EA2468-552F-4B7E-AC53-6D967D6A71C3}" xr6:coauthVersionLast="47" xr6:coauthVersionMax="47" xr10:uidLastSave="{00000000-0000-0000-0000-000000000000}"/>
  <bookViews>
    <workbookView xWindow="-108" yWindow="-108" windowWidth="23256" windowHeight="12456" firstSheet="12" activeTab="12" xr2:uid="{00000000-000D-0000-FFFF-FFFF00000000}"/>
  </bookViews>
  <sheets>
    <sheet name="2026 éves" sheetId="15" r:id="rId1"/>
    <sheet name="202604" sheetId="18" r:id="rId2"/>
    <sheet name="202603" sheetId="17" r:id="rId3"/>
    <sheet name="202602" sheetId="16" r:id="rId4"/>
    <sheet name="202601" sheetId="11" r:id="rId5"/>
    <sheet name="MÁK" sheetId="1" r:id="rId6"/>
    <sheet name="Knorr105" sheetId="2" r:id="rId7"/>
    <sheet name="KTI" sheetId="9" r:id="rId8"/>
    <sheet name="Knorr69" sheetId="4" r:id="rId9"/>
    <sheet name="Szentkiralyi" sheetId="6" r:id="rId10"/>
    <sheet name="Knorr86" sheetId="3" r:id="rId11"/>
    <sheet name="RSR" sheetId="5" r:id="rId12"/>
    <sheet name="Egyéb pénztárgépek" sheetId="7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128" i="2" l="1"/>
  <c r="BY131" i="2"/>
  <c r="BY133" i="2"/>
  <c r="BY134" i="2"/>
  <c r="BY135" i="2"/>
  <c r="BY137" i="2"/>
  <c r="BY139" i="2"/>
  <c r="BY141" i="2"/>
  <c r="BY142" i="2"/>
  <c r="BY143" i="2"/>
  <c r="BY145" i="2"/>
  <c r="BY146" i="2"/>
  <c r="BY147" i="2"/>
  <c r="BY148" i="2"/>
  <c r="BY149" i="2"/>
  <c r="BY151" i="2"/>
  <c r="BY152" i="2"/>
  <c r="BY153" i="2"/>
  <c r="BY154" i="2"/>
  <c r="BY155" i="2"/>
  <c r="BY156" i="2"/>
  <c r="BY157" i="2"/>
  <c r="BY158" i="2"/>
  <c r="BY160" i="2"/>
  <c r="BY161" i="2"/>
  <c r="BY162" i="2"/>
  <c r="N13" i="15"/>
  <c r="N15" i="15"/>
  <c r="N17" i="15"/>
  <c r="N25" i="15"/>
  <c r="M15" i="15"/>
  <c r="M17" i="15"/>
  <c r="M25" i="15"/>
  <c r="L17" i="15"/>
  <c r="L24" i="15"/>
  <c r="L25" i="15"/>
  <c r="K17" i="15"/>
  <c r="K24" i="15"/>
  <c r="K25" i="15"/>
  <c r="F24" i="18"/>
  <c r="G24" i="18"/>
  <c r="H24" i="18"/>
  <c r="I24" i="18"/>
  <c r="J24" i="18"/>
  <c r="K24" i="18"/>
  <c r="L24" i="18"/>
  <c r="F24" i="17"/>
  <c r="G24" i="17"/>
  <c r="H24" i="17"/>
  <c r="I24" i="17"/>
  <c r="J24" i="17"/>
  <c r="K24" i="17"/>
  <c r="L24" i="17"/>
  <c r="G23" i="17"/>
  <c r="H23" i="17"/>
  <c r="I23" i="17"/>
  <c r="J23" i="17"/>
  <c r="K23" i="17"/>
  <c r="L23" i="17"/>
  <c r="F23" i="17"/>
  <c r="H12" i="18"/>
  <c r="J12" i="18"/>
  <c r="F14" i="18"/>
  <c r="G14" i="18"/>
  <c r="H14" i="18"/>
  <c r="I14" i="18"/>
  <c r="J14" i="18"/>
  <c r="K14" i="18"/>
  <c r="L14" i="18"/>
  <c r="F16" i="18"/>
  <c r="G16" i="18"/>
  <c r="H16" i="18"/>
  <c r="I16" i="18"/>
  <c r="J16" i="18"/>
  <c r="K16" i="18"/>
  <c r="L16" i="18"/>
  <c r="C21" i="18"/>
  <c r="C20" i="18"/>
  <c r="P14" i="18"/>
  <c r="M14" i="18"/>
  <c r="Q14" i="18" s="1"/>
  <c r="C14" i="18"/>
  <c r="P12" i="18"/>
  <c r="C12" i="18"/>
  <c r="C10" i="18"/>
  <c r="C7" i="18"/>
  <c r="C6" i="18"/>
  <c r="C5" i="18"/>
  <c r="C3" i="18"/>
  <c r="H12" i="17"/>
  <c r="M24" i="17"/>
  <c r="M23" i="17"/>
  <c r="C21" i="17"/>
  <c r="C20" i="17"/>
  <c r="C14" i="17"/>
  <c r="C12" i="17"/>
  <c r="C10" i="17"/>
  <c r="C7" i="17"/>
  <c r="C6" i="17"/>
  <c r="C5" i="17"/>
  <c r="C3" i="17"/>
  <c r="BE161" i="5"/>
  <c r="L21" i="18" s="1"/>
  <c r="BD161" i="5"/>
  <c r="K21" i="18" s="1"/>
  <c r="BC161" i="5"/>
  <c r="J21" i="18" s="1"/>
  <c r="N22" i="15" s="1"/>
  <c r="BB161" i="5"/>
  <c r="I21" i="18" s="1"/>
  <c r="BA161" i="5"/>
  <c r="H21" i="18" s="1"/>
  <c r="AZ161" i="5"/>
  <c r="G21" i="18" s="1"/>
  <c r="AY161" i="5"/>
  <c r="F21" i="18" s="1"/>
  <c r="AO161" i="5"/>
  <c r="L20" i="18" s="1"/>
  <c r="AN161" i="5"/>
  <c r="K20" i="18" s="1"/>
  <c r="AM161" i="5"/>
  <c r="J20" i="18" s="1"/>
  <c r="N21" i="15" s="1"/>
  <c r="AL161" i="5"/>
  <c r="I20" i="18" s="1"/>
  <c r="AK161" i="5"/>
  <c r="H20" i="18" s="1"/>
  <c r="AJ161" i="5"/>
  <c r="G20" i="18" s="1"/>
  <c r="AI161" i="5"/>
  <c r="F20" i="18" s="1"/>
  <c r="I161" i="5"/>
  <c r="L18" i="18" s="1"/>
  <c r="H161" i="5"/>
  <c r="K18" i="18" s="1"/>
  <c r="G161" i="5"/>
  <c r="J18" i="18" s="1"/>
  <c r="N19" i="15" s="1"/>
  <c r="F161" i="5"/>
  <c r="I18" i="18" s="1"/>
  <c r="E161" i="5"/>
  <c r="H18" i="18" s="1"/>
  <c r="D161" i="5"/>
  <c r="G18" i="18" s="1"/>
  <c r="C161" i="5"/>
  <c r="F18" i="18" s="1"/>
  <c r="I159" i="4"/>
  <c r="L12" i="18" s="1"/>
  <c r="H159" i="4"/>
  <c r="K12" i="18" s="1"/>
  <c r="G159" i="4"/>
  <c r="F159" i="4"/>
  <c r="I12" i="18" s="1"/>
  <c r="E159" i="4"/>
  <c r="D159" i="4"/>
  <c r="G12" i="18" s="1"/>
  <c r="C159" i="4"/>
  <c r="F12" i="18" s="1"/>
  <c r="M12" i="18" s="1"/>
  <c r="D159" i="6"/>
  <c r="C159" i="6"/>
  <c r="I159" i="6"/>
  <c r="H159" i="6"/>
  <c r="G159" i="6"/>
  <c r="F159" i="6"/>
  <c r="E159" i="6"/>
  <c r="I159" i="9"/>
  <c r="H159" i="9"/>
  <c r="G159" i="9"/>
  <c r="F159" i="9"/>
  <c r="E159" i="9"/>
  <c r="D159" i="9"/>
  <c r="C159" i="9"/>
  <c r="BQ161" i="2"/>
  <c r="L8" i="18" s="1"/>
  <c r="BP161" i="2"/>
  <c r="K8" i="18" s="1"/>
  <c r="BO161" i="2"/>
  <c r="J8" i="18" s="1"/>
  <c r="N9" i="15" s="1"/>
  <c r="BN161" i="2"/>
  <c r="I8" i="18" s="1"/>
  <c r="BM161" i="2"/>
  <c r="H8" i="18" s="1"/>
  <c r="BL161" i="2"/>
  <c r="G8" i="18" s="1"/>
  <c r="BK161" i="2"/>
  <c r="F8" i="18" s="1"/>
  <c r="M8" i="18" s="1"/>
  <c r="M9" i="15" s="1"/>
  <c r="AO161" i="2"/>
  <c r="L7" i="18" s="1"/>
  <c r="AN161" i="2"/>
  <c r="K7" i="18" s="1"/>
  <c r="AM161" i="2"/>
  <c r="J7" i="18" s="1"/>
  <c r="N8" i="15" s="1"/>
  <c r="AL161" i="2"/>
  <c r="I7" i="18" s="1"/>
  <c r="AK161" i="2"/>
  <c r="H7" i="18" s="1"/>
  <c r="AJ161" i="2"/>
  <c r="G7" i="18" s="1"/>
  <c r="AI161" i="2"/>
  <c r="F7" i="18" s="1"/>
  <c r="M7" i="18" s="1"/>
  <c r="M8" i="15" s="1"/>
  <c r="AT159" i="7"/>
  <c r="F23" i="18" s="1"/>
  <c r="AU159" i="7"/>
  <c r="G23" i="18" s="1"/>
  <c r="AV159" i="7"/>
  <c r="H23" i="18" s="1"/>
  <c r="AW159" i="7"/>
  <c r="I23" i="18" s="1"/>
  <c r="AX159" i="7"/>
  <c r="J23" i="18" s="1"/>
  <c r="N24" i="15" s="1"/>
  <c r="AY159" i="7"/>
  <c r="K23" i="18" s="1"/>
  <c r="AZ159" i="7"/>
  <c r="L23" i="18" s="1"/>
  <c r="AT160" i="7"/>
  <c r="AX160" i="7"/>
  <c r="BJ160" i="7"/>
  <c r="BN160" i="7"/>
  <c r="BC162" i="5"/>
  <c r="AY162" i="5"/>
  <c r="AM162" i="5"/>
  <c r="AI162" i="5"/>
  <c r="Y161" i="5"/>
  <c r="L19" i="18" s="1"/>
  <c r="X161" i="5"/>
  <c r="K19" i="18" s="1"/>
  <c r="W161" i="5"/>
  <c r="V161" i="5"/>
  <c r="I19" i="18" s="1"/>
  <c r="U161" i="5"/>
  <c r="H19" i="18" s="1"/>
  <c r="T161" i="5"/>
  <c r="G19" i="18" s="1"/>
  <c r="S161" i="5"/>
  <c r="G162" i="5"/>
  <c r="C162" i="5"/>
  <c r="BN160" i="5"/>
  <c r="BN159" i="5"/>
  <c r="BN158" i="5"/>
  <c r="BN157" i="5"/>
  <c r="BN156" i="5"/>
  <c r="BN155" i="5"/>
  <c r="BN154" i="5"/>
  <c r="BN153" i="5"/>
  <c r="BN152" i="5"/>
  <c r="BN151" i="5"/>
  <c r="BN150" i="5"/>
  <c r="BN149" i="5"/>
  <c r="BN148" i="5"/>
  <c r="BN147" i="5"/>
  <c r="BN146" i="5"/>
  <c r="BN145" i="5"/>
  <c r="BN144" i="5"/>
  <c r="BN143" i="5"/>
  <c r="BN142" i="5"/>
  <c r="BN141" i="5"/>
  <c r="BN140" i="5"/>
  <c r="BN139" i="5"/>
  <c r="BN138" i="5"/>
  <c r="BN137" i="5"/>
  <c r="BN136" i="5"/>
  <c r="BN135" i="5"/>
  <c r="BN134" i="5"/>
  <c r="BN133" i="5"/>
  <c r="BN132" i="5"/>
  <c r="BN131" i="5"/>
  <c r="BN130" i="5"/>
  <c r="BN129" i="5"/>
  <c r="I159" i="3"/>
  <c r="L10" i="18" s="1"/>
  <c r="H159" i="3"/>
  <c r="K10" i="18" s="1"/>
  <c r="G159" i="3"/>
  <c r="F159" i="3"/>
  <c r="I10" i="18" s="1"/>
  <c r="E159" i="3"/>
  <c r="H10" i="18" s="1"/>
  <c r="D159" i="3"/>
  <c r="G10" i="18" s="1"/>
  <c r="C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G134" i="3"/>
  <c r="AG133" i="3"/>
  <c r="AG132" i="3"/>
  <c r="AG131" i="3"/>
  <c r="AG130" i="3"/>
  <c r="AG129" i="3"/>
  <c r="AG128" i="3"/>
  <c r="G160" i="6"/>
  <c r="C160" i="6"/>
  <c r="P156" i="6"/>
  <c r="P155" i="6"/>
  <c r="P154" i="6"/>
  <c r="P153" i="6"/>
  <c r="P152" i="6"/>
  <c r="P151" i="6"/>
  <c r="P150" i="6"/>
  <c r="P149" i="6"/>
  <c r="P147" i="6"/>
  <c r="P146" i="6"/>
  <c r="P140" i="6"/>
  <c r="P139" i="6"/>
  <c r="P138" i="6"/>
  <c r="P132" i="6"/>
  <c r="P131" i="6"/>
  <c r="P128" i="6"/>
  <c r="P127" i="6"/>
  <c r="P126" i="6"/>
  <c r="P125" i="6"/>
  <c r="G160" i="4"/>
  <c r="C160" i="4"/>
  <c r="P157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3" i="4"/>
  <c r="P132" i="4"/>
  <c r="P127" i="4"/>
  <c r="P125" i="4"/>
  <c r="G160" i="9"/>
  <c r="C160" i="9"/>
  <c r="P158" i="9"/>
  <c r="P157" i="9"/>
  <c r="P155" i="9"/>
  <c r="P154" i="9"/>
  <c r="P153" i="9"/>
  <c r="P152" i="9"/>
  <c r="P151" i="9"/>
  <c r="P150" i="9"/>
  <c r="P149" i="9"/>
  <c r="P148" i="9"/>
  <c r="P147" i="9"/>
  <c r="P146" i="9"/>
  <c r="P145" i="9"/>
  <c r="P144" i="9"/>
  <c r="P143" i="9"/>
  <c r="P142" i="9"/>
  <c r="P141" i="9"/>
  <c r="P140" i="9"/>
  <c r="P139" i="9"/>
  <c r="P138" i="9"/>
  <c r="P137" i="9"/>
  <c r="P136" i="9"/>
  <c r="P135" i="9"/>
  <c r="P134" i="9"/>
  <c r="P133" i="9"/>
  <c r="P132" i="9"/>
  <c r="P131" i="9"/>
  <c r="P130" i="9"/>
  <c r="P129" i="9"/>
  <c r="P128" i="9"/>
  <c r="P127" i="9"/>
  <c r="P126" i="9"/>
  <c r="BO162" i="2"/>
  <c r="BK162" i="2"/>
  <c r="AI162" i="2"/>
  <c r="AM162" i="2"/>
  <c r="Y161" i="2"/>
  <c r="L6" i="18" s="1"/>
  <c r="X161" i="2"/>
  <c r="K6" i="18" s="1"/>
  <c r="W161" i="2"/>
  <c r="V161" i="2"/>
  <c r="I6" i="18" s="1"/>
  <c r="U161" i="2"/>
  <c r="H6" i="18" s="1"/>
  <c r="T161" i="2"/>
  <c r="G6" i="18" s="1"/>
  <c r="S161" i="2"/>
  <c r="I161" i="2"/>
  <c r="L5" i="18" s="1"/>
  <c r="H161" i="2"/>
  <c r="K5" i="18" s="1"/>
  <c r="G161" i="2"/>
  <c r="F161" i="2"/>
  <c r="I5" i="18" s="1"/>
  <c r="E161" i="2"/>
  <c r="H5" i="18" s="1"/>
  <c r="D161" i="2"/>
  <c r="G5" i="18" s="1"/>
  <c r="C161" i="2"/>
  <c r="BY127" i="2"/>
  <c r="BY126" i="2"/>
  <c r="Y160" i="1"/>
  <c r="X160" i="1"/>
  <c r="W160" i="1"/>
  <c r="W161" i="1" s="1"/>
  <c r="V160" i="1"/>
  <c r="U160" i="1"/>
  <c r="T160" i="1"/>
  <c r="S160" i="1"/>
  <c r="S161" i="1" s="1"/>
  <c r="P160" i="1"/>
  <c r="I160" i="1"/>
  <c r="L3" i="18" s="1"/>
  <c r="H160" i="1"/>
  <c r="K3" i="18" s="1"/>
  <c r="G160" i="1"/>
  <c r="F160" i="1"/>
  <c r="I3" i="18" s="1"/>
  <c r="E160" i="1"/>
  <c r="H3" i="18" s="1"/>
  <c r="D160" i="1"/>
  <c r="G3" i="18" s="1"/>
  <c r="C160" i="1"/>
  <c r="P159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6" i="1"/>
  <c r="I75" i="6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BY47" i="2"/>
  <c r="I76" i="1"/>
  <c r="L16" i="16"/>
  <c r="Y76" i="2"/>
  <c r="BQ76" i="2"/>
  <c r="AO76" i="2"/>
  <c r="I76" i="2"/>
  <c r="L3" i="16"/>
  <c r="P86" i="6"/>
  <c r="P87" i="6"/>
  <c r="P88" i="6"/>
  <c r="P91" i="6"/>
  <c r="P92" i="6"/>
  <c r="P98" i="6"/>
  <c r="P99" i="6"/>
  <c r="P100" i="6"/>
  <c r="P106" i="6"/>
  <c r="P107" i="6"/>
  <c r="P109" i="6"/>
  <c r="P110" i="6"/>
  <c r="P111" i="6"/>
  <c r="P112" i="6"/>
  <c r="P113" i="6"/>
  <c r="P114" i="6"/>
  <c r="P115" i="6"/>
  <c r="P116" i="6"/>
  <c r="P85" i="6"/>
  <c r="BJ118" i="7"/>
  <c r="BK118" i="7"/>
  <c r="BL118" i="7"/>
  <c r="BM118" i="7"/>
  <c r="BN118" i="7"/>
  <c r="BO118" i="7"/>
  <c r="BP118" i="7"/>
  <c r="BJ119" i="7"/>
  <c r="BN119" i="7"/>
  <c r="AT118" i="7"/>
  <c r="AU118" i="7"/>
  <c r="AV118" i="7"/>
  <c r="AW118" i="7"/>
  <c r="AX118" i="7"/>
  <c r="AY118" i="7"/>
  <c r="AZ118" i="7"/>
  <c r="AT119" i="7"/>
  <c r="AX119" i="7"/>
  <c r="C118" i="6"/>
  <c r="D118" i="6"/>
  <c r="E118" i="6"/>
  <c r="F118" i="6"/>
  <c r="G118" i="6"/>
  <c r="H118" i="6"/>
  <c r="I118" i="6"/>
  <c r="C119" i="6"/>
  <c r="G119" i="6"/>
  <c r="BN87" i="5"/>
  <c r="BN89" i="5"/>
  <c r="BN91" i="5"/>
  <c r="BN92" i="5"/>
  <c r="BN93" i="5"/>
  <c r="BN94" i="5"/>
  <c r="BN95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108" i="5"/>
  <c r="BN109" i="5"/>
  <c r="BN110" i="5"/>
  <c r="BN111" i="5"/>
  <c r="BN112" i="5"/>
  <c r="BN113" i="5"/>
  <c r="BN114" i="5"/>
  <c r="BN115" i="5"/>
  <c r="BN116" i="5"/>
  <c r="BN117" i="5"/>
  <c r="BN118" i="5"/>
  <c r="BN119" i="5"/>
  <c r="BN86" i="5"/>
  <c r="C120" i="5"/>
  <c r="D120" i="5"/>
  <c r="E120" i="5"/>
  <c r="F120" i="5"/>
  <c r="G120" i="5"/>
  <c r="H120" i="5"/>
  <c r="S120" i="5"/>
  <c r="T120" i="5"/>
  <c r="U120" i="5"/>
  <c r="V120" i="5"/>
  <c r="W120" i="5"/>
  <c r="X120" i="5"/>
  <c r="Y120" i="5"/>
  <c r="AI120" i="5"/>
  <c r="AJ120" i="5"/>
  <c r="AK120" i="5"/>
  <c r="AL120" i="5"/>
  <c r="AM120" i="5"/>
  <c r="AN120" i="5"/>
  <c r="AO120" i="5"/>
  <c r="AY120" i="5"/>
  <c r="AZ120" i="5"/>
  <c r="BA120" i="5"/>
  <c r="BB120" i="5"/>
  <c r="BC120" i="5"/>
  <c r="BD120" i="5"/>
  <c r="BE120" i="5"/>
  <c r="C121" i="5"/>
  <c r="G121" i="5"/>
  <c r="S121" i="5"/>
  <c r="W121" i="5"/>
  <c r="AI121" i="5"/>
  <c r="AM121" i="5"/>
  <c r="AY121" i="5"/>
  <c r="BC121" i="5"/>
  <c r="AG87" i="3"/>
  <c r="AG88" i="3"/>
  <c r="AG89" i="3"/>
  <c r="AG90" i="3"/>
  <c r="AG91" i="3"/>
  <c r="AG92" i="3"/>
  <c r="AG93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C118" i="3"/>
  <c r="D118" i="3"/>
  <c r="E118" i="3"/>
  <c r="F118" i="3"/>
  <c r="G118" i="3"/>
  <c r="H118" i="3"/>
  <c r="I118" i="3"/>
  <c r="C119" i="3"/>
  <c r="G119" i="3"/>
  <c r="P88" i="4"/>
  <c r="P93" i="4"/>
  <c r="P94" i="4"/>
  <c r="P114" i="4"/>
  <c r="P115" i="4"/>
  <c r="P116" i="4"/>
  <c r="P117" i="4"/>
  <c r="P86" i="4"/>
  <c r="C118" i="4"/>
  <c r="F12" i="17" s="1"/>
  <c r="D118" i="4"/>
  <c r="G12" i="17" s="1"/>
  <c r="E118" i="4"/>
  <c r="F118" i="4"/>
  <c r="I12" i="17" s="1"/>
  <c r="G118" i="4"/>
  <c r="J12" i="17" s="1"/>
  <c r="L13" i="15" s="1"/>
  <c r="H118" i="4"/>
  <c r="K12" i="17" s="1"/>
  <c r="I118" i="4"/>
  <c r="L12" i="17" s="1"/>
  <c r="C119" i="4"/>
  <c r="G119" i="4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86" i="9"/>
  <c r="C118" i="9"/>
  <c r="F14" i="17" s="1"/>
  <c r="D118" i="9"/>
  <c r="G14" i="17" s="1"/>
  <c r="E118" i="9"/>
  <c r="H14" i="17" s="1"/>
  <c r="F118" i="9"/>
  <c r="I14" i="17" s="1"/>
  <c r="G118" i="9"/>
  <c r="J14" i="17" s="1"/>
  <c r="L15" i="15" s="1"/>
  <c r="H118" i="9"/>
  <c r="K14" i="17" s="1"/>
  <c r="I118" i="9"/>
  <c r="L14" i="17" s="1"/>
  <c r="C119" i="9"/>
  <c r="G119" i="9"/>
  <c r="P119" i="1"/>
  <c r="P87" i="1"/>
  <c r="P88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85" i="1"/>
  <c r="C119" i="1"/>
  <c r="D119" i="1"/>
  <c r="E119" i="1"/>
  <c r="F119" i="1"/>
  <c r="G119" i="1"/>
  <c r="H119" i="1"/>
  <c r="I119" i="1"/>
  <c r="S119" i="1"/>
  <c r="T119" i="1"/>
  <c r="U119" i="1"/>
  <c r="V119" i="1"/>
  <c r="W119" i="1"/>
  <c r="X119" i="1"/>
  <c r="Y119" i="1"/>
  <c r="C120" i="1"/>
  <c r="G120" i="1"/>
  <c r="S120" i="1"/>
  <c r="W120" i="1"/>
  <c r="BY89" i="2"/>
  <c r="BY91" i="2"/>
  <c r="BY92" i="2"/>
  <c r="BY93" i="2"/>
  <c r="BY95" i="2"/>
  <c r="BY97" i="2"/>
  <c r="BY99" i="2"/>
  <c r="BY100" i="2"/>
  <c r="BY101" i="2"/>
  <c r="BY103" i="2"/>
  <c r="BY104" i="2"/>
  <c r="BY105" i="2"/>
  <c r="BY106" i="2"/>
  <c r="BY107" i="2"/>
  <c r="BY109" i="2"/>
  <c r="BY87" i="2"/>
  <c r="BY110" i="2"/>
  <c r="BY111" i="2"/>
  <c r="BY113" i="2"/>
  <c r="BY114" i="2"/>
  <c r="BY115" i="2"/>
  <c r="BY116" i="2"/>
  <c r="BY117" i="2"/>
  <c r="BY118" i="2"/>
  <c r="BY119" i="2"/>
  <c r="BY86" i="2"/>
  <c r="BK119" i="2"/>
  <c r="F8" i="17" s="1"/>
  <c r="BL119" i="2"/>
  <c r="G8" i="17" s="1"/>
  <c r="BM119" i="2"/>
  <c r="H8" i="17" s="1"/>
  <c r="BN119" i="2"/>
  <c r="I8" i="17" s="1"/>
  <c r="BO119" i="2"/>
  <c r="J8" i="17" s="1"/>
  <c r="L9" i="15" s="1"/>
  <c r="BP119" i="2"/>
  <c r="K8" i="17" s="1"/>
  <c r="BQ119" i="2"/>
  <c r="L8" i="17" s="1"/>
  <c r="BK120" i="2"/>
  <c r="BO120" i="2"/>
  <c r="AO119" i="2"/>
  <c r="L7" i="17" s="1"/>
  <c r="AI119" i="2"/>
  <c r="F7" i="17" s="1"/>
  <c r="AJ119" i="2"/>
  <c r="G7" i="17" s="1"/>
  <c r="AK119" i="2"/>
  <c r="H7" i="17" s="1"/>
  <c r="AL119" i="2"/>
  <c r="I7" i="17" s="1"/>
  <c r="AM119" i="2"/>
  <c r="J7" i="17" s="1"/>
  <c r="L8" i="15" s="1"/>
  <c r="S119" i="2"/>
  <c r="F6" i="17" s="1"/>
  <c r="T119" i="2"/>
  <c r="G6" i="17" s="1"/>
  <c r="U119" i="2"/>
  <c r="H6" i="17" s="1"/>
  <c r="V119" i="2"/>
  <c r="I6" i="17" s="1"/>
  <c r="W119" i="2"/>
  <c r="J6" i="17" s="1"/>
  <c r="L7" i="15" s="1"/>
  <c r="X119" i="2"/>
  <c r="K6" i="17" s="1"/>
  <c r="Y119" i="2"/>
  <c r="L6" i="17" s="1"/>
  <c r="S120" i="2"/>
  <c r="W120" i="2"/>
  <c r="C119" i="2"/>
  <c r="F5" i="17" s="1"/>
  <c r="D119" i="2"/>
  <c r="G5" i="17" s="1"/>
  <c r="E119" i="2"/>
  <c r="H5" i="17" s="1"/>
  <c r="F119" i="2"/>
  <c r="I5" i="17" s="1"/>
  <c r="G119" i="2"/>
  <c r="J5" i="17" s="1"/>
  <c r="L6" i="15" s="1"/>
  <c r="I119" i="2"/>
  <c r="L5" i="17" s="1"/>
  <c r="BY85" i="2"/>
  <c r="H119" i="2"/>
  <c r="K5" i="17" s="1"/>
  <c r="AN119" i="2"/>
  <c r="K7" i="17" s="1"/>
  <c r="C120" i="2"/>
  <c r="G120" i="2"/>
  <c r="AI120" i="2"/>
  <c r="AM120" i="2"/>
  <c r="BY120" i="2"/>
  <c r="I75" i="3"/>
  <c r="L10" i="16" s="1"/>
  <c r="J21" i="11"/>
  <c r="H21" i="15" s="1"/>
  <c r="AG36" i="7"/>
  <c r="AF36" i="7"/>
  <c r="AE36" i="7"/>
  <c r="AD36" i="7"/>
  <c r="I75" i="9"/>
  <c r="I34" i="9"/>
  <c r="V35" i="2"/>
  <c r="U35" i="2"/>
  <c r="BB36" i="5"/>
  <c r="BA36" i="5"/>
  <c r="AZ36" i="5"/>
  <c r="AY36" i="5"/>
  <c r="BC36" i="5"/>
  <c r="BD36" i="5"/>
  <c r="BE36" i="5"/>
  <c r="AY37" i="5"/>
  <c r="BC37" i="5"/>
  <c r="BJ79" i="7"/>
  <c r="BK79" i="7"/>
  <c r="BL79" i="7"/>
  <c r="BM79" i="7"/>
  <c r="BN79" i="7"/>
  <c r="BO79" i="7"/>
  <c r="BP79" i="7"/>
  <c r="BJ80" i="7"/>
  <c r="BN80" i="7"/>
  <c r="BJ36" i="7"/>
  <c r="BK36" i="7"/>
  <c r="BL36" i="7"/>
  <c r="BM36" i="7"/>
  <c r="BN36" i="7"/>
  <c r="BO36" i="7"/>
  <c r="BP36" i="7"/>
  <c r="BJ37" i="7"/>
  <c r="BN37" i="7"/>
  <c r="AT78" i="7"/>
  <c r="AU78" i="7"/>
  <c r="AV78" i="7"/>
  <c r="AW78" i="7"/>
  <c r="AX78" i="7"/>
  <c r="AY78" i="7"/>
  <c r="AZ78" i="7"/>
  <c r="AT79" i="7"/>
  <c r="AX79" i="7"/>
  <c r="AZ37" i="7"/>
  <c r="AT37" i="7"/>
  <c r="AU37" i="7"/>
  <c r="AV37" i="7"/>
  <c r="AW37" i="7"/>
  <c r="AX37" i="7"/>
  <c r="AY37" i="7"/>
  <c r="AT38" i="7"/>
  <c r="AX38" i="7"/>
  <c r="AI36" i="5"/>
  <c r="F21" i="11" s="1"/>
  <c r="AJ36" i="5"/>
  <c r="G21" i="11" s="1"/>
  <c r="AK36" i="5"/>
  <c r="H21" i="11" s="1"/>
  <c r="AL36" i="5"/>
  <c r="I21" i="11" s="1"/>
  <c r="AN36" i="5"/>
  <c r="K21" i="11" s="1"/>
  <c r="AO36" i="5"/>
  <c r="L21" i="11" s="1"/>
  <c r="AI37" i="5"/>
  <c r="I34" i="6"/>
  <c r="H36" i="7"/>
  <c r="AJ78" i="7"/>
  <c r="U78" i="7"/>
  <c r="U36" i="7"/>
  <c r="AJ36" i="7"/>
  <c r="BE75" i="5"/>
  <c r="L21" i="16" s="1"/>
  <c r="AO75" i="5"/>
  <c r="L20" i="16" s="1"/>
  <c r="Y75" i="5"/>
  <c r="L19" i="16" s="1"/>
  <c r="I75" i="5"/>
  <c r="L18" i="16" s="1"/>
  <c r="Y34" i="5"/>
  <c r="I34" i="5"/>
  <c r="L24" i="11"/>
  <c r="L23" i="11"/>
  <c r="L22" i="11"/>
  <c r="L19" i="11"/>
  <c r="L18" i="11"/>
  <c r="L16" i="11"/>
  <c r="L14" i="11"/>
  <c r="AO35" i="2"/>
  <c r="Y35" i="2"/>
  <c r="I35" i="2"/>
  <c r="L7" i="11"/>
  <c r="L6" i="11"/>
  <c r="L5" i="11"/>
  <c r="I75" i="4"/>
  <c r="I34" i="4"/>
  <c r="L12" i="11" s="1"/>
  <c r="W35" i="2"/>
  <c r="X35" i="2"/>
  <c r="AY75" i="5"/>
  <c r="F21" i="16" s="1"/>
  <c r="AZ75" i="5"/>
  <c r="G21" i="16" s="1"/>
  <c r="BA75" i="5"/>
  <c r="H21" i="16" s="1"/>
  <c r="BB75" i="5"/>
  <c r="I21" i="16" s="1"/>
  <c r="BC75" i="5"/>
  <c r="J21" i="16" s="1"/>
  <c r="J22" i="15" s="1"/>
  <c r="BD75" i="5"/>
  <c r="K21" i="16" s="1"/>
  <c r="AY76" i="5"/>
  <c r="BC76" i="5"/>
  <c r="AI75" i="5"/>
  <c r="F20" i="16" s="1"/>
  <c r="AJ75" i="5"/>
  <c r="G20" i="16" s="1"/>
  <c r="AK75" i="5"/>
  <c r="H20" i="16" s="1"/>
  <c r="AL75" i="5"/>
  <c r="I20" i="16" s="1"/>
  <c r="AM75" i="5"/>
  <c r="J20" i="16" s="1"/>
  <c r="J21" i="15" s="1"/>
  <c r="AN75" i="5"/>
  <c r="K20" i="16" s="1"/>
  <c r="AI76" i="5"/>
  <c r="AM76" i="5"/>
  <c r="T35" i="2"/>
  <c r="BN52" i="5"/>
  <c r="F23" i="11"/>
  <c r="G23" i="11"/>
  <c r="H23" i="11"/>
  <c r="I23" i="11"/>
  <c r="J23" i="11"/>
  <c r="H24" i="15" s="1"/>
  <c r="K23" i="11"/>
  <c r="I35" i="1"/>
  <c r="L3" i="11" s="1"/>
  <c r="BN44" i="5"/>
  <c r="BN45" i="5"/>
  <c r="BN46" i="5"/>
  <c r="BN47" i="5"/>
  <c r="BN48" i="5"/>
  <c r="BN49" i="5"/>
  <c r="BN50" i="5"/>
  <c r="BN51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74" i="5"/>
  <c r="BN75" i="5"/>
  <c r="AG45" i="3"/>
  <c r="AG46" i="3"/>
  <c r="AG47" i="3"/>
  <c r="AG48" i="3"/>
  <c r="AG49" i="3"/>
  <c r="AG50" i="3"/>
  <c r="AG51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P65" i="4"/>
  <c r="P64" i="4"/>
  <c r="P50" i="4"/>
  <c r="P45" i="4"/>
  <c r="P46" i="4"/>
  <c r="P47" i="4"/>
  <c r="P48" i="4"/>
  <c r="P49" i="4"/>
  <c r="P51" i="4"/>
  <c r="P52" i="4"/>
  <c r="P53" i="4"/>
  <c r="P54" i="4"/>
  <c r="P55" i="4"/>
  <c r="P57" i="4"/>
  <c r="P58" i="4"/>
  <c r="P69" i="4"/>
  <c r="P70" i="4"/>
  <c r="P71" i="4"/>
  <c r="P72" i="4"/>
  <c r="P73" i="4"/>
  <c r="P74" i="4"/>
  <c r="P44" i="4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64" i="6"/>
  <c r="P65" i="6"/>
  <c r="P67" i="6"/>
  <c r="P68" i="6"/>
  <c r="P69" i="6"/>
  <c r="P70" i="6"/>
  <c r="P71" i="6"/>
  <c r="P72" i="6"/>
  <c r="P73" i="6"/>
  <c r="P74" i="6"/>
  <c r="P44" i="6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44" i="9"/>
  <c r="P45" i="9"/>
  <c r="BY46" i="2"/>
  <c r="BY48" i="2"/>
  <c r="BY50" i="2"/>
  <c r="BY51" i="2"/>
  <c r="BY52" i="2"/>
  <c r="BY54" i="2"/>
  <c r="BY56" i="2"/>
  <c r="BY58" i="2"/>
  <c r="BY59" i="2"/>
  <c r="BY60" i="2"/>
  <c r="BY62" i="2"/>
  <c r="BY63" i="2"/>
  <c r="BY64" i="2"/>
  <c r="BY65" i="2"/>
  <c r="BY66" i="2"/>
  <c r="BY68" i="2"/>
  <c r="BY69" i="2"/>
  <c r="BY71" i="2"/>
  <c r="BY72" i="2"/>
  <c r="BY73" i="2"/>
  <c r="BY74" i="2"/>
  <c r="BY75" i="2"/>
  <c r="BY76" i="2"/>
  <c r="BY77" i="2"/>
  <c r="BY45" i="2"/>
  <c r="BY78" i="2"/>
  <c r="BY4" i="2"/>
  <c r="BY5" i="2"/>
  <c r="BY6" i="2"/>
  <c r="BY7" i="2"/>
  <c r="BY8" i="2"/>
  <c r="BY9" i="2"/>
  <c r="BY10" i="2"/>
  <c r="BY11" i="2"/>
  <c r="BY12" i="2"/>
  <c r="BY13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1" i="2"/>
  <c r="BY33" i="2"/>
  <c r="BY34" i="2"/>
  <c r="BY35" i="2"/>
  <c r="BY36" i="2"/>
  <c r="BY3" i="2"/>
  <c r="BY2" i="2"/>
  <c r="BY1" i="2"/>
  <c r="BY44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A35" i="2"/>
  <c r="BZ35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A34" i="2"/>
  <c r="BZ34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A33" i="2"/>
  <c r="BZ33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A32" i="2"/>
  <c r="BZ32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A31" i="2"/>
  <c r="BZ31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A30" i="2"/>
  <c r="BZ30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A29" i="2"/>
  <c r="BZ29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A28" i="2"/>
  <c r="BZ28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A27" i="2"/>
  <c r="BZ27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A26" i="2"/>
  <c r="BZ26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A25" i="2"/>
  <c r="BZ25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A24" i="2"/>
  <c r="BZ24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A23" i="2"/>
  <c r="BZ23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A22" i="2"/>
  <c r="BZ22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A21" i="2"/>
  <c r="BZ21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A20" i="2"/>
  <c r="BZ20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A19" i="2"/>
  <c r="BZ19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A18" i="2"/>
  <c r="BZ18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A17" i="2"/>
  <c r="BZ17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A16" i="2"/>
  <c r="BZ16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A15" i="2"/>
  <c r="BZ15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A13" i="2"/>
  <c r="BZ13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A12" i="2"/>
  <c r="BZ12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A11" i="2"/>
  <c r="BZ11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A10" i="2"/>
  <c r="BZ10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A9" i="2"/>
  <c r="BZ9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A8" i="2"/>
  <c r="BZ8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A7" i="2"/>
  <c r="BZ7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A6" i="2"/>
  <c r="BZ6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A5" i="2"/>
  <c r="BZ5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A4" i="2"/>
  <c r="BZ4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A3" i="2"/>
  <c r="BZ3" i="2"/>
  <c r="CP2" i="2"/>
  <c r="CO2" i="2"/>
  <c r="CN2" i="2"/>
  <c r="CM2" i="2"/>
  <c r="CL2" i="2"/>
  <c r="CK2" i="2"/>
  <c r="CJ2" i="2"/>
  <c r="CI2" i="2"/>
  <c r="CH2" i="2"/>
  <c r="CG2" i="2"/>
  <c r="CF2" i="2"/>
  <c r="CE2" i="2"/>
  <c r="CA2" i="2"/>
  <c r="BZ2" i="2"/>
  <c r="BN2" i="5"/>
  <c r="BN3" i="5"/>
  <c r="BN4" i="5"/>
  <c r="BN5" i="5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0" i="5"/>
  <c r="BN31" i="5"/>
  <c r="BN32" i="5"/>
  <c r="BN33" i="5"/>
  <c r="BN34" i="5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2" i="4"/>
  <c r="P3" i="4"/>
  <c r="P4" i="4"/>
  <c r="P5" i="4"/>
  <c r="P6" i="4"/>
  <c r="P7" i="4"/>
  <c r="P8" i="4"/>
  <c r="P10" i="4"/>
  <c r="P11" i="4"/>
  <c r="P12" i="4"/>
  <c r="P13" i="4"/>
  <c r="P14" i="4"/>
  <c r="P15" i="4"/>
  <c r="P16" i="4"/>
  <c r="P17" i="4"/>
  <c r="P18" i="4"/>
  <c r="P19" i="4"/>
  <c r="P20" i="4"/>
  <c r="P21" i="4"/>
  <c r="P26" i="4"/>
  <c r="P27" i="4"/>
  <c r="P28" i="4"/>
  <c r="P32" i="4"/>
  <c r="P33" i="4"/>
  <c r="AE78" i="7"/>
  <c r="AF78" i="7"/>
  <c r="AG78" i="7"/>
  <c r="AH78" i="7"/>
  <c r="AI78" i="7"/>
  <c r="AE79" i="7"/>
  <c r="AI79" i="7"/>
  <c r="P78" i="7"/>
  <c r="Q78" i="7"/>
  <c r="R78" i="7"/>
  <c r="S78" i="7"/>
  <c r="T78" i="7"/>
  <c r="P79" i="7"/>
  <c r="T79" i="7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" i="3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" i="9"/>
  <c r="S75" i="5"/>
  <c r="F19" i="16" s="1"/>
  <c r="T75" i="5"/>
  <c r="G19" i="16" s="1"/>
  <c r="U75" i="5"/>
  <c r="H19" i="16" s="1"/>
  <c r="V75" i="5"/>
  <c r="I19" i="16" s="1"/>
  <c r="W75" i="5"/>
  <c r="J19" i="16" s="1"/>
  <c r="J20" i="15" s="1"/>
  <c r="X75" i="5"/>
  <c r="K19" i="16" s="1"/>
  <c r="S76" i="5"/>
  <c r="W76" i="5"/>
  <c r="C75" i="5"/>
  <c r="F18" i="16" s="1"/>
  <c r="D75" i="5"/>
  <c r="G18" i="16" s="1"/>
  <c r="E75" i="5"/>
  <c r="H18" i="16" s="1"/>
  <c r="F75" i="5"/>
  <c r="I18" i="16" s="1"/>
  <c r="G75" i="5"/>
  <c r="J18" i="16" s="1"/>
  <c r="J19" i="15" s="1"/>
  <c r="H75" i="5"/>
  <c r="K18" i="16" s="1"/>
  <c r="C76" i="5"/>
  <c r="G76" i="5"/>
  <c r="C75" i="3"/>
  <c r="F10" i="16" s="1"/>
  <c r="D75" i="3"/>
  <c r="G10" i="16" s="1"/>
  <c r="E75" i="3"/>
  <c r="H10" i="16" s="1"/>
  <c r="F75" i="3"/>
  <c r="I10" i="16" s="1"/>
  <c r="G75" i="3"/>
  <c r="J10" i="16" s="1"/>
  <c r="J11" i="15" s="1"/>
  <c r="H75" i="3"/>
  <c r="K10" i="16" s="1"/>
  <c r="C76" i="3"/>
  <c r="G76" i="3"/>
  <c r="C75" i="4"/>
  <c r="D75" i="4"/>
  <c r="E75" i="4"/>
  <c r="F75" i="4"/>
  <c r="G75" i="4"/>
  <c r="H75" i="4"/>
  <c r="C76" i="4"/>
  <c r="G76" i="4"/>
  <c r="C75" i="6"/>
  <c r="D75" i="6"/>
  <c r="E75" i="6"/>
  <c r="F75" i="6"/>
  <c r="G75" i="6"/>
  <c r="H75" i="6"/>
  <c r="C76" i="6"/>
  <c r="G76" i="6"/>
  <c r="C75" i="9"/>
  <c r="D75" i="9"/>
  <c r="E75" i="9"/>
  <c r="F75" i="9"/>
  <c r="G75" i="9"/>
  <c r="H75" i="9"/>
  <c r="C76" i="9"/>
  <c r="G76" i="9"/>
  <c r="BK76" i="2"/>
  <c r="BL76" i="2"/>
  <c r="BM76" i="2"/>
  <c r="BN76" i="2"/>
  <c r="BO76" i="2"/>
  <c r="BP76" i="2"/>
  <c r="BK77" i="2"/>
  <c r="BO77" i="2"/>
  <c r="AI76" i="2"/>
  <c r="AJ76" i="2"/>
  <c r="AK76" i="2"/>
  <c r="AL76" i="2"/>
  <c r="AM76" i="2"/>
  <c r="AN76" i="2"/>
  <c r="AI77" i="2"/>
  <c r="AM77" i="2"/>
  <c r="S76" i="2"/>
  <c r="T76" i="2"/>
  <c r="U76" i="2"/>
  <c r="V76" i="2"/>
  <c r="W76" i="2"/>
  <c r="X76" i="2"/>
  <c r="S77" i="2"/>
  <c r="W77" i="2"/>
  <c r="C76" i="2"/>
  <c r="D76" i="2"/>
  <c r="E76" i="2"/>
  <c r="F76" i="2"/>
  <c r="G76" i="2"/>
  <c r="H76" i="2"/>
  <c r="C77" i="2"/>
  <c r="G77" i="2"/>
  <c r="Q45" i="1"/>
  <c r="R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P47" i="1"/>
  <c r="Q46" i="1"/>
  <c r="R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P48" i="1"/>
  <c r="Q47" i="1"/>
  <c r="R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P49" i="1"/>
  <c r="Q48" i="1"/>
  <c r="R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P50" i="1"/>
  <c r="Q49" i="1"/>
  <c r="R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P51" i="1"/>
  <c r="Q50" i="1"/>
  <c r="R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P52" i="1"/>
  <c r="Q51" i="1"/>
  <c r="R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P53" i="1"/>
  <c r="Q52" i="1"/>
  <c r="R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P54" i="1"/>
  <c r="Q53" i="1"/>
  <c r="R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P55" i="1"/>
  <c r="Q54" i="1"/>
  <c r="R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P56" i="1"/>
  <c r="Q55" i="1"/>
  <c r="R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P57" i="1"/>
  <c r="Q56" i="1"/>
  <c r="R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P58" i="1"/>
  <c r="Q57" i="1"/>
  <c r="R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P59" i="1"/>
  <c r="Q58" i="1"/>
  <c r="R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P60" i="1"/>
  <c r="Q59" i="1"/>
  <c r="R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P61" i="1"/>
  <c r="Q60" i="1"/>
  <c r="R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P62" i="1"/>
  <c r="Q61" i="1"/>
  <c r="R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P63" i="1"/>
  <c r="Q62" i="1"/>
  <c r="R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P64" i="1"/>
  <c r="Q63" i="1"/>
  <c r="R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P65" i="1"/>
  <c r="Q64" i="1"/>
  <c r="R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P66" i="1"/>
  <c r="Q65" i="1"/>
  <c r="R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P67" i="1"/>
  <c r="Q66" i="1"/>
  <c r="R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P68" i="1"/>
  <c r="Q67" i="1"/>
  <c r="R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P69" i="1"/>
  <c r="Q68" i="1"/>
  <c r="R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P70" i="1"/>
  <c r="Q69" i="1"/>
  <c r="R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P71" i="1"/>
  <c r="Q70" i="1"/>
  <c r="R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P72" i="1"/>
  <c r="Q71" i="1"/>
  <c r="R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P73" i="1"/>
  <c r="Q72" i="1"/>
  <c r="R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P74" i="1"/>
  <c r="Q73" i="1"/>
  <c r="R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P75" i="1"/>
  <c r="Q74" i="1"/>
  <c r="R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P76" i="1"/>
  <c r="Q75" i="1"/>
  <c r="R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P77" i="1"/>
  <c r="Q76" i="1"/>
  <c r="R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P46" i="1"/>
  <c r="H76" i="1"/>
  <c r="K3" i="16" s="1"/>
  <c r="G76" i="1"/>
  <c r="F76" i="1"/>
  <c r="I3" i="16" s="1"/>
  <c r="E76" i="1"/>
  <c r="H3" i="16" s="1"/>
  <c r="D76" i="1"/>
  <c r="G3" i="16" s="1"/>
  <c r="C76" i="1"/>
  <c r="S45" i="1"/>
  <c r="AG44" i="1"/>
  <c r="AF44" i="1"/>
  <c r="AE44" i="1"/>
  <c r="AD44" i="1"/>
  <c r="AC44" i="1"/>
  <c r="AB44" i="1"/>
  <c r="AA44" i="1"/>
  <c r="Z44" i="1"/>
  <c r="Y44" i="1"/>
  <c r="X44" i="1"/>
  <c r="W44" i="1"/>
  <c r="V44" i="1"/>
  <c r="R44" i="1"/>
  <c r="Q44" i="1"/>
  <c r="P44" i="1"/>
  <c r="AG3" i="1"/>
  <c r="AG4" i="1"/>
  <c r="AG5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F4" i="1"/>
  <c r="AF5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" i="1"/>
  <c r="AE4" i="1"/>
  <c r="AE5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" i="1"/>
  <c r="P4" i="1"/>
  <c r="P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" i="1"/>
  <c r="C21" i="16"/>
  <c r="C20" i="16"/>
  <c r="C14" i="16"/>
  <c r="C12" i="16"/>
  <c r="C10" i="16"/>
  <c r="C7" i="16"/>
  <c r="C6" i="16"/>
  <c r="C5" i="16"/>
  <c r="C3" i="16"/>
  <c r="I34" i="3"/>
  <c r="L10" i="11" s="1"/>
  <c r="C35" i="2"/>
  <c r="D35" i="2"/>
  <c r="E35" i="2"/>
  <c r="F35" i="2"/>
  <c r="BQ35" i="2"/>
  <c r="L8" i="11" s="1"/>
  <c r="S35" i="2"/>
  <c r="Q35" i="1"/>
  <c r="R35" i="1"/>
  <c r="V35" i="1"/>
  <c r="W35" i="1"/>
  <c r="X35" i="1"/>
  <c r="Y35" i="1"/>
  <c r="Z35" i="1"/>
  <c r="AA35" i="1"/>
  <c r="AB35" i="1"/>
  <c r="AC35" i="1"/>
  <c r="AD35" i="1"/>
  <c r="AH35" i="1"/>
  <c r="AI35" i="1"/>
  <c r="AJ35" i="1"/>
  <c r="AK35" i="1"/>
  <c r="P2" i="1"/>
  <c r="Q2" i="1"/>
  <c r="R2" i="1"/>
  <c r="V2" i="1"/>
  <c r="W2" i="1"/>
  <c r="X2" i="1"/>
  <c r="Y2" i="1"/>
  <c r="Z2" i="1"/>
  <c r="AA2" i="1"/>
  <c r="AB2" i="1"/>
  <c r="AC2" i="1"/>
  <c r="AD2" i="1"/>
  <c r="AE2" i="1"/>
  <c r="AF2" i="1"/>
  <c r="AG2" i="1"/>
  <c r="Q3" i="1"/>
  <c r="R3" i="1"/>
  <c r="V3" i="1"/>
  <c r="W3" i="1"/>
  <c r="X3" i="1"/>
  <c r="Y3" i="1"/>
  <c r="Z3" i="1"/>
  <c r="AA3" i="1"/>
  <c r="AB3" i="1"/>
  <c r="AC3" i="1"/>
  <c r="AD3" i="1"/>
  <c r="AH3" i="1"/>
  <c r="AI3" i="1"/>
  <c r="AJ3" i="1"/>
  <c r="AK3" i="1"/>
  <c r="Q4" i="1"/>
  <c r="R4" i="1"/>
  <c r="V4" i="1"/>
  <c r="W4" i="1"/>
  <c r="X4" i="1"/>
  <c r="Y4" i="1"/>
  <c r="Z4" i="1"/>
  <c r="AA4" i="1"/>
  <c r="AB4" i="1"/>
  <c r="AC4" i="1"/>
  <c r="AD4" i="1"/>
  <c r="AH4" i="1"/>
  <c r="AI4" i="1"/>
  <c r="AJ4" i="1"/>
  <c r="AK4" i="1"/>
  <c r="Q5" i="1"/>
  <c r="R5" i="1"/>
  <c r="V5" i="1"/>
  <c r="W5" i="1"/>
  <c r="X5" i="1"/>
  <c r="Y5" i="1"/>
  <c r="Z5" i="1"/>
  <c r="AA5" i="1"/>
  <c r="AB5" i="1"/>
  <c r="AC5" i="1"/>
  <c r="AD5" i="1"/>
  <c r="AH5" i="1"/>
  <c r="AI5" i="1"/>
  <c r="AJ5" i="1"/>
  <c r="AK5" i="1"/>
  <c r="Q7" i="1"/>
  <c r="R7" i="1"/>
  <c r="V7" i="1"/>
  <c r="W7" i="1"/>
  <c r="X7" i="1"/>
  <c r="Y7" i="1"/>
  <c r="Z7" i="1"/>
  <c r="AA7" i="1"/>
  <c r="AB7" i="1"/>
  <c r="AC7" i="1"/>
  <c r="AD7" i="1"/>
  <c r="AH7" i="1"/>
  <c r="AI7" i="1"/>
  <c r="AJ7" i="1"/>
  <c r="AK7" i="1"/>
  <c r="Q8" i="1"/>
  <c r="R8" i="1"/>
  <c r="V8" i="1"/>
  <c r="W8" i="1"/>
  <c r="X8" i="1"/>
  <c r="Y8" i="1"/>
  <c r="Z8" i="1"/>
  <c r="AA8" i="1"/>
  <c r="AB8" i="1"/>
  <c r="AC8" i="1"/>
  <c r="AD8" i="1"/>
  <c r="AH8" i="1"/>
  <c r="AI8" i="1"/>
  <c r="AJ8" i="1"/>
  <c r="AK8" i="1"/>
  <c r="Q9" i="1"/>
  <c r="R9" i="1"/>
  <c r="V9" i="1"/>
  <c r="W9" i="1"/>
  <c r="X9" i="1"/>
  <c r="Y9" i="1"/>
  <c r="Z9" i="1"/>
  <c r="AA9" i="1"/>
  <c r="AB9" i="1"/>
  <c r="AC9" i="1"/>
  <c r="AD9" i="1"/>
  <c r="AH9" i="1"/>
  <c r="AI9" i="1"/>
  <c r="AJ9" i="1"/>
  <c r="AK9" i="1"/>
  <c r="Q10" i="1"/>
  <c r="R10" i="1"/>
  <c r="V10" i="1"/>
  <c r="W10" i="1"/>
  <c r="X10" i="1"/>
  <c r="Y10" i="1"/>
  <c r="Z10" i="1"/>
  <c r="AA10" i="1"/>
  <c r="AB10" i="1"/>
  <c r="AC10" i="1"/>
  <c r="AD10" i="1"/>
  <c r="AH10" i="1"/>
  <c r="AI10" i="1"/>
  <c r="AJ10" i="1"/>
  <c r="AK10" i="1"/>
  <c r="Q11" i="1"/>
  <c r="R11" i="1"/>
  <c r="V11" i="1"/>
  <c r="W11" i="1"/>
  <c r="X11" i="1"/>
  <c r="Y11" i="1"/>
  <c r="Z11" i="1"/>
  <c r="AA11" i="1"/>
  <c r="AB11" i="1"/>
  <c r="AC11" i="1"/>
  <c r="AD11" i="1"/>
  <c r="AH11" i="1"/>
  <c r="AI11" i="1"/>
  <c r="AJ11" i="1"/>
  <c r="AK11" i="1"/>
  <c r="Q12" i="1"/>
  <c r="R12" i="1"/>
  <c r="V12" i="1"/>
  <c r="W12" i="1"/>
  <c r="X12" i="1"/>
  <c r="Y12" i="1"/>
  <c r="Z12" i="1"/>
  <c r="AA12" i="1"/>
  <c r="AB12" i="1"/>
  <c r="AC12" i="1"/>
  <c r="AD12" i="1"/>
  <c r="AH12" i="1"/>
  <c r="AI12" i="1"/>
  <c r="AJ12" i="1"/>
  <c r="AK12" i="1"/>
  <c r="Q13" i="1"/>
  <c r="R13" i="1"/>
  <c r="V13" i="1"/>
  <c r="W13" i="1"/>
  <c r="X13" i="1"/>
  <c r="Y13" i="1"/>
  <c r="Z13" i="1"/>
  <c r="AA13" i="1"/>
  <c r="AB13" i="1"/>
  <c r="AC13" i="1"/>
  <c r="AD13" i="1"/>
  <c r="AH13" i="1"/>
  <c r="AI13" i="1"/>
  <c r="AJ13" i="1"/>
  <c r="AK13" i="1"/>
  <c r="Q14" i="1"/>
  <c r="R14" i="1"/>
  <c r="V14" i="1"/>
  <c r="W14" i="1"/>
  <c r="X14" i="1"/>
  <c r="Y14" i="1"/>
  <c r="Z14" i="1"/>
  <c r="AA14" i="1"/>
  <c r="AB14" i="1"/>
  <c r="AC14" i="1"/>
  <c r="AD14" i="1"/>
  <c r="AH14" i="1"/>
  <c r="AI14" i="1"/>
  <c r="AJ14" i="1"/>
  <c r="AK14" i="1"/>
  <c r="Q15" i="1"/>
  <c r="R15" i="1"/>
  <c r="V15" i="1"/>
  <c r="W15" i="1"/>
  <c r="X15" i="1"/>
  <c r="Y15" i="1"/>
  <c r="Z15" i="1"/>
  <c r="AA15" i="1"/>
  <c r="AB15" i="1"/>
  <c r="AC15" i="1"/>
  <c r="AD15" i="1"/>
  <c r="AH15" i="1"/>
  <c r="AI15" i="1"/>
  <c r="AJ15" i="1"/>
  <c r="AK15" i="1"/>
  <c r="Q16" i="1"/>
  <c r="R16" i="1"/>
  <c r="V16" i="1"/>
  <c r="W16" i="1"/>
  <c r="X16" i="1"/>
  <c r="Y16" i="1"/>
  <c r="Z16" i="1"/>
  <c r="AA16" i="1"/>
  <c r="AB16" i="1"/>
  <c r="AC16" i="1"/>
  <c r="AD16" i="1"/>
  <c r="AH16" i="1"/>
  <c r="AI16" i="1"/>
  <c r="AJ16" i="1"/>
  <c r="AK16" i="1"/>
  <c r="Q17" i="1"/>
  <c r="R17" i="1"/>
  <c r="V17" i="1"/>
  <c r="W17" i="1"/>
  <c r="X17" i="1"/>
  <c r="Y17" i="1"/>
  <c r="Z17" i="1"/>
  <c r="AA17" i="1"/>
  <c r="AB17" i="1"/>
  <c r="AC17" i="1"/>
  <c r="AD17" i="1"/>
  <c r="AH17" i="1"/>
  <c r="AI17" i="1"/>
  <c r="AJ17" i="1"/>
  <c r="AK17" i="1"/>
  <c r="Q18" i="1"/>
  <c r="R18" i="1"/>
  <c r="V18" i="1"/>
  <c r="W18" i="1"/>
  <c r="X18" i="1"/>
  <c r="Y18" i="1"/>
  <c r="Z18" i="1"/>
  <c r="AA18" i="1"/>
  <c r="AB18" i="1"/>
  <c r="AC18" i="1"/>
  <c r="AD18" i="1"/>
  <c r="AH18" i="1"/>
  <c r="AI18" i="1"/>
  <c r="AJ18" i="1"/>
  <c r="AK18" i="1"/>
  <c r="Q19" i="1"/>
  <c r="R19" i="1"/>
  <c r="V19" i="1"/>
  <c r="W19" i="1"/>
  <c r="X19" i="1"/>
  <c r="Y19" i="1"/>
  <c r="Z19" i="1"/>
  <c r="AA19" i="1"/>
  <c r="AB19" i="1"/>
  <c r="AC19" i="1"/>
  <c r="AD19" i="1"/>
  <c r="AH19" i="1"/>
  <c r="AI19" i="1"/>
  <c r="AJ19" i="1"/>
  <c r="AK19" i="1"/>
  <c r="Q20" i="1"/>
  <c r="R20" i="1"/>
  <c r="V20" i="1"/>
  <c r="W20" i="1"/>
  <c r="X20" i="1"/>
  <c r="Y20" i="1"/>
  <c r="Z20" i="1"/>
  <c r="AA20" i="1"/>
  <c r="AB20" i="1"/>
  <c r="AC20" i="1"/>
  <c r="AD20" i="1"/>
  <c r="AH20" i="1"/>
  <c r="AI20" i="1"/>
  <c r="AJ20" i="1"/>
  <c r="AK20" i="1"/>
  <c r="Q21" i="1"/>
  <c r="R21" i="1"/>
  <c r="V21" i="1"/>
  <c r="W21" i="1"/>
  <c r="X21" i="1"/>
  <c r="Y21" i="1"/>
  <c r="Z21" i="1"/>
  <c r="AA21" i="1"/>
  <c r="AB21" i="1"/>
  <c r="AC21" i="1"/>
  <c r="AD21" i="1"/>
  <c r="AH21" i="1"/>
  <c r="AI21" i="1"/>
  <c r="AJ21" i="1"/>
  <c r="AK21" i="1"/>
  <c r="Q22" i="1"/>
  <c r="R22" i="1"/>
  <c r="V22" i="1"/>
  <c r="W22" i="1"/>
  <c r="X22" i="1"/>
  <c r="Y22" i="1"/>
  <c r="Z22" i="1"/>
  <c r="AA22" i="1"/>
  <c r="AB22" i="1"/>
  <c r="AC22" i="1"/>
  <c r="AD22" i="1"/>
  <c r="AH22" i="1"/>
  <c r="AI22" i="1"/>
  <c r="AJ22" i="1"/>
  <c r="AK22" i="1"/>
  <c r="Q23" i="1"/>
  <c r="R23" i="1"/>
  <c r="V23" i="1"/>
  <c r="W23" i="1"/>
  <c r="X23" i="1"/>
  <c r="Y23" i="1"/>
  <c r="Z23" i="1"/>
  <c r="AA23" i="1"/>
  <c r="AB23" i="1"/>
  <c r="AC23" i="1"/>
  <c r="AD23" i="1"/>
  <c r="AH23" i="1"/>
  <c r="AI23" i="1"/>
  <c r="AJ23" i="1"/>
  <c r="AK23" i="1"/>
  <c r="Q24" i="1"/>
  <c r="R24" i="1"/>
  <c r="V24" i="1"/>
  <c r="W24" i="1"/>
  <c r="X24" i="1"/>
  <c r="Y24" i="1"/>
  <c r="Z24" i="1"/>
  <c r="AA24" i="1"/>
  <c r="AB24" i="1"/>
  <c r="AC24" i="1"/>
  <c r="AD24" i="1"/>
  <c r="AH24" i="1"/>
  <c r="AI24" i="1"/>
  <c r="AJ24" i="1"/>
  <c r="AK24" i="1"/>
  <c r="Q25" i="1"/>
  <c r="R25" i="1"/>
  <c r="V25" i="1"/>
  <c r="W25" i="1"/>
  <c r="X25" i="1"/>
  <c r="Y25" i="1"/>
  <c r="Z25" i="1"/>
  <c r="AA25" i="1"/>
  <c r="AB25" i="1"/>
  <c r="AC25" i="1"/>
  <c r="AD25" i="1"/>
  <c r="AH25" i="1"/>
  <c r="AI25" i="1"/>
  <c r="AJ25" i="1"/>
  <c r="AK25" i="1"/>
  <c r="Q26" i="1"/>
  <c r="R26" i="1"/>
  <c r="V26" i="1"/>
  <c r="W26" i="1"/>
  <c r="X26" i="1"/>
  <c r="Y26" i="1"/>
  <c r="Z26" i="1"/>
  <c r="AA26" i="1"/>
  <c r="AB26" i="1"/>
  <c r="AC26" i="1"/>
  <c r="AD26" i="1"/>
  <c r="AH26" i="1"/>
  <c r="AI26" i="1"/>
  <c r="AJ26" i="1"/>
  <c r="AK26" i="1"/>
  <c r="Q27" i="1"/>
  <c r="R27" i="1"/>
  <c r="V27" i="1"/>
  <c r="W27" i="1"/>
  <c r="X27" i="1"/>
  <c r="Y27" i="1"/>
  <c r="Z27" i="1"/>
  <c r="AA27" i="1"/>
  <c r="AB27" i="1"/>
  <c r="AC27" i="1"/>
  <c r="AD27" i="1"/>
  <c r="AH27" i="1"/>
  <c r="AI27" i="1"/>
  <c r="AJ27" i="1"/>
  <c r="AK27" i="1"/>
  <c r="Q28" i="1"/>
  <c r="R28" i="1"/>
  <c r="V28" i="1"/>
  <c r="W28" i="1"/>
  <c r="X28" i="1"/>
  <c r="Y28" i="1"/>
  <c r="Z28" i="1"/>
  <c r="AA28" i="1"/>
  <c r="AB28" i="1"/>
  <c r="AC28" i="1"/>
  <c r="AD28" i="1"/>
  <c r="AH28" i="1"/>
  <c r="AI28" i="1"/>
  <c r="AJ28" i="1"/>
  <c r="AK28" i="1"/>
  <c r="Q29" i="1"/>
  <c r="R29" i="1"/>
  <c r="V29" i="1"/>
  <c r="W29" i="1"/>
  <c r="X29" i="1"/>
  <c r="Y29" i="1"/>
  <c r="Z29" i="1"/>
  <c r="AA29" i="1"/>
  <c r="AB29" i="1"/>
  <c r="AC29" i="1"/>
  <c r="AD29" i="1"/>
  <c r="AH29" i="1"/>
  <c r="AI29" i="1"/>
  <c r="AJ29" i="1"/>
  <c r="AK29" i="1"/>
  <c r="Q30" i="1"/>
  <c r="R30" i="1"/>
  <c r="V30" i="1"/>
  <c r="W30" i="1"/>
  <c r="X30" i="1"/>
  <c r="Y30" i="1"/>
  <c r="Z30" i="1"/>
  <c r="AA30" i="1"/>
  <c r="AB30" i="1"/>
  <c r="AC30" i="1"/>
  <c r="AD30" i="1"/>
  <c r="AH30" i="1"/>
  <c r="AI30" i="1"/>
  <c r="AJ30" i="1"/>
  <c r="AK30" i="1"/>
  <c r="Q31" i="1"/>
  <c r="R31" i="1"/>
  <c r="V31" i="1"/>
  <c r="W31" i="1"/>
  <c r="X31" i="1"/>
  <c r="Y31" i="1"/>
  <c r="Z31" i="1"/>
  <c r="AA31" i="1"/>
  <c r="AB31" i="1"/>
  <c r="AC31" i="1"/>
  <c r="AD31" i="1"/>
  <c r="AH31" i="1"/>
  <c r="AI31" i="1"/>
  <c r="AJ31" i="1"/>
  <c r="AK31" i="1"/>
  <c r="Q32" i="1"/>
  <c r="R32" i="1"/>
  <c r="V32" i="1"/>
  <c r="W32" i="1"/>
  <c r="X32" i="1"/>
  <c r="Y32" i="1"/>
  <c r="Z32" i="1"/>
  <c r="AA32" i="1"/>
  <c r="AB32" i="1"/>
  <c r="AC32" i="1"/>
  <c r="AD32" i="1"/>
  <c r="AH32" i="1"/>
  <c r="AI32" i="1"/>
  <c r="AJ32" i="1"/>
  <c r="AK32" i="1"/>
  <c r="Q33" i="1"/>
  <c r="R33" i="1"/>
  <c r="V33" i="1"/>
  <c r="W33" i="1"/>
  <c r="X33" i="1"/>
  <c r="Y33" i="1"/>
  <c r="Z33" i="1"/>
  <c r="AA33" i="1"/>
  <c r="AB33" i="1"/>
  <c r="AC33" i="1"/>
  <c r="AD33" i="1"/>
  <c r="AH33" i="1"/>
  <c r="AI33" i="1"/>
  <c r="AJ33" i="1"/>
  <c r="AK33" i="1"/>
  <c r="Q34" i="1"/>
  <c r="R34" i="1"/>
  <c r="V34" i="1"/>
  <c r="W34" i="1"/>
  <c r="X34" i="1"/>
  <c r="Y34" i="1"/>
  <c r="Z34" i="1"/>
  <c r="AA34" i="1"/>
  <c r="AB34" i="1"/>
  <c r="AC34" i="1"/>
  <c r="AD34" i="1"/>
  <c r="AH34" i="1"/>
  <c r="AI34" i="1"/>
  <c r="AJ34" i="1"/>
  <c r="AK34" i="1"/>
  <c r="P2" i="3"/>
  <c r="Q2" i="3"/>
  <c r="U2" i="3"/>
  <c r="V2" i="3"/>
  <c r="W2" i="3"/>
  <c r="X2" i="3"/>
  <c r="Y2" i="3"/>
  <c r="Z2" i="3"/>
  <c r="AA2" i="3"/>
  <c r="AB2" i="3"/>
  <c r="AC2" i="3"/>
  <c r="AD2" i="3"/>
  <c r="AE2" i="3"/>
  <c r="AF2" i="3"/>
  <c r="P3" i="3"/>
  <c r="Q3" i="3"/>
  <c r="U3" i="3"/>
  <c r="V3" i="3"/>
  <c r="W3" i="3"/>
  <c r="X3" i="3"/>
  <c r="Y3" i="3"/>
  <c r="Z3" i="3"/>
  <c r="AA3" i="3"/>
  <c r="AB3" i="3"/>
  <c r="AC3" i="3"/>
  <c r="AD3" i="3"/>
  <c r="AE3" i="3"/>
  <c r="AF3" i="3"/>
  <c r="AI3" i="3"/>
  <c r="AJ3" i="3"/>
  <c r="AK3" i="3"/>
  <c r="P4" i="3"/>
  <c r="Q4" i="3"/>
  <c r="U4" i="3"/>
  <c r="V4" i="3"/>
  <c r="W4" i="3"/>
  <c r="X4" i="3"/>
  <c r="Y4" i="3"/>
  <c r="Z4" i="3"/>
  <c r="AA4" i="3"/>
  <c r="AB4" i="3"/>
  <c r="AC4" i="3"/>
  <c r="AD4" i="3"/>
  <c r="AE4" i="3"/>
  <c r="AF4" i="3"/>
  <c r="AI4" i="3"/>
  <c r="AJ4" i="3"/>
  <c r="AK4" i="3"/>
  <c r="P5" i="3"/>
  <c r="Q5" i="3"/>
  <c r="U5" i="3"/>
  <c r="V5" i="3"/>
  <c r="W5" i="3"/>
  <c r="X5" i="3"/>
  <c r="Y5" i="3"/>
  <c r="Z5" i="3"/>
  <c r="AA5" i="3"/>
  <c r="AB5" i="3"/>
  <c r="AC5" i="3"/>
  <c r="AD5" i="3"/>
  <c r="AE5" i="3"/>
  <c r="AF5" i="3"/>
  <c r="AI5" i="3"/>
  <c r="AJ5" i="3"/>
  <c r="AK5" i="3"/>
  <c r="P6" i="3"/>
  <c r="Q6" i="3"/>
  <c r="U6" i="3"/>
  <c r="V6" i="3"/>
  <c r="W6" i="3"/>
  <c r="X6" i="3"/>
  <c r="Y6" i="3"/>
  <c r="Z6" i="3"/>
  <c r="AA6" i="3"/>
  <c r="AB6" i="3"/>
  <c r="AC6" i="3"/>
  <c r="AD6" i="3"/>
  <c r="AE6" i="3"/>
  <c r="AF6" i="3"/>
  <c r="AI6" i="3"/>
  <c r="AJ6" i="3"/>
  <c r="AK6" i="3"/>
  <c r="P7" i="3"/>
  <c r="Q7" i="3"/>
  <c r="U7" i="3"/>
  <c r="V7" i="3"/>
  <c r="W7" i="3"/>
  <c r="X7" i="3"/>
  <c r="Y7" i="3"/>
  <c r="Z7" i="3"/>
  <c r="AA7" i="3"/>
  <c r="AB7" i="3"/>
  <c r="AC7" i="3"/>
  <c r="AD7" i="3"/>
  <c r="AE7" i="3"/>
  <c r="AF7" i="3"/>
  <c r="AI7" i="3"/>
  <c r="AJ7" i="3"/>
  <c r="AK7" i="3"/>
  <c r="P8" i="3"/>
  <c r="Q8" i="3"/>
  <c r="U8" i="3"/>
  <c r="V8" i="3"/>
  <c r="W8" i="3"/>
  <c r="X8" i="3"/>
  <c r="Y8" i="3"/>
  <c r="Z8" i="3"/>
  <c r="AA8" i="3"/>
  <c r="AB8" i="3"/>
  <c r="AC8" i="3"/>
  <c r="AD8" i="3"/>
  <c r="AE8" i="3"/>
  <c r="AF8" i="3"/>
  <c r="AI8" i="3"/>
  <c r="AJ8" i="3"/>
  <c r="AK8" i="3"/>
  <c r="P9" i="3"/>
  <c r="Q9" i="3"/>
  <c r="U9" i="3"/>
  <c r="V9" i="3"/>
  <c r="W9" i="3"/>
  <c r="X9" i="3"/>
  <c r="Y9" i="3"/>
  <c r="Z9" i="3"/>
  <c r="AA9" i="3"/>
  <c r="AB9" i="3"/>
  <c r="AC9" i="3"/>
  <c r="AD9" i="3"/>
  <c r="AE9" i="3"/>
  <c r="AF9" i="3"/>
  <c r="AI9" i="3"/>
  <c r="AJ9" i="3"/>
  <c r="AK9" i="3"/>
  <c r="P10" i="3"/>
  <c r="Q10" i="3"/>
  <c r="U10" i="3"/>
  <c r="V10" i="3"/>
  <c r="W10" i="3"/>
  <c r="X10" i="3"/>
  <c r="Y10" i="3"/>
  <c r="Z10" i="3"/>
  <c r="AA10" i="3"/>
  <c r="AB10" i="3"/>
  <c r="AC10" i="3"/>
  <c r="AD10" i="3"/>
  <c r="AE10" i="3"/>
  <c r="AF10" i="3"/>
  <c r="AI10" i="3"/>
  <c r="AJ10" i="3"/>
  <c r="AK10" i="3"/>
  <c r="P11" i="3"/>
  <c r="Q11" i="3"/>
  <c r="U11" i="3"/>
  <c r="V11" i="3"/>
  <c r="W11" i="3"/>
  <c r="X11" i="3"/>
  <c r="Y11" i="3"/>
  <c r="Z11" i="3"/>
  <c r="AA11" i="3"/>
  <c r="AB11" i="3"/>
  <c r="AC11" i="3"/>
  <c r="AD11" i="3"/>
  <c r="AE11" i="3"/>
  <c r="AF11" i="3"/>
  <c r="AI11" i="3"/>
  <c r="AJ11" i="3"/>
  <c r="AK11" i="3"/>
  <c r="P12" i="3"/>
  <c r="Q12" i="3"/>
  <c r="U12" i="3"/>
  <c r="V12" i="3"/>
  <c r="W12" i="3"/>
  <c r="X12" i="3"/>
  <c r="Y12" i="3"/>
  <c r="Z12" i="3"/>
  <c r="AA12" i="3"/>
  <c r="AB12" i="3"/>
  <c r="AC12" i="3"/>
  <c r="AD12" i="3"/>
  <c r="AE12" i="3"/>
  <c r="AF12" i="3"/>
  <c r="AI12" i="3"/>
  <c r="AJ12" i="3"/>
  <c r="AK12" i="3"/>
  <c r="P13" i="3"/>
  <c r="Q13" i="3"/>
  <c r="U13" i="3"/>
  <c r="V13" i="3"/>
  <c r="W13" i="3"/>
  <c r="X13" i="3"/>
  <c r="Y13" i="3"/>
  <c r="Z13" i="3"/>
  <c r="AA13" i="3"/>
  <c r="AB13" i="3"/>
  <c r="AC13" i="3"/>
  <c r="AD13" i="3"/>
  <c r="AE13" i="3"/>
  <c r="AF13" i="3"/>
  <c r="AI13" i="3"/>
  <c r="AJ13" i="3"/>
  <c r="AK13" i="3"/>
  <c r="P14" i="3"/>
  <c r="Q14" i="3"/>
  <c r="U14" i="3"/>
  <c r="V14" i="3"/>
  <c r="W14" i="3"/>
  <c r="X14" i="3"/>
  <c r="Y14" i="3"/>
  <c r="Z14" i="3"/>
  <c r="AA14" i="3"/>
  <c r="AB14" i="3"/>
  <c r="AC14" i="3"/>
  <c r="AD14" i="3"/>
  <c r="AE14" i="3"/>
  <c r="AF14" i="3"/>
  <c r="AI14" i="3"/>
  <c r="AJ14" i="3"/>
  <c r="AK14" i="3"/>
  <c r="P15" i="3"/>
  <c r="Q15" i="3"/>
  <c r="U15" i="3"/>
  <c r="V15" i="3"/>
  <c r="W15" i="3"/>
  <c r="X15" i="3"/>
  <c r="Y15" i="3"/>
  <c r="Z15" i="3"/>
  <c r="AA15" i="3"/>
  <c r="AB15" i="3"/>
  <c r="AC15" i="3"/>
  <c r="AD15" i="3"/>
  <c r="AE15" i="3"/>
  <c r="AF15" i="3"/>
  <c r="AI15" i="3"/>
  <c r="AJ15" i="3"/>
  <c r="AK15" i="3"/>
  <c r="P16" i="3"/>
  <c r="Q16" i="3"/>
  <c r="U16" i="3"/>
  <c r="V16" i="3"/>
  <c r="W16" i="3"/>
  <c r="X16" i="3"/>
  <c r="Y16" i="3"/>
  <c r="Z16" i="3"/>
  <c r="AA16" i="3"/>
  <c r="AB16" i="3"/>
  <c r="AC16" i="3"/>
  <c r="AD16" i="3"/>
  <c r="AE16" i="3"/>
  <c r="AF16" i="3"/>
  <c r="AI16" i="3"/>
  <c r="AJ16" i="3"/>
  <c r="AK16" i="3"/>
  <c r="P17" i="3"/>
  <c r="Q17" i="3"/>
  <c r="U17" i="3"/>
  <c r="V17" i="3"/>
  <c r="W17" i="3"/>
  <c r="X17" i="3"/>
  <c r="Y17" i="3"/>
  <c r="Z17" i="3"/>
  <c r="AA17" i="3"/>
  <c r="AB17" i="3"/>
  <c r="AC17" i="3"/>
  <c r="AD17" i="3"/>
  <c r="AE17" i="3"/>
  <c r="AF17" i="3"/>
  <c r="AI17" i="3"/>
  <c r="AJ17" i="3"/>
  <c r="AK17" i="3"/>
  <c r="P18" i="3"/>
  <c r="Q18" i="3"/>
  <c r="U18" i="3"/>
  <c r="V18" i="3"/>
  <c r="W18" i="3"/>
  <c r="X18" i="3"/>
  <c r="Y18" i="3"/>
  <c r="Z18" i="3"/>
  <c r="AA18" i="3"/>
  <c r="AB18" i="3"/>
  <c r="AC18" i="3"/>
  <c r="AD18" i="3"/>
  <c r="AE18" i="3"/>
  <c r="AF18" i="3"/>
  <c r="AI18" i="3"/>
  <c r="AJ18" i="3"/>
  <c r="AK18" i="3"/>
  <c r="P19" i="3"/>
  <c r="Q19" i="3"/>
  <c r="U19" i="3"/>
  <c r="V19" i="3"/>
  <c r="W19" i="3"/>
  <c r="X19" i="3"/>
  <c r="Y19" i="3"/>
  <c r="Z19" i="3"/>
  <c r="AA19" i="3"/>
  <c r="AB19" i="3"/>
  <c r="AC19" i="3"/>
  <c r="AD19" i="3"/>
  <c r="AE19" i="3"/>
  <c r="AF19" i="3"/>
  <c r="AI19" i="3"/>
  <c r="AJ19" i="3"/>
  <c r="AK19" i="3"/>
  <c r="P20" i="3"/>
  <c r="Q20" i="3"/>
  <c r="U20" i="3"/>
  <c r="V20" i="3"/>
  <c r="W20" i="3"/>
  <c r="X20" i="3"/>
  <c r="Y20" i="3"/>
  <c r="Z20" i="3"/>
  <c r="AA20" i="3"/>
  <c r="AB20" i="3"/>
  <c r="AC20" i="3"/>
  <c r="AD20" i="3"/>
  <c r="AE20" i="3"/>
  <c r="AF20" i="3"/>
  <c r="AI20" i="3"/>
  <c r="AJ20" i="3"/>
  <c r="AK20" i="3"/>
  <c r="P21" i="3"/>
  <c r="Q21" i="3"/>
  <c r="U21" i="3"/>
  <c r="V21" i="3"/>
  <c r="W21" i="3"/>
  <c r="X21" i="3"/>
  <c r="Y21" i="3"/>
  <c r="Z21" i="3"/>
  <c r="AA21" i="3"/>
  <c r="AB21" i="3"/>
  <c r="AC21" i="3"/>
  <c r="AD21" i="3"/>
  <c r="AE21" i="3"/>
  <c r="AF21" i="3"/>
  <c r="AI21" i="3"/>
  <c r="AJ21" i="3"/>
  <c r="AK21" i="3"/>
  <c r="P22" i="3"/>
  <c r="Q22" i="3"/>
  <c r="U22" i="3"/>
  <c r="V22" i="3"/>
  <c r="W22" i="3"/>
  <c r="X22" i="3"/>
  <c r="Y22" i="3"/>
  <c r="Z22" i="3"/>
  <c r="AA22" i="3"/>
  <c r="AB22" i="3"/>
  <c r="AC22" i="3"/>
  <c r="AD22" i="3"/>
  <c r="AE22" i="3"/>
  <c r="AF22" i="3"/>
  <c r="AI22" i="3"/>
  <c r="AJ22" i="3"/>
  <c r="AK22" i="3"/>
  <c r="P23" i="3"/>
  <c r="Q23" i="3"/>
  <c r="U23" i="3"/>
  <c r="V23" i="3"/>
  <c r="W23" i="3"/>
  <c r="X23" i="3"/>
  <c r="Y23" i="3"/>
  <c r="Z23" i="3"/>
  <c r="AA23" i="3"/>
  <c r="AB23" i="3"/>
  <c r="AC23" i="3"/>
  <c r="AD23" i="3"/>
  <c r="AE23" i="3"/>
  <c r="AF23" i="3"/>
  <c r="AI23" i="3"/>
  <c r="AJ23" i="3"/>
  <c r="AK23" i="3"/>
  <c r="P24" i="3"/>
  <c r="Q24" i="3"/>
  <c r="U24" i="3"/>
  <c r="V24" i="3"/>
  <c r="W24" i="3"/>
  <c r="X24" i="3"/>
  <c r="Y24" i="3"/>
  <c r="Z24" i="3"/>
  <c r="AA24" i="3"/>
  <c r="AB24" i="3"/>
  <c r="AC24" i="3"/>
  <c r="AD24" i="3"/>
  <c r="AE24" i="3"/>
  <c r="AF24" i="3"/>
  <c r="AI24" i="3"/>
  <c r="AJ24" i="3"/>
  <c r="AK24" i="3"/>
  <c r="P25" i="3"/>
  <c r="Q25" i="3"/>
  <c r="U25" i="3"/>
  <c r="V25" i="3"/>
  <c r="W25" i="3"/>
  <c r="X25" i="3"/>
  <c r="Y25" i="3"/>
  <c r="Z25" i="3"/>
  <c r="AA25" i="3"/>
  <c r="AB25" i="3"/>
  <c r="AC25" i="3"/>
  <c r="AD25" i="3"/>
  <c r="AE25" i="3"/>
  <c r="AF25" i="3"/>
  <c r="AI25" i="3"/>
  <c r="AJ25" i="3"/>
  <c r="AK25" i="3"/>
  <c r="P26" i="3"/>
  <c r="Q26" i="3"/>
  <c r="U26" i="3"/>
  <c r="V26" i="3"/>
  <c r="W26" i="3"/>
  <c r="X26" i="3"/>
  <c r="Y26" i="3"/>
  <c r="Z26" i="3"/>
  <c r="AA26" i="3"/>
  <c r="AB26" i="3"/>
  <c r="AC26" i="3"/>
  <c r="AD26" i="3"/>
  <c r="AE26" i="3"/>
  <c r="AF26" i="3"/>
  <c r="AI26" i="3"/>
  <c r="AJ26" i="3"/>
  <c r="AK26" i="3"/>
  <c r="P27" i="3"/>
  <c r="Q27" i="3"/>
  <c r="U27" i="3"/>
  <c r="V27" i="3"/>
  <c r="W27" i="3"/>
  <c r="X27" i="3"/>
  <c r="Y27" i="3"/>
  <c r="Z27" i="3"/>
  <c r="AA27" i="3"/>
  <c r="AB27" i="3"/>
  <c r="AC27" i="3"/>
  <c r="AD27" i="3"/>
  <c r="AE27" i="3"/>
  <c r="AF27" i="3"/>
  <c r="AI27" i="3"/>
  <c r="AJ27" i="3"/>
  <c r="AK27" i="3"/>
  <c r="P28" i="3"/>
  <c r="Q28" i="3"/>
  <c r="U28" i="3"/>
  <c r="V28" i="3"/>
  <c r="W28" i="3"/>
  <c r="X28" i="3"/>
  <c r="Y28" i="3"/>
  <c r="Z28" i="3"/>
  <c r="AA28" i="3"/>
  <c r="AB28" i="3"/>
  <c r="AC28" i="3"/>
  <c r="AD28" i="3"/>
  <c r="AE28" i="3"/>
  <c r="AF28" i="3"/>
  <c r="AI28" i="3"/>
  <c r="AJ28" i="3"/>
  <c r="AK28" i="3"/>
  <c r="P29" i="3"/>
  <c r="Q29" i="3"/>
  <c r="U29" i="3"/>
  <c r="V29" i="3"/>
  <c r="W29" i="3"/>
  <c r="X29" i="3"/>
  <c r="Y29" i="3"/>
  <c r="Z29" i="3"/>
  <c r="AA29" i="3"/>
  <c r="AB29" i="3"/>
  <c r="AC29" i="3"/>
  <c r="AD29" i="3"/>
  <c r="AE29" i="3"/>
  <c r="AF29" i="3"/>
  <c r="AI29" i="3"/>
  <c r="AJ29" i="3"/>
  <c r="AK29" i="3"/>
  <c r="P30" i="3"/>
  <c r="Q30" i="3"/>
  <c r="U30" i="3"/>
  <c r="V30" i="3"/>
  <c r="W30" i="3"/>
  <c r="X30" i="3"/>
  <c r="Y30" i="3"/>
  <c r="Z30" i="3"/>
  <c r="AA30" i="3"/>
  <c r="AB30" i="3"/>
  <c r="AC30" i="3"/>
  <c r="AD30" i="3"/>
  <c r="AE30" i="3"/>
  <c r="AF30" i="3"/>
  <c r="AI30" i="3"/>
  <c r="AJ30" i="3"/>
  <c r="AK30" i="3"/>
  <c r="P31" i="3"/>
  <c r="Q31" i="3"/>
  <c r="U31" i="3"/>
  <c r="V31" i="3"/>
  <c r="W31" i="3"/>
  <c r="X31" i="3"/>
  <c r="Y31" i="3"/>
  <c r="Z31" i="3"/>
  <c r="AA31" i="3"/>
  <c r="AB31" i="3"/>
  <c r="AC31" i="3"/>
  <c r="AD31" i="3"/>
  <c r="AE31" i="3"/>
  <c r="AF31" i="3"/>
  <c r="AI31" i="3"/>
  <c r="AJ31" i="3"/>
  <c r="AK31" i="3"/>
  <c r="P32" i="3"/>
  <c r="Q32" i="3"/>
  <c r="U32" i="3"/>
  <c r="V32" i="3"/>
  <c r="W32" i="3"/>
  <c r="X32" i="3"/>
  <c r="Y32" i="3"/>
  <c r="Z32" i="3"/>
  <c r="AA32" i="3"/>
  <c r="AB32" i="3"/>
  <c r="AC32" i="3"/>
  <c r="AD32" i="3"/>
  <c r="AE32" i="3"/>
  <c r="AF32" i="3"/>
  <c r="AI32" i="3"/>
  <c r="AJ32" i="3"/>
  <c r="AK32" i="3"/>
  <c r="P33" i="3"/>
  <c r="Q33" i="3"/>
  <c r="U33" i="3"/>
  <c r="V33" i="3"/>
  <c r="W33" i="3"/>
  <c r="X33" i="3"/>
  <c r="Y33" i="3"/>
  <c r="Z33" i="3"/>
  <c r="AA33" i="3"/>
  <c r="AB33" i="3"/>
  <c r="AC33" i="3"/>
  <c r="AD33" i="3"/>
  <c r="AE33" i="3"/>
  <c r="AF33" i="3"/>
  <c r="AI33" i="3"/>
  <c r="AJ33" i="3"/>
  <c r="AK33" i="3"/>
  <c r="P34" i="3"/>
  <c r="Q34" i="3"/>
  <c r="U34" i="3"/>
  <c r="V34" i="3"/>
  <c r="W34" i="3"/>
  <c r="X34" i="3"/>
  <c r="Y34" i="3"/>
  <c r="Z34" i="3"/>
  <c r="AA34" i="3"/>
  <c r="AB34" i="3"/>
  <c r="AC34" i="3"/>
  <c r="AD34" i="3"/>
  <c r="AE34" i="3"/>
  <c r="AF34" i="3"/>
  <c r="AI34" i="3"/>
  <c r="AJ34" i="3"/>
  <c r="AK34" i="3"/>
  <c r="S3" i="1"/>
  <c r="R3" i="3"/>
  <c r="CB3" i="2"/>
  <c r="Q2" i="9"/>
  <c r="R2" i="9"/>
  <c r="V2" i="9"/>
  <c r="W2" i="9"/>
  <c r="X2" i="9"/>
  <c r="Y2" i="9"/>
  <c r="Z2" i="9"/>
  <c r="AA2" i="9"/>
  <c r="AB2" i="9"/>
  <c r="AC2" i="9"/>
  <c r="AD2" i="9"/>
  <c r="AE2" i="9"/>
  <c r="AF2" i="9"/>
  <c r="AG2" i="9"/>
  <c r="Q3" i="9"/>
  <c r="R3" i="9"/>
  <c r="S3" i="9"/>
  <c r="V3" i="9"/>
  <c r="W3" i="9"/>
  <c r="X3" i="9"/>
  <c r="Y3" i="9"/>
  <c r="Z3" i="9"/>
  <c r="AA3" i="9"/>
  <c r="AB3" i="9"/>
  <c r="AC3" i="9"/>
  <c r="AD3" i="9"/>
  <c r="AE3" i="9"/>
  <c r="AF3" i="9"/>
  <c r="AG3" i="9"/>
  <c r="AI3" i="9"/>
  <c r="AJ3" i="9"/>
  <c r="AK3" i="9"/>
  <c r="Q4" i="9"/>
  <c r="R4" i="9"/>
  <c r="V4" i="9"/>
  <c r="W4" i="9"/>
  <c r="X4" i="9"/>
  <c r="Y4" i="9"/>
  <c r="Z4" i="9"/>
  <c r="AA4" i="9"/>
  <c r="AB4" i="9"/>
  <c r="AC4" i="9"/>
  <c r="AD4" i="9"/>
  <c r="AE4" i="9"/>
  <c r="AF4" i="9"/>
  <c r="AG4" i="9"/>
  <c r="AI4" i="9"/>
  <c r="AJ4" i="9"/>
  <c r="AK4" i="9"/>
  <c r="Q5" i="9"/>
  <c r="R5" i="9"/>
  <c r="V5" i="9"/>
  <c r="W5" i="9"/>
  <c r="X5" i="9"/>
  <c r="Y5" i="9"/>
  <c r="Z5" i="9"/>
  <c r="AA5" i="9"/>
  <c r="AB5" i="9"/>
  <c r="AC5" i="9"/>
  <c r="AD5" i="9"/>
  <c r="AE5" i="9"/>
  <c r="AF5" i="9"/>
  <c r="AG5" i="9"/>
  <c r="AI5" i="9"/>
  <c r="AJ5" i="9"/>
  <c r="AK5" i="9"/>
  <c r="Q6" i="9"/>
  <c r="R6" i="9"/>
  <c r="V6" i="9"/>
  <c r="W6" i="9"/>
  <c r="X6" i="9"/>
  <c r="Y6" i="9"/>
  <c r="Z6" i="9"/>
  <c r="AA6" i="9"/>
  <c r="AB6" i="9"/>
  <c r="AC6" i="9"/>
  <c r="AD6" i="9"/>
  <c r="AE6" i="9"/>
  <c r="AF6" i="9"/>
  <c r="AG6" i="9"/>
  <c r="AI6" i="9"/>
  <c r="AJ6" i="9"/>
  <c r="AK6" i="9"/>
  <c r="Q7" i="9"/>
  <c r="R7" i="9"/>
  <c r="V7" i="9"/>
  <c r="W7" i="9"/>
  <c r="X7" i="9"/>
  <c r="Y7" i="9"/>
  <c r="Z7" i="9"/>
  <c r="AA7" i="9"/>
  <c r="AB7" i="9"/>
  <c r="AC7" i="9"/>
  <c r="AD7" i="9"/>
  <c r="AE7" i="9"/>
  <c r="AF7" i="9"/>
  <c r="AG7" i="9"/>
  <c r="AI7" i="9"/>
  <c r="AJ7" i="9"/>
  <c r="AK7" i="9"/>
  <c r="Q8" i="9"/>
  <c r="R8" i="9"/>
  <c r="V8" i="9"/>
  <c r="W8" i="9"/>
  <c r="X8" i="9"/>
  <c r="Y8" i="9"/>
  <c r="Z8" i="9"/>
  <c r="AA8" i="9"/>
  <c r="AB8" i="9"/>
  <c r="AC8" i="9"/>
  <c r="AD8" i="9"/>
  <c r="AE8" i="9"/>
  <c r="AF8" i="9"/>
  <c r="AG8" i="9"/>
  <c r="AI8" i="9"/>
  <c r="AJ8" i="9"/>
  <c r="AK8" i="9"/>
  <c r="Q9" i="9"/>
  <c r="R9" i="9"/>
  <c r="V9" i="9"/>
  <c r="W9" i="9"/>
  <c r="X9" i="9"/>
  <c r="Y9" i="9"/>
  <c r="Z9" i="9"/>
  <c r="AA9" i="9"/>
  <c r="AB9" i="9"/>
  <c r="AC9" i="9"/>
  <c r="AD9" i="9"/>
  <c r="AE9" i="9"/>
  <c r="AF9" i="9"/>
  <c r="AG9" i="9"/>
  <c r="AI9" i="9"/>
  <c r="AJ9" i="9"/>
  <c r="AK9" i="9"/>
  <c r="Q10" i="9"/>
  <c r="R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I10" i="9"/>
  <c r="AJ10" i="9"/>
  <c r="AK10" i="9"/>
  <c r="Q11" i="9"/>
  <c r="R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I11" i="9"/>
  <c r="AJ11" i="9"/>
  <c r="AK11" i="9"/>
  <c r="Q12" i="9"/>
  <c r="R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I12" i="9"/>
  <c r="AJ12" i="9"/>
  <c r="AK12" i="9"/>
  <c r="Q13" i="9"/>
  <c r="R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I13" i="9"/>
  <c r="AJ13" i="9"/>
  <c r="AK13" i="9"/>
  <c r="Q14" i="9"/>
  <c r="R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I14" i="9"/>
  <c r="AJ14" i="9"/>
  <c r="AK14" i="9"/>
  <c r="Q15" i="9"/>
  <c r="R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I15" i="9"/>
  <c r="AJ15" i="9"/>
  <c r="AK15" i="9"/>
  <c r="Q16" i="9"/>
  <c r="R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I16" i="9"/>
  <c r="AJ16" i="9"/>
  <c r="AK16" i="9"/>
  <c r="Q17" i="9"/>
  <c r="R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I17" i="9"/>
  <c r="AJ17" i="9"/>
  <c r="AK17" i="9"/>
  <c r="Q18" i="9"/>
  <c r="R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I18" i="9"/>
  <c r="AJ18" i="9"/>
  <c r="AK18" i="9"/>
  <c r="Q19" i="9"/>
  <c r="R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I19" i="9"/>
  <c r="AJ19" i="9"/>
  <c r="AK19" i="9"/>
  <c r="Q20" i="9"/>
  <c r="R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I20" i="9"/>
  <c r="AJ20" i="9"/>
  <c r="AK20" i="9"/>
  <c r="Q21" i="9"/>
  <c r="R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I21" i="9"/>
  <c r="AJ21" i="9"/>
  <c r="AK21" i="9"/>
  <c r="Q22" i="9"/>
  <c r="R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I22" i="9"/>
  <c r="AJ22" i="9"/>
  <c r="AK22" i="9"/>
  <c r="Q23" i="9"/>
  <c r="R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I23" i="9"/>
  <c r="AJ23" i="9"/>
  <c r="AK23" i="9"/>
  <c r="Q24" i="9"/>
  <c r="R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I24" i="9"/>
  <c r="AJ24" i="9"/>
  <c r="AK24" i="9"/>
  <c r="Q25" i="9"/>
  <c r="R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I25" i="9"/>
  <c r="AJ25" i="9"/>
  <c r="AK25" i="9"/>
  <c r="Q26" i="9"/>
  <c r="R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I26" i="9"/>
  <c r="AJ26" i="9"/>
  <c r="AK26" i="9"/>
  <c r="Q27" i="9"/>
  <c r="R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I27" i="9"/>
  <c r="AJ27" i="9"/>
  <c r="AK27" i="9"/>
  <c r="Q28" i="9"/>
  <c r="R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I28" i="9"/>
  <c r="AJ28" i="9"/>
  <c r="AK28" i="9"/>
  <c r="Q29" i="9"/>
  <c r="R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I29" i="9"/>
  <c r="AJ29" i="9"/>
  <c r="AK29" i="9"/>
  <c r="Q30" i="9"/>
  <c r="R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I30" i="9"/>
  <c r="AJ30" i="9"/>
  <c r="AK30" i="9"/>
  <c r="Q31" i="9"/>
  <c r="R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I31" i="9"/>
  <c r="AJ31" i="9"/>
  <c r="AK31" i="9"/>
  <c r="Q32" i="9"/>
  <c r="R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I32" i="9"/>
  <c r="AJ32" i="9"/>
  <c r="AK32" i="9"/>
  <c r="Q33" i="9"/>
  <c r="R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I33" i="9"/>
  <c r="AJ33" i="9"/>
  <c r="AK33" i="9"/>
  <c r="Q34" i="9"/>
  <c r="R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I34" i="9"/>
  <c r="AJ34" i="9"/>
  <c r="AK34" i="9"/>
  <c r="Q7" i="4"/>
  <c r="R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Q8" i="4"/>
  <c r="R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Q9" i="4"/>
  <c r="R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Q10" i="4"/>
  <c r="R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Q11" i="4"/>
  <c r="R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Q12" i="4"/>
  <c r="R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Q13" i="4"/>
  <c r="R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Q14" i="4"/>
  <c r="R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Q15" i="4"/>
  <c r="R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Q16" i="4"/>
  <c r="R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Q17" i="4"/>
  <c r="R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Q18" i="4"/>
  <c r="R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Q19" i="4"/>
  <c r="R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Q20" i="4"/>
  <c r="R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Q21" i="4"/>
  <c r="R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Q22" i="4"/>
  <c r="R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Q23" i="4"/>
  <c r="R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Q24" i="4"/>
  <c r="R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Q25" i="4"/>
  <c r="R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Q26" i="4"/>
  <c r="R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Q27" i="4"/>
  <c r="R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Q28" i="4"/>
  <c r="R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Q29" i="4"/>
  <c r="R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Q30" i="4"/>
  <c r="R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Q31" i="4"/>
  <c r="R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Q32" i="4"/>
  <c r="R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Q33" i="4"/>
  <c r="R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Q2" i="4"/>
  <c r="R2" i="4"/>
  <c r="V2" i="4"/>
  <c r="W2" i="4"/>
  <c r="X2" i="4"/>
  <c r="Y2" i="4"/>
  <c r="Z2" i="4"/>
  <c r="AA2" i="4"/>
  <c r="AB2" i="4"/>
  <c r="AC2" i="4"/>
  <c r="AD2" i="4"/>
  <c r="AE2" i="4"/>
  <c r="AF2" i="4"/>
  <c r="AG2" i="4"/>
  <c r="Q3" i="4"/>
  <c r="R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Q4" i="4"/>
  <c r="R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Q5" i="4"/>
  <c r="R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Q6" i="4"/>
  <c r="R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S3" i="4"/>
  <c r="C22" i="11"/>
  <c r="K24" i="11"/>
  <c r="I24" i="11"/>
  <c r="H24" i="11"/>
  <c r="G24" i="11"/>
  <c r="C35" i="1"/>
  <c r="D35" i="1"/>
  <c r="E35" i="1"/>
  <c r="F35" i="1"/>
  <c r="G35" i="1"/>
  <c r="H35" i="1"/>
  <c r="K3" i="11" s="1"/>
  <c r="C36" i="1"/>
  <c r="G36" i="1"/>
  <c r="C14" i="11"/>
  <c r="BP35" i="2"/>
  <c r="K8" i="11" s="1"/>
  <c r="BO35" i="2"/>
  <c r="J8" i="11" s="1"/>
  <c r="H9" i="15" s="1"/>
  <c r="BN35" i="2"/>
  <c r="I8" i="11" s="1"/>
  <c r="BM35" i="2"/>
  <c r="H8" i="11" s="1"/>
  <c r="BL35" i="2"/>
  <c r="G8" i="11" s="1"/>
  <c r="BK35" i="2"/>
  <c r="AQ37" i="7"/>
  <c r="AI36" i="7"/>
  <c r="K22" i="11" s="1"/>
  <c r="AH36" i="7"/>
  <c r="X34" i="5"/>
  <c r="K19" i="11" s="1"/>
  <c r="W34" i="5"/>
  <c r="V34" i="5"/>
  <c r="U34" i="5"/>
  <c r="T34" i="5"/>
  <c r="S34" i="5"/>
  <c r="H34" i="4"/>
  <c r="K12" i="11" s="1"/>
  <c r="G34" i="4"/>
  <c r="F34" i="4"/>
  <c r="I12" i="11" s="1"/>
  <c r="E34" i="4"/>
  <c r="H12" i="11" s="1"/>
  <c r="D34" i="4"/>
  <c r="G12" i="11" s="1"/>
  <c r="C34" i="4"/>
  <c r="H34" i="6"/>
  <c r="K16" i="11" s="1"/>
  <c r="G34" i="6"/>
  <c r="F34" i="6"/>
  <c r="I16" i="11" s="1"/>
  <c r="E34" i="6"/>
  <c r="H16" i="11" s="1"/>
  <c r="D34" i="6"/>
  <c r="G16" i="11" s="1"/>
  <c r="C34" i="6"/>
  <c r="H34" i="9"/>
  <c r="K14" i="11" s="1"/>
  <c r="G34" i="9"/>
  <c r="F34" i="9"/>
  <c r="I14" i="11" s="1"/>
  <c r="E34" i="9"/>
  <c r="H14" i="11" s="1"/>
  <c r="D34" i="9"/>
  <c r="G14" i="11" s="1"/>
  <c r="C34" i="9"/>
  <c r="C34" i="3"/>
  <c r="D34" i="3"/>
  <c r="E34" i="3"/>
  <c r="F34" i="3"/>
  <c r="G34" i="3"/>
  <c r="P10" i="16" s="1"/>
  <c r="H34" i="3"/>
  <c r="K10" i="11" s="1"/>
  <c r="C17" i="15"/>
  <c r="C34" i="5"/>
  <c r="D34" i="5"/>
  <c r="E34" i="5"/>
  <c r="F34" i="5"/>
  <c r="G34" i="5"/>
  <c r="H34" i="5"/>
  <c r="K18" i="11" s="1"/>
  <c r="C35" i="5"/>
  <c r="G35" i="5"/>
  <c r="C15" i="15"/>
  <c r="C6" i="15"/>
  <c r="C4" i="15"/>
  <c r="C21" i="11"/>
  <c r="C3" i="11"/>
  <c r="I22" i="11"/>
  <c r="H22" i="11"/>
  <c r="G22" i="11"/>
  <c r="T36" i="7"/>
  <c r="S36" i="7"/>
  <c r="R36" i="7"/>
  <c r="Q36" i="7"/>
  <c r="P36" i="7"/>
  <c r="O36" i="7"/>
  <c r="G36" i="7"/>
  <c r="F36" i="7"/>
  <c r="E36" i="7"/>
  <c r="D36" i="7"/>
  <c r="C36" i="7"/>
  <c r="B36" i="7"/>
  <c r="F3" i="11"/>
  <c r="G3" i="11"/>
  <c r="H3" i="11"/>
  <c r="I3" i="11"/>
  <c r="J3" i="11"/>
  <c r="H4" i="15" s="1"/>
  <c r="F18" i="11"/>
  <c r="G18" i="11"/>
  <c r="H18" i="11"/>
  <c r="I18" i="11"/>
  <c r="F19" i="11"/>
  <c r="G19" i="11"/>
  <c r="H19" i="11"/>
  <c r="I19" i="11"/>
  <c r="F10" i="11"/>
  <c r="G10" i="11"/>
  <c r="H10" i="11"/>
  <c r="I10" i="11"/>
  <c r="Q12" i="18" l="1"/>
  <c r="M13" i="15"/>
  <c r="C161" i="1"/>
  <c r="F3" i="18"/>
  <c r="G161" i="1"/>
  <c r="J3" i="18"/>
  <c r="N4" i="15" s="1"/>
  <c r="S162" i="5"/>
  <c r="F19" i="18"/>
  <c r="W162" i="5"/>
  <c r="J19" i="18"/>
  <c r="N20" i="15" s="1"/>
  <c r="C160" i="3"/>
  <c r="F10" i="18"/>
  <c r="G160" i="3"/>
  <c r="J10" i="18"/>
  <c r="N11" i="15" s="1"/>
  <c r="C162" i="2"/>
  <c r="F5" i="18"/>
  <c r="M5" i="18" s="1"/>
  <c r="G162" i="2"/>
  <c r="J5" i="18"/>
  <c r="S162" i="2"/>
  <c r="F6" i="18"/>
  <c r="M6" i="18" s="1"/>
  <c r="M7" i="15" s="1"/>
  <c r="W162" i="2"/>
  <c r="J6" i="18"/>
  <c r="N7" i="15" s="1"/>
  <c r="L23" i="16"/>
  <c r="K23" i="16"/>
  <c r="J23" i="16"/>
  <c r="I23" i="16"/>
  <c r="H23" i="16"/>
  <c r="G23" i="16"/>
  <c r="F23" i="16"/>
  <c r="M23" i="18"/>
  <c r="M24" i="15" s="1"/>
  <c r="L24" i="16"/>
  <c r="K24" i="16"/>
  <c r="J24" i="16"/>
  <c r="I24" i="16"/>
  <c r="H24" i="16"/>
  <c r="G24" i="16"/>
  <c r="F24" i="16"/>
  <c r="M24" i="18"/>
  <c r="L21" i="17"/>
  <c r="K21" i="17"/>
  <c r="J21" i="17"/>
  <c r="L22" i="15" s="1"/>
  <c r="I21" i="17"/>
  <c r="H21" i="17"/>
  <c r="G21" i="17"/>
  <c r="M21" i="18"/>
  <c r="M22" i="15" s="1"/>
  <c r="F21" i="17"/>
  <c r="M21" i="17" s="1"/>
  <c r="K22" i="15" s="1"/>
  <c r="L20" i="17"/>
  <c r="K20" i="17"/>
  <c r="J20" i="17"/>
  <c r="L21" i="15" s="1"/>
  <c r="I20" i="17"/>
  <c r="H20" i="17"/>
  <c r="G20" i="17"/>
  <c r="M20" i="18"/>
  <c r="M21" i="15" s="1"/>
  <c r="F20" i="17"/>
  <c r="M20" i="17" s="1"/>
  <c r="K21" i="15" s="1"/>
  <c r="L19" i="17"/>
  <c r="K19" i="17"/>
  <c r="J19" i="17"/>
  <c r="L20" i="15" s="1"/>
  <c r="I19" i="17"/>
  <c r="H19" i="17"/>
  <c r="G19" i="17"/>
  <c r="M19" i="18"/>
  <c r="M20" i="15" s="1"/>
  <c r="F19" i="17"/>
  <c r="M19" i="17" s="1"/>
  <c r="K20" i="15" s="1"/>
  <c r="K18" i="17"/>
  <c r="P18" i="18"/>
  <c r="J18" i="17"/>
  <c r="I18" i="17"/>
  <c r="H18" i="17"/>
  <c r="G18" i="17"/>
  <c r="M18" i="18"/>
  <c r="F18" i="17"/>
  <c r="M18" i="17" s="1"/>
  <c r="L10" i="17"/>
  <c r="K10" i="17"/>
  <c r="P10" i="18"/>
  <c r="J10" i="17"/>
  <c r="I10" i="17"/>
  <c r="H10" i="17"/>
  <c r="G10" i="17"/>
  <c r="M10" i="18"/>
  <c r="F10" i="17"/>
  <c r="M10" i="17" s="1"/>
  <c r="L16" i="17"/>
  <c r="K16" i="17"/>
  <c r="J16" i="17"/>
  <c r="I16" i="17"/>
  <c r="H16" i="17"/>
  <c r="G16" i="17"/>
  <c r="M16" i="18"/>
  <c r="F16" i="17"/>
  <c r="L3" i="17"/>
  <c r="K3" i="17"/>
  <c r="P3" i="18"/>
  <c r="J3" i="17"/>
  <c r="I27" i="18"/>
  <c r="I3" i="17"/>
  <c r="H27" i="18"/>
  <c r="H3" i="17"/>
  <c r="G27" i="18"/>
  <c r="G3" i="17"/>
  <c r="F3" i="17"/>
  <c r="F27" i="18"/>
  <c r="M3" i="18"/>
  <c r="M4" i="15" s="1"/>
  <c r="K16" i="16"/>
  <c r="J16" i="16"/>
  <c r="J17" i="15" s="1"/>
  <c r="I16" i="16"/>
  <c r="H16" i="16"/>
  <c r="G16" i="16"/>
  <c r="F16" i="16"/>
  <c r="M16" i="17"/>
  <c r="K12" i="16"/>
  <c r="J12" i="16"/>
  <c r="P12" i="17"/>
  <c r="I12" i="16"/>
  <c r="H12" i="16"/>
  <c r="G12" i="16"/>
  <c r="F12" i="16"/>
  <c r="M12" i="16" s="1"/>
  <c r="M12" i="17"/>
  <c r="L12" i="16"/>
  <c r="K5" i="16"/>
  <c r="J5" i="16"/>
  <c r="J6" i="15" s="1"/>
  <c r="I5" i="16"/>
  <c r="H5" i="16"/>
  <c r="G5" i="16"/>
  <c r="F5" i="16"/>
  <c r="M5" i="17"/>
  <c r="K6" i="15" s="1"/>
  <c r="K6" i="16"/>
  <c r="J6" i="16"/>
  <c r="J7" i="15" s="1"/>
  <c r="I6" i="16"/>
  <c r="H6" i="16"/>
  <c r="G6" i="16"/>
  <c r="F6" i="16"/>
  <c r="M6" i="17"/>
  <c r="K7" i="15" s="1"/>
  <c r="K7" i="16"/>
  <c r="J7" i="16"/>
  <c r="J8" i="15" s="1"/>
  <c r="I7" i="16"/>
  <c r="H7" i="16"/>
  <c r="G7" i="16"/>
  <c r="F7" i="16"/>
  <c r="M7" i="17"/>
  <c r="K8" i="15" s="1"/>
  <c r="K8" i="16"/>
  <c r="J8" i="16"/>
  <c r="J9" i="15" s="1"/>
  <c r="I8" i="16"/>
  <c r="H8" i="16"/>
  <c r="G8" i="16"/>
  <c r="F8" i="16"/>
  <c r="M8" i="17"/>
  <c r="K9" i="15" s="1"/>
  <c r="L5" i="16"/>
  <c r="L7" i="16"/>
  <c r="L8" i="16"/>
  <c r="L6" i="16"/>
  <c r="C35" i="9"/>
  <c r="F14" i="11"/>
  <c r="G35" i="9"/>
  <c r="J14" i="11"/>
  <c r="K14" i="16"/>
  <c r="J14" i="16"/>
  <c r="P14" i="17"/>
  <c r="I14" i="16"/>
  <c r="H14" i="16"/>
  <c r="G14" i="16"/>
  <c r="F14" i="16"/>
  <c r="M14" i="16" s="1"/>
  <c r="M14" i="17"/>
  <c r="L14" i="16"/>
  <c r="G27" i="17"/>
  <c r="H27" i="17"/>
  <c r="I27" i="17"/>
  <c r="F27" i="17"/>
  <c r="M3" i="17"/>
  <c r="K4" i="15" s="1"/>
  <c r="C35" i="6"/>
  <c r="F16" i="11"/>
  <c r="M16" i="11" s="1"/>
  <c r="G17" i="15" s="1"/>
  <c r="G35" i="6"/>
  <c r="J16" i="11"/>
  <c r="H17" i="15" s="1"/>
  <c r="J24" i="15"/>
  <c r="J25" i="15"/>
  <c r="C35" i="4"/>
  <c r="F12" i="11"/>
  <c r="G35" i="4"/>
  <c r="J12" i="11"/>
  <c r="M16" i="16"/>
  <c r="I17" i="15" s="1"/>
  <c r="M23" i="16"/>
  <c r="I24" i="15" s="1"/>
  <c r="M24" i="16"/>
  <c r="I25" i="15" s="1"/>
  <c r="I15" i="15"/>
  <c r="C77" i="1"/>
  <c r="F3" i="16"/>
  <c r="G77" i="1"/>
  <c r="J3" i="16"/>
  <c r="J4" i="15" s="1"/>
  <c r="I13" i="15"/>
  <c r="L27" i="16"/>
  <c r="M8" i="16"/>
  <c r="I9" i="15" s="1"/>
  <c r="BK36" i="2"/>
  <c r="F8" i="11"/>
  <c r="M8" i="11" s="1"/>
  <c r="G9" i="15" s="1"/>
  <c r="L27" i="11"/>
  <c r="AM37" i="5"/>
  <c r="J24" i="11"/>
  <c r="H25" i="15" s="1"/>
  <c r="M23" i="11"/>
  <c r="G24" i="15" s="1"/>
  <c r="F24" i="11"/>
  <c r="M24" i="11" s="1"/>
  <c r="G25" i="15" s="1"/>
  <c r="M18" i="16"/>
  <c r="I19" i="15" s="1"/>
  <c r="S35" i="5"/>
  <c r="M19" i="16"/>
  <c r="I20" i="15" s="1"/>
  <c r="W35" i="5"/>
  <c r="P18" i="16"/>
  <c r="M10" i="16"/>
  <c r="AB37" i="7"/>
  <c r="M21" i="16"/>
  <c r="I22" i="15" s="1"/>
  <c r="AF37" i="7"/>
  <c r="M5" i="16"/>
  <c r="I6" i="15" s="1"/>
  <c r="M3" i="16"/>
  <c r="I4" i="15" s="1"/>
  <c r="BP36" i="2"/>
  <c r="C11" i="15"/>
  <c r="G35" i="3"/>
  <c r="J10" i="11"/>
  <c r="C13" i="15"/>
  <c r="C8" i="15"/>
  <c r="C7" i="15"/>
  <c r="J18" i="11"/>
  <c r="H19" i="15" s="1"/>
  <c r="J19" i="11"/>
  <c r="H20" i="15" s="1"/>
  <c r="B37" i="7"/>
  <c r="F37" i="7"/>
  <c r="O37" i="7"/>
  <c r="S37" i="7"/>
  <c r="F22" i="11"/>
  <c r="M22" i="11" s="1"/>
  <c r="G22" i="15" s="1"/>
  <c r="J22" i="11"/>
  <c r="H22" i="15" s="1"/>
  <c r="C7" i="11"/>
  <c r="C6" i="11"/>
  <c r="C5" i="11"/>
  <c r="C12" i="11"/>
  <c r="C35" i="3"/>
  <c r="M14" i="11"/>
  <c r="M12" i="11"/>
  <c r="M10" i="11"/>
  <c r="M21" i="11"/>
  <c r="G21" i="15" s="1"/>
  <c r="M18" i="11"/>
  <c r="G19" i="15" s="1"/>
  <c r="M19" i="11"/>
  <c r="G20" i="15" s="1"/>
  <c r="C10" i="11"/>
  <c r="M3" i="11"/>
  <c r="G4" i="15" s="1"/>
  <c r="AN35" i="2"/>
  <c r="K7" i="11" s="1"/>
  <c r="AM35" i="2"/>
  <c r="H35" i="2"/>
  <c r="K5" i="11" s="1"/>
  <c r="G35" i="2"/>
  <c r="AL35" i="2"/>
  <c r="AK35" i="2"/>
  <c r="H7" i="11" s="1"/>
  <c r="AJ35" i="2"/>
  <c r="AI35" i="2"/>
  <c r="I5" i="11"/>
  <c r="H5" i="11"/>
  <c r="G5" i="11"/>
  <c r="Q18" i="18" l="1"/>
  <c r="M19" i="15"/>
  <c r="Q10" i="18"/>
  <c r="M11" i="15"/>
  <c r="N6" i="15"/>
  <c r="P5" i="18"/>
  <c r="Q5" i="18"/>
  <c r="M6" i="15"/>
  <c r="P10" i="17"/>
  <c r="L11" i="15"/>
  <c r="Q10" i="17"/>
  <c r="K11" i="15"/>
  <c r="Q14" i="17"/>
  <c r="K15" i="15"/>
  <c r="Q12" i="17"/>
  <c r="K13" i="15"/>
  <c r="P18" i="17"/>
  <c r="L19" i="15"/>
  <c r="Q18" i="17"/>
  <c r="K19" i="15"/>
  <c r="P3" i="17"/>
  <c r="L4" i="15"/>
  <c r="M27" i="18"/>
  <c r="Q3" i="18"/>
  <c r="J13" i="15"/>
  <c r="P12" i="16"/>
  <c r="Q12" i="16" s="1"/>
  <c r="P5" i="17"/>
  <c r="Q5" i="17" s="1"/>
  <c r="J15" i="15"/>
  <c r="P14" i="16"/>
  <c r="Q14" i="16" s="1"/>
  <c r="M27" i="17"/>
  <c r="Q3" i="17"/>
  <c r="Q10" i="16"/>
  <c r="I11" i="15"/>
  <c r="P3" i="16"/>
  <c r="Q18" i="16"/>
  <c r="M20" i="16"/>
  <c r="I21" i="15" s="1"/>
  <c r="F27" i="16"/>
  <c r="G7" i="11"/>
  <c r="I7" i="11"/>
  <c r="Q3" i="16"/>
  <c r="AD26" i="15"/>
  <c r="AC26" i="15"/>
  <c r="AB26" i="15"/>
  <c r="AA26" i="15"/>
  <c r="Z26" i="15"/>
  <c r="Y26" i="15"/>
  <c r="V26" i="15"/>
  <c r="G15" i="15"/>
  <c r="P14" i="11"/>
  <c r="Q14" i="11" s="1"/>
  <c r="H15" i="15"/>
  <c r="G11" i="15"/>
  <c r="P10" i="11"/>
  <c r="Q10" i="11" s="1"/>
  <c r="H11" i="15"/>
  <c r="T26" i="15"/>
  <c r="R26" i="15"/>
  <c r="N26" i="15"/>
  <c r="P26" i="15"/>
  <c r="G13" i="15"/>
  <c r="P12" i="11"/>
  <c r="Q12" i="11" s="1"/>
  <c r="H13" i="15"/>
  <c r="J26" i="15"/>
  <c r="L26" i="15"/>
  <c r="M26" i="15"/>
  <c r="P18" i="11"/>
  <c r="G36" i="2"/>
  <c r="J5" i="11"/>
  <c r="AM36" i="2"/>
  <c r="J7" i="11"/>
  <c r="H8" i="15" s="1"/>
  <c r="Q18" i="11"/>
  <c r="C36" i="2"/>
  <c r="F5" i="11"/>
  <c r="M5" i="11" s="1"/>
  <c r="G6" i="15" s="1"/>
  <c r="AI36" i="2"/>
  <c r="F7" i="11"/>
  <c r="M7" i="11" s="1"/>
  <c r="G8" i="15" s="1"/>
  <c r="H6" i="15" l="1"/>
  <c r="M7" i="16"/>
  <c r="I8" i="15" s="1"/>
  <c r="U26" i="15"/>
  <c r="S26" i="15"/>
  <c r="Q26" i="15"/>
  <c r="O26" i="15"/>
  <c r="P3" i="11"/>
  <c r="Q3" i="11" s="1"/>
  <c r="K26" i="15" l="1"/>
  <c r="W26" i="15" l="1"/>
  <c r="X26" i="15"/>
  <c r="F6" i="11"/>
  <c r="F27" i="11" s="1"/>
  <c r="G6" i="11"/>
  <c r="G27" i="11" s="1"/>
  <c r="G27" i="16"/>
  <c r="K6" i="11"/>
  <c r="P5" i="16"/>
  <c r="W36" i="2"/>
  <c r="J6" i="11"/>
  <c r="P5" i="11"/>
  <c r="H27" i="16"/>
  <c r="H6" i="11"/>
  <c r="H7" i="15" l="1"/>
  <c r="H26" i="15" s="1"/>
  <c r="J27" i="11"/>
  <c r="H27" i="11"/>
  <c r="I27" i="16"/>
  <c r="M6" i="16"/>
  <c r="M27" i="16"/>
  <c r="S36" i="2"/>
  <c r="I6" i="11"/>
  <c r="M6" i="11" s="1"/>
  <c r="I27" i="11"/>
  <c r="Q5" i="16" l="1"/>
  <c r="I7" i="15"/>
  <c r="I26" i="15" s="1"/>
  <c r="G7" i="15"/>
  <c r="G26" i="15" s="1"/>
  <c r="Q5" i="11"/>
  <c r="M27" i="11"/>
  <c r="L27" i="18"/>
  <c r="I117" i="5"/>
  <c r="I116" i="5"/>
  <c r="I110" i="5"/>
  <c r="I120" i="5"/>
  <c r="L18" i="17"/>
  <c r="L27" i="17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<sst xmlns="http://schemas.openxmlformats.org/spreadsheetml/2006/main" count="1616" uniqueCount="855">
  <si>
    <t>SIM kártya</t>
  </si>
  <si>
    <t>Éves Felülvizsgálat</t>
  </si>
  <si>
    <t>Szolgáltató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</si>
  <si>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</si>
  <si>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</si>
  <si>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</si>
  <si>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</si>
  <si>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</si>
  <si>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</si>
  <si>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</si>
  <si>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</si>
  <si>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</si>
  <si>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</si>
  <si>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</si>
  <si>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</si>
  <si>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összesen</t>
  </si>
  <si>
    <t>kp</t>
  </si>
  <si>
    <t>Államkincstár</t>
  </si>
  <si>
    <t>89430301901300660410</t>
  </si>
  <si>
    <t>2025.01.17</t>
  </si>
  <si>
    <t xml:space="preserve">Telekom </t>
  </si>
  <si>
    <t>Knorr105</t>
  </si>
  <si>
    <t>89430301901301320188</t>
  </si>
  <si>
    <t>2025.08.19</t>
  </si>
  <si>
    <t>89430301902202292666</t>
  </si>
  <si>
    <t>2025.06.18</t>
  </si>
  <si>
    <t>861075025184672</t>
  </si>
  <si>
    <t>2025.07.23.</t>
  </si>
  <si>
    <t>Mobil Adat</t>
  </si>
  <si>
    <t>AP A09110892</t>
  </si>
  <si>
    <t>89430301901300660519</t>
  </si>
  <si>
    <t>2025.07.02.</t>
  </si>
  <si>
    <t>Telekom</t>
  </si>
  <si>
    <t>Knorr86</t>
  </si>
  <si>
    <t>861075020676789</t>
  </si>
  <si>
    <t>2025.10.29.</t>
  </si>
  <si>
    <t xml:space="preserve">Mobil Adat </t>
  </si>
  <si>
    <t>Knorr69</t>
  </si>
  <si>
    <t>89430301901301321897</t>
  </si>
  <si>
    <t>2025.08.21.</t>
  </si>
  <si>
    <t>KTI</t>
  </si>
  <si>
    <t>861075020652764</t>
  </si>
  <si>
    <t>2025.11.03.</t>
  </si>
  <si>
    <t>Szentkirályi</t>
  </si>
  <si>
    <t>89430301901301335574</t>
  </si>
  <si>
    <t>RSR</t>
  </si>
  <si>
    <t>AP A09111370</t>
  </si>
  <si>
    <t>89430301901301322416</t>
  </si>
  <si>
    <t>2025.08.19.</t>
  </si>
  <si>
    <t>AP A13610439</t>
  </si>
  <si>
    <t>89430301901300660584</t>
  </si>
  <si>
    <t>2026.01.27.</t>
  </si>
  <si>
    <t>RSR (Egyéb)</t>
  </si>
  <si>
    <t>AP A13609679</t>
  </si>
  <si>
    <t>861075020660809</t>
  </si>
  <si>
    <t>AP A09109974</t>
  </si>
  <si>
    <t>861075020660411</t>
  </si>
  <si>
    <t>Egyéb</t>
  </si>
  <si>
    <t>AP A13608072</t>
  </si>
  <si>
    <t>864403042171471</t>
  </si>
  <si>
    <t>2025.10.28.</t>
  </si>
  <si>
    <t>AP A13607772</t>
  </si>
  <si>
    <t>861075024542649</t>
  </si>
  <si>
    <t>2025.10.30.</t>
  </si>
  <si>
    <t>Összesen:</t>
  </si>
  <si>
    <t>SELEJT PÉNZTÁRGÉPEK</t>
  </si>
  <si>
    <t xml:space="preserve">A24004860 </t>
  </si>
  <si>
    <t>-</t>
  </si>
  <si>
    <t>89430301902006414060</t>
  </si>
  <si>
    <t>2024.12.19. selejtezve</t>
  </si>
  <si>
    <t>szüneteltetve: 2025,05,14</t>
  </si>
  <si>
    <t>A24004855</t>
  </si>
  <si>
    <t>AEE csere nincs bele</t>
  </si>
  <si>
    <t>89430301902006411884</t>
  </si>
  <si>
    <t>A24004856</t>
  </si>
  <si>
    <t>nem kommunikál a Navval</t>
  </si>
  <si>
    <t>89430301902006410613</t>
  </si>
  <si>
    <t>A19503259</t>
  </si>
  <si>
    <t xml:space="preserve">hiányzik a fogaskerék </t>
  </si>
  <si>
    <t>861311007446874</t>
  </si>
  <si>
    <t>selejtezve</t>
  </si>
  <si>
    <t>A13607768</t>
  </si>
  <si>
    <t>861075020653549</t>
  </si>
  <si>
    <t>2025.11.hóban selejtezve</t>
  </si>
  <si>
    <t>AP kód</t>
  </si>
  <si>
    <t>Nyitó zárás</t>
  </si>
  <si>
    <t>Záró zárás</t>
  </si>
  <si>
    <t>bankkártya</t>
  </si>
  <si>
    <t>bankkártya terminál szerint</t>
  </si>
  <si>
    <t>Időszak összes</t>
  </si>
  <si>
    <t>Göngy. forgalom</t>
  </si>
  <si>
    <t>bk</t>
  </si>
  <si>
    <t>AP A13611447</t>
  </si>
  <si>
    <t xml:space="preserve"> </t>
  </si>
  <si>
    <t>2260</t>
  </si>
  <si>
    <t>0470</t>
  </si>
  <si>
    <t>0492</t>
  </si>
  <si>
    <t>0426</t>
  </si>
  <si>
    <t>0447</t>
  </si>
  <si>
    <t>1031</t>
  </si>
  <si>
    <t>0568</t>
  </si>
  <si>
    <t>0590</t>
  </si>
  <si>
    <t>1788</t>
  </si>
  <si>
    <t>0064</t>
  </si>
  <si>
    <t>0077</t>
  </si>
  <si>
    <t>0593</t>
  </si>
  <si>
    <t>0609</t>
  </si>
  <si>
    <t>0375</t>
  </si>
  <si>
    <t>0379</t>
  </si>
  <si>
    <t>1035</t>
  </si>
  <si>
    <t>1039</t>
  </si>
  <si>
    <t>1453</t>
  </si>
  <si>
    <t>1680</t>
  </si>
  <si>
    <t>2256</t>
  </si>
  <si>
    <t>0449</t>
  </si>
  <si>
    <t>0469</t>
  </si>
  <si>
    <t>0406</t>
  </si>
  <si>
    <t>0425</t>
  </si>
  <si>
    <t>1011</t>
  </si>
  <si>
    <t>0548</t>
  </si>
  <si>
    <t>0567</t>
  </si>
  <si>
    <t>1768</t>
  </si>
  <si>
    <t>0050</t>
  </si>
  <si>
    <t>0062</t>
  </si>
  <si>
    <t>0582</t>
  </si>
  <si>
    <t>0592</t>
  </si>
  <si>
    <t>0368</t>
  </si>
  <si>
    <t>0373</t>
  </si>
  <si>
    <t>1020</t>
  </si>
  <si>
    <t>1033</t>
  </si>
  <si>
    <t>1448</t>
  </si>
  <si>
    <t>1673</t>
  </si>
  <si>
    <t>2250</t>
  </si>
  <si>
    <t>0428</t>
  </si>
  <si>
    <t>0448</t>
  </si>
  <si>
    <t>0384</t>
  </si>
  <si>
    <t>0405</t>
  </si>
  <si>
    <t>0990</t>
  </si>
  <si>
    <t>1010</t>
  </si>
  <si>
    <t>0041</t>
  </si>
  <si>
    <t>0049</t>
  </si>
  <si>
    <t>0573</t>
  </si>
  <si>
    <t>0581</t>
  </si>
  <si>
    <t>0363</t>
  </si>
  <si>
    <t>0367</t>
  </si>
  <si>
    <t>Egyéb (RSR)</t>
  </si>
  <si>
    <t>AP A13610440</t>
  </si>
  <si>
    <t>Novohost</t>
  </si>
  <si>
    <t>készpénz</t>
  </si>
  <si>
    <t>kártya</t>
  </si>
  <si>
    <t>terminál sz. bankkártya</t>
  </si>
  <si>
    <t>zárás sorszám</t>
  </si>
  <si>
    <t>göngyölt e.</t>
  </si>
  <si>
    <t>időszaki össz:</t>
  </si>
  <si>
    <t>EUR</t>
  </si>
  <si>
    <t>jegyzőkönyv</t>
  </si>
  <si>
    <t>Eredmény</t>
  </si>
  <si>
    <t>1009</t>
  </si>
  <si>
    <t>1012</t>
  </si>
  <si>
    <t>1013</t>
  </si>
  <si>
    <t>1014</t>
  </si>
  <si>
    <t>1015</t>
  </si>
  <si>
    <t>van</t>
  </si>
  <si>
    <t>1016</t>
  </si>
  <si>
    <t>1017</t>
  </si>
  <si>
    <t>ÁFA-s számla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</si>
  <si>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</si>
  <si>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</si>
  <si>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</si>
  <si>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</si>
  <si>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</si>
  <si>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</si>
  <si>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</si>
  <si>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</si>
  <si>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</si>
  <si>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</si>
  <si>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</si>
  <si>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ÜZENŐFAL</t>
  </si>
  <si>
    <t>1030</t>
  </si>
  <si>
    <t>1032</t>
  </si>
  <si>
    <t>1034</t>
  </si>
  <si>
    <t>1036</t>
  </si>
  <si>
    <t>1037</t>
  </si>
  <si>
    <t>1038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</si>
  <si>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</si>
  <si>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</si>
  <si>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</si>
  <si>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</si>
  <si>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</si>
  <si>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</si>
  <si>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</si>
  <si>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</si>
  <si>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</si>
  <si>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</si>
  <si>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</si>
  <si>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</si>
  <si>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</si>
  <si>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</si>
  <si>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</si>
  <si>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</si>
  <si>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</si>
  <si>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</si>
  <si>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</si>
  <si>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</si>
  <si>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</si>
  <si>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Ezek itt miért vannak kézzel beírva?</t>
  </si>
  <si>
    <t>1061</t>
  </si>
  <si>
    <t>1062</t>
  </si>
  <si>
    <t>1063</t>
  </si>
  <si>
    <t>1064</t>
  </si>
  <si>
    <t>nincs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</si>
  <si>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</si>
  <si>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</si>
  <si>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</si>
  <si>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</si>
  <si>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</si>
  <si>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</si>
  <si>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</si>
  <si>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</si>
  <si>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</si>
  <si>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AP A09111376</t>
  </si>
  <si>
    <t>Borravaló</t>
  </si>
  <si>
    <t>zárás ssz</t>
  </si>
  <si>
    <t xml:space="preserve">jegyzőkönyv </t>
  </si>
  <si>
    <t xml:space="preserve">AP A24010154 </t>
  </si>
  <si>
    <t>AP A13609805</t>
  </si>
  <si>
    <t>AP A24004860</t>
  </si>
  <si>
    <t>zárás sz.</t>
  </si>
  <si>
    <t>göngyölt</t>
  </si>
  <si>
    <t>1239</t>
  </si>
  <si>
    <t>0429</t>
  </si>
  <si>
    <t>0385</t>
  </si>
  <si>
    <t>1240</t>
  </si>
  <si>
    <t>0991</t>
  </si>
  <si>
    <t>0430</t>
  </si>
  <si>
    <t>0386</t>
  </si>
  <si>
    <t>1241</t>
  </si>
  <si>
    <t>0992</t>
  </si>
  <si>
    <t>0431</t>
  </si>
  <si>
    <t>0387</t>
  </si>
  <si>
    <t>1242</t>
  </si>
  <si>
    <t>0993</t>
  </si>
  <si>
    <t>0432</t>
  </si>
  <si>
    <t>0388</t>
  </si>
  <si>
    <t>1243</t>
  </si>
  <si>
    <t>0994</t>
  </si>
  <si>
    <t>0433</t>
  </si>
  <si>
    <t>0389</t>
  </si>
  <si>
    <t>1244</t>
  </si>
  <si>
    <t>0995</t>
  </si>
  <si>
    <t>0390</t>
  </si>
  <si>
    <t>0434</t>
  </si>
  <si>
    <t>0391</t>
  </si>
  <si>
    <t>1245</t>
  </si>
  <si>
    <t>0996</t>
  </si>
  <si>
    <t>0435</t>
  </si>
  <si>
    <t>0392</t>
  </si>
  <si>
    <t>1246</t>
  </si>
  <si>
    <t>0997</t>
  </si>
  <si>
    <t>0436</t>
  </si>
  <si>
    <t>0393</t>
  </si>
  <si>
    <t>1247</t>
  </si>
  <si>
    <t>0998</t>
  </si>
  <si>
    <t>0437</t>
  </si>
  <si>
    <t>0394</t>
  </si>
  <si>
    <t>1248</t>
  </si>
  <si>
    <t>0999</t>
  </si>
  <si>
    <t>0438</t>
  </si>
  <si>
    <t>0395</t>
  </si>
  <si>
    <t>1249</t>
  </si>
  <si>
    <t>1000</t>
  </si>
  <si>
    <t>0439</t>
  </si>
  <si>
    <t>0396</t>
  </si>
  <si>
    <t>1250</t>
  </si>
  <si>
    <t>1001</t>
  </si>
  <si>
    <t>0440</t>
  </si>
  <si>
    <t>0397</t>
  </si>
  <si>
    <t>1251</t>
  </si>
  <si>
    <t>1002</t>
  </si>
  <si>
    <t>0441</t>
  </si>
  <si>
    <t>0398</t>
  </si>
  <si>
    <t>1252</t>
  </si>
  <si>
    <t>1003</t>
  </si>
  <si>
    <t>0442</t>
  </si>
  <si>
    <t>0399</t>
  </si>
  <si>
    <t>1253</t>
  </si>
  <si>
    <t>1004</t>
  </si>
  <si>
    <t>0443</t>
  </si>
  <si>
    <t>0400</t>
  </si>
  <si>
    <t>1254</t>
  </si>
  <si>
    <t>1005</t>
  </si>
  <si>
    <t>0444</t>
  </si>
  <si>
    <t>0401</t>
  </si>
  <si>
    <t>1255</t>
  </si>
  <si>
    <t>1006</t>
  </si>
  <si>
    <t>0445</t>
  </si>
  <si>
    <t>0402</t>
  </si>
  <si>
    <t>1256</t>
  </si>
  <si>
    <t>1007</t>
  </si>
  <si>
    <t>0446</t>
  </si>
  <si>
    <t xml:space="preserve">van </t>
  </si>
  <si>
    <t>0403</t>
  </si>
  <si>
    <t>1257</t>
  </si>
  <si>
    <t>1008</t>
  </si>
  <si>
    <t>0404</t>
  </si>
  <si>
    <t>1258</t>
  </si>
  <si>
    <t>1259</t>
  </si>
  <si>
    <t xml:space="preserve">Kérlek ez a 3 sor legyen minden táblázatnál kihagyva </t>
  </si>
  <si>
    <t>Sziasztok</t>
  </si>
  <si>
    <t>Kérlek az elütésekről tudnátok írni jegyzőkönyvet? Sajnos a bk terminál, NAV gépes elütésekről is kell</t>
  </si>
  <si>
    <t>1595</t>
  </si>
  <si>
    <t>-517</t>
  </si>
  <si>
    <t>0</t>
  </si>
  <si>
    <t>475</t>
  </si>
  <si>
    <t>0450</t>
  </si>
  <si>
    <t>2310</t>
  </si>
  <si>
    <t>0407</t>
  </si>
  <si>
    <t>-994</t>
  </si>
  <si>
    <t>-930</t>
  </si>
  <si>
    <t>1500</t>
  </si>
  <si>
    <t>0451</t>
  </si>
  <si>
    <t>-8</t>
  </si>
  <si>
    <t>0408</t>
  </si>
  <si>
    <t>3716</t>
  </si>
  <si>
    <t>910</t>
  </si>
  <si>
    <t>-1107</t>
  </si>
  <si>
    <t>0452</t>
  </si>
  <si>
    <t>-1542</t>
  </si>
  <si>
    <t>0409</t>
  </si>
  <si>
    <t>-49</t>
  </si>
  <si>
    <t>-1530</t>
  </si>
  <si>
    <t>3260</t>
  </si>
  <si>
    <t>0453</t>
  </si>
  <si>
    <t>-506</t>
  </si>
  <si>
    <t>0410</t>
  </si>
  <si>
    <t>-2110</t>
  </si>
  <si>
    <t>1264</t>
  </si>
  <si>
    <t>580</t>
  </si>
  <si>
    <t>5445</t>
  </si>
  <si>
    <t>0454</t>
  </si>
  <si>
    <t>-100</t>
  </si>
  <si>
    <t>0411</t>
  </si>
  <si>
    <t>1193</t>
  </si>
  <si>
    <t>1265</t>
  </si>
  <si>
    <t>2920</t>
  </si>
  <si>
    <t>730</t>
  </si>
  <si>
    <t>0455</t>
  </si>
  <si>
    <t>1865</t>
  </si>
  <si>
    <t>0412</t>
  </si>
  <si>
    <t>1194</t>
  </si>
  <si>
    <t>1266</t>
  </si>
  <si>
    <t>2921</t>
  </si>
  <si>
    <t>800</t>
  </si>
  <si>
    <t>0456</t>
  </si>
  <si>
    <t>-285</t>
  </si>
  <si>
    <t>0413</t>
  </si>
  <si>
    <t>-1087</t>
  </si>
  <si>
    <t>1267</t>
  </si>
  <si>
    <t>4000</t>
  </si>
  <si>
    <t>2645</t>
  </si>
  <si>
    <t>0457</t>
  </si>
  <si>
    <t>4471</t>
  </si>
  <si>
    <t>0414</t>
  </si>
  <si>
    <t>-1130</t>
  </si>
  <si>
    <t>1268</t>
  </si>
  <si>
    <t>-785</t>
  </si>
  <si>
    <t>230</t>
  </si>
  <si>
    <t>0458</t>
  </si>
  <si>
    <t>3370</t>
  </si>
  <si>
    <t>0415</t>
  </si>
  <si>
    <t>2111</t>
  </si>
  <si>
    <t>1269</t>
  </si>
  <si>
    <t>625</t>
  </si>
  <si>
    <t>-3510</t>
  </si>
  <si>
    <t>0459</t>
  </si>
  <si>
    <t>165</t>
  </si>
  <si>
    <t>0416</t>
  </si>
  <si>
    <t>4505</t>
  </si>
  <si>
    <t>1270</t>
  </si>
  <si>
    <t>0460</t>
  </si>
  <si>
    <t>2760</t>
  </si>
  <si>
    <t>0417</t>
  </si>
  <si>
    <t>1271</t>
  </si>
  <si>
    <t>-1945</t>
  </si>
  <si>
    <t>1465</t>
  </si>
  <si>
    <t>0461</t>
  </si>
  <si>
    <t>-2010</t>
  </si>
  <si>
    <t>0418</t>
  </si>
  <si>
    <t>1440</t>
  </si>
  <si>
    <t>1272</t>
  </si>
  <si>
    <t>10</t>
  </si>
  <si>
    <t>1308</t>
  </si>
  <si>
    <t>0462</t>
  </si>
  <si>
    <t>1810</t>
  </si>
  <si>
    <t>0419</t>
  </si>
  <si>
    <t>388</t>
  </si>
  <si>
    <t>1273</t>
  </si>
  <si>
    <t>-1120</t>
  </si>
  <si>
    <t>2780</t>
  </si>
  <si>
    <t>0463</t>
  </si>
  <si>
    <t>1100</t>
  </si>
  <si>
    <t>0420</t>
  </si>
  <si>
    <t>-184</t>
  </si>
  <si>
    <t>1274</t>
  </si>
  <si>
    <t>-1000</t>
  </si>
  <si>
    <t>690</t>
  </si>
  <si>
    <t>1275</t>
  </si>
  <si>
    <t>0464</t>
  </si>
  <si>
    <t>2125</t>
  </si>
  <si>
    <t>0421</t>
  </si>
  <si>
    <t>-3530</t>
  </si>
  <si>
    <t>1630</t>
  </si>
  <si>
    <t>0465</t>
  </si>
  <si>
    <t>-320</t>
  </si>
  <si>
    <t>0422</t>
  </si>
  <si>
    <t>-804</t>
  </si>
  <si>
    <t>1276</t>
  </si>
  <si>
    <t>-1600</t>
  </si>
  <si>
    <t>210</t>
  </si>
  <si>
    <t>0466</t>
  </si>
  <si>
    <t>0423</t>
  </si>
  <si>
    <t>316</t>
  </si>
  <si>
    <t>1277</t>
  </si>
  <si>
    <t>-410</t>
  </si>
  <si>
    <t>1140</t>
  </si>
  <si>
    <t>0467</t>
  </si>
  <si>
    <t>1205</t>
  </si>
  <si>
    <t>0424</t>
  </si>
  <si>
    <t>775</t>
  </si>
  <si>
    <t>1278</t>
  </si>
  <si>
    <t>1090</t>
  </si>
  <si>
    <t>0468</t>
  </si>
  <si>
    <t>1080</t>
  </si>
  <si>
    <t>-1650</t>
  </si>
  <si>
    <t>1279</t>
  </si>
  <si>
    <t>8290</t>
  </si>
  <si>
    <t>2805</t>
  </si>
  <si>
    <t>158</t>
  </si>
  <si>
    <t>1280</t>
  </si>
  <si>
    <t>3040</t>
  </si>
  <si>
    <t>4420</t>
  </si>
  <si>
    <t>-72</t>
  </si>
  <si>
    <t>1281</t>
  </si>
  <si>
    <t>-330</t>
  </si>
  <si>
    <t>4295</t>
  </si>
  <si>
    <t>0471</t>
  </si>
  <si>
    <t>75</t>
  </si>
  <si>
    <t>0427</t>
  </si>
  <si>
    <t>111</t>
  </si>
  <si>
    <t>1282</t>
  </si>
  <si>
    <t>-965</t>
  </si>
  <si>
    <t>0472</t>
  </si>
  <si>
    <t>-5350</t>
  </si>
  <si>
    <t>-608</t>
  </si>
  <si>
    <t>1283</t>
  </si>
  <si>
    <t>-20</t>
  </si>
  <si>
    <t>1160</t>
  </si>
  <si>
    <t>0473</t>
  </si>
  <si>
    <t>160</t>
  </si>
  <si>
    <t>1284</t>
  </si>
  <si>
    <t>7825</t>
  </si>
  <si>
    <t>1155</t>
  </si>
  <si>
    <t>0474</t>
  </si>
  <si>
    <t>2065</t>
  </si>
  <si>
    <t>1285</t>
  </si>
  <si>
    <t>825</t>
  </si>
  <si>
    <t>243</t>
  </si>
  <si>
    <t>0475</t>
  </si>
  <si>
    <t>3340</t>
  </si>
  <si>
    <t>859</t>
  </si>
  <si>
    <t>1286</t>
  </si>
  <si>
    <t>20</t>
  </si>
  <si>
    <t>2020</t>
  </si>
  <si>
    <t>0476</t>
  </si>
  <si>
    <t>850</t>
  </si>
  <si>
    <t>1287</t>
  </si>
  <si>
    <t>-2690</t>
  </si>
  <si>
    <t>0477</t>
  </si>
  <si>
    <t>4108</t>
  </si>
  <si>
    <t>-3997</t>
  </si>
  <si>
    <t>1288</t>
  </si>
  <si>
    <t>-949</t>
  </si>
  <si>
    <t>6175</t>
  </si>
  <si>
    <t>0478</t>
  </si>
  <si>
    <t>110</t>
  </si>
  <si>
    <t>711</t>
  </si>
  <si>
    <t>1289</t>
  </si>
  <si>
    <t>-220</t>
  </si>
  <si>
    <t>3210</t>
  </si>
  <si>
    <t>0479</t>
  </si>
  <si>
    <t>400</t>
  </si>
  <si>
    <t>338</t>
  </si>
  <si>
    <t>1290</t>
  </si>
  <si>
    <t>0480</t>
  </si>
  <si>
    <t>-910</t>
  </si>
  <si>
    <t>-4</t>
  </si>
  <si>
    <t>1291</t>
  </si>
  <si>
    <t>0481</t>
  </si>
  <si>
    <t>685</t>
  </si>
  <si>
    <t>-3876</t>
  </si>
  <si>
    <t>1292</t>
  </si>
  <si>
    <t>2030</t>
  </si>
  <si>
    <t>700</t>
  </si>
  <si>
    <t>0482</t>
  </si>
  <si>
    <t>-110</t>
  </si>
  <si>
    <t>905</t>
  </si>
  <si>
    <t>1293</t>
  </si>
  <si>
    <t>-760</t>
  </si>
  <si>
    <t>1578</t>
  </si>
  <si>
    <t>0483</t>
  </si>
  <si>
    <t>1830</t>
  </si>
  <si>
    <t>120</t>
  </si>
  <si>
    <t>1294</t>
  </si>
  <si>
    <t>2010</t>
  </si>
  <si>
    <t>0484</t>
  </si>
  <si>
    <t>2005</t>
  </si>
  <si>
    <t>5844</t>
  </si>
  <si>
    <t>1295</t>
  </si>
  <si>
    <t>200</t>
  </si>
  <si>
    <t>440</t>
  </si>
  <si>
    <t>0485</t>
  </si>
  <si>
    <t>290</t>
  </si>
  <si>
    <t>3243</t>
  </si>
  <si>
    <t>1296</t>
  </si>
  <si>
    <t>2550</t>
  </si>
  <si>
    <t>2275</t>
  </si>
  <si>
    <t>0486</t>
  </si>
  <si>
    <t>-375</t>
  </si>
  <si>
    <t>1156</t>
  </si>
  <si>
    <t>1297</t>
  </si>
  <si>
    <t>715</t>
  </si>
  <si>
    <t>35</t>
  </si>
  <si>
    <t>0487</t>
  </si>
  <si>
    <t>420</t>
  </si>
  <si>
    <t>304</t>
  </si>
  <si>
    <t>1298</t>
  </si>
  <si>
    <t>1340</t>
  </si>
  <si>
    <t>0488</t>
  </si>
  <si>
    <t>945</t>
  </si>
  <si>
    <t>3060</t>
  </si>
  <si>
    <t>1299</t>
  </si>
  <si>
    <t>-2385</t>
  </si>
  <si>
    <t>1330</t>
  </si>
  <si>
    <t>0489</t>
  </si>
  <si>
    <t>0490</t>
  </si>
  <si>
    <t>435</t>
  </si>
  <si>
    <t>-2039</t>
  </si>
  <si>
    <t>1300</t>
  </si>
  <si>
    <t>2570</t>
  </si>
  <si>
    <t>3800</t>
  </si>
  <si>
    <t>0491</t>
  </si>
  <si>
    <t>385</t>
  </si>
  <si>
    <t>266</t>
  </si>
  <si>
    <t>1301</t>
  </si>
  <si>
    <t>3792</t>
  </si>
  <si>
    <t>1400</t>
  </si>
  <si>
    <t>-940</t>
  </si>
  <si>
    <t>1302</t>
  </si>
  <si>
    <t>630</t>
  </si>
  <si>
    <t xml:space="preserve">Április </t>
  </si>
  <si>
    <t>1145</t>
  </si>
  <si>
    <t>0493</t>
  </si>
  <si>
    <t>-495</t>
  </si>
  <si>
    <t>-675</t>
  </si>
  <si>
    <t>2315</t>
  </si>
  <si>
    <t>0494</t>
  </si>
  <si>
    <t>-4775</t>
  </si>
  <si>
    <t>449</t>
  </si>
  <si>
    <t>1304</t>
  </si>
  <si>
    <t>-990</t>
  </si>
  <si>
    <t>AP A13607773</t>
  </si>
  <si>
    <t>Tartalék kiadás</t>
  </si>
  <si>
    <t>Kivét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</si>
  <si>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</si>
  <si>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</si>
  <si>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</si>
  <si>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</si>
  <si>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</si>
  <si>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</si>
  <si>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</si>
  <si>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</si>
  <si>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</si>
  <si>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</si>
  <si>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</si>
  <si>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</si>
  <si>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1790</t>
  </si>
  <si>
    <t>1761</t>
  </si>
  <si>
    <t>1762</t>
  </si>
  <si>
    <t>1763</t>
  </si>
  <si>
    <t>1764</t>
  </si>
  <si>
    <t>1765</t>
  </si>
  <si>
    <t>1766</t>
  </si>
  <si>
    <t>900</t>
  </si>
  <si>
    <t>1767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</si>
  <si>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</si>
  <si>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</si>
  <si>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</si>
  <si>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</si>
  <si>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</si>
  <si>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</si>
  <si>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</si>
  <si>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</si>
  <si>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</si>
  <si>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</si>
  <si>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</si>
  <si>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</si>
  <si>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</si>
  <si>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</si>
  <si>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</si>
  <si>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</si>
  <si>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</si>
  <si>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</si>
  <si>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</si>
  <si>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1789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</si>
  <si>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</si>
  <si>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</si>
  <si>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</si>
  <si>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</si>
  <si>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</si>
  <si>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</si>
  <si>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</si>
  <si>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</si>
  <si>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</si>
  <si>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</si>
  <si>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</si>
  <si>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</si>
  <si>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</si>
  <si>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</si>
  <si>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</si>
  <si>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</si>
  <si>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</si>
  <si>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</si>
  <si>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</si>
  <si>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AP A09111377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</si>
  <si>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</si>
  <si>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</si>
  <si>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</si>
  <si>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</si>
  <si>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</si>
  <si>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</si>
  <si>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</si>
  <si>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</si>
  <si>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</si>
  <si>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Szia,</t>
  </si>
  <si>
    <t>Kérlek az elütésről tudnál írni jegyzőkönyvet? Sajnos a bk terminál, NAV gépes elütésekről is kell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</si>
  <si>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</si>
  <si>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</si>
  <si>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</si>
  <si>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</si>
  <si>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</si>
  <si>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</si>
  <si>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</si>
  <si>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</si>
  <si>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</si>
  <si>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</si>
  <si>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</si>
  <si>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</si>
  <si>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</si>
  <si>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</si>
  <si>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</si>
  <si>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</si>
  <si>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</si>
  <si>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</si>
  <si>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</si>
  <si>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</si>
  <si>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</si>
  <si>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?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</si>
  <si>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</si>
  <si>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</si>
  <si>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</si>
  <si>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</si>
  <si>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</si>
  <si>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</si>
  <si>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</si>
  <si>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</si>
  <si>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</si>
  <si>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</si>
  <si>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</si>
  <si>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581</t>
  </si>
  <si>
    <t>Ezek is kézzel vannak valamiért</t>
  </si>
  <si>
    <t>582</t>
  </si>
  <si>
    <t>Ez így nem másolható, ne legyen ilyen pls</t>
  </si>
  <si>
    <t>583</t>
  </si>
  <si>
    <t>i</t>
  </si>
  <si>
    <t>584</t>
  </si>
  <si>
    <t>585</t>
  </si>
  <si>
    <t>586</t>
  </si>
  <si>
    <t>587</t>
  </si>
  <si>
    <t>588</t>
  </si>
  <si>
    <t>589</t>
  </si>
  <si>
    <t>590</t>
  </si>
  <si>
    <t>Szia Orsi, Kérlek tudnál jegyzőkönyvet írni az elütésekhez, ha nem írtál? Köszönöm</t>
  </si>
  <si>
    <t>591</t>
  </si>
  <si>
    <t>Novo</t>
  </si>
  <si>
    <t>0042</t>
  </si>
  <si>
    <t>0043</t>
  </si>
  <si>
    <t>0044</t>
  </si>
  <si>
    <t>0045</t>
  </si>
  <si>
    <t>0046</t>
  </si>
  <si>
    <t>0047</t>
  </si>
  <si>
    <t>0048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</si>
  <si>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</si>
  <si>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</si>
  <si>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</si>
  <si>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</si>
  <si>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</si>
  <si>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</si>
  <si>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</si>
  <si>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</si>
  <si>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</si>
  <si>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</si>
  <si>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</si>
  <si>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0063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</si>
  <si>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</si>
  <si>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</si>
  <si>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</si>
  <si>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</si>
  <si>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</si>
  <si>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</si>
  <si>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</si>
  <si>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</si>
  <si>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</si>
  <si>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</si>
  <si>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</si>
  <si>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</si>
  <si>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AP A13607465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</si>
  <si>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</si>
  <si>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</si>
  <si>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</si>
  <si>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</si>
  <si>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</si>
  <si>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</si>
  <si>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</si>
  <si>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</si>
  <si>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</si>
  <si>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</si>
  <si>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</si>
  <si>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</si>
  <si>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</si>
  <si>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</si>
  <si>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</si>
  <si>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2311</t>
  </si>
  <si>
    <t>2312</t>
  </si>
  <si>
    <t>2313</t>
  </si>
  <si>
    <t>2314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</si>
  <si>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</si>
  <si>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</si>
  <si>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</si>
  <si>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</si>
  <si>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</si>
  <si>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</si>
  <si>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</si>
  <si>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</si>
  <si>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</si>
  <si>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</si>
  <si>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</si>
  <si>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</si>
  <si>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</si>
  <si>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</si>
  <si>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</si>
  <si>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</si>
  <si>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</si>
  <si>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</si>
  <si>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</si>
  <si>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</si>
  <si>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</si>
  <si>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0574</t>
  </si>
  <si>
    <t>0575</t>
  </si>
  <si>
    <t>0576</t>
  </si>
  <si>
    <t>0364</t>
  </si>
  <si>
    <t>0577</t>
  </si>
  <si>
    <t>0365</t>
  </si>
  <si>
    <t>0578</t>
  </si>
  <si>
    <t>0366</t>
  </si>
  <si>
    <t>0579</t>
  </si>
  <si>
    <t>0580</t>
  </si>
  <si>
    <t>0583</t>
  </si>
  <si>
    <t>0369</t>
  </si>
  <si>
    <t>0370</t>
  </si>
  <si>
    <t>0584</t>
  </si>
  <si>
    <t>0585</t>
  </si>
  <si>
    <t>0371</t>
  </si>
  <si>
    <t>0586</t>
  </si>
  <si>
    <t>0372</t>
  </si>
  <si>
    <t>0587</t>
  </si>
  <si>
    <t>0588</t>
  </si>
  <si>
    <t>0589</t>
  </si>
  <si>
    <t>0591</t>
  </si>
  <si>
    <t>0374</t>
  </si>
  <si>
    <t>1452</t>
  </si>
  <si>
    <t>0594</t>
  </si>
  <si>
    <t>0376</t>
  </si>
  <si>
    <t>1454</t>
  </si>
  <si>
    <t>1455</t>
  </si>
  <si>
    <t>0595</t>
  </si>
  <si>
    <t>0596</t>
  </si>
  <si>
    <t>0597</t>
  </si>
  <si>
    <t>0598</t>
  </si>
  <si>
    <t>ÁFA-s számla 563.058</t>
  </si>
  <si>
    <t>0599</t>
  </si>
  <si>
    <t>0377</t>
  </si>
  <si>
    <t>0600</t>
  </si>
  <si>
    <t>0378</t>
  </si>
  <si>
    <t>1456</t>
  </si>
  <si>
    <t>298</t>
  </si>
  <si>
    <t>1457</t>
  </si>
  <si>
    <t>1458</t>
  </si>
  <si>
    <t>738</t>
  </si>
  <si>
    <t>1459</t>
  </si>
  <si>
    <t>289</t>
  </si>
  <si>
    <t>1460</t>
  </si>
  <si>
    <t>383</t>
  </si>
  <si>
    <t>1461</t>
  </si>
  <si>
    <t>1462</t>
  </si>
  <si>
    <t>535</t>
  </si>
  <si>
    <t>1463</t>
  </si>
  <si>
    <t>0601</t>
  </si>
  <si>
    <t>0602</t>
  </si>
  <si>
    <t xml:space="preserve">nincs </t>
  </si>
  <si>
    <t>0603</t>
  </si>
  <si>
    <t>0604</t>
  </si>
  <si>
    <t>0605</t>
  </si>
  <si>
    <t>0606</t>
  </si>
  <si>
    <t>0607</t>
  </si>
  <si>
    <t>0608</t>
  </si>
  <si>
    <t>1464</t>
  </si>
  <si>
    <t>0610</t>
  </si>
  <si>
    <t>göngyölt e</t>
  </si>
  <si>
    <t>1666</t>
  </si>
  <si>
    <t>nincs záró</t>
  </si>
  <si>
    <t>1667</t>
  </si>
  <si>
    <t>1668</t>
  </si>
  <si>
    <t>1669</t>
  </si>
  <si>
    <t>1670</t>
  </si>
  <si>
    <t>1671</t>
  </si>
  <si>
    <t>bk záró nincs meg</t>
  </si>
  <si>
    <t>1672</t>
  </si>
  <si>
    <t>2249</t>
  </si>
  <si>
    <t>NOVOHOST</t>
  </si>
  <si>
    <t>1674</t>
  </si>
  <si>
    <t>1675</t>
  </si>
  <si>
    <t>1676</t>
  </si>
  <si>
    <t>2257</t>
  </si>
  <si>
    <t>1681</t>
  </si>
  <si>
    <t>2258</t>
  </si>
  <si>
    <t>2259</t>
  </si>
  <si>
    <t>1682</t>
  </si>
  <si>
    <t>1683</t>
  </si>
  <si>
    <t>1684</t>
  </si>
  <si>
    <t>1685</t>
  </si>
  <si>
    <t>1686</t>
  </si>
  <si>
    <t>1687</t>
  </si>
  <si>
    <t>1688</t>
  </si>
  <si>
    <t>1689</t>
  </si>
  <si>
    <t>1691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</si>
</sst>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\ &quot;Ft&quot;"/>
    <numFmt numFmtId="165" formatCode="_-* #,##0_-;\-* #,##0_-;_-* &quot;-&quot;??_-;_-@_-"/>
    <numFmt numFmtId="166" formatCode="#,##0.00\ [$€-1]"/>
    <numFmt numFmtId="167" formatCode="_-* #,##0\ [$€-1]_-;\-* #,##0\ [$€-1]_-;_-* &quot;-&quot;??\ [$€-1]_-;_-@_-"/>
    <numFmt numFmtId="168" formatCode="_-* #,##0.00\ [$Ft-40E]_-;\-* #,##0.00\ [$Ft-40E]_-;_-* &quot;-&quot;??\ [$Ft-40E]_-;_-@_-"/>
    <numFmt numFmtId="169" formatCode="#,##0.0000\ &quot;Ft&quot;"/>
    <numFmt numFmtId="170" formatCode="_-* #,##0\ [$Ft-40E]_-;\-* #,##0\ [$Ft-40E]_-;_-* &quot;-&quot;??\ [$Ft-40E]_-;_-@_-"/>
    <numFmt numFmtId="171" formatCode="#,##0\ &quot;Ft&quot;;[Red]#,##0\ &quot;Ft&quot;"/>
    <numFmt numFmtId="172" formatCode="#,##0.00\ &quot;Ft&quot;"/>
    <numFmt numFmtId="173" formatCode="#,##0.0\ &quot;Ft&quot;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Display"/>
      <scheme val="major"/>
    </font>
    <font>
      <sz val="11"/>
      <color theme="1"/>
      <name val="Aptos Display"/>
      <scheme val="major"/>
    </font>
    <font>
      <b/>
      <sz val="16"/>
      <color theme="1"/>
      <name val="Aptos Display"/>
      <scheme val="major"/>
    </font>
    <font>
      <sz val="16"/>
      <color theme="1"/>
      <name val="Aptos Display"/>
      <scheme val="major"/>
    </font>
    <font>
      <b/>
      <sz val="16"/>
      <color rgb="FF000000"/>
      <name val="Aptos Display"/>
      <scheme val="major"/>
    </font>
    <font>
      <b/>
      <sz val="11"/>
      <color rgb="FFFF0000"/>
      <name val="Aptos Display"/>
      <scheme val="major"/>
    </font>
    <font>
      <sz val="11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Display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00A0A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3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2" fillId="5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164" fontId="0" fillId="4" borderId="1" xfId="0" applyNumberForma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4" fillId="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4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164" fontId="1" fillId="7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/>
    <xf numFmtId="164" fontId="2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64" fontId="1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indent="1"/>
    </xf>
    <xf numFmtId="0" fontId="1" fillId="2" borderId="1" xfId="0" applyFont="1" applyFill="1" applyBorder="1" applyAlignment="1">
      <alignment horizontal="center" vertical="center" indent="1"/>
    </xf>
    <xf numFmtId="1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5" fillId="6" borderId="0" xfId="0" applyNumberFormat="1" applyFont="1" applyFill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164" fontId="2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7" fillId="0" borderId="5" xfId="0" applyFont="1" applyBorder="1"/>
    <xf numFmtId="0" fontId="1" fillId="4" borderId="1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0" fillId="9" borderId="0" xfId="0" applyFill="1"/>
    <xf numFmtId="0" fontId="1" fillId="4" borderId="5" xfId="0" applyFont="1" applyFill="1" applyBorder="1" applyAlignment="1">
      <alignment horizontal="center"/>
    </xf>
    <xf numFmtId="164" fontId="1" fillId="9" borderId="16" xfId="0" applyNumberFormat="1" applyFont="1" applyFill="1" applyBorder="1" applyAlignment="1">
      <alignment horizontal="center" vertical="center"/>
    </xf>
    <xf numFmtId="164" fontId="1" fillId="9" borderId="0" xfId="0" applyNumberFormat="1" applyFont="1" applyFill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6" borderId="15" xfId="0" applyNumberFormat="1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1" fillId="4" borderId="5" xfId="0" applyNumberFormat="1" applyFont="1" applyFill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0" fillId="9" borderId="5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9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166" fontId="4" fillId="6" borderId="0" xfId="0" applyNumberFormat="1" applyFont="1" applyFill="1"/>
    <xf numFmtId="166" fontId="0" fillId="0" borderId="0" xfId="0" applyNumberFormat="1"/>
    <xf numFmtId="166" fontId="1" fillId="0" borderId="0" xfId="0" applyNumberFormat="1" applyFont="1"/>
    <xf numFmtId="167" fontId="0" fillId="0" borderId="0" xfId="0" applyNumberFormat="1" applyAlignment="1">
      <alignment horizontal="center"/>
    </xf>
    <xf numFmtId="164" fontId="1" fillId="1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1" fillId="0" borderId="5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49" fontId="0" fillId="8" borderId="5" xfId="0" applyNumberFormat="1" applyFill="1" applyBorder="1" applyAlignment="1">
      <alignment horizontal="center"/>
    </xf>
    <xf numFmtId="164" fontId="2" fillId="8" borderId="5" xfId="0" applyNumberFormat="1" applyFont="1" applyFill="1" applyBorder="1" applyAlignment="1">
      <alignment horizontal="center"/>
    </xf>
    <xf numFmtId="164" fontId="2" fillId="8" borderId="1" xfId="0" applyNumberFormat="1" applyFont="1" applyFill="1" applyBorder="1"/>
    <xf numFmtId="164" fontId="0" fillId="8" borderId="5" xfId="0" applyNumberFormat="1" applyFill="1" applyBorder="1" applyAlignment="1">
      <alignment horizontal="center"/>
    </xf>
    <xf numFmtId="164" fontId="0" fillId="8" borderId="1" xfId="0" applyNumberFormat="1" applyFill="1" applyBorder="1"/>
    <xf numFmtId="167" fontId="0" fillId="0" borderId="1" xfId="0" applyNumberForma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4" fontId="2" fillId="8" borderId="5" xfId="0" applyNumberFormat="1" applyFont="1" applyFill="1" applyBorder="1"/>
    <xf numFmtId="164" fontId="0" fillId="8" borderId="5" xfId="0" applyNumberFormat="1" applyFill="1" applyBorder="1"/>
    <xf numFmtId="164" fontId="0" fillId="0" borderId="5" xfId="0" applyNumberFormat="1" applyBorder="1"/>
    <xf numFmtId="167" fontId="0" fillId="8" borderId="1" xfId="0" applyNumberForma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0" fillId="8" borderId="1" xfId="0" applyFill="1" applyBorder="1"/>
    <xf numFmtId="0" fontId="4" fillId="0" borderId="0" xfId="0" applyFont="1"/>
    <xf numFmtId="14" fontId="5" fillId="6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9" fontId="1" fillId="2" borderId="9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0" fontId="1" fillId="3" borderId="9" xfId="0" applyFont="1" applyFill="1" applyBorder="1" applyAlignment="1">
      <alignment horizontal="center" vertical="center"/>
    </xf>
    <xf numFmtId="164" fontId="0" fillId="8" borderId="9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12" xfId="0" applyBorder="1"/>
    <xf numFmtId="0" fontId="0" fillId="0" borderId="26" xfId="0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0" fillId="0" borderId="26" xfId="0" applyBorder="1"/>
    <xf numFmtId="0" fontId="0" fillId="0" borderId="25" xfId="0" applyBorder="1"/>
    <xf numFmtId="14" fontId="0" fillId="0" borderId="7" xfId="0" applyNumberFormat="1" applyBorder="1"/>
    <xf numFmtId="14" fontId="0" fillId="0" borderId="10" xfId="0" applyNumberFormat="1" applyBorder="1"/>
    <xf numFmtId="14" fontId="0" fillId="0" borderId="26" xfId="0" applyNumberFormat="1" applyBorder="1"/>
    <xf numFmtId="0" fontId="1" fillId="4" borderId="9" xfId="0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6" borderId="8" xfId="0" applyFont="1" applyFill="1" applyBorder="1"/>
    <xf numFmtId="0" fontId="0" fillId="0" borderId="9" xfId="0" applyBorder="1"/>
    <xf numFmtId="49" fontId="0" fillId="8" borderId="4" xfId="0" applyNumberForma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164" fontId="0" fillId="8" borderId="4" xfId="0" applyNumberFormat="1" applyFill="1" applyBorder="1"/>
    <xf numFmtId="0" fontId="0" fillId="8" borderId="2" xfId="0" applyFill="1" applyBorder="1"/>
    <xf numFmtId="0" fontId="1" fillId="2" borderId="5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center"/>
    </xf>
    <xf numFmtId="164" fontId="0" fillId="8" borderId="2" xfId="0" applyNumberFormat="1" applyFill="1" applyBorder="1"/>
    <xf numFmtId="14" fontId="0" fillId="0" borderId="2" xfId="0" applyNumberFormat="1" applyBorder="1" applyAlignment="1">
      <alignment horizontal="center"/>
    </xf>
    <xf numFmtId="0" fontId="0" fillId="0" borderId="3" xfId="0" applyBorder="1"/>
    <xf numFmtId="14" fontId="0" fillId="8" borderId="2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7" fontId="0" fillId="8" borderId="2" xfId="0" applyNumberFormat="1" applyFill="1" applyBorder="1" applyAlignment="1">
      <alignment horizontal="center"/>
    </xf>
    <xf numFmtId="164" fontId="2" fillId="5" borderId="5" xfId="0" applyNumberFormat="1" applyFont="1" applyFill="1" applyBorder="1" applyAlignment="1">
      <alignment vertical="center"/>
    </xf>
    <xf numFmtId="164" fontId="1" fillId="7" borderId="9" xfId="0" applyNumberFormat="1" applyFont="1" applyFill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4" xfId="0" applyNumberFormat="1" applyBorder="1"/>
    <xf numFmtId="167" fontId="0" fillId="0" borderId="2" xfId="0" applyNumberFormat="1" applyBorder="1" applyAlignment="1">
      <alignment horizontal="center"/>
    </xf>
    <xf numFmtId="0" fontId="0" fillId="11" borderId="0" xfId="0" applyFill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1" fillId="4" borderId="4" xfId="0" applyNumberFormat="1" applyFont="1" applyFill="1" applyBorder="1" applyAlignment="1">
      <alignment horizontal="center" vertical="center"/>
    </xf>
    <xf numFmtId="167" fontId="4" fillId="6" borderId="0" xfId="0" applyNumberFormat="1" applyFont="1" applyFill="1" applyAlignment="1">
      <alignment horizontal="center"/>
    </xf>
    <xf numFmtId="166" fontId="1" fillId="4" borderId="2" xfId="0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166" fontId="1" fillId="0" borderId="1" xfId="0" applyNumberFormat="1" applyFont="1" applyBorder="1"/>
    <xf numFmtId="0" fontId="0" fillId="0" borderId="5" xfId="0" applyBorder="1"/>
    <xf numFmtId="166" fontId="0" fillId="8" borderId="1" xfId="0" applyNumberFormat="1" applyFill="1" applyBorder="1"/>
    <xf numFmtId="168" fontId="0" fillId="0" borderId="0" xfId="0" applyNumberFormat="1"/>
    <xf numFmtId="16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164" fontId="1" fillId="4" borderId="1" xfId="0" applyNumberFormat="1" applyFon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/>
    </xf>
    <xf numFmtId="164" fontId="2" fillId="8" borderId="10" xfId="0" applyNumberFormat="1" applyFont="1" applyFill="1" applyBorder="1"/>
    <xf numFmtId="167" fontId="0" fillId="8" borderId="3" xfId="0" applyNumberForma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 vertical="center"/>
    </xf>
    <xf numFmtId="164" fontId="2" fillId="8" borderId="10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/>
    </xf>
    <xf numFmtId="164" fontId="2" fillId="8" borderId="3" xfId="0" applyNumberFormat="1" applyFont="1" applyFill="1" applyBorder="1"/>
    <xf numFmtId="164" fontId="0" fillId="8" borderId="10" xfId="0" applyNumberFormat="1" applyFill="1" applyBorder="1" applyAlignment="1">
      <alignment horizontal="center"/>
    </xf>
    <xf numFmtId="164" fontId="0" fillId="8" borderId="3" xfId="0" applyNumberFormat="1" applyFill="1" applyBorder="1"/>
    <xf numFmtId="14" fontId="0" fillId="8" borderId="3" xfId="0" applyNumberFormat="1" applyFill="1" applyBorder="1" applyAlignment="1">
      <alignment horizontal="center"/>
    </xf>
    <xf numFmtId="164" fontId="0" fillId="8" borderId="3" xfId="0" applyNumberFormat="1" applyFill="1" applyBorder="1" applyAlignment="1">
      <alignment horizontal="center"/>
    </xf>
    <xf numFmtId="49" fontId="0" fillId="8" borderId="10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4" xfId="0" applyNumberFormat="1" applyBorder="1"/>
    <xf numFmtId="14" fontId="0" fillId="0" borderId="6" xfId="0" applyNumberFormat="1" applyBorder="1"/>
    <xf numFmtId="14" fontId="1" fillId="4" borderId="11" xfId="0" applyNumberFormat="1" applyFont="1" applyFill="1" applyBorder="1" applyAlignment="1">
      <alignment horizontal="center"/>
    </xf>
    <xf numFmtId="0" fontId="7" fillId="0" borderId="4" xfId="0" applyFont="1" applyBorder="1"/>
    <xf numFmtId="164" fontId="8" fillId="0" borderId="1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9" fontId="1" fillId="2" borderId="1" xfId="0" applyNumberFormat="1" applyFont="1" applyFill="1" applyBorder="1" applyAlignment="1">
      <alignment horizontal="center" vertical="center"/>
    </xf>
    <xf numFmtId="169" fontId="4" fillId="6" borderId="0" xfId="0" applyNumberFormat="1" applyFont="1" applyFill="1" applyAlignment="1">
      <alignment horizontal="center"/>
    </xf>
    <xf numFmtId="169" fontId="2" fillId="8" borderId="5" xfId="0" applyNumberFormat="1" applyFont="1" applyFill="1" applyBorder="1" applyAlignment="1">
      <alignment horizontal="center"/>
    </xf>
    <xf numFmtId="169" fontId="0" fillId="8" borderId="5" xfId="0" applyNumberFormat="1" applyFill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8" borderId="4" xfId="0" applyNumberForma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9" fontId="1" fillId="2" borderId="0" xfId="0" applyNumberFormat="1" applyFont="1" applyFill="1" applyAlignment="1">
      <alignment horizontal="center" vertical="center" indent="1"/>
    </xf>
    <xf numFmtId="169" fontId="4" fillId="6" borderId="0" xfId="0" applyNumberFormat="1" applyFont="1" applyFill="1"/>
    <xf numFmtId="169" fontId="2" fillId="8" borderId="5" xfId="0" applyNumberFormat="1" applyFont="1" applyFill="1" applyBorder="1"/>
    <xf numFmtId="169" fontId="0" fillId="8" borderId="5" xfId="0" applyNumberFormat="1" applyFill="1" applyBorder="1"/>
    <xf numFmtId="169" fontId="0" fillId="0" borderId="5" xfId="0" applyNumberFormat="1" applyBorder="1"/>
    <xf numFmtId="169" fontId="0" fillId="8" borderId="4" xfId="0" applyNumberFormat="1" applyFill="1" applyBorder="1"/>
    <xf numFmtId="169" fontId="0" fillId="0" borderId="1" xfId="0" applyNumberFormat="1" applyBorder="1"/>
    <xf numFmtId="169" fontId="0" fillId="0" borderId="0" xfId="0" applyNumberFormat="1"/>
    <xf numFmtId="169" fontId="1" fillId="2" borderId="5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 indent="1"/>
    </xf>
    <xf numFmtId="169" fontId="2" fillId="8" borderId="4" xfId="0" applyNumberFormat="1" applyFont="1" applyFill="1" applyBorder="1" applyAlignment="1">
      <alignment horizontal="center"/>
    </xf>
    <xf numFmtId="169" fontId="2" fillId="8" borderId="1" xfId="0" applyNumberFormat="1" applyFont="1" applyFill="1" applyBorder="1"/>
    <xf numFmtId="169" fontId="0" fillId="8" borderId="1" xfId="0" applyNumberFormat="1" applyFill="1" applyBorder="1"/>
    <xf numFmtId="164" fontId="0" fillId="0" borderId="1" xfId="0" applyNumberForma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0" fillId="0" borderId="5" xfId="0" applyNumberFormat="1" applyBorder="1" applyAlignment="1">
      <alignment horizontal="center" wrapText="1"/>
    </xf>
    <xf numFmtId="164" fontId="0" fillId="0" borderId="4" xfId="0" applyNumberForma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1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49" fontId="5" fillId="6" borderId="1" xfId="0" applyNumberFormat="1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9" fontId="12" fillId="2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indent="1"/>
    </xf>
    <xf numFmtId="167" fontId="12" fillId="4" borderId="1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9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indent="1"/>
    </xf>
    <xf numFmtId="0" fontId="13" fillId="4" borderId="0" xfId="0" applyFont="1" applyFill="1"/>
    <xf numFmtId="0" fontId="13" fillId="0" borderId="0" xfId="0" applyFont="1"/>
    <xf numFmtId="0" fontId="12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indent="1"/>
    </xf>
    <xf numFmtId="14" fontId="14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49" fontId="15" fillId="6" borderId="0" xfId="0" applyNumberFormat="1" applyFont="1" applyFill="1" applyAlignment="1">
      <alignment horizontal="center"/>
    </xf>
    <xf numFmtId="0" fontId="15" fillId="6" borderId="0" xfId="0" applyFont="1" applyFill="1"/>
    <xf numFmtId="0" fontId="16" fillId="6" borderId="0" xfId="0" applyFont="1" applyFill="1"/>
    <xf numFmtId="14" fontId="13" fillId="8" borderId="1" xfId="0" applyNumberFormat="1" applyFont="1" applyFill="1" applyBorder="1" applyAlignment="1">
      <alignment horizontal="center"/>
    </xf>
    <xf numFmtId="164" fontId="13" fillId="8" borderId="1" xfId="0" applyNumberFormat="1" applyFont="1" applyFill="1" applyBorder="1" applyAlignment="1">
      <alignment horizontal="center"/>
    </xf>
    <xf numFmtId="49" fontId="13" fillId="8" borderId="5" xfId="0" applyNumberFormat="1" applyFont="1" applyFill="1" applyBorder="1" applyAlignment="1">
      <alignment horizontal="center"/>
    </xf>
    <xf numFmtId="164" fontId="17" fillId="8" borderId="5" xfId="0" applyNumberFormat="1" applyFont="1" applyFill="1" applyBorder="1" applyAlignment="1">
      <alignment horizontal="center"/>
    </xf>
    <xf numFmtId="164" fontId="17" fillId="8" borderId="5" xfId="0" applyNumberFormat="1" applyFont="1" applyFill="1" applyBorder="1"/>
    <xf numFmtId="167" fontId="13" fillId="8" borderId="1" xfId="0" applyNumberFormat="1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3" fillId="8" borderId="1" xfId="0" applyFont="1" applyFill="1" applyBorder="1"/>
    <xf numFmtId="167" fontId="13" fillId="8" borderId="5" xfId="0" applyNumberFormat="1" applyFont="1" applyFill="1" applyBorder="1" applyAlignment="1">
      <alignment horizontal="center"/>
    </xf>
    <xf numFmtId="164" fontId="13" fillId="8" borderId="5" xfId="0" applyNumberFormat="1" applyFont="1" applyFill="1" applyBorder="1" applyAlignment="1">
      <alignment horizontal="center"/>
    </xf>
    <xf numFmtId="164" fontId="13" fillId="8" borderId="5" xfId="0" applyNumberFormat="1" applyFont="1" applyFill="1" applyBorder="1"/>
    <xf numFmtId="164" fontId="12" fillId="6" borderId="1" xfId="0" applyNumberFormat="1" applyFont="1" applyFill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164" fontId="13" fillId="0" borderId="5" xfId="0" applyNumberFormat="1" applyFont="1" applyBorder="1"/>
    <xf numFmtId="167" fontId="13" fillId="0" borderId="1" xfId="0" applyNumberFormat="1" applyFont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7" fontId="12" fillId="0" borderId="5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164" fontId="13" fillId="0" borderId="4" xfId="0" applyNumberFormat="1" applyFont="1" applyBorder="1"/>
    <xf numFmtId="49" fontId="13" fillId="0" borderId="1" xfId="0" applyNumberFormat="1" applyFont="1" applyBorder="1" applyAlignment="1">
      <alignment horizontal="center"/>
    </xf>
    <xf numFmtId="167" fontId="13" fillId="0" borderId="4" xfId="0" applyNumberFormat="1" applyFont="1" applyBorder="1" applyAlignment="1">
      <alignment horizontal="center"/>
    </xf>
    <xf numFmtId="49" fontId="13" fillId="8" borderId="1" xfId="0" applyNumberFormat="1" applyFont="1" applyFill="1" applyBorder="1" applyAlignment="1">
      <alignment horizontal="center"/>
    </xf>
    <xf numFmtId="164" fontId="13" fillId="8" borderId="1" xfId="0" applyNumberFormat="1" applyFont="1" applyFill="1" applyBorder="1"/>
    <xf numFmtId="0" fontId="12" fillId="0" borderId="2" xfId="0" applyFont="1" applyBorder="1" applyAlignment="1">
      <alignment horizontal="center" vertical="center"/>
    </xf>
    <xf numFmtId="164" fontId="12" fillId="4" borderId="2" xfId="0" applyNumberFormat="1" applyFont="1" applyFill="1" applyBorder="1" applyAlignment="1">
      <alignment horizontal="center" vertical="center"/>
    </xf>
    <xf numFmtId="164" fontId="12" fillId="4" borderId="4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5" xfId="0" applyFont="1" applyBorder="1"/>
    <xf numFmtId="14" fontId="12" fillId="0" borderId="1" xfId="0" applyNumberFormat="1" applyFont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64" fontId="17" fillId="5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Border="1"/>
    <xf numFmtId="164" fontId="17" fillId="5" borderId="5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4" fillId="6" borderId="0" xfId="0" applyNumberFormat="1" applyFont="1" applyFill="1" applyAlignment="1">
      <alignment horizontal="center"/>
    </xf>
    <xf numFmtId="170" fontId="6" fillId="12" borderId="1" xfId="0" applyNumberFormat="1" applyFont="1" applyFill="1" applyBorder="1" applyAlignment="1">
      <alignment horizontal="center" vertical="center" wrapText="1"/>
    </xf>
    <xf numFmtId="170" fontId="5" fillId="6" borderId="0" xfId="0" applyNumberFormat="1" applyFont="1" applyFill="1" applyAlignment="1">
      <alignment horizontal="center"/>
    </xf>
    <xf numFmtId="170" fontId="0" fillId="8" borderId="1" xfId="0" applyNumberForma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1" fillId="0" borderId="2" xfId="0" applyNumberFormat="1" applyFont="1" applyBorder="1" applyAlignment="1">
      <alignment horizontal="center" vertical="center"/>
    </xf>
    <xf numFmtId="170" fontId="0" fillId="0" borderId="1" xfId="0" applyNumberFormat="1" applyBorder="1"/>
    <xf numFmtId="170" fontId="0" fillId="0" borderId="0" xfId="0" applyNumberFormat="1" applyAlignment="1">
      <alignment horizontal="center"/>
    </xf>
    <xf numFmtId="170" fontId="0" fillId="0" borderId="6" xfId="0" applyNumberFormat="1" applyBorder="1"/>
    <xf numFmtId="170" fontId="0" fillId="0" borderId="0" xfId="0" applyNumberFormat="1"/>
    <xf numFmtId="170" fontId="0" fillId="0" borderId="26" xfId="0" applyNumberFormat="1" applyBorder="1"/>
    <xf numFmtId="170" fontId="0" fillId="0" borderId="6" xfId="0" applyNumberFormat="1" applyBorder="1" applyAlignment="1">
      <alignment horizontal="center"/>
    </xf>
    <xf numFmtId="170" fontId="0" fillId="0" borderId="26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0" fillId="8" borderId="0" xfId="0" applyNumberFormat="1" applyFill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" fontId="0" fillId="8" borderId="1" xfId="0" applyNumberForma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8" borderId="5" xfId="0" applyNumberFormat="1" applyFill="1" applyBorder="1"/>
    <xf numFmtId="49" fontId="0" fillId="0" borderId="5" xfId="0" applyNumberFormat="1" applyBorder="1"/>
    <xf numFmtId="49" fontId="0" fillId="0" borderId="4" xfId="0" applyNumberFormat="1" applyBorder="1"/>
    <xf numFmtId="49" fontId="0" fillId="8" borderId="1" xfId="0" applyNumberFormat="1" applyFill="1" applyBorder="1"/>
    <xf numFmtId="49" fontId="3" fillId="0" borderId="1" xfId="0" applyNumberFormat="1" applyFont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 vertical="center"/>
    </xf>
    <xf numFmtId="171" fontId="0" fillId="0" borderId="5" xfId="0" applyNumberFormat="1" applyBorder="1" applyAlignment="1">
      <alignment horizontal="center"/>
    </xf>
    <xf numFmtId="169" fontId="2" fillId="0" borderId="5" xfId="0" applyNumberFormat="1" applyFont="1" applyBorder="1"/>
    <xf numFmtId="0" fontId="1" fillId="0" borderId="1" xfId="0" applyFont="1" applyBorder="1" applyAlignment="1">
      <alignment horizontal="center"/>
    </xf>
    <xf numFmtId="169" fontId="0" fillId="0" borderId="4" xfId="0" applyNumberFormat="1" applyBorder="1"/>
    <xf numFmtId="0" fontId="0" fillId="0" borderId="2" xfId="0" applyBorder="1"/>
    <xf numFmtId="0" fontId="0" fillId="8" borderId="5" xfId="0" applyFill="1" applyBorder="1"/>
    <xf numFmtId="0" fontId="0" fillId="0" borderId="11" xfId="0" applyBorder="1"/>
    <xf numFmtId="0" fontId="4" fillId="6" borderId="2" xfId="0" applyFont="1" applyFill="1" applyBorder="1"/>
    <xf numFmtId="166" fontId="0" fillId="6" borderId="1" xfId="0" applyNumberFormat="1" applyFill="1" applyBorder="1"/>
    <xf numFmtId="0" fontId="4" fillId="6" borderId="5" xfId="0" applyFont="1" applyFill="1" applyBorder="1"/>
    <xf numFmtId="0" fontId="0" fillId="6" borderId="1" xfId="0" applyFill="1" applyBorder="1"/>
    <xf numFmtId="0" fontId="0" fillId="8" borderId="3" xfId="0" applyFill="1" applyBorder="1"/>
    <xf numFmtId="0" fontId="0" fillId="0" borderId="4" xfId="0" applyBorder="1"/>
    <xf numFmtId="14" fontId="18" fillId="0" borderId="27" xfId="0" applyNumberFormat="1" applyFont="1" applyBorder="1"/>
    <xf numFmtId="170" fontId="18" fillId="0" borderId="28" xfId="0" applyNumberFormat="1" applyFont="1" applyBorder="1" applyAlignment="1">
      <alignment horizontal="center"/>
    </xf>
    <xf numFmtId="14" fontId="18" fillId="0" borderId="28" xfId="0" applyNumberFormat="1" applyFont="1" applyBorder="1"/>
    <xf numFmtId="0" fontId="18" fillId="0" borderId="28" xfId="0" applyFont="1" applyBorder="1" applyAlignment="1">
      <alignment horizontal="center"/>
    </xf>
    <xf numFmtId="49" fontId="18" fillId="0" borderId="28" xfId="0" applyNumberFormat="1" applyFont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4" fontId="18" fillId="0" borderId="30" xfId="0" applyNumberFormat="1" applyFont="1" applyBorder="1"/>
    <xf numFmtId="14" fontId="18" fillId="0" borderId="0" xfId="0" applyNumberFormat="1" applyFont="1"/>
    <xf numFmtId="14" fontId="18" fillId="0" borderId="31" xfId="0" applyNumberFormat="1" applyFont="1" applyBorder="1"/>
    <xf numFmtId="14" fontId="18" fillId="0" borderId="32" xfId="0" applyNumberFormat="1" applyFont="1" applyBorder="1"/>
    <xf numFmtId="14" fontId="18" fillId="0" borderId="33" xfId="0" applyNumberFormat="1" applyFont="1" applyBorder="1"/>
    <xf numFmtId="14" fontId="18" fillId="0" borderId="34" xfId="0" applyNumberFormat="1" applyFont="1" applyBorder="1"/>
    <xf numFmtId="164" fontId="1" fillId="6" borderId="5" xfId="0" applyNumberFormat="1" applyFont="1" applyFill="1" applyBorder="1" applyAlignment="1">
      <alignment horizontal="center"/>
    </xf>
    <xf numFmtId="14" fontId="11" fillId="0" borderId="0" xfId="0" applyNumberFormat="1" applyFont="1"/>
    <xf numFmtId="14" fontId="8" fillId="2" borderId="17" xfId="0" applyNumberFormat="1" applyFont="1" applyFill="1" applyBorder="1"/>
    <xf numFmtId="170" fontId="18" fillId="0" borderId="35" xfId="0" applyNumberFormat="1" applyFont="1" applyBorder="1" applyAlignment="1">
      <alignment horizontal="center"/>
    </xf>
    <xf numFmtId="14" fontId="18" fillId="0" borderId="35" xfId="0" applyNumberFormat="1" applyFont="1" applyBorder="1"/>
    <xf numFmtId="0" fontId="18" fillId="0" borderId="35" xfId="0" applyFont="1" applyBorder="1" applyAlignment="1">
      <alignment horizontal="center"/>
    </xf>
    <xf numFmtId="49" fontId="18" fillId="0" borderId="35" xfId="0" applyNumberFormat="1" applyFont="1" applyBorder="1" applyAlignment="1">
      <alignment horizontal="center"/>
    </xf>
    <xf numFmtId="164" fontId="18" fillId="0" borderId="18" xfId="0" applyNumberFormat="1" applyFont="1" applyBorder="1" applyAlignment="1">
      <alignment horizontal="center"/>
    </xf>
    <xf numFmtId="14" fontId="11" fillId="0" borderId="13" xfId="0" applyNumberFormat="1" applyFont="1" applyBorder="1"/>
    <xf numFmtId="14" fontId="18" fillId="0" borderId="14" xfId="0" applyNumberFormat="1" applyFont="1" applyBorder="1"/>
    <xf numFmtId="14" fontId="18" fillId="0" borderId="36" xfId="0" applyNumberFormat="1" applyFont="1" applyBorder="1"/>
    <xf numFmtId="14" fontId="18" fillId="0" borderId="16" xfId="0" applyNumberFormat="1" applyFont="1" applyBorder="1"/>
    <xf numFmtId="169" fontId="0" fillId="0" borderId="4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49" fontId="18" fillId="0" borderId="18" xfId="0" applyNumberFormat="1" applyFont="1" applyBorder="1" applyAlignment="1">
      <alignment horizontal="center"/>
    </xf>
    <xf numFmtId="49" fontId="18" fillId="0" borderId="14" xfId="0" applyNumberFormat="1" applyFont="1" applyBorder="1"/>
    <xf numFmtId="164" fontId="8" fillId="6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indent="1"/>
    </xf>
    <xf numFmtId="49" fontId="1" fillId="5" borderId="5" xfId="0" applyNumberFormat="1" applyFont="1" applyFill="1" applyBorder="1" applyAlignment="1">
      <alignment horizontal="center"/>
    </xf>
    <xf numFmtId="1" fontId="0" fillId="8" borderId="5" xfId="0" applyNumberForma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64" fontId="1" fillId="6" borderId="5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/>
    </xf>
    <xf numFmtId="14" fontId="8" fillId="2" borderId="35" xfId="0" applyNumberFormat="1" applyFont="1" applyFill="1" applyBorder="1"/>
    <xf numFmtId="14" fontId="6" fillId="6" borderId="0" xfId="0" applyNumberFormat="1" applyFont="1" applyFill="1" applyAlignment="1">
      <alignment horizontal="center"/>
    </xf>
    <xf numFmtId="14" fontId="18" fillId="0" borderId="17" xfId="0" applyNumberFormat="1" applyFont="1" applyBorder="1"/>
    <xf numFmtId="14" fontId="18" fillId="0" borderId="13" xfId="0" applyNumberFormat="1" applyFont="1" applyBorder="1"/>
    <xf numFmtId="14" fontId="18" fillId="0" borderId="15" xfId="0" applyNumberFormat="1" applyFont="1" applyBorder="1"/>
    <xf numFmtId="0" fontId="6" fillId="13" borderId="1" xfId="0" applyFont="1" applyFill="1" applyBorder="1" applyAlignment="1">
      <alignment horizontal="center" vertical="center"/>
    </xf>
    <xf numFmtId="164" fontId="8" fillId="6" borderId="5" xfId="0" applyNumberFormat="1" applyFont="1" applyFill="1" applyBorder="1" applyAlignment="1">
      <alignment horizontal="center" vertical="center"/>
    </xf>
    <xf numFmtId="164" fontId="20" fillId="6" borderId="1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1" fontId="0" fillId="14" borderId="5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" fontId="0" fillId="7" borderId="4" xfId="0" applyNumberFormat="1" applyFill="1" applyBorder="1" applyAlignment="1">
      <alignment horizontal="center"/>
    </xf>
    <xf numFmtId="0" fontId="0" fillId="0" borderId="10" xfId="0" applyBorder="1" applyAlignment="1">
      <alignment horizontal="center"/>
    </xf>
    <xf numFmtId="1" fontId="0" fillId="8" borderId="4" xfId="0" applyNumberFormat="1" applyFill="1" applyBorder="1" applyAlignment="1">
      <alignment horizontal="center"/>
    </xf>
    <xf numFmtId="0" fontId="0" fillId="8" borderId="4" xfId="0" applyFill="1" applyBorder="1"/>
    <xf numFmtId="164" fontId="0" fillId="0" borderId="10" xfId="0" applyNumberFormat="1" applyBorder="1" applyAlignment="1">
      <alignment horizontal="center"/>
    </xf>
    <xf numFmtId="0" fontId="0" fillId="0" borderId="10" xfId="0" applyBorder="1"/>
    <xf numFmtId="164" fontId="1" fillId="7" borderId="4" xfId="0" applyNumberFormat="1" applyFont="1" applyFill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9" fontId="9" fillId="4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9" fontId="8" fillId="4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/>
    <xf numFmtId="0" fontId="0" fillId="5" borderId="1" xfId="0" applyFill="1" applyBorder="1"/>
    <xf numFmtId="166" fontId="0" fillId="5" borderId="1" xfId="0" applyNumberFormat="1" applyFill="1" applyBorder="1"/>
    <xf numFmtId="167" fontId="0" fillId="5" borderId="1" xfId="0" applyNumberFormat="1" applyFill="1" applyBorder="1" applyAlignment="1">
      <alignment horizontal="center"/>
    </xf>
    <xf numFmtId="167" fontId="1" fillId="5" borderId="1" xfId="0" applyNumberFormat="1" applyFont="1" applyFill="1" applyBorder="1"/>
    <xf numFmtId="166" fontId="0" fillId="5" borderId="1" xfId="0" applyNumberForma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 vertical="center"/>
    </xf>
    <xf numFmtId="0" fontId="0" fillId="6" borderId="0" xfId="0" applyFill="1"/>
    <xf numFmtId="167" fontId="0" fillId="8" borderId="5" xfId="0" applyNumberFormat="1" applyFill="1" applyBorder="1" applyAlignment="1">
      <alignment horizontal="center"/>
    </xf>
    <xf numFmtId="167" fontId="0" fillId="8" borderId="10" xfId="0" applyNumberFormat="1" applyFill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7" fontId="1" fillId="0" borderId="5" xfId="0" applyNumberFormat="1" applyFont="1" applyBorder="1" applyAlignment="1">
      <alignment horizontal="center"/>
    </xf>
    <xf numFmtId="9" fontId="8" fillId="15" borderId="1" xfId="0" applyNumberFormat="1" applyFont="1" applyFill="1" applyBorder="1" applyAlignment="1">
      <alignment horizontal="center" vertical="center" wrapText="1"/>
    </xf>
    <xf numFmtId="164" fontId="0" fillId="15" borderId="1" xfId="0" applyNumberFormat="1" applyFill="1" applyBorder="1" applyAlignment="1">
      <alignment horizontal="center"/>
    </xf>
    <xf numFmtId="164" fontId="0" fillId="15" borderId="5" xfId="0" applyNumberFormat="1" applyFill="1" applyBorder="1" applyAlignment="1">
      <alignment horizontal="center"/>
    </xf>
    <xf numFmtId="164" fontId="11" fillId="15" borderId="5" xfId="0" applyNumberFormat="1" applyFont="1" applyFill="1" applyBorder="1" applyAlignment="1">
      <alignment horizontal="center"/>
    </xf>
    <xf numFmtId="164" fontId="11" fillId="15" borderId="4" xfId="0" applyNumberFormat="1" applyFont="1" applyFill="1" applyBorder="1" applyAlignment="1">
      <alignment horizontal="center"/>
    </xf>
    <xf numFmtId="49" fontId="18" fillId="11" borderId="28" xfId="0" applyNumberFormat="1" applyFont="1" applyFill="1" applyBorder="1" applyAlignment="1">
      <alignment horizontal="center"/>
    </xf>
    <xf numFmtId="164" fontId="8" fillId="11" borderId="1" xfId="0" applyNumberFormat="1" applyFont="1" applyFill="1" applyBorder="1" applyAlignment="1">
      <alignment horizontal="center" vertical="center"/>
    </xf>
    <xf numFmtId="164" fontId="8" fillId="11" borderId="5" xfId="0" applyNumberFormat="1" applyFont="1" applyFill="1" applyBorder="1" applyAlignment="1">
      <alignment horizontal="center" vertical="center"/>
    </xf>
    <xf numFmtId="164" fontId="19" fillId="11" borderId="1" xfId="0" applyNumberFormat="1" applyFont="1" applyFill="1" applyBorder="1" applyAlignment="1">
      <alignment horizontal="center" vertical="center"/>
    </xf>
    <xf numFmtId="164" fontId="19" fillId="11" borderId="5" xfId="0" applyNumberFormat="1" applyFont="1" applyFill="1" applyBorder="1" applyAlignment="1">
      <alignment horizontal="center" vertical="center"/>
    </xf>
    <xf numFmtId="164" fontId="20" fillId="11" borderId="1" xfId="0" applyNumberFormat="1" applyFont="1" applyFill="1" applyBorder="1" applyAlignment="1">
      <alignment horizontal="center" vertical="center"/>
    </xf>
    <xf numFmtId="164" fontId="20" fillId="11" borderId="5" xfId="0" applyNumberFormat="1" applyFont="1" applyFill="1" applyBorder="1" applyAlignment="1">
      <alignment horizontal="center"/>
    </xf>
    <xf numFmtId="164" fontId="12" fillId="11" borderId="1" xfId="0" applyNumberFormat="1" applyFont="1" applyFill="1" applyBorder="1" applyAlignment="1">
      <alignment horizontal="center" vertical="center"/>
    </xf>
    <xf numFmtId="0" fontId="0" fillId="12" borderId="0" xfId="0" applyFill="1"/>
    <xf numFmtId="164" fontId="2" fillId="12" borderId="1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/>
    </xf>
    <xf numFmtId="14" fontId="0" fillId="8" borderId="5" xfId="0" applyNumberFormat="1" applyFill="1" applyBorder="1" applyAlignment="1">
      <alignment horizontal="center"/>
    </xf>
    <xf numFmtId="0" fontId="0" fillId="8" borderId="10" xfId="0" applyFill="1" applyBorder="1"/>
    <xf numFmtId="167" fontId="0" fillId="0" borderId="3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1" fillId="11" borderId="1" xfId="0" applyNumberFormat="1" applyFont="1" applyFill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172" fontId="0" fillId="8" borderId="5" xfId="0" applyNumberFormat="1" applyFill="1" applyBorder="1" applyAlignment="1">
      <alignment horizontal="center"/>
    </xf>
    <xf numFmtId="168" fontId="0" fillId="8" borderId="5" xfId="0" applyNumberFormat="1" applyFill="1" applyBorder="1"/>
    <xf numFmtId="168" fontId="0" fillId="0" borderId="5" xfId="0" applyNumberFormat="1" applyBorder="1"/>
    <xf numFmtId="168" fontId="0" fillId="0" borderId="4" xfId="0" applyNumberFormat="1" applyBorder="1"/>
    <xf numFmtId="49" fontId="1" fillId="0" borderId="1" xfId="0" applyNumberFormat="1" applyFont="1" applyBorder="1" applyAlignment="1">
      <alignment vertical="center"/>
    </xf>
    <xf numFmtId="49" fontId="0" fillId="0" borderId="1" xfId="0" applyNumberFormat="1" applyBorder="1"/>
    <xf numFmtId="14" fontId="11" fillId="0" borderId="15" xfId="0" applyNumberFormat="1" applyFont="1" applyBorder="1" applyAlignment="1">
      <alignment horizontal="center"/>
    </xf>
    <xf numFmtId="14" fontId="11" fillId="0" borderId="36" xfId="0" applyNumberFormat="1" applyFont="1" applyBorder="1" applyAlignment="1">
      <alignment horizontal="center"/>
    </xf>
    <xf numFmtId="164" fontId="0" fillId="2" borderId="1" xfId="0" applyNumberFormat="1" applyFill="1" applyBorder="1" applyAlignment="1">
      <alignment horizontal="center" wrapText="1"/>
    </xf>
    <xf numFmtId="14" fontId="5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9" fontId="4" fillId="0" borderId="0" xfId="0" applyNumberFormat="1" applyFont="1"/>
    <xf numFmtId="169" fontId="2" fillId="0" borderId="0" xfId="0" applyNumberFormat="1" applyFont="1"/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4" fontId="8" fillId="0" borderId="0" xfId="0" applyNumberFormat="1" applyFont="1"/>
    <xf numFmtId="170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0" fillId="8" borderId="0" xfId="0" applyFill="1"/>
    <xf numFmtId="170" fontId="0" fillId="8" borderId="5" xfId="0" applyNumberFormat="1" applyFill="1" applyBorder="1"/>
    <xf numFmtId="14" fontId="1" fillId="4" borderId="1" xfId="0" applyNumberFormat="1" applyFont="1" applyFill="1" applyBorder="1" applyAlignment="1">
      <alignment horizontal="center"/>
    </xf>
    <xf numFmtId="49" fontId="1" fillId="4" borderId="9" xfId="0" applyNumberFormat="1" applyFont="1" applyFill="1" applyBorder="1" applyAlignment="1">
      <alignment horizontal="center"/>
    </xf>
    <xf numFmtId="49" fontId="1" fillId="4" borderId="4" xfId="0" applyNumberFormat="1" applyFont="1" applyFill="1" applyBorder="1" applyAlignment="1">
      <alignment horizontal="center"/>
    </xf>
    <xf numFmtId="14" fontId="1" fillId="4" borderId="2" xfId="0" applyNumberFormat="1" applyFont="1" applyFill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172" fontId="0" fillId="8" borderId="1" xfId="0" applyNumberFormat="1" applyFill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164" fontId="18" fillId="0" borderId="14" xfId="0" applyNumberFormat="1" applyFont="1" applyBorder="1"/>
    <xf numFmtId="164" fontId="18" fillId="0" borderId="16" xfId="0" applyNumberFormat="1" applyFont="1" applyBorder="1"/>
    <xf numFmtId="49" fontId="2" fillId="0" borderId="5" xfId="0" applyNumberFormat="1" applyFont="1" applyBorder="1" applyAlignment="1">
      <alignment horizontal="center"/>
    </xf>
    <xf numFmtId="49" fontId="18" fillId="0" borderId="16" xfId="0" applyNumberFormat="1" applyFont="1" applyBorder="1"/>
    <xf numFmtId="172" fontId="0" fillId="8" borderId="10" xfId="0" applyNumberFormat="1" applyFill="1" applyBorder="1" applyAlignment="1">
      <alignment horizontal="center"/>
    </xf>
    <xf numFmtId="49" fontId="11" fillId="8" borderId="5" xfId="0" applyNumberFormat="1" applyFont="1" applyFill="1" applyBorder="1" applyAlignment="1">
      <alignment horizontal="center"/>
    </xf>
    <xf numFmtId="164" fontId="11" fillId="8" borderId="5" xfId="0" applyNumberFormat="1" applyFont="1" applyFill="1" applyBorder="1" applyAlignment="1">
      <alignment horizontal="center" vertical="center"/>
    </xf>
    <xf numFmtId="173" fontId="0" fillId="0" borderId="5" xfId="0" applyNumberFormat="1" applyBorder="1" applyAlignment="1">
      <alignment horizontal="center"/>
    </xf>
    <xf numFmtId="173" fontId="0" fillId="8" borderId="5" xfId="0" applyNumberFormat="1" applyFill="1" applyBorder="1" applyAlignment="1">
      <alignment horizontal="center"/>
    </xf>
    <xf numFmtId="164" fontId="1" fillId="6" borderId="4" xfId="0" applyNumberFormat="1" applyFont="1" applyFill="1" applyBorder="1" applyAlignment="1">
      <alignment horizontal="center"/>
    </xf>
    <xf numFmtId="164" fontId="1" fillId="6" borderId="2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172" fontId="0" fillId="0" borderId="0" xfId="0" applyNumberFormat="1"/>
    <xf numFmtId="49" fontId="1" fillId="0" borderId="2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4" fontId="11" fillId="8" borderId="1" xfId="0" applyNumberFormat="1" applyFont="1" applyFill="1" applyBorder="1" applyAlignment="1">
      <alignment horizontal="center"/>
    </xf>
    <xf numFmtId="0" fontId="11" fillId="8" borderId="1" xfId="0" applyFont="1" applyFill="1" applyBorder="1"/>
    <xf numFmtId="0" fontId="11" fillId="8" borderId="5" xfId="0" applyFont="1" applyFill="1" applyBorder="1"/>
    <xf numFmtId="166" fontId="11" fillId="8" borderId="1" xfId="0" applyNumberFormat="1" applyFont="1" applyFill="1" applyBorder="1"/>
    <xf numFmtId="164" fontId="11" fillId="8" borderId="5" xfId="0" applyNumberFormat="1" applyFont="1" applyFill="1" applyBorder="1" applyAlignment="1">
      <alignment horizontal="center"/>
    </xf>
    <xf numFmtId="164" fontId="11" fillId="3" borderId="1" xfId="0" applyNumberFormat="1" applyFont="1" applyFill="1" applyBorder="1" applyAlignment="1">
      <alignment horizontal="center"/>
    </xf>
    <xf numFmtId="49" fontId="11" fillId="3" borderId="5" xfId="0" applyNumberFormat="1" applyFont="1" applyFill="1" applyBorder="1" applyAlignment="1">
      <alignment horizontal="center"/>
    </xf>
    <xf numFmtId="164" fontId="8" fillId="3" borderId="5" xfId="0" applyNumberFormat="1" applyFont="1" applyFill="1" applyBorder="1" applyAlignment="1">
      <alignment horizontal="center"/>
    </xf>
    <xf numFmtId="0" fontId="11" fillId="3" borderId="1" xfId="0" applyFont="1" applyFill="1" applyBorder="1"/>
    <xf numFmtId="0" fontId="11" fillId="3" borderId="5" xfId="0" applyFont="1" applyFill="1" applyBorder="1"/>
    <xf numFmtId="166" fontId="11" fillId="3" borderId="1" xfId="0" applyNumberFormat="1" applyFont="1" applyFill="1" applyBorder="1"/>
    <xf numFmtId="164" fontId="11" fillId="3" borderId="5" xfId="0" applyNumberFormat="1" applyFont="1" applyFill="1" applyBorder="1" applyAlignment="1">
      <alignment horizontal="center"/>
    </xf>
    <xf numFmtId="169" fontId="11" fillId="3" borderId="5" xfId="0" applyNumberFormat="1" applyFont="1" applyFill="1" applyBorder="1" applyAlignment="1">
      <alignment horizontal="center"/>
    </xf>
    <xf numFmtId="49" fontId="11" fillId="3" borderId="4" xfId="0" applyNumberFormat="1" applyFont="1" applyFill="1" applyBorder="1" applyAlignment="1">
      <alignment horizontal="center"/>
    </xf>
    <xf numFmtId="164" fontId="11" fillId="3" borderId="4" xfId="0" applyNumberFormat="1" applyFont="1" applyFill="1" applyBorder="1" applyAlignment="1">
      <alignment horizontal="center"/>
    </xf>
    <xf numFmtId="0" fontId="11" fillId="3" borderId="2" xfId="0" applyFont="1" applyFill="1" applyBorder="1"/>
    <xf numFmtId="0" fontId="8" fillId="8" borderId="1" xfId="0" applyFont="1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9" fontId="2" fillId="3" borderId="5" xfId="0" applyNumberFormat="1" applyFont="1" applyFill="1" applyBorder="1"/>
    <xf numFmtId="0" fontId="0" fillId="3" borderId="1" xfId="0" applyFill="1" applyBorder="1"/>
    <xf numFmtId="0" fontId="0" fillId="3" borderId="5" xfId="0" applyFill="1" applyBorder="1"/>
    <xf numFmtId="166" fontId="0" fillId="3" borderId="1" xfId="0" applyNumberFormat="1" applyFill="1" applyBorder="1"/>
    <xf numFmtId="164" fontId="0" fillId="3" borderId="5" xfId="0" applyNumberFormat="1" applyFill="1" applyBorder="1" applyAlignment="1">
      <alignment horizontal="center"/>
    </xf>
    <xf numFmtId="169" fontId="0" fillId="3" borderId="5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9" xfId="0" applyFill="1" applyBorder="1"/>
    <xf numFmtId="164" fontId="1" fillId="3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/>
    </xf>
    <xf numFmtId="169" fontId="3" fillId="3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173" fontId="0" fillId="3" borderId="5" xfId="0" applyNumberForma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/>
    <xf numFmtId="164" fontId="8" fillId="11" borderId="1" xfId="0" applyNumberFormat="1" applyFont="1" applyFill="1" applyBorder="1" applyAlignment="1">
      <alignment horizontal="center"/>
    </xf>
    <xf numFmtId="14" fontId="11" fillId="0" borderId="15" xfId="0" applyNumberFormat="1" applyFont="1" applyBorder="1"/>
    <xf numFmtId="14" fontId="11" fillId="0" borderId="36" xfId="0" applyNumberFormat="1" applyFont="1" applyBorder="1"/>
    <xf numFmtId="170" fontId="18" fillId="0" borderId="35" xfId="0" applyNumberFormat="1" applyFont="1" applyBorder="1"/>
    <xf numFmtId="0" fontId="18" fillId="0" borderId="35" xfId="0" applyFont="1" applyBorder="1"/>
    <xf numFmtId="49" fontId="18" fillId="0" borderId="35" xfId="0" applyNumberFormat="1" applyFont="1" applyBorder="1"/>
    <xf numFmtId="164" fontId="18" fillId="0" borderId="18" xfId="0" applyNumberFormat="1" applyFont="1" applyBorder="1"/>
    <xf numFmtId="14" fontId="11" fillId="0" borderId="14" xfId="0" applyNumberFormat="1" applyFont="1" applyBorder="1"/>
    <xf numFmtId="14" fontId="11" fillId="0" borderId="16" xfId="0" applyNumberFormat="1" applyFont="1" applyBorder="1"/>
    <xf numFmtId="166" fontId="1" fillId="8" borderId="1" xfId="0" applyNumberFormat="1" applyFont="1" applyFill="1" applyBorder="1"/>
    <xf numFmtId="164" fontId="1" fillId="10" borderId="1" xfId="0" applyNumberFormat="1" applyFont="1" applyFill="1" applyBorder="1" applyAlignment="1">
      <alignment horizontal="center"/>
    </xf>
    <xf numFmtId="0" fontId="0" fillId="16" borderId="1" xfId="0" applyFill="1" applyBorder="1"/>
    <xf numFmtId="164" fontId="0" fillId="17" borderId="1" xfId="0" applyNumberForma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64" fontId="11" fillId="0" borderId="5" xfId="0" applyNumberFormat="1" applyFont="1" applyBorder="1" applyAlignment="1">
      <alignment horizontal="center" indent="1"/>
    </xf>
    <xf numFmtId="0" fontId="1" fillId="15" borderId="1" xfId="0" applyFont="1" applyFill="1" applyBorder="1"/>
    <xf numFmtId="0" fontId="10" fillId="0" borderId="1" xfId="0" applyFont="1" applyBorder="1"/>
    <xf numFmtId="164" fontId="8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164" fontId="11" fillId="3" borderId="5" xfId="0" applyNumberFormat="1" applyFont="1" applyFill="1" applyBorder="1"/>
    <xf numFmtId="0" fontId="0" fillId="0" borderId="1" xfId="0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0" fillId="0" borderId="5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11" fillId="0" borderId="15" xfId="0" applyNumberFormat="1" applyFont="1" applyBorder="1" applyAlignment="1">
      <alignment horizontal="center"/>
    </xf>
    <xf numFmtId="14" fontId="11" fillId="0" borderId="36" xfId="0" applyNumberFormat="1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</cellXfs>
  <cellStyles count="1">
    <cellStyle name="Normal" xfId="0" builtinId="0"/>
  </cellStyles>
  <dxfs count="1359"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F00A0A"/>
      <color rgb="FFF94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Allamkincstar%20Pepper/Online%20t&#225;bl&#225;k/Forgalom%20M&#193;K%20-%202026.xlsx" TargetMode="External"/><Relationship Id="rId1" Type="http://schemas.openxmlformats.org/officeDocument/2006/relationships/externalLinkPath" Target="Allamkincstar%20Pepper/Online%20t&#225;bl&#225;k/Forgalom%20M&#193;K%20-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norr105%20Pepper/Online%20t&#225;bl&#225;k/Forgalom%20Knorr%20105%20-%202026.xlsx" TargetMode="External"/><Relationship Id="rId1" Type="http://schemas.openxmlformats.org/officeDocument/2006/relationships/externalLinkPath" Target="Knorr105%20Pepper/Online%20t&#225;bl&#225;k/Forgalom%20Knorr%20105%20-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TI/Online%20t&#225;bl&#225;k/Forgalom%20KTI%20-%202026.xlsx" TargetMode="External"/><Relationship Id="rId1" Type="http://schemas.openxmlformats.org/officeDocument/2006/relationships/externalLinkPath" Target="KTI/Online%20t&#225;bl&#225;k/Forgalom%20KTI%20-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norr69%20Pepper/Online%20t&#225;bl&#225;k/Forgalom%20Knorr%2069%20-%202026.xlsx" TargetMode="External"/><Relationship Id="rId1" Type="http://schemas.openxmlformats.org/officeDocument/2006/relationships/externalLinkPath" Target="Knorr69%20Pepper/Online%20t&#225;bl&#225;k/Forgalom%20Knorr%2069%20-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Szentkiralyi%20Pepper/Online%20t&#225;bl&#225;k/Forgalom%20szentkir&#225;lyi%20-%202026.xlsx" TargetMode="External"/><Relationship Id="rId1" Type="http://schemas.openxmlformats.org/officeDocument/2006/relationships/externalLinkPath" Target="Szentkiralyi%20Pepper/Online%20t&#225;bl&#225;k/Forgalom%20szentkir&#225;lyi%20-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norr86%20Pepper/Online%20t&#225;bl&#225;k/Forgalom%20Knorr%2086%20-%202026.xlsx" TargetMode="External"/><Relationship Id="rId1" Type="http://schemas.openxmlformats.org/officeDocument/2006/relationships/externalLinkPath" Target="Knorr86%20Pepper/Online%20t&#225;bl&#225;k/Forgalom%20Knorr%2086%20-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RSR%20Pepper/Online%20t&#225;bl&#225;k/Forgalom%20RSR%20-%202026.xlsx" TargetMode="External"/><Relationship Id="rId1" Type="http://schemas.openxmlformats.org/officeDocument/2006/relationships/externalLinkPath" Target="RSR%20Pepper/Online%20t&#225;bl&#225;k/Forgalom%20RSR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NMTHFQYJSPF5DIPTPLG4H2XE6J">
      <xxl21:absoluteUrl r:id="rId2"/>
    </xxl21:alternateUrls>
    <sheetNames>
      <sheetName val="2026 január"/>
      <sheetName val="2026 február"/>
      <sheetName val="2026 március"/>
      <sheetName val="2026 április"/>
      <sheetName val="minta"/>
      <sheetName val="minta (2)"/>
    </sheet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novo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</row>
        <row r="2">
          <cell r="B2"/>
          <cell r="G2"/>
          <cell r="S2"/>
          <cell r="T2">
            <v>0</v>
          </cell>
          <cell r="U2"/>
          <cell r="V2"/>
          <cell r="W2"/>
          <cell r="X2"/>
          <cell r="Y2">
            <v>0</v>
          </cell>
          <cell r="Z2"/>
          <cell r="AC2"/>
          <cell r="AD2"/>
          <cell r="AE2"/>
          <cell r="AF2"/>
          <cell r="AG2"/>
          <cell r="AH2"/>
        </row>
        <row r="3">
          <cell r="B3"/>
          <cell r="G3"/>
          <cell r="S3">
            <v>0</v>
          </cell>
          <cell r="T3">
            <v>0</v>
          </cell>
          <cell r="U3"/>
          <cell r="V3"/>
          <cell r="W3"/>
          <cell r="X3"/>
          <cell r="Y3">
            <v>0</v>
          </cell>
          <cell r="Z3"/>
          <cell r="AC3"/>
          <cell r="AD3"/>
          <cell r="AE3"/>
          <cell r="AF3"/>
          <cell r="AG3"/>
          <cell r="AH3"/>
        </row>
        <row r="4">
          <cell r="B4"/>
          <cell r="G4"/>
          <cell r="S4">
            <v>0</v>
          </cell>
          <cell r="T4">
            <v>0</v>
          </cell>
          <cell r="U4"/>
          <cell r="V4"/>
          <cell r="W4"/>
          <cell r="X4"/>
          <cell r="Y4">
            <v>0</v>
          </cell>
          <cell r="Z4"/>
          <cell r="AC4"/>
          <cell r="AD4"/>
          <cell r="AE4"/>
          <cell r="AF4"/>
          <cell r="AG4"/>
          <cell r="AH4"/>
        </row>
        <row r="5">
          <cell r="B5"/>
          <cell r="G5"/>
          <cell r="S5">
            <v>0</v>
          </cell>
          <cell r="T5">
            <v>0</v>
          </cell>
          <cell r="U5"/>
          <cell r="V5"/>
          <cell r="W5"/>
          <cell r="X5"/>
          <cell r="Y5">
            <v>0</v>
          </cell>
          <cell r="Z5"/>
          <cell r="AC5"/>
          <cell r="AD5"/>
          <cell r="AE5"/>
          <cell r="AF5"/>
          <cell r="AG5"/>
          <cell r="AH5"/>
        </row>
        <row r="6">
          <cell r="B6">
            <v>348080</v>
          </cell>
          <cell r="G6"/>
          <cell r="S6">
            <v>119577</v>
          </cell>
          <cell r="T6">
            <v>33775</v>
          </cell>
          <cell r="U6"/>
          <cell r="V6"/>
          <cell r="W6"/>
          <cell r="X6"/>
          <cell r="Y6">
            <v>153352</v>
          </cell>
          <cell r="Z6"/>
          <cell r="AC6"/>
          <cell r="AD6"/>
          <cell r="AE6"/>
          <cell r="AF6"/>
          <cell r="AG6"/>
          <cell r="AH6"/>
        </row>
        <row r="7">
          <cell r="B7">
            <v>402810</v>
          </cell>
          <cell r="G7"/>
          <cell r="S7">
            <v>153352</v>
          </cell>
          <cell r="T7">
            <v>-23280</v>
          </cell>
          <cell r="U7">
            <v>44985</v>
          </cell>
          <cell r="V7">
            <v>3600</v>
          </cell>
          <cell r="W7"/>
          <cell r="X7"/>
          <cell r="Y7">
            <v>171457</v>
          </cell>
          <cell r="Z7"/>
          <cell r="AA7" t="str">
            <v>Vásárlás</v>
          </cell>
          <cell r="AB7" t="str">
            <v>Vip töltés</v>
          </cell>
          <cell r="AC7"/>
          <cell r="AD7"/>
          <cell r="AE7"/>
          <cell r="AF7"/>
          <cell r="AG7"/>
          <cell r="AH7"/>
        </row>
        <row r="8">
          <cell r="B8">
            <v>410725</v>
          </cell>
          <cell r="G8"/>
          <cell r="S8">
            <v>171457</v>
          </cell>
          <cell r="T8">
            <v>20510</v>
          </cell>
          <cell r="U8"/>
          <cell r="V8"/>
          <cell r="W8">
            <v>7190</v>
          </cell>
          <cell r="X8"/>
          <cell r="Y8">
            <v>184777</v>
          </cell>
          <cell r="Z8"/>
          <cell r="AA8" t="str">
            <v>Matrica</v>
          </cell>
          <cell r="AC8"/>
          <cell r="AD8"/>
          <cell r="AE8"/>
          <cell r="AF8"/>
          <cell r="AG8"/>
          <cell r="AH8"/>
        </row>
        <row r="9">
          <cell r="B9">
            <v>443260</v>
          </cell>
          <cell r="G9"/>
          <cell r="S9">
            <v>184777</v>
          </cell>
          <cell r="T9">
            <v>-1175</v>
          </cell>
          <cell r="U9"/>
          <cell r="V9">
            <v>22997</v>
          </cell>
          <cell r="W9"/>
          <cell r="X9"/>
          <cell r="Y9">
            <v>160605</v>
          </cell>
          <cell r="Z9"/>
          <cell r="AA9" t="str">
            <v>Media Markt</v>
          </cell>
          <cell r="AC9"/>
          <cell r="AD9"/>
          <cell r="AE9"/>
          <cell r="AF9"/>
          <cell r="AG9"/>
          <cell r="AH9"/>
        </row>
        <row r="10">
          <cell r="B10">
            <v>361225</v>
          </cell>
          <cell r="G10"/>
          <cell r="S10">
            <v>160605</v>
          </cell>
          <cell r="T10">
            <v>-37735</v>
          </cell>
          <cell r="U10">
            <v>104000</v>
          </cell>
          <cell r="V10">
            <v>79850</v>
          </cell>
          <cell r="W10"/>
          <cell r="X10"/>
          <cell r="Y10">
            <v>147020</v>
          </cell>
          <cell r="Z10"/>
          <cell r="AA10" t="str">
            <v>Vásárlás, Vip töltés, Melinda, Parkolás</v>
          </cell>
          <cell r="AC10"/>
          <cell r="AD10"/>
          <cell r="AE10"/>
          <cell r="AF10"/>
          <cell r="AG10"/>
          <cell r="AH10"/>
        </row>
        <row r="11">
          <cell r="B11"/>
          <cell r="G11"/>
          <cell r="S11">
            <v>147020</v>
          </cell>
          <cell r="T11">
            <v>0</v>
          </cell>
          <cell r="U11"/>
          <cell r="V11"/>
          <cell r="W11"/>
          <cell r="X11"/>
          <cell r="Y11">
            <v>147020</v>
          </cell>
          <cell r="Z11"/>
          <cell r="AC11"/>
          <cell r="AD11"/>
          <cell r="AE11"/>
          <cell r="AF11"/>
          <cell r="AG11"/>
          <cell r="AH11"/>
        </row>
        <row r="12">
          <cell r="B12"/>
          <cell r="G12"/>
          <cell r="S12">
            <v>147020</v>
          </cell>
          <cell r="T12">
            <v>0</v>
          </cell>
          <cell r="U12"/>
          <cell r="V12"/>
          <cell r="W12"/>
          <cell r="X12"/>
          <cell r="Y12">
            <v>147020</v>
          </cell>
          <cell r="Z12"/>
          <cell r="AC12"/>
          <cell r="AD12"/>
          <cell r="AE12"/>
          <cell r="AF12"/>
          <cell r="AG12"/>
          <cell r="AH12"/>
        </row>
        <row r="13">
          <cell r="B13">
            <v>351355</v>
          </cell>
          <cell r="G13"/>
          <cell r="S13">
            <v>147020</v>
          </cell>
          <cell r="T13">
            <v>18725</v>
          </cell>
          <cell r="U13"/>
          <cell r="V13"/>
          <cell r="W13"/>
          <cell r="X13"/>
          <cell r="Y13">
            <v>165745</v>
          </cell>
          <cell r="Z13"/>
          <cell r="AC13"/>
          <cell r="AD13"/>
          <cell r="AE13"/>
          <cell r="AF13"/>
          <cell r="AG13"/>
          <cell r="AH13"/>
        </row>
        <row r="14">
          <cell r="B14">
            <v>466255</v>
          </cell>
          <cell r="G14"/>
          <cell r="S14">
            <v>165745</v>
          </cell>
          <cell r="T14">
            <v>23625</v>
          </cell>
          <cell r="U14"/>
          <cell r="V14"/>
          <cell r="W14"/>
          <cell r="X14"/>
          <cell r="Y14">
            <v>189370</v>
          </cell>
          <cell r="Z14"/>
          <cell r="AC14"/>
          <cell r="AD14"/>
          <cell r="AE14"/>
          <cell r="AF14"/>
          <cell r="AG14"/>
          <cell r="AH14"/>
        </row>
        <row r="15">
          <cell r="B15">
            <v>350790</v>
          </cell>
          <cell r="G15"/>
          <cell r="S15">
            <v>189370</v>
          </cell>
          <cell r="T15">
            <v>-20955</v>
          </cell>
          <cell r="U15">
            <v>41000</v>
          </cell>
          <cell r="V15">
            <v>63000</v>
          </cell>
          <cell r="W15"/>
          <cell r="X15"/>
          <cell r="Y15">
            <v>146415</v>
          </cell>
          <cell r="Z15"/>
          <cell r="AA15" t="str">
            <v>Márk, Vip töltés</v>
          </cell>
          <cell r="AC15"/>
          <cell r="AD15"/>
          <cell r="AE15"/>
          <cell r="AF15"/>
          <cell r="AG15"/>
          <cell r="AH15"/>
        </row>
        <row r="16">
          <cell r="B16">
            <v>323750</v>
          </cell>
          <cell r="G16"/>
          <cell r="S16">
            <v>146415</v>
          </cell>
          <cell r="T16">
            <v>-2060</v>
          </cell>
          <cell r="U16">
            <v>30000</v>
          </cell>
          <cell r="V16"/>
          <cell r="W16"/>
          <cell r="X16"/>
          <cell r="Y16">
            <v>174355</v>
          </cell>
          <cell r="Z16"/>
          <cell r="AA16" t="str">
            <v>Vip töltés</v>
          </cell>
          <cell r="AC16"/>
          <cell r="AD16"/>
          <cell r="AE16"/>
          <cell r="AF16"/>
          <cell r="AG16"/>
          <cell r="AH16"/>
        </row>
        <row r="17">
          <cell r="B17">
            <v>280775</v>
          </cell>
          <cell r="G17"/>
          <cell r="S17">
            <v>174355</v>
          </cell>
          <cell r="T17">
            <v>24505</v>
          </cell>
          <cell r="U17"/>
          <cell r="V17">
            <v>99015</v>
          </cell>
          <cell r="W17"/>
          <cell r="X17"/>
          <cell r="Y17">
            <v>99845</v>
          </cell>
          <cell r="Z17"/>
          <cell r="AA17" t="str">
            <v>Melinda</v>
          </cell>
          <cell r="AC17"/>
          <cell r="AD17"/>
          <cell r="AE17"/>
          <cell r="AF17"/>
          <cell r="AG17"/>
          <cell r="AH17"/>
        </row>
        <row r="18">
          <cell r="B18"/>
          <cell r="G18"/>
          <cell r="S18">
            <v>99845</v>
          </cell>
          <cell r="T18">
            <v>0</v>
          </cell>
          <cell r="U18"/>
          <cell r="V18"/>
          <cell r="W18"/>
          <cell r="X18"/>
          <cell r="Y18">
            <v>99845</v>
          </cell>
          <cell r="Z18"/>
          <cell r="AC18"/>
          <cell r="AD18"/>
          <cell r="AE18"/>
          <cell r="AF18"/>
          <cell r="AG18"/>
          <cell r="AH18"/>
        </row>
        <row r="19">
          <cell r="B19"/>
          <cell r="G19"/>
          <cell r="S19">
            <v>99845</v>
          </cell>
          <cell r="T19">
            <v>0</v>
          </cell>
          <cell r="U19"/>
          <cell r="V19"/>
          <cell r="W19"/>
          <cell r="X19"/>
          <cell r="Y19">
            <v>99845</v>
          </cell>
          <cell r="Z19"/>
          <cell r="AC19"/>
          <cell r="AD19"/>
          <cell r="AE19"/>
          <cell r="AF19"/>
          <cell r="AG19"/>
          <cell r="AH19"/>
        </row>
        <row r="20">
          <cell r="B20">
            <v>295070</v>
          </cell>
          <cell r="G20"/>
          <cell r="S20">
            <v>99845</v>
          </cell>
          <cell r="T20">
            <v>24775</v>
          </cell>
          <cell r="U20"/>
          <cell r="V20"/>
          <cell r="W20"/>
          <cell r="X20"/>
          <cell r="Y20">
            <v>124620</v>
          </cell>
          <cell r="Z20"/>
          <cell r="AC20"/>
          <cell r="AD20"/>
          <cell r="AE20"/>
          <cell r="AF20"/>
          <cell r="AG20"/>
          <cell r="AH20"/>
        </row>
        <row r="21">
          <cell r="B21">
            <v>385175</v>
          </cell>
          <cell r="G21"/>
          <cell r="S21">
            <v>124620</v>
          </cell>
          <cell r="T21">
            <v>28320</v>
          </cell>
          <cell r="U21"/>
          <cell r="V21"/>
          <cell r="W21"/>
          <cell r="X21"/>
          <cell r="Y21">
            <v>152940</v>
          </cell>
          <cell r="Z21"/>
          <cell r="AC21"/>
          <cell r="AD21"/>
          <cell r="AE21"/>
          <cell r="AF21"/>
          <cell r="AG21"/>
          <cell r="AH21"/>
        </row>
        <row r="22">
          <cell r="B22">
            <v>293265</v>
          </cell>
          <cell r="G22"/>
          <cell r="S22">
            <v>152940</v>
          </cell>
          <cell r="T22">
            <v>25800</v>
          </cell>
          <cell r="U22"/>
          <cell r="V22"/>
          <cell r="W22"/>
          <cell r="X22"/>
          <cell r="Y22">
            <v>178740</v>
          </cell>
          <cell r="Z22"/>
          <cell r="AC22"/>
          <cell r="AD22"/>
          <cell r="AE22"/>
          <cell r="AF22"/>
          <cell r="AG22"/>
          <cell r="AH22"/>
        </row>
        <row r="23">
          <cell r="B23">
            <v>361175</v>
          </cell>
          <cell r="G23"/>
          <cell r="S23">
            <v>178740</v>
          </cell>
          <cell r="T23">
            <v>26950</v>
          </cell>
          <cell r="U23"/>
          <cell r="V23"/>
          <cell r="W23"/>
          <cell r="X23"/>
          <cell r="Y23">
            <v>205690</v>
          </cell>
          <cell r="Z23"/>
          <cell r="AC23"/>
          <cell r="AD23"/>
          <cell r="AE23"/>
          <cell r="AF23"/>
          <cell r="AG23"/>
          <cell r="AH23"/>
        </row>
        <row r="24">
          <cell r="B24">
            <v>292520</v>
          </cell>
          <cell r="G24"/>
          <cell r="S24">
            <v>205690</v>
          </cell>
          <cell r="T24">
            <v>8790</v>
          </cell>
          <cell r="U24"/>
          <cell r="V24">
            <v>64015</v>
          </cell>
          <cell r="W24"/>
          <cell r="X24"/>
          <cell r="Y24">
            <v>150465</v>
          </cell>
          <cell r="Z24"/>
          <cell r="AA24" t="str">
            <v>Melinda</v>
          </cell>
          <cell r="AC24"/>
          <cell r="AD24"/>
          <cell r="AE24"/>
          <cell r="AF24"/>
          <cell r="AG24"/>
          <cell r="AH24"/>
        </row>
        <row r="25">
          <cell r="B25"/>
          <cell r="G25"/>
          <cell r="S25">
            <v>150465</v>
          </cell>
          <cell r="T25">
            <v>0</v>
          </cell>
          <cell r="U25"/>
          <cell r="V25"/>
          <cell r="W25"/>
          <cell r="X25"/>
          <cell r="Y25">
            <v>150465</v>
          </cell>
          <cell r="Z25"/>
          <cell r="AC25"/>
          <cell r="AD25"/>
          <cell r="AE25"/>
          <cell r="AF25"/>
          <cell r="AG25"/>
          <cell r="AH25"/>
        </row>
        <row r="26">
          <cell r="B26"/>
          <cell r="G26"/>
          <cell r="S26">
            <v>150465</v>
          </cell>
          <cell r="T26">
            <v>0</v>
          </cell>
          <cell r="U26"/>
          <cell r="V26"/>
          <cell r="W26"/>
          <cell r="X26"/>
          <cell r="Y26">
            <v>150465</v>
          </cell>
          <cell r="Z26"/>
          <cell r="AC26"/>
          <cell r="AD26"/>
          <cell r="AE26"/>
          <cell r="AF26"/>
          <cell r="AG26"/>
          <cell r="AH26"/>
        </row>
        <row r="27">
          <cell r="B27">
            <v>293395</v>
          </cell>
          <cell r="G27"/>
          <cell r="S27">
            <v>150465</v>
          </cell>
          <cell r="T27">
            <v>20565</v>
          </cell>
          <cell r="U27"/>
          <cell r="V27"/>
          <cell r="W27"/>
          <cell r="X27"/>
          <cell r="Y27">
            <v>171030</v>
          </cell>
          <cell r="Z27"/>
          <cell r="AC27"/>
          <cell r="AD27"/>
          <cell r="AE27"/>
          <cell r="AF27"/>
          <cell r="AG27"/>
          <cell r="AH27"/>
        </row>
        <row r="28">
          <cell r="B28">
            <v>350595</v>
          </cell>
          <cell r="G28"/>
          <cell r="S28">
            <v>171030</v>
          </cell>
          <cell r="T28">
            <v>26430</v>
          </cell>
          <cell r="U28"/>
          <cell r="V28"/>
          <cell r="W28"/>
          <cell r="X28"/>
          <cell r="Y28">
            <v>197460</v>
          </cell>
          <cell r="Z28"/>
          <cell r="AC28"/>
          <cell r="AD28"/>
          <cell r="AE28"/>
          <cell r="AF28"/>
          <cell r="AG28"/>
          <cell r="AH28"/>
        </row>
        <row r="29">
          <cell r="B29">
            <v>311075</v>
          </cell>
          <cell r="G29"/>
          <cell r="S29">
            <v>197460</v>
          </cell>
          <cell r="T29">
            <v>27800</v>
          </cell>
          <cell r="U29"/>
          <cell r="V29"/>
          <cell r="W29"/>
          <cell r="X29"/>
          <cell r="Y29">
            <v>225260</v>
          </cell>
          <cell r="Z29"/>
          <cell r="AC29"/>
          <cell r="AD29"/>
          <cell r="AE29"/>
          <cell r="AF29"/>
          <cell r="AG29"/>
          <cell r="AH29"/>
        </row>
        <row r="30">
          <cell r="B30">
            <v>335240</v>
          </cell>
          <cell r="G30"/>
          <cell r="S30">
            <v>225260</v>
          </cell>
          <cell r="T30">
            <v>-13165</v>
          </cell>
          <cell r="U30">
            <v>40000</v>
          </cell>
          <cell r="V30"/>
          <cell r="W30"/>
          <cell r="X30"/>
          <cell r="Y30">
            <v>252095</v>
          </cell>
          <cell r="Z30"/>
          <cell r="AA30" t="str">
            <v>Vip töltés</v>
          </cell>
          <cell r="AC30"/>
          <cell r="AD30"/>
          <cell r="AE30"/>
          <cell r="AF30"/>
          <cell r="AG30"/>
          <cell r="AH30"/>
        </row>
        <row r="31">
          <cell r="B31">
            <v>318595</v>
          </cell>
          <cell r="G31"/>
          <cell r="S31">
            <v>252095</v>
          </cell>
          <cell r="T31">
            <v>16220</v>
          </cell>
          <cell r="U31"/>
          <cell r="V31">
            <v>64015</v>
          </cell>
          <cell r="W31"/>
          <cell r="X31"/>
          <cell r="Y31">
            <v>204300</v>
          </cell>
          <cell r="Z31"/>
          <cell r="AA31" t="str">
            <v>Melinda</v>
          </cell>
          <cell r="AC31"/>
          <cell r="AD31"/>
          <cell r="AE31"/>
          <cell r="AF31"/>
          <cell r="AG31"/>
          <cell r="AH31"/>
        </row>
        <row r="32">
          <cell r="B32"/>
          <cell r="G32"/>
          <cell r="S32">
            <v>204300</v>
          </cell>
          <cell r="T32">
            <v>0</v>
          </cell>
          <cell r="U32"/>
          <cell r="V32"/>
          <cell r="W32"/>
          <cell r="X32"/>
          <cell r="Y32">
            <v>204300</v>
          </cell>
          <cell r="Z32"/>
          <cell r="AC32"/>
          <cell r="AD32"/>
          <cell r="AE32"/>
          <cell r="AF32"/>
          <cell r="AG32"/>
          <cell r="AH32"/>
        </row>
        <row r="33">
          <cell r="B33">
            <v>6975130</v>
          </cell>
          <cell r="G33"/>
          <cell r="S33"/>
          <cell r="T33">
            <v>228420</v>
          </cell>
          <cell r="U33">
            <v>259985</v>
          </cell>
          <cell r="V33"/>
          <cell r="W33"/>
          <cell r="X33"/>
          <cell r="Y33"/>
          <cell r="Z33"/>
          <cell r="AD33"/>
        </row>
      </sheetData>
      <sheetData sheetId="1">
        <row r="2">
          <cell r="B2">
            <v>319570</v>
          </cell>
          <cell r="AC2"/>
          <cell r="AD2"/>
        </row>
        <row r="3">
          <cell r="B3">
            <v>398070</v>
          </cell>
          <cell r="AC3"/>
          <cell r="AD3"/>
        </row>
        <row r="4">
          <cell r="B4">
            <v>398925</v>
          </cell>
          <cell r="AC4"/>
          <cell r="AD4"/>
        </row>
        <row r="5">
          <cell r="B5">
            <v>384305</v>
          </cell>
          <cell r="AC5"/>
          <cell r="AD5"/>
        </row>
        <row r="6">
          <cell r="B6">
            <v>311755</v>
          </cell>
          <cell r="AC6"/>
          <cell r="AD6"/>
        </row>
        <row r="7">
          <cell r="B7"/>
          <cell r="AC7"/>
          <cell r="AD7"/>
        </row>
        <row r="8">
          <cell r="B8"/>
          <cell r="AC8"/>
          <cell r="AD8"/>
        </row>
        <row r="9">
          <cell r="B9">
            <v>327270</v>
          </cell>
          <cell r="AC9"/>
          <cell r="AD9"/>
        </row>
        <row r="10">
          <cell r="B10">
            <v>435065</v>
          </cell>
          <cell r="AC10"/>
          <cell r="AD10"/>
        </row>
        <row r="11">
          <cell r="B11">
            <v>434105</v>
          </cell>
          <cell r="AB11" t="str">
            <v>Vip töltés</v>
          </cell>
          <cell r="AC11"/>
          <cell r="AD11"/>
        </row>
        <row r="12">
          <cell r="B12">
            <v>444245</v>
          </cell>
          <cell r="AC12"/>
          <cell r="AD12"/>
        </row>
        <row r="13">
          <cell r="B13">
            <v>277730</v>
          </cell>
          <cell r="AC13"/>
          <cell r="AD13"/>
        </row>
        <row r="14">
          <cell r="B14"/>
          <cell r="AC14"/>
          <cell r="AD14"/>
        </row>
        <row r="15">
          <cell r="B15"/>
          <cell r="AC15"/>
          <cell r="AD15"/>
        </row>
        <row r="16">
          <cell r="B16">
            <v>339365</v>
          </cell>
          <cell r="AC16"/>
          <cell r="AD16"/>
        </row>
        <row r="17">
          <cell r="B17">
            <v>425340</v>
          </cell>
          <cell r="AC17"/>
          <cell r="AD17"/>
        </row>
        <row r="18">
          <cell r="B18">
            <v>325560</v>
          </cell>
          <cell r="AC18"/>
          <cell r="AD18"/>
        </row>
        <row r="19">
          <cell r="B19">
            <v>418215</v>
          </cell>
          <cell r="AC19"/>
          <cell r="AD19"/>
        </row>
        <row r="20">
          <cell r="B20">
            <v>288020</v>
          </cell>
          <cell r="AC20"/>
          <cell r="AD20"/>
        </row>
        <row r="21">
          <cell r="B21"/>
          <cell r="AC21"/>
          <cell r="AD21"/>
        </row>
        <row r="22">
          <cell r="B22"/>
          <cell r="AC22"/>
          <cell r="AD22"/>
        </row>
        <row r="23">
          <cell r="B23">
            <v>302885</v>
          </cell>
          <cell r="AC23"/>
          <cell r="AD23"/>
        </row>
        <row r="24">
          <cell r="B24">
            <v>349225</v>
          </cell>
          <cell r="AC24"/>
          <cell r="AD24"/>
        </row>
        <row r="25">
          <cell r="B25">
            <v>375775</v>
          </cell>
          <cell r="AC25"/>
          <cell r="AD25"/>
        </row>
        <row r="26">
          <cell r="B26">
            <v>348485</v>
          </cell>
          <cell r="AC26"/>
          <cell r="AD26"/>
        </row>
        <row r="27">
          <cell r="B27">
            <v>299350</v>
          </cell>
          <cell r="AC27"/>
          <cell r="AD27"/>
        </row>
        <row r="28">
          <cell r="B28"/>
          <cell r="AC28"/>
          <cell r="AD28"/>
        </row>
        <row r="29">
          <cell r="B29"/>
          <cell r="AC29"/>
          <cell r="AD29"/>
        </row>
        <row r="30">
          <cell r="B30"/>
          <cell r="AC30"/>
          <cell r="AD30"/>
        </row>
        <row r="31">
          <cell r="B31"/>
          <cell r="AC31"/>
          <cell r="AD31"/>
        </row>
        <row r="32">
          <cell r="B32"/>
          <cell r="AC32"/>
          <cell r="AD32"/>
        </row>
        <row r="33">
          <cell r="B33">
            <v>7203260</v>
          </cell>
          <cell r="AD33"/>
        </row>
      </sheetData>
      <sheetData sheetId="2">
        <row r="2">
          <cell r="B2"/>
        </row>
        <row r="3">
          <cell r="B3">
            <v>322750</v>
          </cell>
        </row>
        <row r="4">
          <cell r="B4">
            <v>386090</v>
          </cell>
        </row>
        <row r="5">
          <cell r="B5">
            <v>429935</v>
          </cell>
        </row>
        <row r="6">
          <cell r="B6">
            <v>394770</v>
          </cell>
        </row>
        <row r="7">
          <cell r="B7">
            <v>290155</v>
          </cell>
        </row>
        <row r="8">
          <cell r="B8"/>
        </row>
        <row r="9">
          <cell r="B9"/>
        </row>
        <row r="10">
          <cell r="B10">
            <v>356025</v>
          </cell>
        </row>
        <row r="11">
          <cell r="B11">
            <v>380025</v>
          </cell>
        </row>
        <row r="12">
          <cell r="B12">
            <v>390400</v>
          </cell>
        </row>
        <row r="13">
          <cell r="B13">
            <v>420805</v>
          </cell>
        </row>
        <row r="14">
          <cell r="B14">
            <v>304015</v>
          </cell>
        </row>
        <row r="15">
          <cell r="B15"/>
        </row>
        <row r="16">
          <cell r="B16"/>
        </row>
        <row r="17">
          <cell r="B17">
            <v>367265</v>
          </cell>
        </row>
        <row r="18">
          <cell r="B18">
            <v>339810</v>
          </cell>
        </row>
        <row r="19">
          <cell r="B19">
            <v>352275</v>
          </cell>
        </row>
        <row r="20">
          <cell r="B20">
            <v>415440</v>
          </cell>
        </row>
        <row r="21">
          <cell r="B21">
            <v>265175</v>
          </cell>
        </row>
        <row r="22">
          <cell r="B22"/>
        </row>
        <row r="23">
          <cell r="B23"/>
        </row>
        <row r="24">
          <cell r="B24">
            <v>327250</v>
          </cell>
        </row>
        <row r="25">
          <cell r="B25">
            <v>408580</v>
          </cell>
        </row>
        <row r="26">
          <cell r="B26">
            <v>351335</v>
          </cell>
        </row>
        <row r="27">
          <cell r="B27">
            <v>422685</v>
          </cell>
        </row>
        <row r="28">
          <cell r="B28">
            <v>306505</v>
          </cell>
        </row>
        <row r="29">
          <cell r="B29"/>
        </row>
        <row r="30">
          <cell r="B30"/>
        </row>
        <row r="31">
          <cell r="B31">
            <v>337820</v>
          </cell>
        </row>
        <row r="32">
          <cell r="B32">
            <v>449635</v>
          </cell>
        </row>
        <row r="33">
          <cell r="B33">
            <v>8018745</v>
          </cell>
        </row>
      </sheetData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N2TJYEW64WVNGZPUKTI7H7XF3F">
      <xxl21:absoluteUrl r:id="rId2"/>
    </xxl21:alternateUrls>
    <sheetNames>
      <sheetName val="2026 január"/>
      <sheetName val="2026 február"/>
      <sheetName val="2026 március"/>
      <sheetName val="2026 április"/>
      <sheetName val="minta"/>
    </sheetNames>
    <definedNames>
      <definedName name="A" sheetId="0"/>
      <definedName name="B" sheetId="0"/>
    </defined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Pénztár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/>
          <cell r="S2"/>
          <cell r="T2"/>
          <cell r="U2"/>
          <cell r="V2"/>
          <cell r="W2"/>
          <cell r="X2"/>
          <cell r="Y2">
            <v>0</v>
          </cell>
          <cell r="Z2"/>
          <cell r="AC2"/>
          <cell r="AD2"/>
        </row>
        <row r="3">
          <cell r="B3"/>
          <cell r="G3"/>
          <cell r="S3"/>
          <cell r="T3"/>
          <cell r="U3"/>
          <cell r="V3"/>
          <cell r="W3"/>
          <cell r="X3"/>
          <cell r="Y3">
            <v>0</v>
          </cell>
          <cell r="Z3"/>
          <cell r="AC3"/>
          <cell r="AD3"/>
        </row>
        <row r="4">
          <cell r="B4"/>
          <cell r="G4"/>
          <cell r="S4">
            <v>143114</v>
          </cell>
          <cell r="T4">
            <v>0</v>
          </cell>
          <cell r="U4"/>
          <cell r="V4">
            <v>40000</v>
          </cell>
          <cell r="W4"/>
          <cell r="X4"/>
          <cell r="Y4">
            <v>103114</v>
          </cell>
          <cell r="Z4"/>
          <cell r="AC4"/>
          <cell r="AD4"/>
        </row>
        <row r="5">
          <cell r="B5"/>
          <cell r="G5"/>
          <cell r="S5"/>
          <cell r="T5">
            <v>0</v>
          </cell>
          <cell r="U5"/>
          <cell r="V5"/>
          <cell r="W5"/>
          <cell r="X5"/>
          <cell r="Y5">
            <v>0</v>
          </cell>
          <cell r="Z5"/>
          <cell r="AC5"/>
          <cell r="AD5"/>
        </row>
        <row r="6">
          <cell r="B6">
            <v>1342025</v>
          </cell>
          <cell r="G6"/>
          <cell r="S6">
            <v>103114</v>
          </cell>
          <cell r="T6">
            <v>104824</v>
          </cell>
          <cell r="U6"/>
          <cell r="V6">
            <v>14500</v>
          </cell>
          <cell r="W6"/>
          <cell r="X6"/>
          <cell r="Y6">
            <v>193438</v>
          </cell>
          <cell r="Z6"/>
          <cell r="AC6"/>
          <cell r="AD6"/>
        </row>
        <row r="7">
          <cell r="B7">
            <v>1456870</v>
          </cell>
          <cell r="G7"/>
          <cell r="S7">
            <v>193438</v>
          </cell>
          <cell r="T7">
            <v>108403</v>
          </cell>
          <cell r="U7"/>
          <cell r="V7">
            <v>34500</v>
          </cell>
          <cell r="W7"/>
          <cell r="X7"/>
          <cell r="Y7">
            <v>267341</v>
          </cell>
          <cell r="Z7"/>
          <cell r="AC7"/>
          <cell r="AD7"/>
        </row>
        <row r="8">
          <cell r="B8">
            <v>1551280</v>
          </cell>
          <cell r="G8"/>
          <cell r="S8">
            <v>267341</v>
          </cell>
          <cell r="T8">
            <v>83515</v>
          </cell>
          <cell r="U8"/>
          <cell r="V8">
            <v>167500</v>
          </cell>
          <cell r="W8"/>
          <cell r="X8"/>
          <cell r="Y8">
            <v>183356</v>
          </cell>
          <cell r="Z8"/>
          <cell r="AC8"/>
          <cell r="AD8"/>
        </row>
        <row r="9">
          <cell r="B9">
            <v>1662345</v>
          </cell>
          <cell r="G9"/>
          <cell r="S9">
            <v>183356</v>
          </cell>
          <cell r="T9">
            <v>103907</v>
          </cell>
          <cell r="U9"/>
          <cell r="V9">
            <v>68000</v>
          </cell>
          <cell r="W9">
            <v>50000</v>
          </cell>
          <cell r="X9"/>
          <cell r="Y9">
            <v>169263</v>
          </cell>
          <cell r="Z9"/>
          <cell r="AC9"/>
          <cell r="AD9"/>
        </row>
        <row r="10">
          <cell r="B10">
            <v>1469835</v>
          </cell>
          <cell r="G10"/>
          <cell r="S10">
            <v>169263</v>
          </cell>
          <cell r="T10">
            <v>77377</v>
          </cell>
          <cell r="U10"/>
          <cell r="V10">
            <v>33000</v>
          </cell>
          <cell r="W10"/>
          <cell r="X10"/>
          <cell r="Y10">
            <v>213640</v>
          </cell>
          <cell r="Z10"/>
          <cell r="AC10"/>
          <cell r="AD10"/>
        </row>
        <row r="11">
          <cell r="B11">
            <v>1389320</v>
          </cell>
          <cell r="G11"/>
          <cell r="S11">
            <v>213640</v>
          </cell>
          <cell r="T11">
            <v>68942</v>
          </cell>
          <cell r="U11">
            <v>100000</v>
          </cell>
          <cell r="V11">
            <v>110000</v>
          </cell>
          <cell r="W11"/>
          <cell r="X11"/>
          <cell r="Y11">
            <v>272582</v>
          </cell>
          <cell r="Z11"/>
          <cell r="AC11"/>
          <cell r="AD11"/>
        </row>
        <row r="12">
          <cell r="B12"/>
          <cell r="G12"/>
          <cell r="S12"/>
          <cell r="T12">
            <v>0</v>
          </cell>
          <cell r="U12"/>
          <cell r="V12"/>
          <cell r="W12"/>
          <cell r="X12"/>
          <cell r="Y12">
            <v>0</v>
          </cell>
          <cell r="Z12"/>
          <cell r="AC12"/>
          <cell r="AD12"/>
        </row>
        <row r="13">
          <cell r="B13">
            <v>1501255</v>
          </cell>
          <cell r="G13"/>
          <cell r="S13">
            <v>272582</v>
          </cell>
          <cell r="T13">
            <v>88252</v>
          </cell>
          <cell r="U13"/>
          <cell r="V13">
            <v>60500</v>
          </cell>
          <cell r="W13"/>
          <cell r="X13"/>
          <cell r="Y13">
            <v>300334</v>
          </cell>
          <cell r="Z13"/>
          <cell r="AC13"/>
          <cell r="AD13"/>
        </row>
        <row r="14">
          <cell r="B14">
            <v>1689315</v>
          </cell>
          <cell r="G14"/>
          <cell r="S14">
            <v>300334</v>
          </cell>
          <cell r="T14">
            <v>73390</v>
          </cell>
          <cell r="U14"/>
          <cell r="V14">
            <v>54500</v>
          </cell>
          <cell r="W14"/>
          <cell r="X14"/>
          <cell r="Y14">
            <v>319224</v>
          </cell>
          <cell r="Z14"/>
          <cell r="AC14"/>
          <cell r="AD14"/>
        </row>
        <row r="15">
          <cell r="B15">
            <v>1709230</v>
          </cell>
          <cell r="G15"/>
          <cell r="S15">
            <v>319224</v>
          </cell>
          <cell r="T15">
            <v>91920</v>
          </cell>
          <cell r="U15"/>
          <cell r="V15">
            <v>22500</v>
          </cell>
          <cell r="W15"/>
          <cell r="X15"/>
          <cell r="Y15">
            <v>388644</v>
          </cell>
          <cell r="Z15"/>
          <cell r="AC15"/>
          <cell r="AD15"/>
        </row>
        <row r="16">
          <cell r="B16">
            <v>1686920</v>
          </cell>
          <cell r="G16"/>
          <cell r="S16">
            <v>388644</v>
          </cell>
          <cell r="T16">
            <v>84879</v>
          </cell>
          <cell r="U16"/>
          <cell r="V16">
            <v>128500</v>
          </cell>
          <cell r="W16"/>
          <cell r="X16"/>
          <cell r="Y16">
            <v>345023</v>
          </cell>
          <cell r="Z16"/>
          <cell r="AC16"/>
          <cell r="AD16"/>
        </row>
        <row r="17">
          <cell r="B17">
            <v>1437920</v>
          </cell>
          <cell r="G17"/>
          <cell r="S17">
            <v>345023</v>
          </cell>
          <cell r="T17">
            <v>77850</v>
          </cell>
          <cell r="U17"/>
          <cell r="V17">
            <v>359500</v>
          </cell>
          <cell r="W17"/>
          <cell r="X17"/>
          <cell r="Y17">
            <v>63373</v>
          </cell>
          <cell r="Z17"/>
          <cell r="AC17"/>
          <cell r="AD17"/>
        </row>
        <row r="18">
          <cell r="B18"/>
          <cell r="G18"/>
          <cell r="S18"/>
          <cell r="T18">
            <v>0</v>
          </cell>
          <cell r="U18"/>
          <cell r="V18"/>
          <cell r="W18"/>
          <cell r="X18"/>
          <cell r="Y18">
            <v>0</v>
          </cell>
          <cell r="Z18"/>
          <cell r="AC18"/>
          <cell r="AD18"/>
        </row>
        <row r="19">
          <cell r="B19"/>
          <cell r="G19"/>
          <cell r="S19"/>
          <cell r="T19">
            <v>0</v>
          </cell>
          <cell r="U19"/>
          <cell r="V19"/>
          <cell r="W19"/>
          <cell r="X19"/>
          <cell r="Y19">
            <v>0</v>
          </cell>
          <cell r="Z19"/>
          <cell r="AC19"/>
          <cell r="AD19"/>
        </row>
        <row r="20">
          <cell r="B20">
            <v>1506440</v>
          </cell>
          <cell r="G20"/>
          <cell r="S20">
            <v>63373</v>
          </cell>
          <cell r="T20">
            <v>88331</v>
          </cell>
          <cell r="U20"/>
          <cell r="V20">
            <v>34000</v>
          </cell>
          <cell r="W20"/>
          <cell r="X20"/>
          <cell r="Y20">
            <v>117704</v>
          </cell>
          <cell r="Z20"/>
          <cell r="AC20"/>
          <cell r="AD20"/>
        </row>
        <row r="21">
          <cell r="B21">
            <v>1814240</v>
          </cell>
          <cell r="G21"/>
          <cell r="S21">
            <v>117704</v>
          </cell>
          <cell r="T21">
            <v>108314</v>
          </cell>
          <cell r="U21"/>
          <cell r="V21">
            <v>36500</v>
          </cell>
          <cell r="W21"/>
          <cell r="X21"/>
          <cell r="Y21">
            <v>189518</v>
          </cell>
          <cell r="Z21"/>
          <cell r="AC21"/>
          <cell r="AD21"/>
        </row>
        <row r="22">
          <cell r="B22">
            <v>1907290</v>
          </cell>
          <cell r="G22"/>
          <cell r="S22">
            <v>189518</v>
          </cell>
          <cell r="T22">
            <v>105455</v>
          </cell>
          <cell r="U22"/>
          <cell r="V22">
            <v>27600</v>
          </cell>
          <cell r="W22"/>
          <cell r="X22"/>
          <cell r="Y22">
            <v>267373</v>
          </cell>
          <cell r="Z22"/>
          <cell r="AC22"/>
          <cell r="AD22"/>
        </row>
        <row r="23">
          <cell r="B23">
            <v>1775290</v>
          </cell>
          <cell r="G23"/>
          <cell r="S23">
            <v>267373</v>
          </cell>
          <cell r="T23">
            <v>135455</v>
          </cell>
          <cell r="U23"/>
          <cell r="V23">
            <v>39500</v>
          </cell>
          <cell r="W23"/>
          <cell r="X23"/>
          <cell r="Y23">
            <v>363328</v>
          </cell>
          <cell r="Z23"/>
          <cell r="AC23"/>
          <cell r="AD23"/>
        </row>
        <row r="24">
          <cell r="B24">
            <v>1405140</v>
          </cell>
          <cell r="G24"/>
          <cell r="S24">
            <v>363328</v>
          </cell>
          <cell r="T24">
            <v>127685</v>
          </cell>
          <cell r="U24"/>
          <cell r="V24">
            <v>158000</v>
          </cell>
          <cell r="W24"/>
          <cell r="X24"/>
          <cell r="Y24">
            <v>333013</v>
          </cell>
          <cell r="Z24"/>
          <cell r="AC24"/>
          <cell r="AD24"/>
        </row>
        <row r="25">
          <cell r="B25"/>
          <cell r="G25"/>
          <cell r="S25"/>
          <cell r="T25">
            <v>0</v>
          </cell>
          <cell r="U25"/>
          <cell r="V25"/>
          <cell r="W25"/>
          <cell r="X25"/>
          <cell r="Y25">
            <v>0</v>
          </cell>
          <cell r="Z25"/>
          <cell r="AC25"/>
          <cell r="AD25"/>
        </row>
        <row r="26">
          <cell r="B26"/>
          <cell r="G26"/>
          <cell r="S26"/>
          <cell r="T26">
            <v>0</v>
          </cell>
          <cell r="U26"/>
          <cell r="V26"/>
          <cell r="W26"/>
          <cell r="X26"/>
          <cell r="Y26">
            <v>0</v>
          </cell>
          <cell r="Z26"/>
          <cell r="AC26"/>
          <cell r="AD26"/>
        </row>
        <row r="27">
          <cell r="B27">
            <v>1594935</v>
          </cell>
          <cell r="G27"/>
          <cell r="S27">
            <v>333013</v>
          </cell>
          <cell r="T27">
            <v>117387</v>
          </cell>
          <cell r="U27"/>
          <cell r="V27">
            <v>14500</v>
          </cell>
          <cell r="W27"/>
          <cell r="X27"/>
          <cell r="Y27">
            <v>435900</v>
          </cell>
          <cell r="Z27"/>
          <cell r="AC27"/>
          <cell r="AD27"/>
        </row>
        <row r="28">
          <cell r="G28"/>
          <cell r="S28">
            <v>435900</v>
          </cell>
          <cell r="T28">
            <v>93367</v>
          </cell>
          <cell r="U28"/>
          <cell r="V28">
            <v>34500</v>
          </cell>
          <cell r="W28"/>
          <cell r="X28"/>
          <cell r="Y28">
            <v>494767</v>
          </cell>
          <cell r="Z28"/>
          <cell r="AC28"/>
          <cell r="AD28"/>
        </row>
        <row r="29">
          <cell r="B29">
            <v>1682955</v>
          </cell>
          <cell r="G29"/>
          <cell r="S29">
            <v>494767</v>
          </cell>
          <cell r="T29">
            <v>131370</v>
          </cell>
          <cell r="U29"/>
          <cell r="V29">
            <v>9155</v>
          </cell>
          <cell r="W29"/>
          <cell r="X29"/>
          <cell r="Y29">
            <v>616982</v>
          </cell>
          <cell r="Z29"/>
          <cell r="AC29"/>
          <cell r="AD29"/>
        </row>
        <row r="30">
          <cell r="G30"/>
          <cell r="S30">
            <v>616982</v>
          </cell>
          <cell r="T30">
            <v>144869</v>
          </cell>
          <cell r="U30"/>
          <cell r="V30">
            <v>14500</v>
          </cell>
          <cell r="W30"/>
          <cell r="X30"/>
          <cell r="Y30">
            <v>747351</v>
          </cell>
          <cell r="Z30"/>
          <cell r="AC30"/>
          <cell r="AD30"/>
        </row>
        <row r="31">
          <cell r="B31">
            <v>1433495</v>
          </cell>
          <cell r="G31"/>
          <cell r="S31">
            <v>747351</v>
          </cell>
          <cell r="T31">
            <v>150936</v>
          </cell>
          <cell r="U31"/>
          <cell r="V31">
            <v>342500</v>
          </cell>
          <cell r="W31"/>
          <cell r="X31"/>
          <cell r="Y31">
            <v>555787</v>
          </cell>
          <cell r="Z31"/>
          <cell r="AC31"/>
          <cell r="AD31"/>
        </row>
        <row r="32">
          <cell r="B32"/>
          <cell r="G32"/>
          <cell r="S32"/>
          <cell r="T32">
            <v>0</v>
          </cell>
          <cell r="U32"/>
          <cell r="V32"/>
          <cell r="W32"/>
          <cell r="X32"/>
          <cell r="Y32">
            <v>0</v>
          </cell>
          <cell r="Z32"/>
          <cell r="AC32"/>
          <cell r="AD32"/>
        </row>
        <row r="33">
          <cell r="B33">
            <v>33488085</v>
          </cell>
          <cell r="G33"/>
          <cell r="S33"/>
          <cell r="T33">
            <v>2166428</v>
          </cell>
          <cell r="U33">
            <v>100000</v>
          </cell>
          <cell r="V33"/>
          <cell r="W33"/>
          <cell r="X33"/>
          <cell r="Y33"/>
          <cell r="Z33"/>
          <cell r="AD33"/>
        </row>
        <row r="35">
          <cell r="B35"/>
        </row>
      </sheetData>
      <sheetData sheetId="1">
        <row r="2">
          <cell r="B2"/>
        </row>
        <row r="3">
          <cell r="B3">
            <v>1429435</v>
          </cell>
        </row>
        <row r="4">
          <cell r="B4">
            <v>1659060</v>
          </cell>
        </row>
        <row r="5">
          <cell r="B5">
            <v>1794090</v>
          </cell>
        </row>
        <row r="7">
          <cell r="B7">
            <v>1475840</v>
          </cell>
        </row>
        <row r="8">
          <cell r="B8"/>
        </row>
        <row r="9">
          <cell r="B9"/>
        </row>
        <row r="11">
          <cell r="B11">
            <v>1707160</v>
          </cell>
        </row>
        <row r="13">
          <cell r="B13">
            <v>1805670</v>
          </cell>
        </row>
        <row r="15">
          <cell r="B15"/>
        </row>
        <row r="16">
          <cell r="B16"/>
        </row>
        <row r="17">
          <cell r="B17">
            <v>1594425</v>
          </cell>
        </row>
        <row r="19">
          <cell r="B19">
            <v>1703220</v>
          </cell>
        </row>
        <row r="20">
          <cell r="B20">
            <v>1687250</v>
          </cell>
        </row>
        <row r="21">
          <cell r="B21">
            <v>1451360</v>
          </cell>
        </row>
        <row r="22">
          <cell r="B22"/>
        </row>
        <row r="23">
          <cell r="B23"/>
        </row>
        <row r="25">
          <cell r="B25">
            <v>1762955</v>
          </cell>
        </row>
        <row r="26">
          <cell r="B26">
            <v>1755515</v>
          </cell>
        </row>
        <row r="28">
          <cell r="B28">
            <v>1357595</v>
          </cell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32814300</v>
          </cell>
        </row>
        <row r="34">
          <cell r="B34"/>
        </row>
      </sheetData>
      <sheetData sheetId="2">
        <row r="2">
          <cell r="B2"/>
        </row>
        <row r="3">
          <cell r="B3">
            <v>1553235</v>
          </cell>
        </row>
        <row r="5">
          <cell r="B5">
            <v>1730620</v>
          </cell>
        </row>
        <row r="7">
          <cell r="B7">
            <v>1393560</v>
          </cell>
        </row>
        <row r="8">
          <cell r="B8"/>
        </row>
        <row r="9">
          <cell r="B9"/>
        </row>
        <row r="11">
          <cell r="B11">
            <v>1886050</v>
          </cell>
        </row>
        <row r="13">
          <cell r="B13">
            <v>1762235</v>
          </cell>
        </row>
        <row r="15">
          <cell r="B15"/>
        </row>
        <row r="16">
          <cell r="B16"/>
        </row>
        <row r="17">
          <cell r="B17">
            <v>1656855</v>
          </cell>
        </row>
        <row r="19">
          <cell r="B19">
            <v>1824700</v>
          </cell>
        </row>
        <row r="20">
          <cell r="B20">
            <v>1595095</v>
          </cell>
        </row>
        <row r="21">
          <cell r="B21">
            <v>1494490</v>
          </cell>
        </row>
        <row r="22">
          <cell r="B22"/>
        </row>
        <row r="23">
          <cell r="B23"/>
        </row>
        <row r="25">
          <cell r="B25">
            <v>1826520</v>
          </cell>
        </row>
        <row r="26">
          <cell r="B26">
            <v>1814955</v>
          </cell>
        </row>
        <row r="27">
          <cell r="B27">
            <v>1696060</v>
          </cell>
        </row>
        <row r="28">
          <cell r="B28">
            <v>1534495</v>
          </cell>
        </row>
        <row r="29">
          <cell r="B29"/>
        </row>
        <row r="30">
          <cell r="B30"/>
        </row>
        <row r="31">
          <cell r="B31">
            <v>1559760</v>
          </cell>
        </row>
        <row r="32">
          <cell r="B32">
            <v>1863945</v>
          </cell>
        </row>
        <row r="33">
          <cell r="B33">
            <v>37262640</v>
          </cell>
        </row>
        <row r="34">
          <cell r="B34"/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KOFEQZCJMRMZH2EHVJFREQU6F2">
      <xxl21:absoluteUrl r:id="rId2"/>
    </xxl21:alternateUrls>
    <sheetNames>
      <sheetName val="2026 január"/>
      <sheetName val="2026 február"/>
      <sheetName val="2026 március"/>
      <sheetName val="2026 április"/>
      <sheetName val="Minta"/>
    </sheet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pénztár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/>
          <cell r="S2">
            <v>-6793</v>
          </cell>
          <cell r="T2">
            <v>0</v>
          </cell>
          <cell r="U2"/>
          <cell r="V2"/>
          <cell r="W2"/>
          <cell r="X2"/>
          <cell r="Y2">
            <v>-6793</v>
          </cell>
          <cell r="Z2"/>
          <cell r="AC2"/>
          <cell r="AD2"/>
        </row>
        <row r="3">
          <cell r="B3"/>
          <cell r="G3"/>
          <cell r="S3">
            <v>-6793</v>
          </cell>
          <cell r="T3">
            <v>0</v>
          </cell>
          <cell r="U3"/>
          <cell r="V3"/>
          <cell r="W3"/>
          <cell r="X3"/>
          <cell r="Y3">
            <v>-6793</v>
          </cell>
          <cell r="Z3"/>
          <cell r="AC3"/>
          <cell r="AD3"/>
        </row>
        <row r="4">
          <cell r="B4"/>
          <cell r="G4"/>
          <cell r="S4">
            <v>-6793</v>
          </cell>
          <cell r="T4">
            <v>0</v>
          </cell>
          <cell r="U4"/>
          <cell r="V4"/>
          <cell r="W4"/>
          <cell r="X4"/>
          <cell r="Y4">
            <v>-6793</v>
          </cell>
          <cell r="Z4"/>
          <cell r="AC4"/>
          <cell r="AD4"/>
        </row>
        <row r="5">
          <cell r="B5"/>
          <cell r="G5"/>
          <cell r="S5">
            <v>-6793</v>
          </cell>
          <cell r="T5">
            <v>0</v>
          </cell>
          <cell r="U5"/>
          <cell r="V5"/>
          <cell r="W5"/>
          <cell r="X5"/>
          <cell r="Y5">
            <v>-6793</v>
          </cell>
          <cell r="Z5"/>
          <cell r="AC5"/>
          <cell r="AD5"/>
        </row>
        <row r="6">
          <cell r="B6">
            <v>85880</v>
          </cell>
          <cell r="G6"/>
          <cell r="S6">
            <v>-6793</v>
          </cell>
          <cell r="T6">
            <v>7180</v>
          </cell>
          <cell r="U6"/>
          <cell r="V6"/>
          <cell r="W6"/>
          <cell r="X6"/>
          <cell r="Y6">
            <v>387</v>
          </cell>
          <cell r="Z6"/>
          <cell r="AC6"/>
          <cell r="AD6"/>
        </row>
        <row r="7">
          <cell r="B7">
            <v>171325</v>
          </cell>
          <cell r="G7"/>
          <cell r="S7">
            <v>387</v>
          </cell>
          <cell r="T7">
            <v>18850</v>
          </cell>
          <cell r="U7"/>
          <cell r="V7"/>
          <cell r="W7"/>
          <cell r="X7"/>
          <cell r="Y7">
            <v>19237</v>
          </cell>
          <cell r="Z7"/>
          <cell r="AC7"/>
          <cell r="AD7"/>
        </row>
        <row r="8">
          <cell r="B8">
            <v>148130</v>
          </cell>
          <cell r="G8"/>
          <cell r="S8">
            <v>19237</v>
          </cell>
          <cell r="T8">
            <v>11395</v>
          </cell>
          <cell r="U8"/>
          <cell r="V8"/>
          <cell r="W8"/>
          <cell r="X8"/>
          <cell r="Y8">
            <v>30632</v>
          </cell>
          <cell r="Z8"/>
          <cell r="AC8"/>
          <cell r="AD8"/>
        </row>
        <row r="9">
          <cell r="B9">
            <v>173760</v>
          </cell>
          <cell r="G9"/>
          <cell r="S9">
            <v>30632</v>
          </cell>
          <cell r="T9">
            <v>20660</v>
          </cell>
          <cell r="U9"/>
          <cell r="V9"/>
          <cell r="W9"/>
          <cell r="X9"/>
          <cell r="Y9">
            <v>51292</v>
          </cell>
          <cell r="Z9"/>
          <cell r="AC9"/>
          <cell r="AD9"/>
        </row>
        <row r="10">
          <cell r="B10">
            <v>99485</v>
          </cell>
          <cell r="G10"/>
          <cell r="S10">
            <v>51292</v>
          </cell>
          <cell r="T10">
            <v>8870</v>
          </cell>
          <cell r="U10"/>
          <cell r="V10"/>
          <cell r="W10"/>
          <cell r="X10"/>
          <cell r="Y10">
            <v>60162</v>
          </cell>
          <cell r="Z10"/>
          <cell r="AC10"/>
          <cell r="AD10"/>
        </row>
        <row r="11">
          <cell r="B11">
            <v>29770</v>
          </cell>
          <cell r="G11"/>
          <cell r="S11">
            <v>60162</v>
          </cell>
          <cell r="T11">
            <v>3360</v>
          </cell>
          <cell r="U11"/>
          <cell r="V11"/>
          <cell r="W11"/>
          <cell r="X11"/>
          <cell r="Y11">
            <v>63522</v>
          </cell>
          <cell r="Z11"/>
          <cell r="AC11"/>
          <cell r="AD11"/>
        </row>
        <row r="12">
          <cell r="B12"/>
          <cell r="G12"/>
          <cell r="S12">
            <v>63522</v>
          </cell>
          <cell r="T12">
            <v>0</v>
          </cell>
          <cell r="U12"/>
          <cell r="V12"/>
          <cell r="W12"/>
          <cell r="X12"/>
          <cell r="Y12">
            <v>63522</v>
          </cell>
          <cell r="Z12"/>
          <cell r="AC12"/>
          <cell r="AD12"/>
        </row>
        <row r="13">
          <cell r="B13">
            <v>135650</v>
          </cell>
          <cell r="G13"/>
          <cell r="S13">
            <v>63522</v>
          </cell>
          <cell r="T13">
            <v>15150</v>
          </cell>
          <cell r="U13"/>
          <cell r="V13"/>
          <cell r="W13"/>
          <cell r="X13"/>
          <cell r="Y13">
            <v>78672</v>
          </cell>
          <cell r="Z13"/>
          <cell r="AC13"/>
          <cell r="AD13"/>
        </row>
        <row r="14">
          <cell r="B14">
            <v>180610</v>
          </cell>
          <cell r="G14"/>
          <cell r="S14">
            <v>78672</v>
          </cell>
          <cell r="T14">
            <v>17615</v>
          </cell>
          <cell r="U14"/>
          <cell r="V14"/>
          <cell r="W14"/>
          <cell r="X14"/>
          <cell r="Y14">
            <v>96287</v>
          </cell>
          <cell r="Z14"/>
          <cell r="AC14"/>
          <cell r="AD14"/>
        </row>
        <row r="15">
          <cell r="B15">
            <v>228065</v>
          </cell>
          <cell r="G15"/>
          <cell r="S15">
            <v>96287</v>
          </cell>
          <cell r="T15">
            <v>27280</v>
          </cell>
          <cell r="U15"/>
          <cell r="V15"/>
          <cell r="W15"/>
          <cell r="X15"/>
          <cell r="Y15">
            <v>123567</v>
          </cell>
          <cell r="Z15"/>
          <cell r="AC15"/>
          <cell r="AD15"/>
        </row>
        <row r="16">
          <cell r="B16">
            <v>241125</v>
          </cell>
          <cell r="G16"/>
          <cell r="S16">
            <v>123567</v>
          </cell>
          <cell r="T16">
            <v>40985</v>
          </cell>
          <cell r="U16"/>
          <cell r="V16"/>
          <cell r="W16"/>
          <cell r="X16"/>
          <cell r="Y16">
            <v>164552</v>
          </cell>
          <cell r="Z16"/>
          <cell r="AC16"/>
          <cell r="AD16"/>
        </row>
        <row r="17">
          <cell r="B17">
            <v>177235</v>
          </cell>
          <cell r="G17"/>
          <cell r="S17">
            <v>164552</v>
          </cell>
          <cell r="T17">
            <v>42350</v>
          </cell>
          <cell r="U17"/>
          <cell r="V17"/>
          <cell r="W17"/>
          <cell r="X17"/>
          <cell r="Y17">
            <v>206902</v>
          </cell>
          <cell r="Z17"/>
          <cell r="AC17"/>
          <cell r="AD17"/>
        </row>
        <row r="18">
          <cell r="B18"/>
          <cell r="G18"/>
          <cell r="S18">
            <v>206902</v>
          </cell>
          <cell r="T18">
            <v>0</v>
          </cell>
          <cell r="U18"/>
          <cell r="V18"/>
          <cell r="W18"/>
          <cell r="X18"/>
          <cell r="Y18">
            <v>206902</v>
          </cell>
          <cell r="Z18"/>
          <cell r="AC18"/>
          <cell r="AD18"/>
        </row>
        <row r="19">
          <cell r="B19"/>
          <cell r="G19"/>
          <cell r="S19">
            <v>206902</v>
          </cell>
          <cell r="T19">
            <v>0</v>
          </cell>
          <cell r="U19"/>
          <cell r="V19"/>
          <cell r="W19"/>
          <cell r="X19"/>
          <cell r="Y19">
            <v>206902</v>
          </cell>
          <cell r="Z19"/>
          <cell r="AC19"/>
          <cell r="AD19"/>
        </row>
        <row r="20">
          <cell r="B20">
            <v>160360</v>
          </cell>
          <cell r="G20"/>
          <cell r="S20">
            <v>206902</v>
          </cell>
          <cell r="T20">
            <v>21810</v>
          </cell>
          <cell r="U20"/>
          <cell r="V20"/>
          <cell r="W20"/>
          <cell r="X20"/>
          <cell r="Y20">
            <v>228712</v>
          </cell>
          <cell r="Z20"/>
          <cell r="AC20"/>
          <cell r="AD20"/>
        </row>
        <row r="21">
          <cell r="B21">
            <v>248400</v>
          </cell>
          <cell r="G21"/>
          <cell r="S21">
            <v>228712</v>
          </cell>
          <cell r="T21">
            <v>31435</v>
          </cell>
          <cell r="U21"/>
          <cell r="V21"/>
          <cell r="W21"/>
          <cell r="X21"/>
          <cell r="Y21">
            <v>260147</v>
          </cell>
          <cell r="Z21"/>
          <cell r="AC21"/>
          <cell r="AD21"/>
        </row>
        <row r="22">
          <cell r="B22">
            <v>218170</v>
          </cell>
          <cell r="G22"/>
          <cell r="S22">
            <v>260147</v>
          </cell>
          <cell r="T22">
            <v>24270</v>
          </cell>
          <cell r="U22"/>
          <cell r="V22"/>
          <cell r="W22"/>
          <cell r="X22"/>
          <cell r="Y22">
            <v>284417</v>
          </cell>
          <cell r="Z22"/>
          <cell r="AC22"/>
          <cell r="AD22"/>
        </row>
        <row r="23">
          <cell r="B23">
            <v>248545</v>
          </cell>
          <cell r="G23"/>
          <cell r="S23">
            <v>284417</v>
          </cell>
          <cell r="T23">
            <v>50865</v>
          </cell>
          <cell r="U23"/>
          <cell r="V23"/>
          <cell r="W23">
            <v>200000</v>
          </cell>
          <cell r="X23"/>
          <cell r="Y23">
            <v>135282</v>
          </cell>
          <cell r="Z23"/>
          <cell r="AC23"/>
          <cell r="AD23"/>
        </row>
        <row r="24">
          <cell r="B24">
            <v>150850</v>
          </cell>
          <cell r="G24"/>
          <cell r="S24">
            <v>135282</v>
          </cell>
          <cell r="T24">
            <v>34520</v>
          </cell>
          <cell r="U24"/>
          <cell r="V24"/>
          <cell r="W24"/>
          <cell r="X24"/>
          <cell r="Y24">
            <v>169802</v>
          </cell>
          <cell r="Z24"/>
          <cell r="AC24"/>
          <cell r="AD24"/>
        </row>
        <row r="25">
          <cell r="B25"/>
          <cell r="G25"/>
          <cell r="S25">
            <v>169802</v>
          </cell>
          <cell r="T25">
            <v>0</v>
          </cell>
          <cell r="U25"/>
          <cell r="V25"/>
          <cell r="W25"/>
          <cell r="X25"/>
          <cell r="Y25">
            <v>169802</v>
          </cell>
          <cell r="Z25"/>
          <cell r="AC25"/>
          <cell r="AD25"/>
        </row>
        <row r="26">
          <cell r="B26"/>
          <cell r="G26"/>
          <cell r="S26">
            <v>169802</v>
          </cell>
          <cell r="T26">
            <v>0</v>
          </cell>
          <cell r="U26"/>
          <cell r="V26"/>
          <cell r="W26"/>
          <cell r="X26"/>
          <cell r="Y26">
            <v>169802</v>
          </cell>
          <cell r="Z26"/>
          <cell r="AC26"/>
          <cell r="AD26"/>
        </row>
        <row r="27">
          <cell r="B27">
            <v>160590</v>
          </cell>
          <cell r="G27"/>
          <cell r="S27">
            <v>169802</v>
          </cell>
          <cell r="T27">
            <v>28775</v>
          </cell>
          <cell r="U27"/>
          <cell r="V27"/>
          <cell r="W27"/>
          <cell r="X27"/>
          <cell r="Y27">
            <v>198577</v>
          </cell>
          <cell r="Z27"/>
          <cell r="AC27"/>
          <cell r="AD27"/>
        </row>
        <row r="28">
          <cell r="B28">
            <v>177445</v>
          </cell>
          <cell r="G28"/>
          <cell r="S28">
            <v>198577</v>
          </cell>
          <cell r="T28">
            <v>46470</v>
          </cell>
          <cell r="U28"/>
          <cell r="V28"/>
          <cell r="W28"/>
          <cell r="X28"/>
          <cell r="Y28">
            <v>245047</v>
          </cell>
          <cell r="Z28"/>
          <cell r="AC28"/>
          <cell r="AD28"/>
        </row>
        <row r="29">
          <cell r="B29">
            <v>202975</v>
          </cell>
          <cell r="G29"/>
          <cell r="S29">
            <v>245047</v>
          </cell>
          <cell r="T29">
            <v>43760</v>
          </cell>
          <cell r="U29"/>
          <cell r="V29"/>
          <cell r="W29">
            <v>200000</v>
          </cell>
          <cell r="X29"/>
          <cell r="Y29">
            <v>88807</v>
          </cell>
          <cell r="Z29"/>
          <cell r="AC29"/>
          <cell r="AD29"/>
        </row>
        <row r="30">
          <cell r="B30">
            <v>248455</v>
          </cell>
          <cell r="G30"/>
          <cell r="S30">
            <v>88807</v>
          </cell>
          <cell r="T30">
            <v>40365</v>
          </cell>
          <cell r="U30"/>
          <cell r="V30"/>
          <cell r="W30"/>
          <cell r="X30"/>
          <cell r="Y30">
            <v>129172</v>
          </cell>
          <cell r="Z30"/>
          <cell r="AC30"/>
          <cell r="AD30"/>
        </row>
        <row r="31">
          <cell r="B31">
            <v>183600</v>
          </cell>
          <cell r="G31"/>
          <cell r="S31">
            <v>129172</v>
          </cell>
          <cell r="T31">
            <v>38990</v>
          </cell>
          <cell r="U31"/>
          <cell r="V31"/>
          <cell r="W31"/>
          <cell r="X31"/>
          <cell r="Y31">
            <v>168162</v>
          </cell>
          <cell r="Z31"/>
          <cell r="AC31"/>
          <cell r="AD31"/>
        </row>
        <row r="32">
          <cell r="B32"/>
          <cell r="G32"/>
          <cell r="S32">
            <v>168162</v>
          </cell>
          <cell r="T32">
            <v>0</v>
          </cell>
          <cell r="U32"/>
          <cell r="V32"/>
          <cell r="W32"/>
          <cell r="X32"/>
          <cell r="Y32">
            <v>168162</v>
          </cell>
          <cell r="Z32"/>
          <cell r="AC32"/>
          <cell r="AD32"/>
        </row>
        <row r="33">
          <cell r="B33">
            <v>3670425</v>
          </cell>
          <cell r="G33"/>
          <cell r="S33"/>
          <cell r="T33"/>
          <cell r="U33"/>
          <cell r="V33"/>
          <cell r="W33"/>
          <cell r="X33"/>
          <cell r="Y33"/>
          <cell r="Z33"/>
          <cell r="AD33"/>
        </row>
      </sheetData>
      <sheetData sheetId="1">
        <row r="2">
          <cell r="B2"/>
        </row>
        <row r="3">
          <cell r="B3">
            <v>101770</v>
          </cell>
        </row>
        <row r="4">
          <cell r="B4">
            <v>122395</v>
          </cell>
        </row>
        <row r="5">
          <cell r="B5">
            <v>206560</v>
          </cell>
        </row>
        <row r="6">
          <cell r="B6">
            <v>175545</v>
          </cell>
        </row>
        <row r="7">
          <cell r="B7">
            <v>108825</v>
          </cell>
        </row>
        <row r="8">
          <cell r="B8"/>
        </row>
        <row r="9">
          <cell r="B9"/>
        </row>
        <row r="10">
          <cell r="B10">
            <v>150380</v>
          </cell>
        </row>
        <row r="11">
          <cell r="B11">
            <v>198100</v>
          </cell>
        </row>
        <row r="12">
          <cell r="B12">
            <v>210115</v>
          </cell>
        </row>
        <row r="13">
          <cell r="B13">
            <v>161915</v>
          </cell>
        </row>
        <row r="14">
          <cell r="B14">
            <v>112195</v>
          </cell>
        </row>
        <row r="15">
          <cell r="B15"/>
        </row>
        <row r="16">
          <cell r="B16"/>
        </row>
        <row r="17">
          <cell r="B17">
            <v>194960</v>
          </cell>
        </row>
        <row r="18">
          <cell r="B18">
            <v>184875</v>
          </cell>
        </row>
        <row r="19">
          <cell r="B19">
            <v>168880</v>
          </cell>
        </row>
        <row r="20">
          <cell r="B20">
            <v>175400</v>
          </cell>
        </row>
        <row r="21">
          <cell r="B21">
            <v>82770</v>
          </cell>
        </row>
        <row r="22">
          <cell r="B22"/>
        </row>
        <row r="23">
          <cell r="B23"/>
        </row>
        <row r="24">
          <cell r="B24">
            <v>177660</v>
          </cell>
        </row>
        <row r="25">
          <cell r="B25">
            <v>181465</v>
          </cell>
        </row>
        <row r="26">
          <cell r="B26">
            <v>256125</v>
          </cell>
        </row>
        <row r="27">
          <cell r="B27">
            <v>234740</v>
          </cell>
        </row>
        <row r="28">
          <cell r="B28">
            <v>105440</v>
          </cell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3310115</v>
          </cell>
        </row>
      </sheetData>
      <sheetData sheetId="2">
        <row r="2">
          <cell r="B2"/>
        </row>
        <row r="3">
          <cell r="B3">
            <v>190192</v>
          </cell>
        </row>
        <row r="4">
          <cell r="B4">
            <v>147280</v>
          </cell>
        </row>
        <row r="5">
          <cell r="B5">
            <v>191475</v>
          </cell>
        </row>
        <row r="6">
          <cell r="B6">
            <v>164750</v>
          </cell>
        </row>
        <row r="7">
          <cell r="B7">
            <v>112725</v>
          </cell>
        </row>
        <row r="8">
          <cell r="B8"/>
        </row>
        <row r="9">
          <cell r="B9"/>
        </row>
        <row r="10">
          <cell r="B10">
            <v>174790</v>
          </cell>
        </row>
        <row r="11">
          <cell r="B11">
            <v>172175</v>
          </cell>
        </row>
        <row r="12">
          <cell r="B12">
            <v>196660</v>
          </cell>
        </row>
        <row r="13">
          <cell r="B13">
            <v>172715</v>
          </cell>
        </row>
        <row r="14">
          <cell r="B14">
            <v>86500</v>
          </cell>
        </row>
        <row r="15">
          <cell r="B15"/>
        </row>
        <row r="16">
          <cell r="B16"/>
        </row>
        <row r="17">
          <cell r="B17">
            <v>190200</v>
          </cell>
        </row>
        <row r="18">
          <cell r="B18">
            <v>146050</v>
          </cell>
        </row>
        <row r="19">
          <cell r="B19">
            <v>173025</v>
          </cell>
        </row>
        <row r="20">
          <cell r="B20">
            <v>215850</v>
          </cell>
        </row>
        <row r="21">
          <cell r="B21">
            <v>113090</v>
          </cell>
        </row>
        <row r="22">
          <cell r="B22"/>
        </row>
        <row r="23">
          <cell r="B23"/>
        </row>
        <row r="24">
          <cell r="B24">
            <v>162470</v>
          </cell>
        </row>
        <row r="25">
          <cell r="B25">
            <v>210810</v>
          </cell>
        </row>
        <row r="26">
          <cell r="B26">
            <v>200025</v>
          </cell>
        </row>
        <row r="27">
          <cell r="B27">
            <v>150335</v>
          </cell>
        </row>
        <row r="28">
          <cell r="B28">
            <v>94660</v>
          </cell>
        </row>
        <row r="29">
          <cell r="B29"/>
        </row>
        <row r="30">
          <cell r="B30"/>
        </row>
        <row r="31">
          <cell r="B31">
            <v>208235</v>
          </cell>
        </row>
        <row r="32">
          <cell r="B32">
            <v>204155</v>
          </cell>
        </row>
        <row r="33">
          <cell r="B33">
            <v>3678167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JTOKW3XZX26VFKROFGAX3ENGKN">
      <xxl21:absoluteUrl r:id="rId2"/>
    </xxl21:alternateUrls>
    <sheetNames>
      <sheetName val="2026 január"/>
      <sheetName val="2026 február"/>
      <sheetName val="2026 március"/>
      <sheetName val="2026 április"/>
      <sheetName val="Minta"/>
      <sheetName val="Minta (2)"/>
    </sheetNames>
    <sheetDataSet>
      <sheetData sheetId="0">
        <row r="1">
          <cell r="B1" t="str">
            <v>Novohost</v>
          </cell>
          <cell r="G1" t="str">
            <v>Forgalom</v>
          </cell>
          <cell r="S1" t="str">
            <v>Pénztár nyitó</v>
          </cell>
          <cell r="T1" t="str">
            <v>Pénztár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>
            <v>0</v>
          </cell>
          <cell r="S2">
            <v>175606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175606</v>
          </cell>
          <cell r="Z2"/>
          <cell r="AC2"/>
          <cell r="AD2"/>
        </row>
        <row r="3">
          <cell r="B3"/>
          <cell r="G3">
            <v>0</v>
          </cell>
          <cell r="S3">
            <v>175606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175606</v>
          </cell>
          <cell r="Z3"/>
          <cell r="AC3"/>
          <cell r="AD3"/>
        </row>
        <row r="4">
          <cell r="B4"/>
          <cell r="G4">
            <v>0</v>
          </cell>
          <cell r="S4">
            <v>175606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175606</v>
          </cell>
          <cell r="Z4"/>
          <cell r="AC4"/>
          <cell r="AD4"/>
        </row>
        <row r="5">
          <cell r="B5"/>
          <cell r="G5">
            <v>0</v>
          </cell>
          <cell r="S5">
            <v>175606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175606</v>
          </cell>
          <cell r="Z5"/>
          <cell r="AC5"/>
          <cell r="AD5"/>
        </row>
        <row r="6">
          <cell r="B6">
            <v>335145</v>
          </cell>
          <cell r="G6">
            <v>335145</v>
          </cell>
          <cell r="S6">
            <v>175606</v>
          </cell>
          <cell r="T6">
            <v>16305</v>
          </cell>
          <cell r="U6">
            <v>0</v>
          </cell>
          <cell r="V6">
            <v>4872</v>
          </cell>
          <cell r="W6">
            <v>0</v>
          </cell>
          <cell r="X6">
            <v>0</v>
          </cell>
          <cell r="Y6">
            <v>187039</v>
          </cell>
          <cell r="Z6" t="str">
            <v>Tesco</v>
          </cell>
          <cell r="AC6"/>
          <cell r="AD6"/>
        </row>
        <row r="7">
          <cell r="B7">
            <v>394930</v>
          </cell>
          <cell r="G7">
            <v>394930</v>
          </cell>
          <cell r="S7">
            <v>187039</v>
          </cell>
          <cell r="T7">
            <v>5795</v>
          </cell>
          <cell r="U7">
            <v>10100</v>
          </cell>
          <cell r="V7">
            <v>0</v>
          </cell>
          <cell r="W7">
            <v>0</v>
          </cell>
          <cell r="X7">
            <v>0</v>
          </cell>
          <cell r="Y7">
            <v>202934</v>
          </cell>
          <cell r="Z7" t="str">
            <v>Csabi kv</v>
          </cell>
          <cell r="AC7"/>
          <cell r="AD7"/>
        </row>
        <row r="8">
          <cell r="G8">
            <v>394160</v>
          </cell>
          <cell r="S8">
            <v>202934</v>
          </cell>
          <cell r="T8">
            <v>1730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204664</v>
          </cell>
          <cell r="Z8"/>
          <cell r="AC8"/>
          <cell r="AD8"/>
        </row>
        <row r="9">
          <cell r="B9">
            <v>424420</v>
          </cell>
          <cell r="G9">
            <v>424420</v>
          </cell>
          <cell r="S9">
            <v>204664</v>
          </cell>
          <cell r="T9">
            <v>14125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218789</v>
          </cell>
          <cell r="Z9"/>
          <cell r="AC9"/>
          <cell r="AD9"/>
        </row>
        <row r="10">
          <cell r="B10">
            <v>360200</v>
          </cell>
          <cell r="G10">
            <v>360200</v>
          </cell>
          <cell r="S10">
            <v>218789</v>
          </cell>
          <cell r="T10">
            <v>0</v>
          </cell>
          <cell r="U10">
            <v>0</v>
          </cell>
          <cell r="V10">
            <v>3840</v>
          </cell>
          <cell r="W10">
            <v>0</v>
          </cell>
          <cell r="X10">
            <v>0</v>
          </cell>
          <cell r="Y10">
            <v>214949</v>
          </cell>
          <cell r="Z10" t="str">
            <v>Tesco</v>
          </cell>
          <cell r="AA10"/>
          <cell r="AB10"/>
          <cell r="AC10"/>
          <cell r="AD10"/>
        </row>
        <row r="11">
          <cell r="B11">
            <v>94150</v>
          </cell>
          <cell r="G11">
            <v>94150</v>
          </cell>
          <cell r="S11">
            <v>214949</v>
          </cell>
          <cell r="T11">
            <v>7700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222649</v>
          </cell>
          <cell r="Z11"/>
          <cell r="AA11"/>
          <cell r="AC11"/>
          <cell r="AD11"/>
        </row>
        <row r="12">
          <cell r="B12"/>
          <cell r="G12">
            <v>0</v>
          </cell>
          <cell r="S12">
            <v>222649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222649</v>
          </cell>
          <cell r="Z12"/>
          <cell r="AC12"/>
          <cell r="AD12"/>
        </row>
        <row r="13">
          <cell r="B13">
            <v>356155</v>
          </cell>
          <cell r="G13">
            <v>356155</v>
          </cell>
          <cell r="S13">
            <v>222649</v>
          </cell>
          <cell r="T13">
            <v>160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222809</v>
          </cell>
          <cell r="Z13"/>
          <cell r="AC13"/>
          <cell r="AD13"/>
        </row>
        <row r="14">
          <cell r="B14">
            <v>411640</v>
          </cell>
          <cell r="G14">
            <v>411640</v>
          </cell>
          <cell r="S14">
            <v>222809</v>
          </cell>
          <cell r="T14">
            <v>1590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224399</v>
          </cell>
          <cell r="Z14"/>
          <cell r="AC14"/>
          <cell r="AD14"/>
        </row>
        <row r="15">
          <cell r="B15">
            <v>436835</v>
          </cell>
          <cell r="G15">
            <v>436835</v>
          </cell>
          <cell r="S15">
            <v>224399</v>
          </cell>
          <cell r="T15">
            <v>2710</v>
          </cell>
          <cell r="U15">
            <v>0</v>
          </cell>
          <cell r="V15">
            <v>9059</v>
          </cell>
          <cell r="W15">
            <v>0</v>
          </cell>
          <cell r="X15">
            <v>0</v>
          </cell>
          <cell r="Y15">
            <v>218050</v>
          </cell>
          <cell r="Z15" t="str">
            <v>Tesco</v>
          </cell>
          <cell r="AC15"/>
          <cell r="AD15"/>
        </row>
        <row r="16">
          <cell r="B16">
            <v>375275</v>
          </cell>
          <cell r="G16">
            <v>375275</v>
          </cell>
          <cell r="S16">
            <v>218050</v>
          </cell>
          <cell r="T16">
            <v>1015</v>
          </cell>
          <cell r="U16">
            <v>0</v>
          </cell>
          <cell r="V16">
            <v>3826</v>
          </cell>
          <cell r="W16">
            <v>0</v>
          </cell>
          <cell r="X16">
            <v>0</v>
          </cell>
          <cell r="Y16">
            <v>215239</v>
          </cell>
          <cell r="Z16" t="str">
            <v>Tesco</v>
          </cell>
          <cell r="AC16"/>
          <cell r="AD16"/>
        </row>
        <row r="17">
          <cell r="B17">
            <v>326580</v>
          </cell>
          <cell r="G17">
            <v>326580</v>
          </cell>
          <cell r="S17">
            <v>215239</v>
          </cell>
          <cell r="T17">
            <v>2685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217924</v>
          </cell>
          <cell r="Z17"/>
          <cell r="AC17"/>
          <cell r="AD17"/>
        </row>
        <row r="18">
          <cell r="B18"/>
          <cell r="G18">
            <v>0</v>
          </cell>
          <cell r="S18">
            <v>217924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217924</v>
          </cell>
          <cell r="Z18"/>
          <cell r="AC18"/>
          <cell r="AD18"/>
        </row>
        <row r="19">
          <cell r="B19"/>
          <cell r="G19">
            <v>0</v>
          </cell>
          <cell r="S19">
            <v>217924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217924</v>
          </cell>
          <cell r="Z19"/>
          <cell r="AC19"/>
          <cell r="AD19"/>
        </row>
        <row r="20">
          <cell r="B20">
            <v>364185</v>
          </cell>
          <cell r="G20">
            <v>364185</v>
          </cell>
          <cell r="S20">
            <v>217924</v>
          </cell>
          <cell r="T20">
            <v>3370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221294</v>
          </cell>
          <cell r="Z20"/>
          <cell r="AC20"/>
          <cell r="AD20"/>
        </row>
        <row r="21">
          <cell r="G21">
            <v>427290</v>
          </cell>
          <cell r="S21">
            <v>221294</v>
          </cell>
          <cell r="T21">
            <v>10640</v>
          </cell>
          <cell r="U21">
            <v>0</v>
          </cell>
          <cell r="V21">
            <v>14000</v>
          </cell>
          <cell r="W21">
            <v>0</v>
          </cell>
          <cell r="X21">
            <v>0</v>
          </cell>
          <cell r="Y21">
            <v>217934</v>
          </cell>
          <cell r="Z21" t="str">
            <v>Lőrinczy Ágnes EFO</v>
          </cell>
          <cell r="AC21"/>
          <cell r="AD21"/>
        </row>
        <row r="22">
          <cell r="G22">
            <v>407055</v>
          </cell>
          <cell r="S22">
            <v>217934</v>
          </cell>
          <cell r="T22">
            <v>3120</v>
          </cell>
          <cell r="U22">
            <v>0</v>
          </cell>
          <cell r="V22">
            <v>28000</v>
          </cell>
          <cell r="W22">
            <v>0</v>
          </cell>
          <cell r="X22">
            <v>0</v>
          </cell>
          <cell r="Y22">
            <v>193054</v>
          </cell>
          <cell r="Z22" t="str">
            <v>Mányi Etelka EFO</v>
          </cell>
          <cell r="AA22" t="str">
            <v>Pávolits Zsolt</v>
          </cell>
          <cell r="AC22"/>
          <cell r="AD22"/>
        </row>
        <row r="23">
          <cell r="G23">
            <v>330805</v>
          </cell>
          <cell r="S23">
            <v>193054</v>
          </cell>
          <cell r="T23">
            <v>4840</v>
          </cell>
          <cell r="U23">
            <v>0</v>
          </cell>
          <cell r="V23">
            <v>32023</v>
          </cell>
          <cell r="W23">
            <v>0</v>
          </cell>
          <cell r="X23">
            <v>0</v>
          </cell>
          <cell r="Y23">
            <v>165871</v>
          </cell>
          <cell r="Z23" t="str">
            <v>Tesco</v>
          </cell>
          <cell r="AA23" t="str">
            <v>Pávolits Zsolt</v>
          </cell>
          <cell r="AB23" t="str">
            <v>Miski Györgyné</v>
          </cell>
          <cell r="AC23"/>
          <cell r="AD23"/>
        </row>
        <row r="24">
          <cell r="G24">
            <v>274745</v>
          </cell>
          <cell r="S24">
            <v>165871</v>
          </cell>
          <cell r="T24">
            <v>2450</v>
          </cell>
          <cell r="U24">
            <v>3200</v>
          </cell>
          <cell r="V24">
            <v>14000</v>
          </cell>
          <cell r="W24">
            <v>0</v>
          </cell>
          <cell r="X24">
            <v>0</v>
          </cell>
          <cell r="Y24">
            <v>157521</v>
          </cell>
          <cell r="Z24" t="str">
            <v>Helit Móni</v>
          </cell>
          <cell r="AA24" t="str">
            <v>Bodnár Józsefné</v>
          </cell>
          <cell r="AC24"/>
          <cell r="AD24"/>
        </row>
        <row r="25">
          <cell r="B25"/>
          <cell r="G25">
            <v>0</v>
          </cell>
          <cell r="S25">
            <v>157521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157521</v>
          </cell>
          <cell r="Z25"/>
          <cell r="AC25"/>
          <cell r="AD25"/>
        </row>
        <row r="26">
          <cell r="B26"/>
          <cell r="G26">
            <v>0</v>
          </cell>
          <cell r="S26">
            <v>157521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157521</v>
          </cell>
          <cell r="Z26"/>
          <cell r="AC26"/>
          <cell r="AD26"/>
        </row>
        <row r="27">
          <cell r="B27">
            <v>334670</v>
          </cell>
          <cell r="G27">
            <v>334670</v>
          </cell>
          <cell r="S27">
            <v>157521</v>
          </cell>
          <cell r="T27">
            <v>7880</v>
          </cell>
          <cell r="U27">
            <v>0</v>
          </cell>
          <cell r="V27">
            <v>2080</v>
          </cell>
          <cell r="W27">
            <v>0</v>
          </cell>
          <cell r="X27">
            <v>0</v>
          </cell>
          <cell r="Y27">
            <v>163321</v>
          </cell>
          <cell r="Z27" t="str">
            <v>Tesco</v>
          </cell>
          <cell r="AC27"/>
          <cell r="AD27"/>
        </row>
        <row r="28">
          <cell r="G28">
            <v>409500</v>
          </cell>
          <cell r="S28">
            <v>163321</v>
          </cell>
          <cell r="T28">
            <v>3810</v>
          </cell>
          <cell r="U28">
            <v>0</v>
          </cell>
          <cell r="V28">
            <v>14000</v>
          </cell>
          <cell r="W28">
            <v>0</v>
          </cell>
          <cell r="X28">
            <v>0</v>
          </cell>
          <cell r="Y28">
            <v>153131</v>
          </cell>
          <cell r="Z28" t="str">
            <v>Milák Beáta</v>
          </cell>
          <cell r="AC28"/>
          <cell r="AD28"/>
        </row>
        <row r="29">
          <cell r="G29">
            <v>434005</v>
          </cell>
          <cell r="S29">
            <v>153131</v>
          </cell>
          <cell r="T29">
            <v>3580</v>
          </cell>
          <cell r="U29">
            <v>0</v>
          </cell>
          <cell r="V29">
            <v>8671</v>
          </cell>
          <cell r="W29">
            <v>0</v>
          </cell>
          <cell r="X29">
            <v>0</v>
          </cell>
          <cell r="Y29">
            <v>148040</v>
          </cell>
          <cell r="Z29" t="str">
            <v>Tesco</v>
          </cell>
          <cell r="AC29"/>
          <cell r="AD29"/>
        </row>
        <row r="30">
          <cell r="G30">
            <v>419595</v>
          </cell>
          <cell r="S30">
            <v>148040</v>
          </cell>
          <cell r="T30">
            <v>6210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154250</v>
          </cell>
          <cell r="Z30"/>
          <cell r="AC30"/>
          <cell r="AD30"/>
        </row>
        <row r="31">
          <cell r="B31">
            <v>295185</v>
          </cell>
          <cell r="G31">
            <v>295185</v>
          </cell>
          <cell r="S31">
            <v>154250</v>
          </cell>
          <cell r="T31">
            <v>1390</v>
          </cell>
          <cell r="U31">
            <v>0</v>
          </cell>
          <cell r="V31">
            <v>14000</v>
          </cell>
          <cell r="W31">
            <v>0</v>
          </cell>
          <cell r="X31">
            <v>0</v>
          </cell>
          <cell r="Y31">
            <v>141640</v>
          </cell>
          <cell r="Z31" t="str">
            <v>Soltész Péterné</v>
          </cell>
          <cell r="AC31"/>
          <cell r="AD31"/>
        </row>
        <row r="32">
          <cell r="B32"/>
          <cell r="G32">
            <v>0</v>
          </cell>
          <cell r="S32">
            <v>141640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141640</v>
          </cell>
          <cell r="Z32"/>
          <cell r="AC32"/>
          <cell r="AD32"/>
        </row>
      </sheetData>
      <sheetData sheetId="1">
        <row r="2">
          <cell r="B2"/>
        </row>
        <row r="3">
          <cell r="B3">
            <v>285905</v>
          </cell>
        </row>
        <row r="4">
          <cell r="B4">
            <v>389180</v>
          </cell>
        </row>
        <row r="5">
          <cell r="B5">
            <v>373535</v>
          </cell>
        </row>
        <row r="6">
          <cell r="B6">
            <v>352810</v>
          </cell>
        </row>
        <row r="7">
          <cell r="B7">
            <v>236490</v>
          </cell>
        </row>
        <row r="8">
          <cell r="B8"/>
        </row>
        <row r="9">
          <cell r="B9"/>
        </row>
        <row r="10">
          <cell r="B10">
            <v>325055</v>
          </cell>
        </row>
        <row r="11">
          <cell r="B11">
            <v>407025</v>
          </cell>
        </row>
        <row r="12">
          <cell r="B12">
            <v>458050</v>
          </cell>
        </row>
        <row r="13">
          <cell r="B13">
            <v>420860</v>
          </cell>
        </row>
        <row r="15">
          <cell r="B15"/>
        </row>
        <row r="16">
          <cell r="B16"/>
        </row>
        <row r="22">
          <cell r="B22"/>
        </row>
        <row r="23">
          <cell r="B23"/>
        </row>
        <row r="27">
          <cell r="B27">
            <v>380570</v>
          </cell>
        </row>
        <row r="28">
          <cell r="B28">
            <v>313090</v>
          </cell>
        </row>
        <row r="29">
          <cell r="B29"/>
        </row>
        <row r="30">
          <cell r="B30"/>
        </row>
        <row r="31">
          <cell r="B31"/>
        </row>
        <row r="32">
          <cell r="B32"/>
        </row>
      </sheetData>
      <sheetData sheetId="2">
        <row r="2">
          <cell r="B2"/>
        </row>
        <row r="4">
          <cell r="B4">
            <v>377640</v>
          </cell>
        </row>
        <row r="8">
          <cell r="B8"/>
        </row>
        <row r="9">
          <cell r="B9"/>
        </row>
        <row r="12">
          <cell r="B12">
            <v>524815</v>
          </cell>
        </row>
        <row r="29">
          <cell r="B29"/>
        </row>
        <row r="30">
          <cell r="B30"/>
        </row>
        <row r="31">
          <cell r="B31">
            <v>367607</v>
          </cell>
        </row>
        <row r="32">
          <cell r="B32">
            <v>399542</v>
          </cell>
        </row>
      </sheetData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JTTWNBQYANGRAZ33VSD6S7JGGG">
      <xxl21:absoluteUrl r:id="rId2"/>
    </xxl21:alternateUrls>
    <sheetNames>
      <sheetName val="2026 január"/>
      <sheetName val="2026 február"/>
      <sheetName val="2026 március"/>
      <sheetName val="2026 április"/>
      <sheetName val="Minta"/>
    </sheetNames>
    <sheetDataSet>
      <sheetData sheetId="0">
        <row r="2">
          <cell r="B2"/>
        </row>
        <row r="3">
          <cell r="B3"/>
        </row>
        <row r="4">
          <cell r="B4"/>
        </row>
        <row r="5">
          <cell r="B5"/>
        </row>
        <row r="6">
          <cell r="B6">
            <v>54705</v>
          </cell>
        </row>
        <row r="7">
          <cell r="B7">
            <v>77760</v>
          </cell>
        </row>
        <row r="8">
          <cell r="B8">
            <v>91795</v>
          </cell>
        </row>
        <row r="9">
          <cell r="B9">
            <v>86920</v>
          </cell>
        </row>
        <row r="10">
          <cell r="B10">
            <v>67300</v>
          </cell>
        </row>
        <row r="11">
          <cell r="B11"/>
        </row>
        <row r="12">
          <cell r="B12"/>
        </row>
        <row r="13">
          <cell r="B13">
            <v>110565</v>
          </cell>
        </row>
        <row r="14">
          <cell r="B14">
            <v>81750</v>
          </cell>
        </row>
        <row r="15">
          <cell r="B15">
            <v>64765</v>
          </cell>
        </row>
        <row r="16">
          <cell r="B16">
            <v>90860</v>
          </cell>
        </row>
        <row r="17">
          <cell r="B17">
            <v>47705</v>
          </cell>
        </row>
        <row r="18">
          <cell r="B18"/>
        </row>
        <row r="19">
          <cell r="B19"/>
        </row>
        <row r="20">
          <cell r="B20">
            <v>98476</v>
          </cell>
        </row>
        <row r="21">
          <cell r="B21">
            <v>102553</v>
          </cell>
        </row>
        <row r="22">
          <cell r="B22">
            <v>100102</v>
          </cell>
        </row>
        <row r="23">
          <cell r="B23">
            <v>134773</v>
          </cell>
        </row>
        <row r="24">
          <cell r="B24">
            <v>102605</v>
          </cell>
        </row>
        <row r="25">
          <cell r="B25"/>
        </row>
        <row r="26">
          <cell r="B26"/>
        </row>
        <row r="27">
          <cell r="B27">
            <v>118750</v>
          </cell>
        </row>
        <row r="28">
          <cell r="B28">
            <v>123103</v>
          </cell>
        </row>
        <row r="29">
          <cell r="B29">
            <v>130968</v>
          </cell>
        </row>
        <row r="30">
          <cell r="B30">
            <v>69155</v>
          </cell>
        </row>
        <row r="31">
          <cell r="B31">
            <v>73206</v>
          </cell>
        </row>
        <row r="32">
          <cell r="B32"/>
        </row>
      </sheetData>
      <sheetData sheetId="1">
        <row r="2">
          <cell r="B2"/>
        </row>
        <row r="3">
          <cell r="B3">
            <v>99480</v>
          </cell>
        </row>
        <row r="4">
          <cell r="B4">
            <v>128013</v>
          </cell>
        </row>
        <row r="5">
          <cell r="B5">
            <v>108851</v>
          </cell>
        </row>
        <row r="6">
          <cell r="B6">
            <v>102689</v>
          </cell>
        </row>
        <row r="7">
          <cell r="B7">
            <v>90959</v>
          </cell>
        </row>
        <row r="8">
          <cell r="B8"/>
        </row>
        <row r="9">
          <cell r="B9"/>
        </row>
        <row r="10">
          <cell r="B10">
            <v>79545</v>
          </cell>
        </row>
        <row r="11">
          <cell r="B11">
            <v>116419</v>
          </cell>
        </row>
        <row r="12">
          <cell r="B12">
            <v>125138</v>
          </cell>
        </row>
        <row r="13">
          <cell r="B13">
            <v>91966</v>
          </cell>
        </row>
        <row r="14">
          <cell r="B14">
            <v>45200</v>
          </cell>
        </row>
        <row r="15">
          <cell r="B15"/>
        </row>
        <row r="16">
          <cell r="B16"/>
        </row>
        <row r="22">
          <cell r="B22"/>
        </row>
        <row r="23">
          <cell r="B23"/>
        </row>
        <row r="25">
          <cell r="B25">
            <v>122780</v>
          </cell>
        </row>
        <row r="26">
          <cell r="B26">
            <v>127105</v>
          </cell>
        </row>
        <row r="27">
          <cell r="B27">
            <v>69725</v>
          </cell>
        </row>
        <row r="28">
          <cell r="B28">
            <v>42460</v>
          </cell>
        </row>
        <row r="29">
          <cell r="B29"/>
        </row>
        <row r="30">
          <cell r="B30"/>
        </row>
        <row r="31">
          <cell r="B31"/>
        </row>
        <row r="32">
          <cell r="B32"/>
        </row>
      </sheetData>
      <sheetData sheetId="2">
        <row r="2">
          <cell r="B2"/>
        </row>
        <row r="3">
          <cell r="B3">
            <v>81225</v>
          </cell>
        </row>
        <row r="4">
          <cell r="B4">
            <v>101460</v>
          </cell>
        </row>
        <row r="5">
          <cell r="B5">
            <v>103430</v>
          </cell>
        </row>
        <row r="8">
          <cell r="B8"/>
        </row>
        <row r="9">
          <cell r="B9"/>
        </row>
        <row r="14">
          <cell r="B14">
            <v>52350</v>
          </cell>
        </row>
        <row r="15">
          <cell r="B15"/>
        </row>
        <row r="16">
          <cell r="B16"/>
        </row>
        <row r="22">
          <cell r="B22"/>
        </row>
        <row r="23">
          <cell r="B23"/>
        </row>
        <row r="25">
          <cell r="B25">
            <v>116270</v>
          </cell>
        </row>
        <row r="26">
          <cell r="B26">
            <v>102125</v>
          </cell>
        </row>
        <row r="27">
          <cell r="B27">
            <v>56500</v>
          </cell>
        </row>
        <row r="28">
          <cell r="B28">
            <v>51550</v>
          </cell>
        </row>
        <row r="29">
          <cell r="B29"/>
        </row>
        <row r="30">
          <cell r="B30"/>
        </row>
        <row r="31">
          <cell r="B31">
            <v>102730</v>
          </cell>
        </row>
        <row r="32">
          <cell r="B32">
            <v>99010</v>
          </cell>
        </row>
      </sheetData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I4PSTPSKBVCJCYV73SO635RVNI">
      <xxl21:absoluteUrl r:id="rId2"/>
    </xxl21:alternateUrls>
    <sheetNames>
      <sheetName val="2026 január"/>
      <sheetName val="2026 február"/>
      <sheetName val="2026 március"/>
      <sheetName val="2026 április"/>
      <sheetName val="Minta"/>
    </sheet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novo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/>
          <cell r="S2">
            <v>88273</v>
          </cell>
          <cell r="T2">
            <v>0</v>
          </cell>
          <cell r="U2"/>
          <cell r="V2"/>
          <cell r="W2"/>
          <cell r="X2"/>
          <cell r="Y2">
            <v>88273</v>
          </cell>
          <cell r="Z2"/>
          <cell r="AC2"/>
          <cell r="AD2"/>
        </row>
        <row r="3">
          <cell r="B3"/>
          <cell r="G3"/>
          <cell r="S3">
            <v>88273</v>
          </cell>
          <cell r="T3">
            <v>0</v>
          </cell>
          <cell r="U3"/>
          <cell r="V3"/>
          <cell r="W3"/>
          <cell r="X3"/>
          <cell r="Y3">
            <v>88273</v>
          </cell>
          <cell r="Z3"/>
          <cell r="AC3"/>
          <cell r="AD3"/>
        </row>
        <row r="4">
          <cell r="B4"/>
          <cell r="G4"/>
          <cell r="S4">
            <v>88273</v>
          </cell>
          <cell r="T4">
            <v>0</v>
          </cell>
          <cell r="U4"/>
          <cell r="V4"/>
          <cell r="W4"/>
          <cell r="X4"/>
          <cell r="Y4">
            <v>88273</v>
          </cell>
          <cell r="Z4"/>
          <cell r="AC4"/>
          <cell r="AD4"/>
        </row>
        <row r="5">
          <cell r="B5"/>
          <cell r="G5"/>
          <cell r="S5">
            <v>88273</v>
          </cell>
          <cell r="T5">
            <v>0</v>
          </cell>
          <cell r="U5"/>
          <cell r="V5"/>
          <cell r="W5"/>
          <cell r="X5"/>
          <cell r="Y5">
            <v>88273</v>
          </cell>
          <cell r="Z5"/>
          <cell r="AC5"/>
          <cell r="AD5"/>
        </row>
        <row r="6">
          <cell r="B6">
            <v>230215</v>
          </cell>
          <cell r="G6"/>
          <cell r="S6">
            <v>88273</v>
          </cell>
          <cell r="T6">
            <v>32205</v>
          </cell>
          <cell r="U6"/>
          <cell r="V6">
            <v>18950</v>
          </cell>
          <cell r="W6"/>
          <cell r="X6"/>
          <cell r="Y6">
            <v>101528</v>
          </cell>
          <cell r="Z6"/>
          <cell r="AC6"/>
          <cell r="AD6"/>
        </row>
        <row r="7">
          <cell r="B7">
            <v>252220</v>
          </cell>
          <cell r="G7"/>
          <cell r="S7">
            <v>101528</v>
          </cell>
          <cell r="T7">
            <v>40135</v>
          </cell>
          <cell r="U7"/>
          <cell r="V7">
            <v>3285</v>
          </cell>
          <cell r="W7"/>
          <cell r="X7"/>
          <cell r="Y7">
            <v>138378</v>
          </cell>
          <cell r="Z7"/>
          <cell r="AC7"/>
          <cell r="AD7"/>
        </row>
        <row r="8">
          <cell r="B8">
            <v>252475</v>
          </cell>
          <cell r="G8"/>
          <cell r="S8">
            <v>138378</v>
          </cell>
          <cell r="T8">
            <v>28805</v>
          </cell>
          <cell r="U8"/>
          <cell r="V8"/>
          <cell r="W8"/>
          <cell r="X8"/>
          <cell r="Y8">
            <v>167183</v>
          </cell>
          <cell r="Z8"/>
          <cell r="AC8"/>
          <cell r="AD8"/>
        </row>
        <row r="9">
          <cell r="B9">
            <v>340790</v>
          </cell>
          <cell r="G9"/>
          <cell r="S9">
            <v>167183</v>
          </cell>
          <cell r="T9">
            <v>27690</v>
          </cell>
          <cell r="U9"/>
          <cell r="V9"/>
          <cell r="W9"/>
          <cell r="X9"/>
          <cell r="Y9">
            <v>194873</v>
          </cell>
          <cell r="Z9"/>
          <cell r="AC9"/>
          <cell r="AD9"/>
        </row>
        <row r="10">
          <cell r="B10">
            <v>270435</v>
          </cell>
          <cell r="G10"/>
          <cell r="S10">
            <v>194873</v>
          </cell>
          <cell r="T10">
            <v>22330</v>
          </cell>
          <cell r="U10"/>
          <cell r="V10"/>
          <cell r="W10"/>
          <cell r="X10"/>
          <cell r="Y10">
            <v>217203</v>
          </cell>
          <cell r="Z10"/>
          <cell r="AC10"/>
          <cell r="AD10"/>
        </row>
        <row r="11">
          <cell r="B11">
            <v>158545</v>
          </cell>
          <cell r="G11"/>
          <cell r="S11">
            <v>217203</v>
          </cell>
          <cell r="T11">
            <v>15600</v>
          </cell>
          <cell r="U11"/>
          <cell r="V11"/>
          <cell r="W11"/>
          <cell r="X11"/>
          <cell r="Y11">
            <v>232803</v>
          </cell>
          <cell r="Z11"/>
          <cell r="AC11"/>
          <cell r="AD11"/>
        </row>
        <row r="12">
          <cell r="B12"/>
          <cell r="G12"/>
          <cell r="S12">
            <v>232803</v>
          </cell>
          <cell r="T12">
            <v>0</v>
          </cell>
          <cell r="U12"/>
          <cell r="V12"/>
          <cell r="W12"/>
          <cell r="X12"/>
          <cell r="Y12">
            <v>232803</v>
          </cell>
          <cell r="Z12"/>
          <cell r="AC12"/>
          <cell r="AD12"/>
        </row>
        <row r="13">
          <cell r="B13">
            <v>318805</v>
          </cell>
          <cell r="G13"/>
          <cell r="S13">
            <v>232803</v>
          </cell>
          <cell r="T13">
            <v>18995</v>
          </cell>
          <cell r="U13"/>
          <cell r="V13">
            <v>12850</v>
          </cell>
          <cell r="W13"/>
          <cell r="X13"/>
          <cell r="Y13">
            <v>238948</v>
          </cell>
          <cell r="Z13"/>
          <cell r="AC13"/>
          <cell r="AD13"/>
        </row>
        <row r="14">
          <cell r="B14">
            <v>251430</v>
          </cell>
          <cell r="G14"/>
          <cell r="S14">
            <v>238948</v>
          </cell>
          <cell r="T14">
            <v>12405</v>
          </cell>
          <cell r="U14"/>
          <cell r="V14">
            <v>14000</v>
          </cell>
          <cell r="W14"/>
          <cell r="X14"/>
          <cell r="Y14">
            <v>237353</v>
          </cell>
          <cell r="Z14"/>
          <cell r="AC14"/>
          <cell r="AD14"/>
        </row>
        <row r="15">
          <cell r="B15">
            <v>263730</v>
          </cell>
          <cell r="G15"/>
          <cell r="S15">
            <v>237353</v>
          </cell>
          <cell r="T15">
            <v>13900</v>
          </cell>
          <cell r="U15"/>
          <cell r="V15"/>
          <cell r="W15"/>
          <cell r="X15"/>
          <cell r="Y15">
            <v>251253</v>
          </cell>
          <cell r="Z15"/>
          <cell r="AC15"/>
          <cell r="AD15"/>
        </row>
        <row r="16">
          <cell r="B16">
            <v>288030</v>
          </cell>
          <cell r="G16"/>
          <cell r="S16">
            <v>251253</v>
          </cell>
          <cell r="T16">
            <v>23800</v>
          </cell>
          <cell r="U16"/>
          <cell r="V16">
            <v>14000</v>
          </cell>
          <cell r="W16"/>
          <cell r="X16"/>
          <cell r="Y16">
            <v>261053</v>
          </cell>
          <cell r="Z16"/>
          <cell r="AC16"/>
          <cell r="AD16"/>
        </row>
        <row r="17">
          <cell r="B17">
            <v>252610</v>
          </cell>
          <cell r="G17"/>
          <cell r="S17">
            <v>261053</v>
          </cell>
          <cell r="T17">
            <v>15915</v>
          </cell>
          <cell r="U17"/>
          <cell r="V17">
            <v>162445</v>
          </cell>
          <cell r="W17"/>
          <cell r="X17"/>
          <cell r="Y17">
            <v>114523</v>
          </cell>
          <cell r="Z17"/>
          <cell r="AC17"/>
          <cell r="AD17"/>
        </row>
        <row r="18">
          <cell r="B18"/>
          <cell r="G18"/>
          <cell r="S18">
            <v>114523</v>
          </cell>
          <cell r="T18">
            <v>0</v>
          </cell>
          <cell r="U18"/>
          <cell r="V18"/>
          <cell r="W18"/>
          <cell r="X18"/>
          <cell r="Y18">
            <v>114523</v>
          </cell>
          <cell r="Z18"/>
          <cell r="AC18"/>
          <cell r="AD18"/>
        </row>
        <row r="19">
          <cell r="B19"/>
          <cell r="G19"/>
          <cell r="S19">
            <v>114523</v>
          </cell>
          <cell r="T19">
            <v>0</v>
          </cell>
          <cell r="U19"/>
          <cell r="V19"/>
          <cell r="W19"/>
          <cell r="X19"/>
          <cell r="Y19">
            <v>114523</v>
          </cell>
          <cell r="Z19"/>
          <cell r="AC19"/>
          <cell r="AD19"/>
        </row>
        <row r="20">
          <cell r="B20">
            <v>245375</v>
          </cell>
          <cell r="G20"/>
          <cell r="S20">
            <v>114523</v>
          </cell>
          <cell r="T20">
            <v>22135</v>
          </cell>
          <cell r="U20"/>
          <cell r="V20">
            <v>18545</v>
          </cell>
          <cell r="W20"/>
          <cell r="X20"/>
          <cell r="Y20">
            <v>118113</v>
          </cell>
          <cell r="Z20"/>
          <cell r="AC20"/>
          <cell r="AD20"/>
        </row>
        <row r="21">
          <cell r="B21">
            <v>263795</v>
          </cell>
          <cell r="G21"/>
          <cell r="S21">
            <v>118113</v>
          </cell>
          <cell r="T21">
            <v>29230</v>
          </cell>
          <cell r="U21"/>
          <cell r="V21">
            <v>14000</v>
          </cell>
          <cell r="W21"/>
          <cell r="X21"/>
          <cell r="Y21">
            <v>133343</v>
          </cell>
          <cell r="Z21"/>
          <cell r="AC21"/>
          <cell r="AD21"/>
        </row>
        <row r="22">
          <cell r="B22">
            <v>265050</v>
          </cell>
          <cell r="G22"/>
          <cell r="S22">
            <v>133343</v>
          </cell>
          <cell r="T22">
            <v>26950</v>
          </cell>
          <cell r="U22"/>
          <cell r="V22">
            <v>14000</v>
          </cell>
          <cell r="W22"/>
          <cell r="X22"/>
          <cell r="Y22">
            <v>146293</v>
          </cell>
          <cell r="Z22"/>
          <cell r="AC22"/>
          <cell r="AD22"/>
        </row>
        <row r="23">
          <cell r="B23">
            <v>260435</v>
          </cell>
          <cell r="G23"/>
          <cell r="S23">
            <v>146293</v>
          </cell>
          <cell r="T23">
            <v>18290</v>
          </cell>
          <cell r="U23"/>
          <cell r="V23"/>
          <cell r="W23"/>
          <cell r="X23"/>
          <cell r="Y23">
            <v>164583</v>
          </cell>
          <cell r="Z23"/>
          <cell r="AC23"/>
          <cell r="AD23"/>
        </row>
        <row r="24">
          <cell r="B24">
            <v>219760</v>
          </cell>
          <cell r="G24"/>
          <cell r="S24">
            <v>164583</v>
          </cell>
          <cell r="T24">
            <v>21160</v>
          </cell>
          <cell r="U24"/>
          <cell r="V24">
            <v>20000</v>
          </cell>
          <cell r="W24"/>
          <cell r="X24"/>
          <cell r="Y24">
            <v>165743</v>
          </cell>
          <cell r="Z24"/>
          <cell r="AC24"/>
          <cell r="AD24"/>
        </row>
        <row r="25">
          <cell r="B25"/>
          <cell r="G25"/>
          <cell r="S25">
            <v>165743</v>
          </cell>
          <cell r="T25">
            <v>0</v>
          </cell>
          <cell r="U25"/>
          <cell r="V25"/>
          <cell r="W25"/>
          <cell r="X25"/>
          <cell r="Y25">
            <v>165743</v>
          </cell>
          <cell r="Z25"/>
          <cell r="AC25"/>
          <cell r="AD25"/>
        </row>
        <row r="26">
          <cell r="B26"/>
          <cell r="G26"/>
          <cell r="S26">
            <v>165743</v>
          </cell>
          <cell r="T26">
            <v>0</v>
          </cell>
          <cell r="U26"/>
          <cell r="V26"/>
          <cell r="W26"/>
          <cell r="X26"/>
          <cell r="Y26">
            <v>165743</v>
          </cell>
          <cell r="Z26"/>
          <cell r="AC26"/>
          <cell r="AD26"/>
        </row>
        <row r="27">
          <cell r="B27">
            <v>225770</v>
          </cell>
          <cell r="G27"/>
          <cell r="S27">
            <v>165743</v>
          </cell>
          <cell r="T27">
            <v>21935</v>
          </cell>
          <cell r="U27"/>
          <cell r="V27">
            <v>11200</v>
          </cell>
          <cell r="W27"/>
          <cell r="X27"/>
          <cell r="Y27">
            <v>176478</v>
          </cell>
          <cell r="Z27"/>
          <cell r="AC27"/>
          <cell r="AD27"/>
        </row>
        <row r="28">
          <cell r="B28">
            <v>281895</v>
          </cell>
          <cell r="G28"/>
          <cell r="S28">
            <v>176478</v>
          </cell>
          <cell r="T28">
            <v>28670</v>
          </cell>
          <cell r="U28"/>
          <cell r="V28">
            <v>11200</v>
          </cell>
          <cell r="W28"/>
          <cell r="X28"/>
          <cell r="Y28">
            <v>193948</v>
          </cell>
          <cell r="Z28"/>
          <cell r="AC28"/>
          <cell r="AD28"/>
        </row>
        <row r="29">
          <cell r="B29">
            <v>237415</v>
          </cell>
          <cell r="G29"/>
          <cell r="S29">
            <v>193948</v>
          </cell>
          <cell r="T29">
            <v>21850</v>
          </cell>
          <cell r="U29"/>
          <cell r="V29">
            <v>40000</v>
          </cell>
          <cell r="W29"/>
          <cell r="X29"/>
          <cell r="Y29">
            <v>175798</v>
          </cell>
          <cell r="Z29"/>
          <cell r="AC29"/>
          <cell r="AD29"/>
        </row>
        <row r="30">
          <cell r="B30">
            <v>299310</v>
          </cell>
          <cell r="G30"/>
          <cell r="S30">
            <v>175798</v>
          </cell>
          <cell r="T30">
            <v>19005</v>
          </cell>
          <cell r="U30"/>
          <cell r="V30"/>
          <cell r="W30"/>
          <cell r="X30"/>
          <cell r="Y30">
            <v>194803</v>
          </cell>
          <cell r="Z30"/>
          <cell r="AC30"/>
          <cell r="AD30"/>
        </row>
        <row r="31">
          <cell r="B31">
            <v>268700</v>
          </cell>
          <cell r="G31"/>
          <cell r="S31">
            <v>194803</v>
          </cell>
          <cell r="T31">
            <v>29930</v>
          </cell>
          <cell r="U31"/>
          <cell r="V31">
            <v>10000</v>
          </cell>
          <cell r="W31"/>
          <cell r="X31"/>
          <cell r="Y31">
            <v>214733</v>
          </cell>
          <cell r="Z31"/>
          <cell r="AC31"/>
          <cell r="AD31"/>
        </row>
        <row r="32">
          <cell r="B32"/>
          <cell r="G32"/>
          <cell r="S32">
            <v>214733</v>
          </cell>
          <cell r="T32">
            <v>0</v>
          </cell>
          <cell r="U32"/>
          <cell r="V32"/>
          <cell r="W32"/>
          <cell r="X32"/>
          <cell r="Y32">
            <v>214733</v>
          </cell>
          <cell r="Z32"/>
          <cell r="AC32"/>
          <cell r="AD32"/>
        </row>
        <row r="33">
          <cell r="B33">
            <v>5446790</v>
          </cell>
          <cell r="G33"/>
          <cell r="S33"/>
          <cell r="T33">
            <v>490935</v>
          </cell>
          <cell r="U33">
            <v>0</v>
          </cell>
          <cell r="V33"/>
          <cell r="W33"/>
          <cell r="X33"/>
          <cell r="Y33"/>
          <cell r="Z33"/>
          <cell r="AD33"/>
        </row>
      </sheetData>
      <sheetData sheetId="1">
        <row r="3">
          <cell r="B3">
            <v>262700</v>
          </cell>
        </row>
        <row r="4">
          <cell r="B4">
            <v>275260</v>
          </cell>
        </row>
        <row r="5">
          <cell r="B5">
            <v>316575</v>
          </cell>
        </row>
        <row r="6">
          <cell r="B6">
            <v>285770</v>
          </cell>
        </row>
        <row r="7">
          <cell r="B7">
            <v>273375</v>
          </cell>
        </row>
        <row r="8">
          <cell r="B8"/>
        </row>
        <row r="9">
          <cell r="B9"/>
        </row>
        <row r="10">
          <cell r="B10">
            <v>236370</v>
          </cell>
        </row>
        <row r="11">
          <cell r="B11">
            <v>282680</v>
          </cell>
        </row>
        <row r="12">
          <cell r="B12">
            <v>203835</v>
          </cell>
        </row>
        <row r="13">
          <cell r="B13">
            <v>239820</v>
          </cell>
        </row>
        <row r="14">
          <cell r="B14">
            <v>237355</v>
          </cell>
        </row>
        <row r="15">
          <cell r="B15"/>
        </row>
        <row r="16">
          <cell r="B16"/>
        </row>
        <row r="17">
          <cell r="B17">
            <v>249980</v>
          </cell>
        </row>
        <row r="18">
          <cell r="B18">
            <v>308290</v>
          </cell>
        </row>
        <row r="19">
          <cell r="B19">
            <v>309045</v>
          </cell>
        </row>
        <row r="20">
          <cell r="B20">
            <v>342070</v>
          </cell>
        </row>
        <row r="21">
          <cell r="B21">
            <v>269185</v>
          </cell>
        </row>
        <row r="22">
          <cell r="B22"/>
        </row>
        <row r="23">
          <cell r="B23"/>
        </row>
        <row r="24">
          <cell r="B24">
            <v>223475</v>
          </cell>
        </row>
        <row r="25">
          <cell r="B25">
            <v>259710</v>
          </cell>
        </row>
        <row r="26">
          <cell r="B26">
            <v>290500</v>
          </cell>
        </row>
        <row r="27">
          <cell r="B27">
            <v>245600</v>
          </cell>
        </row>
        <row r="28">
          <cell r="B28">
            <v>274405</v>
          </cell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5386000</v>
          </cell>
        </row>
      </sheetData>
      <sheetData sheetId="2">
        <row r="3">
          <cell r="B3">
            <v>232030</v>
          </cell>
        </row>
        <row r="4">
          <cell r="B4">
            <v>231625</v>
          </cell>
        </row>
        <row r="5">
          <cell r="B5">
            <v>247535</v>
          </cell>
        </row>
        <row r="6">
          <cell r="B6">
            <v>258230</v>
          </cell>
        </row>
        <row r="7">
          <cell r="B7">
            <v>281765</v>
          </cell>
        </row>
        <row r="8">
          <cell r="B8"/>
        </row>
        <row r="9">
          <cell r="B9"/>
        </row>
        <row r="10">
          <cell r="B10">
            <v>283205</v>
          </cell>
        </row>
        <row r="11">
          <cell r="B11">
            <v>281550</v>
          </cell>
        </row>
        <row r="12">
          <cell r="B12">
            <v>310570</v>
          </cell>
        </row>
        <row r="13">
          <cell r="B13">
            <v>320005</v>
          </cell>
        </row>
        <row r="14">
          <cell r="B14">
            <v>283895</v>
          </cell>
        </row>
        <row r="15">
          <cell r="B15"/>
        </row>
        <row r="16">
          <cell r="B16"/>
        </row>
        <row r="17">
          <cell r="B17">
            <v>270445</v>
          </cell>
        </row>
        <row r="18">
          <cell r="B18">
            <v>292155</v>
          </cell>
        </row>
        <row r="19">
          <cell r="B19">
            <v>291840</v>
          </cell>
        </row>
        <row r="20">
          <cell r="B20">
            <v>309920</v>
          </cell>
        </row>
        <row r="21">
          <cell r="B21">
            <v>224775</v>
          </cell>
        </row>
        <row r="22">
          <cell r="B22"/>
        </row>
        <row r="23">
          <cell r="B23"/>
        </row>
        <row r="24">
          <cell r="B24">
            <v>231925</v>
          </cell>
        </row>
        <row r="25">
          <cell r="B25">
            <v>311175</v>
          </cell>
        </row>
        <row r="26">
          <cell r="B26">
            <v>340245</v>
          </cell>
        </row>
        <row r="27">
          <cell r="B27">
            <v>312915</v>
          </cell>
        </row>
        <row r="28">
          <cell r="B28">
            <v>270445</v>
          </cell>
        </row>
        <row r="29">
          <cell r="B29"/>
        </row>
        <row r="30">
          <cell r="B30"/>
        </row>
        <row r="31">
          <cell r="B31">
            <v>257371</v>
          </cell>
        </row>
        <row r="32">
          <cell r="B32">
            <v>283863</v>
          </cell>
        </row>
        <row r="33">
          <cell r="B33">
            <v>6127484</v>
          </cell>
        </row>
      </sheetData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L4VWUU5M43WVBZPIEFKARDOWXA">
      <xxl21:absoluteUrl r:id="rId2"/>
    </xxl21:alternateUrls>
    <sheetNames>
      <sheetName val="2026 január"/>
      <sheetName val="2026 február"/>
      <sheetName val="2026 Március"/>
      <sheetName val="2026 április"/>
      <sheetName val="Minta"/>
    </sheetNames>
    <sheetDataSet>
      <sheetData sheetId="0">
        <row r="1">
          <cell r="B1" t="str">
            <v>Novohost</v>
          </cell>
        </row>
        <row r="2">
          <cell r="B2"/>
        </row>
        <row r="3">
          <cell r="B3"/>
        </row>
        <row r="4">
          <cell r="B4">
            <v>41440</v>
          </cell>
        </row>
        <row r="5">
          <cell r="B5"/>
        </row>
        <row r="6">
          <cell r="B6"/>
        </row>
        <row r="7">
          <cell r="B7"/>
        </row>
        <row r="8">
          <cell r="B8"/>
        </row>
        <row r="9">
          <cell r="B9"/>
        </row>
        <row r="10">
          <cell r="B10"/>
        </row>
        <row r="11">
          <cell r="B11">
            <v>438565</v>
          </cell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480005</v>
          </cell>
        </row>
      </sheetData>
      <sheetData sheetId="1">
        <row r="2">
          <cell r="B2">
            <v>215080</v>
          </cell>
        </row>
        <row r="3">
          <cell r="B3"/>
        </row>
        <row r="4">
          <cell r="B4">
            <v>38550</v>
          </cell>
        </row>
        <row r="5">
          <cell r="B5"/>
        </row>
        <row r="6">
          <cell r="B6">
            <v>19120</v>
          </cell>
        </row>
        <row r="7">
          <cell r="B7">
            <v>232990</v>
          </cell>
        </row>
        <row r="8">
          <cell r="B8">
            <v>8050</v>
          </cell>
        </row>
        <row r="9">
          <cell r="B9">
            <v>1023540</v>
          </cell>
        </row>
        <row r="11">
          <cell r="B11">
            <v>4755</v>
          </cell>
        </row>
        <row r="12">
          <cell r="B12">
            <v>10525</v>
          </cell>
        </row>
        <row r="13">
          <cell r="B13">
            <v>382025</v>
          </cell>
        </row>
        <row r="14">
          <cell r="B14">
            <v>22670</v>
          </cell>
        </row>
        <row r="15">
          <cell r="B15">
            <v>89390</v>
          </cell>
        </row>
        <row r="16">
          <cell r="B16">
            <v>772815</v>
          </cell>
        </row>
        <row r="17">
          <cell r="B17">
            <v>543900</v>
          </cell>
        </row>
        <row r="18">
          <cell r="B18"/>
        </row>
        <row r="19">
          <cell r="B19">
            <v>8320</v>
          </cell>
        </row>
        <row r="20">
          <cell r="B20">
            <v>6300</v>
          </cell>
        </row>
        <row r="21">
          <cell r="B21">
            <v>4480</v>
          </cell>
        </row>
        <row r="22">
          <cell r="B22">
            <v>11510</v>
          </cell>
        </row>
        <row r="23">
          <cell r="B23">
            <v>188425</v>
          </cell>
        </row>
        <row r="24">
          <cell r="B24">
            <v>878318</v>
          </cell>
        </row>
        <row r="25">
          <cell r="B25">
            <v>128230</v>
          </cell>
        </row>
        <row r="26">
          <cell r="B26"/>
        </row>
        <row r="27">
          <cell r="B27">
            <v>14040</v>
          </cell>
        </row>
        <row r="28">
          <cell r="B28">
            <v>24080</v>
          </cell>
        </row>
        <row r="29">
          <cell r="B29">
            <v>20430</v>
          </cell>
        </row>
        <row r="30">
          <cell r="B30">
            <v>1101197</v>
          </cell>
        </row>
        <row r="31">
          <cell r="B31">
            <v>1151736</v>
          </cell>
        </row>
        <row r="32">
          <cell r="B32">
            <v>1213745</v>
          </cell>
        </row>
        <row r="33">
          <cell r="B33">
            <v>568405</v>
          </cell>
        </row>
      </sheetData>
      <sheetData sheetId="2">
        <row r="2">
          <cell r="B2">
            <v>507500</v>
          </cell>
        </row>
        <row r="3">
          <cell r="B3">
            <v>308253</v>
          </cell>
        </row>
        <row r="4">
          <cell r="B4">
            <v>0</v>
          </cell>
        </row>
        <row r="5">
          <cell r="B5">
            <v>11630</v>
          </cell>
        </row>
        <row r="6">
          <cell r="B6">
            <v>10710</v>
          </cell>
        </row>
        <row r="7">
          <cell r="B7">
            <v>31050</v>
          </cell>
        </row>
        <row r="8">
          <cell r="B8">
            <v>15930</v>
          </cell>
        </row>
        <row r="9">
          <cell r="B9">
            <v>222575</v>
          </cell>
        </row>
        <row r="11">
          <cell r="B11">
            <v>0</v>
          </cell>
        </row>
        <row r="12">
          <cell r="B12">
            <v>17830</v>
          </cell>
        </row>
        <row r="13">
          <cell r="B13">
            <v>9030</v>
          </cell>
        </row>
        <row r="14">
          <cell r="B14">
            <v>13895</v>
          </cell>
        </row>
        <row r="15">
          <cell r="B15">
            <v>22370</v>
          </cell>
        </row>
        <row r="16">
          <cell r="B16"/>
        </row>
        <row r="17">
          <cell r="B17"/>
        </row>
        <row r="18">
          <cell r="B18"/>
        </row>
        <row r="19">
          <cell r="B19">
            <v>15180</v>
          </cell>
        </row>
        <row r="20">
          <cell r="B20">
            <v>10350</v>
          </cell>
        </row>
        <row r="21">
          <cell r="B21">
            <v>6930</v>
          </cell>
        </row>
        <row r="22">
          <cell r="B22">
            <v>14670</v>
          </cell>
        </row>
        <row r="23">
          <cell r="B23">
            <v>53610</v>
          </cell>
        </row>
        <row r="24">
          <cell r="B24">
            <v>884750</v>
          </cell>
        </row>
        <row r="25">
          <cell r="B25"/>
        </row>
        <row r="26">
          <cell r="B26">
            <v>6070</v>
          </cell>
        </row>
        <row r="27">
          <cell r="B27">
            <v>32415</v>
          </cell>
        </row>
        <row r="28">
          <cell r="B28">
            <v>37420</v>
          </cell>
        </row>
        <row r="29">
          <cell r="B29">
            <v>4820</v>
          </cell>
        </row>
        <row r="30">
          <cell r="B30">
            <v>1268750</v>
          </cell>
        </row>
        <row r="31">
          <cell r="B31"/>
        </row>
        <row r="32">
          <cell r="B32"/>
        </row>
        <row r="33">
          <cell r="B33">
            <v>7950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32DB-E092-40BB-95A9-3FC9D26C4E5B}">
  <sheetPr>
    <tabColor theme="8" tint="0.79998168889431442"/>
    <pageSetUpPr fitToPage="1"/>
  </sheetPr>
  <dimension ref="A2:AD34"/>
  <sheetViews>
    <sheetView workbookViewId="0">
      <pane ySplit="2" topLeftCell="D3" activePane="bottomLeft" state="frozen"/>
      <selection pane="bottomLeft" activeCell="J26" sqref="J26"/>
    </sheetView>
  </sheetViews>
  <sheetFormatPr defaultRowHeight="15" customHeight="1"/>
  <cols>
    <col min="1" max="1" width="3.7109375" customWidth="1"/>
    <col min="2" max="2" width="22.28515625" style="49" customWidth="1"/>
    <col min="3" max="3" width="27.140625" style="4" customWidth="1"/>
    <col min="4" max="5" width="29.42578125" style="35" customWidth="1"/>
    <col min="6" max="6" width="17.140625" style="35" customWidth="1"/>
    <col min="7" max="7" width="17.85546875" style="79" customWidth="1"/>
    <col min="8" max="11" width="16.28515625" style="79" customWidth="1"/>
    <col min="12" max="13" width="16.28515625" style="87" customWidth="1"/>
    <col min="14" max="14" width="16.28515625" style="1" customWidth="1"/>
    <col min="15" max="15" width="16.28515625" style="88" customWidth="1"/>
    <col min="16" max="23" width="16.28515625" style="79" customWidth="1"/>
    <col min="24" max="24" width="18.28515625" style="79" customWidth="1"/>
    <col min="25" max="30" width="16.28515625" style="79" customWidth="1"/>
  </cols>
  <sheetData>
    <row r="2" spans="2:30" ht="24" customHeight="1">
      <c r="B2" s="84"/>
      <c r="C2" s="130"/>
      <c r="D2" s="375" t="s">
        <v>0</v>
      </c>
      <c r="E2" s="375" t="s">
        <v>1</v>
      </c>
      <c r="F2" s="375" t="s">
        <v>2</v>
      </c>
      <c r="G2" s="614" t="s">
        <v>3</v>
      </c>
      <c r="H2" s="614"/>
      <c r="I2" s="615" t="s">
        <v>4</v>
      </c>
      <c r="J2" s="616"/>
      <c r="K2" s="614" t="s">
        <v>5</v>
      </c>
      <c r="L2" s="614"/>
      <c r="M2" s="615" t="s">
        <v>6</v>
      </c>
      <c r="N2" s="616"/>
      <c r="O2" s="614" t="s">
        <v>7</v>
      </c>
      <c r="P2" s="614"/>
      <c r="Q2" s="617" t="s">
        <v>8</v>
      </c>
      <c r="R2" s="618"/>
      <c r="S2" s="619" t="s">
        <v>9</v>
      </c>
      <c r="T2" s="613"/>
      <c r="U2" s="612" t="s">
        <v>10</v>
      </c>
      <c r="V2" s="613"/>
      <c r="W2" s="612" t="s">
        <v>11</v>
      </c>
      <c r="X2" s="613"/>
      <c r="Y2" s="612" t="s">
        <v>12</v>
      </c>
      <c r="Z2" s="613"/>
      <c r="AA2" s="612" t="s">
        <v>13</v>
      </c>
      <c r="AB2" s="613"/>
      <c r="AC2" s="612" t="s">
        <v>14</v>
      </c>
      <c r="AD2" s="613"/>
    </row>
    <row r="3" spans="2:30" ht="24" customHeight="1">
      <c r="B3" s="241"/>
      <c r="C3" s="51"/>
      <c r="D3" s="107"/>
      <c r="E3" s="107"/>
      <c r="F3" s="111"/>
      <c r="G3" s="58" t="s">
        <v>15</v>
      </c>
      <c r="H3" s="98" t="s">
        <v>16</v>
      </c>
      <c r="I3" s="99" t="s">
        <v>15</v>
      </c>
      <c r="J3" s="100" t="s">
        <v>16</v>
      </c>
      <c r="K3" s="58" t="s">
        <v>15</v>
      </c>
      <c r="L3" s="98" t="s">
        <v>16</v>
      </c>
      <c r="M3" s="99" t="s">
        <v>15</v>
      </c>
      <c r="N3" s="100" t="s">
        <v>16</v>
      </c>
      <c r="O3" s="58" t="s">
        <v>15</v>
      </c>
      <c r="P3" s="98" t="s">
        <v>16</v>
      </c>
      <c r="Q3" s="116" t="s">
        <v>15</v>
      </c>
      <c r="R3" s="117" t="s">
        <v>16</v>
      </c>
      <c r="S3" s="85" t="s">
        <v>15</v>
      </c>
      <c r="T3" s="86" t="s">
        <v>16</v>
      </c>
      <c r="U3" s="85" t="s">
        <v>15</v>
      </c>
      <c r="V3" s="86" t="s">
        <v>16</v>
      </c>
      <c r="W3" s="85" t="s">
        <v>15</v>
      </c>
      <c r="X3" s="86" t="s">
        <v>16</v>
      </c>
      <c r="Y3" s="85" t="s">
        <v>15</v>
      </c>
      <c r="Z3" s="86" t="s">
        <v>16</v>
      </c>
      <c r="AA3" s="85" t="s">
        <v>15</v>
      </c>
      <c r="AB3" s="86" t="s">
        <v>16</v>
      </c>
      <c r="AC3" s="85" t="s">
        <v>15</v>
      </c>
      <c r="AD3" s="86" t="s">
        <v>16</v>
      </c>
    </row>
    <row r="4" spans="2:30">
      <c r="B4" s="59" t="s">
        <v>17</v>
      </c>
      <c r="C4" s="240" t="str">
        <f>MÁK!A1</f>
        <v>AP A13610440</v>
      </c>
      <c r="D4" s="108" t="s">
        <v>18</v>
      </c>
      <c r="E4" s="108" t="s">
        <v>19</v>
      </c>
      <c r="F4" s="112" t="s">
        <v>20</v>
      </c>
      <c r="G4" s="80">
        <f>'202601'!M3</f>
        <v>7171251.5</v>
      </c>
      <c r="H4" s="80">
        <f>'202601'!J3</f>
        <v>459515</v>
      </c>
      <c r="I4" s="91">
        <f>'202602'!M3</f>
        <v>7420547</v>
      </c>
      <c r="J4" s="92">
        <f>'202602'!J3</f>
        <v>495690</v>
      </c>
      <c r="K4" s="91">
        <f>'202603'!M3</f>
        <v>8220375</v>
      </c>
      <c r="L4" s="80">
        <f>'202603'!J3</f>
        <v>531410</v>
      </c>
      <c r="M4" s="91">
        <f>'202604'!M3</f>
        <v>410185</v>
      </c>
      <c r="N4" s="92">
        <f>'202604'!J3</f>
        <v>18975</v>
      </c>
      <c r="O4" s="80"/>
      <c r="P4" s="80"/>
      <c r="Q4" s="91"/>
      <c r="R4" s="92"/>
      <c r="S4" s="91"/>
      <c r="T4" s="92"/>
      <c r="U4" s="91"/>
      <c r="V4" s="92"/>
      <c r="W4" s="91"/>
      <c r="X4" s="92"/>
      <c r="Y4" s="91"/>
      <c r="Z4" s="92"/>
      <c r="AA4" s="91"/>
      <c r="AB4" s="92"/>
      <c r="AC4" s="91"/>
      <c r="AD4" s="92"/>
    </row>
    <row r="5" spans="2:30">
      <c r="B5" s="118"/>
      <c r="C5" s="105"/>
      <c r="D5" s="38"/>
      <c r="E5" s="38"/>
      <c r="F5" s="33"/>
      <c r="G5" s="80"/>
      <c r="H5" s="80"/>
      <c r="I5" s="91"/>
      <c r="J5" s="92"/>
      <c r="K5" s="91"/>
      <c r="L5" s="80"/>
      <c r="M5" s="91"/>
      <c r="N5" s="92"/>
      <c r="O5" s="80"/>
      <c r="P5" s="89"/>
      <c r="Q5" s="91"/>
      <c r="R5" s="101"/>
      <c r="S5" s="91"/>
      <c r="T5" s="101"/>
      <c r="U5" s="91"/>
      <c r="V5" s="101"/>
      <c r="W5" s="91"/>
      <c r="X5" s="101"/>
      <c r="Y5" s="91"/>
      <c r="Z5" s="101"/>
      <c r="AA5" s="91"/>
      <c r="AB5" s="101"/>
      <c r="AC5" s="91"/>
      <c r="AD5" s="101"/>
    </row>
    <row r="6" spans="2:30">
      <c r="B6" s="94" t="s">
        <v>21</v>
      </c>
      <c r="C6" s="104" t="str">
        <f>Knorr105!A1</f>
        <v>AP A09111376</v>
      </c>
      <c r="D6" s="108" t="s">
        <v>22</v>
      </c>
      <c r="E6" s="108" t="s">
        <v>23</v>
      </c>
      <c r="F6" s="112" t="s">
        <v>20</v>
      </c>
      <c r="G6" s="80">
        <f>'202601'!M5</f>
        <v>8507316</v>
      </c>
      <c r="H6" s="80">
        <f>'202601'!J5</f>
        <v>7190</v>
      </c>
      <c r="I6" s="91">
        <f>'202602'!M5</f>
        <v>7875677</v>
      </c>
      <c r="J6" s="92">
        <f>'202602'!J5</f>
        <v>0</v>
      </c>
      <c r="K6" s="91">
        <f>'202603'!M5</f>
        <v>8959031</v>
      </c>
      <c r="L6" s="80">
        <f>'202603'!J5</f>
        <v>7760</v>
      </c>
      <c r="M6" s="91">
        <f>'202604'!M5</f>
        <v>504205</v>
      </c>
      <c r="N6" s="92">
        <f>'202604'!J5</f>
        <v>0</v>
      </c>
      <c r="O6" s="80"/>
      <c r="P6" s="80"/>
      <c r="Q6" s="91"/>
      <c r="R6" s="92"/>
      <c r="S6" s="91"/>
      <c r="T6" s="92"/>
      <c r="U6" s="91"/>
      <c r="V6" s="92"/>
      <c r="W6" s="91"/>
      <c r="X6" s="92"/>
      <c r="Y6" s="91"/>
      <c r="Z6" s="92"/>
      <c r="AA6" s="91"/>
      <c r="AB6" s="92"/>
      <c r="AC6" s="91"/>
      <c r="AD6" s="92"/>
    </row>
    <row r="7" spans="2:30">
      <c r="B7" s="94" t="s">
        <v>21</v>
      </c>
      <c r="C7" s="94" t="str">
        <f>Knorr105!Q1</f>
        <v xml:space="preserve">AP A24010154 </v>
      </c>
      <c r="D7" s="108" t="s">
        <v>24</v>
      </c>
      <c r="E7" s="108" t="s">
        <v>25</v>
      </c>
      <c r="F7" s="112" t="s">
        <v>20</v>
      </c>
      <c r="G7" s="80">
        <f>'202601'!M6</f>
        <v>11291268.449999999</v>
      </c>
      <c r="H7" s="80">
        <f>'202601'!J6</f>
        <v>4225</v>
      </c>
      <c r="I7" s="91">
        <f>'202602'!M6</f>
        <v>11339936</v>
      </c>
      <c r="J7" s="92">
        <f>'202602'!J6</f>
        <v>17725</v>
      </c>
      <c r="K7" s="91">
        <f>'202603'!M6</f>
        <v>13305803</v>
      </c>
      <c r="L7" s="80">
        <f>'202603'!J6</f>
        <v>10140</v>
      </c>
      <c r="M7" s="91">
        <f>'202604'!M6</f>
        <v>1012005</v>
      </c>
      <c r="N7" s="92">
        <f>'202604'!J6</f>
        <v>1990</v>
      </c>
      <c r="O7" s="80"/>
      <c r="P7" s="80"/>
      <c r="Q7" s="91"/>
      <c r="R7" s="92"/>
      <c r="S7" s="91"/>
      <c r="T7" s="92"/>
      <c r="U7" s="91"/>
      <c r="V7" s="92"/>
      <c r="W7" s="91"/>
      <c r="X7" s="92"/>
      <c r="Y7" s="91"/>
      <c r="Z7" s="92"/>
      <c r="AA7" s="91"/>
      <c r="AB7" s="92"/>
      <c r="AC7" s="91"/>
      <c r="AD7" s="92"/>
    </row>
    <row r="8" spans="2:30">
      <c r="B8" s="94" t="s">
        <v>21</v>
      </c>
      <c r="C8" s="94" t="str">
        <f>Knorr105!AG1</f>
        <v>AP A13609805</v>
      </c>
      <c r="D8" s="108" t="s">
        <v>26</v>
      </c>
      <c r="E8" s="108" t="s">
        <v>27</v>
      </c>
      <c r="F8" s="112" t="s">
        <v>28</v>
      </c>
      <c r="G8" s="80">
        <f>'202601'!M7</f>
        <v>7283289.4999999991</v>
      </c>
      <c r="H8" s="80">
        <f>'202601'!J7</f>
        <v>0</v>
      </c>
      <c r="I8" s="91">
        <f>'202602'!M7</f>
        <v>7712250</v>
      </c>
      <c r="J8" s="92">
        <f>'202602'!J7</f>
        <v>0</v>
      </c>
      <c r="K8" s="91">
        <f>'202603'!M7</f>
        <v>7748276</v>
      </c>
      <c r="L8" s="80">
        <f>'202603'!J7</f>
        <v>0</v>
      </c>
      <c r="M8" s="91">
        <f>'202604'!M7</f>
        <v>803240</v>
      </c>
      <c r="N8" s="92">
        <f>'202604'!J7</f>
        <v>0</v>
      </c>
      <c r="O8" s="80"/>
      <c r="P8" s="80"/>
      <c r="Q8" s="91"/>
      <c r="R8" s="92"/>
      <c r="S8" s="91"/>
      <c r="T8" s="92"/>
      <c r="U8" s="91"/>
      <c r="V8" s="92"/>
      <c r="W8" s="91"/>
      <c r="X8" s="92"/>
      <c r="Y8" s="91"/>
      <c r="Z8" s="92"/>
      <c r="AA8" s="91"/>
      <c r="AB8" s="92"/>
      <c r="AC8" s="91"/>
      <c r="AD8" s="92"/>
    </row>
    <row r="9" spans="2:30">
      <c r="B9" s="94" t="s">
        <v>21</v>
      </c>
      <c r="C9" s="94" t="s">
        <v>29</v>
      </c>
      <c r="D9" s="108" t="s">
        <v>30</v>
      </c>
      <c r="E9" s="108" t="s">
        <v>31</v>
      </c>
      <c r="F9" s="112" t="s">
        <v>32</v>
      </c>
      <c r="G9" s="80">
        <f>'202601'!M8</f>
        <v>4251199.4999999991</v>
      </c>
      <c r="H9" s="80">
        <f>'202601'!J8</f>
        <v>0</v>
      </c>
      <c r="I9" s="91">
        <f>'202602'!M8</f>
        <v>3650765</v>
      </c>
      <c r="J9" s="92">
        <f>'202602'!J8</f>
        <v>0</v>
      </c>
      <c r="K9" s="91">
        <f>'202603'!M8</f>
        <v>5197181</v>
      </c>
      <c r="L9" s="80">
        <f>'202603'!J8</f>
        <v>5870</v>
      </c>
      <c r="M9" s="91">
        <f>'202604'!M8</f>
        <v>546650</v>
      </c>
      <c r="N9" s="92">
        <f>'202604'!J8</f>
        <v>0</v>
      </c>
      <c r="O9" s="80"/>
      <c r="P9" s="80"/>
      <c r="Q9" s="91"/>
      <c r="R9" s="92"/>
      <c r="S9" s="91"/>
      <c r="T9" s="92"/>
      <c r="U9" s="91"/>
      <c r="V9" s="92"/>
      <c r="W9" s="91"/>
      <c r="X9" s="92"/>
      <c r="Y9" s="91"/>
      <c r="Z9" s="92"/>
      <c r="AA9" s="91"/>
      <c r="AB9" s="92"/>
      <c r="AC9" s="91"/>
      <c r="AD9" s="92"/>
    </row>
    <row r="10" spans="2:30">
      <c r="B10" s="115"/>
      <c r="C10" s="106"/>
      <c r="D10" s="109"/>
      <c r="E10" s="109"/>
      <c r="F10" s="113"/>
      <c r="G10" s="80"/>
      <c r="H10" s="80"/>
      <c r="I10" s="91"/>
      <c r="J10" s="92"/>
      <c r="K10" s="91"/>
      <c r="L10" s="80"/>
      <c r="M10" s="91"/>
      <c r="N10" s="92"/>
      <c r="O10" s="80"/>
      <c r="P10" s="89"/>
      <c r="Q10" s="91"/>
      <c r="R10" s="101"/>
      <c r="S10" s="91"/>
      <c r="T10" s="101"/>
      <c r="U10" s="91"/>
      <c r="V10" s="101"/>
      <c r="W10" s="91"/>
      <c r="X10" s="101"/>
      <c r="Y10" s="91"/>
      <c r="Z10" s="101"/>
      <c r="AA10" s="91"/>
      <c r="AB10" s="101"/>
      <c r="AC10" s="91"/>
      <c r="AD10" s="101"/>
    </row>
    <row r="11" spans="2:30">
      <c r="B11" s="94" t="s">
        <v>33</v>
      </c>
      <c r="C11" s="94" t="str">
        <f>Knorr86!A1</f>
        <v>AP A13607465</v>
      </c>
      <c r="D11" s="108" t="s">
        <v>34</v>
      </c>
      <c r="E11" s="108" t="s">
        <v>35</v>
      </c>
      <c r="F11" s="112" t="s">
        <v>36</v>
      </c>
      <c r="G11" s="80">
        <f>'202601'!M10</f>
        <v>4985745.5</v>
      </c>
      <c r="H11" s="80">
        <f>'202601'!J10</f>
        <v>29890</v>
      </c>
      <c r="I11" s="91">
        <f>'202602'!M10</f>
        <v>4902145</v>
      </c>
      <c r="J11" s="92">
        <f>'202602'!J10</f>
        <v>37230</v>
      </c>
      <c r="K11" s="91">
        <f>'202603'!M10</f>
        <v>5613404</v>
      </c>
      <c r="L11" s="80">
        <f>'202603'!J10</f>
        <v>43750</v>
      </c>
      <c r="M11" s="91">
        <f>'202604'!M10</f>
        <v>0</v>
      </c>
      <c r="N11" s="92">
        <f>'202604'!J10</f>
        <v>0</v>
      </c>
      <c r="O11" s="80"/>
      <c r="P11" s="80"/>
      <c r="Q11" s="91"/>
      <c r="R11" s="92"/>
      <c r="S11" s="91"/>
      <c r="T11" s="92"/>
      <c r="U11" s="91"/>
      <c r="V11" s="92"/>
      <c r="W11" s="91"/>
      <c r="X11" s="92"/>
      <c r="Y11" s="91"/>
      <c r="Z11" s="92"/>
      <c r="AA11" s="91"/>
      <c r="AB11" s="92"/>
      <c r="AC11" s="91"/>
      <c r="AD11" s="92"/>
    </row>
    <row r="12" spans="2:30">
      <c r="B12" s="115"/>
      <c r="C12" s="106"/>
      <c r="D12" s="109"/>
      <c r="E12" s="109"/>
      <c r="F12" s="113"/>
      <c r="G12" s="80"/>
      <c r="H12" s="80"/>
      <c r="I12" s="91"/>
      <c r="J12" s="92"/>
      <c r="K12" s="91"/>
      <c r="L12" s="80"/>
      <c r="M12" s="91"/>
      <c r="N12" s="92"/>
      <c r="O12" s="80"/>
      <c r="P12" s="89"/>
      <c r="Q12" s="91"/>
      <c r="R12" s="101"/>
      <c r="S12" s="91"/>
      <c r="T12" s="101"/>
      <c r="U12" s="91"/>
      <c r="V12" s="101"/>
      <c r="W12" s="91"/>
      <c r="X12" s="101"/>
      <c r="Y12" s="91"/>
      <c r="Z12" s="101"/>
      <c r="AA12" s="91"/>
      <c r="AB12" s="101"/>
      <c r="AC12" s="91"/>
      <c r="AD12" s="101"/>
    </row>
    <row r="13" spans="2:30">
      <c r="B13" s="94" t="s">
        <v>37</v>
      </c>
      <c r="C13" s="104" t="str">
        <f>Knorr69!A1</f>
        <v>AP A09111377</v>
      </c>
      <c r="D13" s="108" t="s">
        <v>38</v>
      </c>
      <c r="E13" s="108" t="s">
        <v>39</v>
      </c>
      <c r="F13" s="112" t="s">
        <v>20</v>
      </c>
      <c r="G13" s="80">
        <f>'202601'!M12</f>
        <v>7505770.5</v>
      </c>
      <c r="H13" s="80">
        <f>'202601'!J12</f>
        <v>350</v>
      </c>
      <c r="I13" s="91">
        <f>'202602'!M12</f>
        <v>7048430</v>
      </c>
      <c r="J13" s="92">
        <f>'202602'!J12</f>
        <v>0</v>
      </c>
      <c r="K13" s="91">
        <f>'202603'!M12</f>
        <v>8469423</v>
      </c>
      <c r="L13" s="80">
        <f>'202603'!J12</f>
        <v>10615</v>
      </c>
      <c r="M13" s="91">
        <f>'202604'!M12</f>
        <v>335378</v>
      </c>
      <c r="N13" s="92">
        <f>'202604'!J12</f>
        <v>0</v>
      </c>
      <c r="O13" s="80"/>
      <c r="P13" s="80"/>
      <c r="Q13" s="91"/>
      <c r="R13" s="92"/>
      <c r="S13" s="91"/>
      <c r="T13" s="92"/>
      <c r="U13" s="91"/>
      <c r="V13" s="92"/>
      <c r="W13" s="91"/>
      <c r="X13" s="92"/>
      <c r="Y13" s="91"/>
      <c r="Z13" s="92"/>
      <c r="AA13" s="91"/>
      <c r="AB13" s="92"/>
      <c r="AC13" s="91"/>
      <c r="AD13" s="92"/>
    </row>
    <row r="14" spans="2:30">
      <c r="B14" s="115"/>
      <c r="C14" s="106"/>
      <c r="D14" s="109"/>
      <c r="E14" s="109"/>
      <c r="F14" s="113"/>
      <c r="G14" s="80"/>
      <c r="H14" s="80"/>
      <c r="I14" s="91"/>
      <c r="J14" s="92"/>
      <c r="K14" s="91"/>
      <c r="L14" s="80"/>
      <c r="M14" s="91"/>
      <c r="N14" s="92"/>
      <c r="O14" s="80"/>
      <c r="P14" s="89"/>
      <c r="Q14" s="91"/>
      <c r="R14" s="101"/>
      <c r="S14" s="91"/>
      <c r="T14" s="101"/>
      <c r="U14" s="91"/>
      <c r="V14" s="101"/>
      <c r="W14" s="91"/>
      <c r="X14" s="101"/>
      <c r="Y14" s="91"/>
      <c r="Z14" s="101"/>
      <c r="AA14" s="91"/>
      <c r="AB14" s="101"/>
      <c r="AC14" s="91"/>
      <c r="AD14" s="101"/>
    </row>
    <row r="15" spans="2:30">
      <c r="B15" s="94" t="s">
        <v>40</v>
      </c>
      <c r="C15" s="104" t="str">
        <f>KTI!A1</f>
        <v>AP A13607773</v>
      </c>
      <c r="D15" s="108" t="s">
        <v>41</v>
      </c>
      <c r="E15" s="108" t="s">
        <v>42</v>
      </c>
      <c r="F15" s="112" t="s">
        <v>28</v>
      </c>
      <c r="G15" s="80">
        <f>'202601'!M14</f>
        <v>3588791.5</v>
      </c>
      <c r="H15" s="80">
        <f>'202601'!J14</f>
        <v>491910</v>
      </c>
      <c r="I15" s="91">
        <f>'202602'!M14</f>
        <v>3120005</v>
      </c>
      <c r="J15" s="92">
        <f>'202602'!J14</f>
        <v>322525</v>
      </c>
      <c r="K15" s="91">
        <f>'202603'!M14</f>
        <v>3575864</v>
      </c>
      <c r="L15" s="80">
        <f>'202603'!J14</f>
        <v>364510</v>
      </c>
      <c r="M15" s="91">
        <f>'202604'!M14</f>
        <v>0</v>
      </c>
      <c r="N15" s="92">
        <f>'202604'!J14</f>
        <v>0</v>
      </c>
      <c r="O15" s="80"/>
      <c r="P15" s="80"/>
      <c r="Q15" s="91"/>
      <c r="R15" s="92"/>
      <c r="S15" s="91"/>
      <c r="T15" s="92"/>
      <c r="U15" s="91"/>
      <c r="V15" s="92"/>
      <c r="W15" s="91"/>
      <c r="X15" s="92"/>
      <c r="Y15" s="91"/>
      <c r="Z15" s="92"/>
      <c r="AA15" s="91"/>
      <c r="AB15" s="92"/>
      <c r="AC15" s="91"/>
      <c r="AD15" s="92"/>
    </row>
    <row r="16" spans="2:30">
      <c r="B16" s="115"/>
      <c r="C16" s="106"/>
      <c r="D16" s="109"/>
      <c r="E16" s="109"/>
      <c r="F16" s="113"/>
      <c r="G16" s="80"/>
      <c r="H16" s="80"/>
      <c r="I16" s="91"/>
      <c r="J16" s="92"/>
      <c r="K16" s="91"/>
      <c r="L16" s="80"/>
      <c r="M16" s="91"/>
      <c r="N16" s="92"/>
      <c r="O16" s="80"/>
      <c r="P16" s="89"/>
      <c r="Q16" s="91"/>
      <c r="R16" s="101"/>
      <c r="S16" s="91"/>
      <c r="T16" s="101"/>
      <c r="U16" s="91"/>
      <c r="V16" s="101"/>
      <c r="W16" s="91"/>
      <c r="X16" s="101"/>
      <c r="Y16" s="91"/>
      <c r="Z16" s="101"/>
      <c r="AA16" s="91"/>
      <c r="AB16" s="101"/>
      <c r="AC16" s="91"/>
      <c r="AD16" s="101"/>
    </row>
    <row r="17" spans="1:30">
      <c r="B17" s="94" t="s">
        <v>43</v>
      </c>
      <c r="C17" s="104" t="str">
        <f>Szentkiralyi!A1</f>
        <v>AP A13611447</v>
      </c>
      <c r="D17" s="108" t="s">
        <v>44</v>
      </c>
      <c r="E17" s="108"/>
      <c r="F17" s="112" t="s">
        <v>20</v>
      </c>
      <c r="G17" s="80">
        <f>'202601'!M16</f>
        <v>507294.5</v>
      </c>
      <c r="H17" s="80">
        <f>'202601'!J16</f>
        <v>52355</v>
      </c>
      <c r="I17" s="91">
        <f>'202602'!M16</f>
        <v>877923</v>
      </c>
      <c r="J17" s="92">
        <f>'202602'!J16</f>
        <v>64210</v>
      </c>
      <c r="K17" s="91">
        <f>'202603'!M16</f>
        <v>1012079</v>
      </c>
      <c r="L17" s="80">
        <f>'202603'!J16</f>
        <v>82095</v>
      </c>
      <c r="M17" s="91">
        <f>'202604'!M16</f>
        <v>0</v>
      </c>
      <c r="N17" s="92">
        <f>'202604'!J16</f>
        <v>0</v>
      </c>
      <c r="O17" s="80"/>
      <c r="P17" s="80"/>
      <c r="Q17" s="91"/>
      <c r="R17" s="92"/>
      <c r="S17" s="91"/>
      <c r="T17" s="92"/>
      <c r="U17" s="91"/>
      <c r="V17" s="92"/>
      <c r="W17" s="91"/>
      <c r="X17" s="92"/>
      <c r="Y17" s="91"/>
      <c r="Z17" s="92"/>
      <c r="AA17" s="91"/>
      <c r="AB17" s="92"/>
      <c r="AC17" s="91"/>
      <c r="AD17" s="92"/>
    </row>
    <row r="18" spans="1:30">
      <c r="B18" s="115"/>
      <c r="C18" s="106"/>
      <c r="D18" s="109"/>
      <c r="E18" s="109"/>
      <c r="F18" s="113"/>
      <c r="G18" s="80"/>
      <c r="H18" s="80"/>
      <c r="I18" s="91"/>
      <c r="J18" s="92"/>
      <c r="K18" s="91"/>
      <c r="L18" s="80"/>
      <c r="M18" s="91"/>
      <c r="N18" s="92"/>
      <c r="O18" s="80"/>
      <c r="P18" s="80"/>
      <c r="Q18" s="91"/>
      <c r="R18" s="92"/>
      <c r="S18" s="91"/>
      <c r="T18" s="92"/>
      <c r="U18" s="91"/>
      <c r="V18" s="92"/>
      <c r="W18" s="91"/>
      <c r="X18" s="92"/>
      <c r="Y18" s="91"/>
      <c r="Z18" s="92"/>
      <c r="AA18" s="91"/>
      <c r="AB18" s="92"/>
      <c r="AC18" s="91"/>
      <c r="AD18" s="92"/>
    </row>
    <row r="19" spans="1:30">
      <c r="B19" s="94" t="s">
        <v>45</v>
      </c>
      <c r="C19" s="104" t="s">
        <v>46</v>
      </c>
      <c r="D19" s="108" t="s">
        <v>47</v>
      </c>
      <c r="E19" s="108" t="s">
        <v>48</v>
      </c>
      <c r="F19" s="112" t="s">
        <v>20</v>
      </c>
      <c r="G19" s="80">
        <f>'202601'!M18</f>
        <v>3828452.5</v>
      </c>
      <c r="H19" s="80">
        <f>'202601'!J18</f>
        <v>864660</v>
      </c>
      <c r="I19" s="91">
        <f>'202602'!M18</f>
        <v>3408115</v>
      </c>
      <c r="J19" s="92">
        <f>'202602'!J18</f>
        <v>1580415</v>
      </c>
      <c r="K19" s="91">
        <f>'202603'!M18</f>
        <v>3624292</v>
      </c>
      <c r="L19" s="80">
        <f>'202603'!J18</f>
        <v>1134560</v>
      </c>
      <c r="M19" s="91">
        <f>'202604'!M18</f>
        <v>13510</v>
      </c>
      <c r="N19" s="92">
        <f>'202604'!J18</f>
        <v>3350</v>
      </c>
      <c r="O19" s="80"/>
      <c r="P19" s="80"/>
      <c r="Q19" s="91"/>
      <c r="R19" s="92"/>
      <c r="S19" s="91"/>
      <c r="T19" s="92"/>
      <c r="U19" s="91"/>
      <c r="V19" s="92"/>
      <c r="W19" s="91"/>
      <c r="X19" s="92"/>
      <c r="Y19" s="91"/>
      <c r="Z19" s="92"/>
      <c r="AA19" s="91"/>
      <c r="AB19" s="92"/>
      <c r="AC19" s="91"/>
      <c r="AD19" s="92"/>
    </row>
    <row r="20" spans="1:30">
      <c r="B20" s="94" t="s">
        <v>45</v>
      </c>
      <c r="C20" s="94" t="s">
        <v>49</v>
      </c>
      <c r="D20" s="108" t="s">
        <v>50</v>
      </c>
      <c r="E20" s="519" t="s">
        <v>51</v>
      </c>
      <c r="F20" s="112" t="s">
        <v>20</v>
      </c>
      <c r="G20" s="80">
        <f>'202601'!M19</f>
        <v>1542637.5</v>
      </c>
      <c r="H20" s="80">
        <f>'202601'!J19</f>
        <v>115925</v>
      </c>
      <c r="I20" s="91">
        <f>'202602'!M19</f>
        <v>1633064</v>
      </c>
      <c r="J20" s="92">
        <f>'202602'!J19</f>
        <v>841685</v>
      </c>
      <c r="K20" s="91">
        <f>'202603'!M19</f>
        <v>460121</v>
      </c>
      <c r="L20" s="80">
        <f>'202603'!J19</f>
        <v>136215</v>
      </c>
      <c r="M20" s="91">
        <f>'202604'!M19</f>
        <v>0</v>
      </c>
      <c r="N20" s="92">
        <f>'202604'!J19</f>
        <v>0</v>
      </c>
      <c r="O20" s="80"/>
      <c r="P20" s="80"/>
      <c r="Q20" s="91"/>
      <c r="R20" s="92"/>
      <c r="S20" s="91"/>
      <c r="T20" s="92"/>
      <c r="U20" s="91"/>
      <c r="V20" s="92"/>
      <c r="W20" s="91"/>
      <c r="X20" s="92"/>
      <c r="Y20" s="91"/>
      <c r="Z20" s="92"/>
      <c r="AA20" s="91"/>
      <c r="AB20" s="92"/>
      <c r="AC20" s="91"/>
      <c r="AD20" s="92"/>
    </row>
    <row r="21" spans="1:30">
      <c r="B21" s="59" t="s">
        <v>52</v>
      </c>
      <c r="C21" s="180" t="s">
        <v>53</v>
      </c>
      <c r="D21" s="108" t="s">
        <v>54</v>
      </c>
      <c r="E21" s="520">
        <v>45961</v>
      </c>
      <c r="F21" s="518" t="s">
        <v>28</v>
      </c>
      <c r="G21" s="80">
        <f>'202601'!M21</f>
        <v>866285.50000000012</v>
      </c>
      <c r="H21" s="80">
        <f>'202601'!J21</f>
        <v>343775</v>
      </c>
      <c r="I21" s="91">
        <f>'202602'!M20</f>
        <v>3730025</v>
      </c>
      <c r="J21" s="92">
        <f>'202602'!J20</f>
        <v>1760265</v>
      </c>
      <c r="K21" s="91">
        <f>'202603'!M20</f>
        <v>0</v>
      </c>
      <c r="L21" s="80">
        <f>'202603'!J20</f>
        <v>0</v>
      </c>
      <c r="M21" s="91">
        <f>'202604'!M20</f>
        <v>0</v>
      </c>
      <c r="N21" s="92">
        <f>'202604'!J20</f>
        <v>0</v>
      </c>
      <c r="O21" s="80"/>
      <c r="P21" s="80"/>
      <c r="Q21" s="91"/>
      <c r="R21" s="92"/>
      <c r="S21" s="91"/>
      <c r="T21" s="92"/>
      <c r="U21" s="91"/>
      <c r="V21" s="92"/>
      <c r="W21" s="91"/>
      <c r="X21" s="92"/>
      <c r="Y21" s="91"/>
      <c r="Z21" s="92"/>
      <c r="AA21" s="91"/>
      <c r="AB21" s="92"/>
      <c r="AC21" s="91"/>
      <c r="AD21" s="92"/>
    </row>
    <row r="22" spans="1:30">
      <c r="B22" s="59" t="s">
        <v>52</v>
      </c>
      <c r="C22" s="180" t="s">
        <v>55</v>
      </c>
      <c r="D22" s="108" t="s">
        <v>56</v>
      </c>
      <c r="E22" s="517">
        <v>45958</v>
      </c>
      <c r="F22" s="518" t="s">
        <v>28</v>
      </c>
      <c r="G22" s="80">
        <f>'202601'!M22</f>
        <v>0</v>
      </c>
      <c r="H22" s="80">
        <f>'202601'!J22</f>
        <v>0</v>
      </c>
      <c r="I22" s="91">
        <f>'202602'!M21</f>
        <v>112060</v>
      </c>
      <c r="J22" s="92">
        <f>'202602'!J21</f>
        <v>34150</v>
      </c>
      <c r="K22" s="91">
        <f>'202603'!M21</f>
        <v>100380</v>
      </c>
      <c r="L22" s="80">
        <f>'202603'!J21</f>
        <v>24640</v>
      </c>
      <c r="M22" s="91">
        <f>'202604'!M21</f>
        <v>0</v>
      </c>
      <c r="N22" s="92">
        <f>'202604'!J21</f>
        <v>0</v>
      </c>
      <c r="O22" s="80"/>
      <c r="P22" s="80"/>
      <c r="Q22" s="91"/>
      <c r="R22" s="92"/>
      <c r="S22" s="91"/>
      <c r="T22" s="92"/>
      <c r="U22" s="91"/>
      <c r="V22" s="92"/>
      <c r="W22" s="91"/>
      <c r="X22" s="92"/>
      <c r="Y22" s="91"/>
      <c r="Z22" s="92"/>
      <c r="AA22" s="91"/>
      <c r="AB22" s="92"/>
      <c r="AC22" s="91"/>
      <c r="AD22" s="92"/>
    </row>
    <row r="23" spans="1:30">
      <c r="B23" s="115"/>
      <c r="C23" s="106"/>
      <c r="D23" s="109"/>
      <c r="E23" s="521"/>
      <c r="F23" s="113"/>
      <c r="G23" s="80"/>
      <c r="H23" s="80"/>
      <c r="I23" s="91"/>
      <c r="J23" s="92"/>
      <c r="K23" s="91"/>
      <c r="L23" s="80"/>
      <c r="M23" s="91"/>
      <c r="N23" s="92"/>
      <c r="O23" s="80"/>
      <c r="P23" s="89"/>
      <c r="Q23" s="91"/>
      <c r="R23" s="101"/>
      <c r="S23" s="91"/>
      <c r="T23" s="101"/>
      <c r="U23" s="91"/>
      <c r="V23" s="101"/>
      <c r="W23" s="91"/>
      <c r="X23" s="101"/>
      <c r="Y23" s="91"/>
      <c r="Z23" s="101"/>
      <c r="AA23" s="91"/>
      <c r="AB23" s="101"/>
      <c r="AC23" s="91"/>
      <c r="AD23" s="101"/>
    </row>
    <row r="24" spans="1:30">
      <c r="B24" s="59" t="s">
        <v>57</v>
      </c>
      <c r="C24" s="180" t="s">
        <v>58</v>
      </c>
      <c r="D24" s="108" t="s">
        <v>59</v>
      </c>
      <c r="E24" s="108" t="s">
        <v>60</v>
      </c>
      <c r="F24" s="112" t="s">
        <v>28</v>
      </c>
      <c r="G24" s="80">
        <f>'202601'!M23</f>
        <v>466823</v>
      </c>
      <c r="H24" s="80">
        <f>'202601'!J23</f>
        <v>28930</v>
      </c>
      <c r="I24" s="91">
        <f>'202602'!M23</f>
        <v>398680</v>
      </c>
      <c r="J24" s="92">
        <f>'202602'!J23</f>
        <v>22860</v>
      </c>
      <c r="K24" s="91">
        <f>'202603'!M23</f>
        <v>0</v>
      </c>
      <c r="L24" s="80">
        <f>'202603'!J23</f>
        <v>0</v>
      </c>
      <c r="M24" s="91">
        <f>'202604'!M23</f>
        <v>185209</v>
      </c>
      <c r="N24" s="92">
        <f>'202604'!J23</f>
        <v>12210</v>
      </c>
      <c r="O24" s="80"/>
      <c r="P24" s="80"/>
      <c r="Q24" s="91"/>
      <c r="R24" s="92"/>
      <c r="S24" s="91"/>
      <c r="T24" s="92"/>
      <c r="U24" s="91"/>
      <c r="V24" s="92"/>
      <c r="W24" s="91"/>
      <c r="X24" s="92"/>
      <c r="Y24" s="91"/>
      <c r="Z24" s="92"/>
      <c r="AA24" s="91"/>
      <c r="AB24" s="92"/>
      <c r="AC24" s="91"/>
      <c r="AD24" s="92"/>
    </row>
    <row r="25" spans="1:30">
      <c r="B25" s="59" t="s">
        <v>57</v>
      </c>
      <c r="C25" s="181" t="s">
        <v>61</v>
      </c>
      <c r="D25" s="108" t="s">
        <v>62</v>
      </c>
      <c r="E25" s="108" t="s">
        <v>63</v>
      </c>
      <c r="F25" s="112" t="s">
        <v>28</v>
      </c>
      <c r="G25" s="80">
        <f>'202601'!M24</f>
        <v>449584</v>
      </c>
      <c r="H25" s="80">
        <f>'202601'!J24</f>
        <v>26565</v>
      </c>
      <c r="I25" s="91">
        <f>'202602'!M24</f>
        <v>270584</v>
      </c>
      <c r="J25" s="92">
        <f>'202602'!J24</f>
        <v>28570</v>
      </c>
      <c r="K25" s="91">
        <f>'202603'!M24</f>
        <v>0</v>
      </c>
      <c r="L25" s="80">
        <f>'202603'!J24</f>
        <v>0</v>
      </c>
      <c r="M25" s="91">
        <f>'202604'!M24</f>
        <v>0</v>
      </c>
      <c r="N25" s="92">
        <f>'202604'!J24</f>
        <v>0</v>
      </c>
      <c r="O25" s="80"/>
      <c r="P25" s="80"/>
      <c r="Q25" s="91"/>
      <c r="R25" s="92"/>
      <c r="S25" s="91"/>
      <c r="T25" s="92"/>
      <c r="U25" s="91"/>
      <c r="V25" s="92"/>
      <c r="W25" s="91"/>
      <c r="X25" s="92"/>
      <c r="Y25" s="91"/>
      <c r="Z25" s="92"/>
      <c r="AA25" s="91"/>
      <c r="AB25" s="92"/>
      <c r="AC25" s="91"/>
      <c r="AD25" s="92"/>
    </row>
    <row r="26" spans="1:30" s="93" customFormat="1" ht="23.25" customHeight="1">
      <c r="A26"/>
      <c r="B26" s="97" t="s">
        <v>64</v>
      </c>
      <c r="C26" s="124"/>
      <c r="D26" s="110"/>
      <c r="E26" s="110"/>
      <c r="F26" s="114"/>
      <c r="G26" s="102">
        <f>SUM(G4:G25)</f>
        <v>62245709.449999996</v>
      </c>
      <c r="H26" s="96">
        <f>SUM(H4:H25)</f>
        <v>2425290</v>
      </c>
      <c r="I26" s="103">
        <f>SUM(I4:I25)</f>
        <v>63500206</v>
      </c>
      <c r="J26" s="95">
        <f>SUM(J4:J25)</f>
        <v>5205325</v>
      </c>
      <c r="K26" s="102">
        <f>SUM(K4:K25)</f>
        <v>66286229</v>
      </c>
      <c r="L26" s="96">
        <f>SUM(L4:L25)</f>
        <v>2351565</v>
      </c>
      <c r="M26" s="103">
        <f>SUM(M4:M25)</f>
        <v>3810382</v>
      </c>
      <c r="N26" s="95">
        <f>SUM(N4:N25)</f>
        <v>36525</v>
      </c>
      <c r="O26" s="102">
        <f>SUM(O4:O25)</f>
        <v>0</v>
      </c>
      <c r="P26" s="96">
        <f>SUM(P4:P25)</f>
        <v>0</v>
      </c>
      <c r="Q26" s="103">
        <f>SUM(Q4:Q25)</f>
        <v>0</v>
      </c>
      <c r="R26" s="95">
        <f>SUM(R4:R25)</f>
        <v>0</v>
      </c>
      <c r="S26" s="103">
        <f>SUM(S4:S25)</f>
        <v>0</v>
      </c>
      <c r="T26" s="95">
        <f>SUM(T4:T25)</f>
        <v>0</v>
      </c>
      <c r="U26" s="103">
        <f>SUM(U4:U25)</f>
        <v>0</v>
      </c>
      <c r="V26" s="95">
        <f>SUM(V4:V25)</f>
        <v>0</v>
      </c>
      <c r="W26" s="103">
        <f>SUM(W4:W25)</f>
        <v>0</v>
      </c>
      <c r="X26" s="95">
        <f>SUM(X4:X25)</f>
        <v>0</v>
      </c>
      <c r="Y26" s="103">
        <f>SUM(Y4:Y25)</f>
        <v>0</v>
      </c>
      <c r="Z26" s="95">
        <f>SUM(Z4:Z25)</f>
        <v>0</v>
      </c>
      <c r="AA26" s="103">
        <f>SUM(AA4:AA25)</f>
        <v>0</v>
      </c>
      <c r="AB26" s="95">
        <f>SUM(AB4:AB25)</f>
        <v>0</v>
      </c>
      <c r="AC26" s="103">
        <f>SUM(AC4:AC25)</f>
        <v>0</v>
      </c>
      <c r="AD26" s="95">
        <f>SUM(AD4:AD25)</f>
        <v>0</v>
      </c>
    </row>
    <row r="27" spans="1:30">
      <c r="G27" s="80"/>
      <c r="H27" s="80"/>
      <c r="I27" s="80"/>
      <c r="J27" s="80"/>
      <c r="K27" s="80"/>
      <c r="L27" s="89"/>
      <c r="M27" s="89"/>
      <c r="N27" s="63"/>
      <c r="O27" s="9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</row>
    <row r="28" spans="1:30">
      <c r="B28" s="119" t="s">
        <v>65</v>
      </c>
      <c r="C28" s="105"/>
      <c r="D28" s="123"/>
      <c r="E28" s="205"/>
      <c r="F28" s="38"/>
      <c r="G28" s="9"/>
      <c r="H28" s="126"/>
      <c r="I28" s="120"/>
      <c r="J28" s="120"/>
    </row>
    <row r="29" spans="1:30">
      <c r="B29" s="10"/>
      <c r="C29" s="105"/>
      <c r="D29" s="33"/>
      <c r="E29" s="122"/>
      <c r="F29" s="122"/>
      <c r="G29" s="125"/>
      <c r="H29" s="121"/>
      <c r="I29" s="120"/>
      <c r="J29" s="120"/>
    </row>
    <row r="30" spans="1:30">
      <c r="B30" s="59" t="s">
        <v>66</v>
      </c>
      <c r="C30" s="105" t="s">
        <v>67</v>
      </c>
      <c r="D30" s="33" t="s">
        <v>68</v>
      </c>
      <c r="E30" s="122"/>
      <c r="F30" s="122" t="s">
        <v>20</v>
      </c>
      <c r="G30" s="622" t="s">
        <v>69</v>
      </c>
      <c r="H30" s="623"/>
      <c r="I30" s="620" t="s">
        <v>70</v>
      </c>
      <c r="J30" s="621"/>
    </row>
    <row r="31" spans="1:30" ht="15" customHeight="1">
      <c r="B31" s="59" t="s">
        <v>71</v>
      </c>
      <c r="C31" s="105" t="s">
        <v>72</v>
      </c>
      <c r="D31" s="111" t="s">
        <v>73</v>
      </c>
      <c r="E31" s="111"/>
      <c r="F31" s="33" t="s">
        <v>20</v>
      </c>
      <c r="G31" s="620"/>
      <c r="H31" s="624"/>
      <c r="I31" s="620" t="s">
        <v>70</v>
      </c>
      <c r="J31" s="621"/>
    </row>
    <row r="32" spans="1:30" ht="15" customHeight="1">
      <c r="B32" s="59" t="s">
        <v>74</v>
      </c>
      <c r="C32" s="130" t="s">
        <v>75</v>
      </c>
      <c r="D32" s="123" t="s">
        <v>76</v>
      </c>
      <c r="E32" s="123"/>
      <c r="F32" s="123" t="s">
        <v>32</v>
      </c>
      <c r="G32" s="625" t="s">
        <v>69</v>
      </c>
      <c r="H32" s="626"/>
      <c r="I32" s="625"/>
      <c r="J32" s="627"/>
    </row>
    <row r="33" spans="2:10" ht="15" customHeight="1">
      <c r="B33" s="59" t="s">
        <v>77</v>
      </c>
      <c r="C33" s="105" t="s">
        <v>78</v>
      </c>
      <c r="D33" s="33" t="s">
        <v>79</v>
      </c>
      <c r="E33" s="33"/>
      <c r="F33" s="33" t="s">
        <v>28</v>
      </c>
      <c r="G33" s="620" t="s">
        <v>80</v>
      </c>
      <c r="H33" s="624"/>
      <c r="I33" s="620"/>
      <c r="J33" s="621"/>
    </row>
    <row r="34" spans="2:10" ht="15" customHeight="1">
      <c r="B34" s="108" t="s">
        <v>81</v>
      </c>
      <c r="C34" s="38"/>
      <c r="D34" s="38" t="s">
        <v>82</v>
      </c>
      <c r="E34" s="38"/>
      <c r="F34" s="121" t="s">
        <v>36</v>
      </c>
      <c r="G34" s="611" t="s">
        <v>83</v>
      </c>
      <c r="H34" s="611"/>
      <c r="I34" s="368"/>
      <c r="J34" s="120"/>
    </row>
  </sheetData>
  <mergeCells count="21">
    <mergeCell ref="G30:H30"/>
    <mergeCell ref="G33:H33"/>
    <mergeCell ref="G31:H31"/>
    <mergeCell ref="G32:H32"/>
    <mergeCell ref="I32:J32"/>
    <mergeCell ref="G34:H34"/>
    <mergeCell ref="AC2:AD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I30:J30"/>
    <mergeCell ref="I31:J31"/>
    <mergeCell ref="I33:J33"/>
  </mergeCells>
  <pageMargins left="0.7" right="0.7" top="0.75" bottom="0.75" header="0.3" footer="0.3"/>
  <pageSetup paperSize="9" fitToWidth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E419-4537-4F27-BC68-1B7D9C4FD768}">
  <dimension ref="B2:Q31"/>
  <sheetViews>
    <sheetView workbookViewId="0">
      <pane ySplit="2" topLeftCell="A14" activePane="bottomLeft" state="frozen"/>
      <selection pane="bottomLeft" activeCell="D25" sqref="D25"/>
    </sheetView>
  </sheetViews>
  <sheetFormatPr defaultRowHeight="15" customHeight="1"/>
  <cols>
    <col min="1" max="1" width="3.85546875" customWidth="1"/>
    <col min="2" max="2" width="16.7109375" style="49" customWidth="1"/>
    <col min="3" max="3" width="15.7109375" style="4" customWidth="1"/>
    <col min="4" max="5" width="10.85546875" customWidth="1"/>
    <col min="6" max="9" width="13.85546875" customWidth="1"/>
    <col min="10" max="12" width="13.85546875" style="78" customWidth="1"/>
    <col min="13" max="13" width="15.28515625" style="46" customWidth="1"/>
    <col min="14" max="14" width="25.5703125" style="49" customWidth="1"/>
    <col min="16" max="16" width="12.42578125" style="79" customWidth="1"/>
    <col min="17" max="17" width="13.42578125" style="79" customWidth="1"/>
  </cols>
  <sheetData>
    <row r="2" spans="2:17" ht="33.75" customHeight="1">
      <c r="B2" s="55"/>
      <c r="C2" s="58" t="s">
        <v>84</v>
      </c>
      <c r="D2" s="44" t="s">
        <v>85</v>
      </c>
      <c r="E2" s="44" t="s">
        <v>86</v>
      </c>
      <c r="F2" s="43">
        <v>0</v>
      </c>
      <c r="G2" s="43">
        <v>0.05</v>
      </c>
      <c r="H2" s="43">
        <v>0.18</v>
      </c>
      <c r="I2" s="43">
        <v>0.27</v>
      </c>
      <c r="J2" s="81" t="s">
        <v>16</v>
      </c>
      <c r="K2" s="81" t="s">
        <v>87</v>
      </c>
      <c r="L2" s="453" t="s">
        <v>88</v>
      </c>
      <c r="M2" s="44" t="s">
        <v>89</v>
      </c>
      <c r="N2" s="86" t="s">
        <v>90</v>
      </c>
      <c r="P2" s="79" t="s">
        <v>16</v>
      </c>
      <c r="Q2" s="79" t="s">
        <v>91</v>
      </c>
    </row>
    <row r="3" spans="2:17">
      <c r="B3" s="59" t="s">
        <v>17</v>
      </c>
      <c r="C3" s="74" t="str">
        <f>MÁK!A1</f>
        <v>AP A13610440</v>
      </c>
      <c r="D3" s="10"/>
      <c r="E3" s="10"/>
      <c r="F3" s="11">
        <f>MÁK!C160</f>
        <v>1100</v>
      </c>
      <c r="G3" s="11">
        <f>MÁK!D160</f>
        <v>207600</v>
      </c>
      <c r="H3" s="11">
        <f>MÁK!E160</f>
        <v>0</v>
      </c>
      <c r="I3" s="11">
        <f>MÁK!F160</f>
        <v>201485</v>
      </c>
      <c r="J3" s="82">
        <f>MÁK!G160</f>
        <v>18975</v>
      </c>
      <c r="K3" s="11">
        <f>MÁK!H160</f>
        <v>391210</v>
      </c>
      <c r="L3" s="11">
        <f>MÁK!I160</f>
        <v>391210</v>
      </c>
      <c r="M3" s="139">
        <f>SUM(F3:I3)</f>
        <v>410185</v>
      </c>
      <c r="N3" s="586"/>
      <c r="P3" s="80" t="e">
        <f>J3+#REF!</f>
        <v>#REF!</v>
      </c>
      <c r="Q3" s="80" t="e">
        <f>SUM(M3:M3)-P3</f>
        <v>#REF!</v>
      </c>
    </row>
    <row r="4" spans="2:17">
      <c r="B4" s="59"/>
      <c r="C4" s="57"/>
      <c r="D4" s="10"/>
      <c r="E4" s="10"/>
      <c r="F4" s="11"/>
      <c r="G4" s="11"/>
      <c r="H4" s="11"/>
      <c r="I4" s="11"/>
      <c r="J4" s="82"/>
      <c r="K4" s="82"/>
      <c r="L4" s="448"/>
      <c r="M4" s="139"/>
      <c r="N4" s="11"/>
    </row>
    <row r="5" spans="2:17">
      <c r="B5" s="59" t="s">
        <v>21</v>
      </c>
      <c r="C5" s="74" t="str">
        <f>Knorr105!A1</f>
        <v>AP A09111376</v>
      </c>
      <c r="D5" s="33"/>
      <c r="E5" s="33"/>
      <c r="F5" s="11">
        <f>Knorr105!C$161</f>
        <v>1550</v>
      </c>
      <c r="G5" s="11">
        <f>Knorr105!D$161</f>
        <v>502655</v>
      </c>
      <c r="H5" s="11">
        <f>Knorr105!E$161</f>
        <v>0</v>
      </c>
      <c r="I5" s="11">
        <f>Knorr105!F$161</f>
        <v>0</v>
      </c>
      <c r="J5" s="82">
        <f>Knorr105!G$161</f>
        <v>0</v>
      </c>
      <c r="K5" s="82">
        <f>Knorr105!H$161</f>
        <v>504205</v>
      </c>
      <c r="L5" s="82">
        <f>Knorr105!I$161</f>
        <v>504940</v>
      </c>
      <c r="M5" s="139">
        <f>SUM(F5:I5)</f>
        <v>504205</v>
      </c>
      <c r="N5" s="244"/>
      <c r="P5" s="80">
        <f>J5+J6+J7</f>
        <v>1990</v>
      </c>
      <c r="Q5" s="80">
        <f>SUM(M5:M7)-P5</f>
        <v>2317460</v>
      </c>
    </row>
    <row r="6" spans="2:17">
      <c r="B6" s="59" t="s">
        <v>21</v>
      </c>
      <c r="C6" s="56" t="str">
        <f>Knorr105!Q1</f>
        <v xml:space="preserve">AP A24010154 </v>
      </c>
      <c r="D6" s="33"/>
      <c r="E6" s="33"/>
      <c r="F6" s="11">
        <f>Knorr105!S$161</f>
        <v>5390</v>
      </c>
      <c r="G6" s="11">
        <f>Knorr105!T$161</f>
        <v>1006615</v>
      </c>
      <c r="H6" s="11">
        <f>Knorr105!U$161</f>
        <v>0</v>
      </c>
      <c r="I6" s="11">
        <f>Knorr105!V$161</f>
        <v>0</v>
      </c>
      <c r="J6" s="82">
        <f>Knorr105!W$161</f>
        <v>1990</v>
      </c>
      <c r="K6" s="82">
        <f>Knorr105!X$161</f>
        <v>1010015</v>
      </c>
      <c r="L6" s="82">
        <f>Knorr105!Y$161</f>
        <v>1010015</v>
      </c>
      <c r="M6" s="139">
        <f>SUM(F6:I6)</f>
        <v>1012005</v>
      </c>
      <c r="N6" s="54"/>
    </row>
    <row r="7" spans="2:17">
      <c r="B7" s="59" t="s">
        <v>21</v>
      </c>
      <c r="C7" s="56" t="str">
        <f>Knorr105!AG1</f>
        <v>AP A13609805</v>
      </c>
      <c r="D7" s="10"/>
      <c r="E7" s="10"/>
      <c r="F7" s="11">
        <f>Knorr105!AI$161</f>
        <v>3450</v>
      </c>
      <c r="G7" s="11">
        <f>Knorr105!AJ$161</f>
        <v>799790</v>
      </c>
      <c r="H7" s="11">
        <f>Knorr105!AK$161</f>
        <v>0</v>
      </c>
      <c r="I7" s="11">
        <f>Knorr105!AL$161</f>
        <v>0</v>
      </c>
      <c r="J7" s="82">
        <f>Knorr105!AM$161</f>
        <v>0</v>
      </c>
      <c r="K7" s="82">
        <f>Knorr105!AN$161</f>
        <v>803240</v>
      </c>
      <c r="L7" s="82">
        <f>Knorr105!AO$161</f>
        <v>803240</v>
      </c>
      <c r="M7" s="139">
        <f>SUM(F7:I7)</f>
        <v>803240</v>
      </c>
      <c r="N7" s="244"/>
    </row>
    <row r="8" spans="2:17">
      <c r="B8" s="59" t="s">
        <v>21</v>
      </c>
      <c r="C8" s="8" t="s">
        <v>29</v>
      </c>
      <c r="D8" s="33"/>
      <c r="E8" s="10"/>
      <c r="F8" s="11">
        <f>Knorr105!BK161</f>
        <v>219480</v>
      </c>
      <c r="G8" s="11">
        <f>Knorr105!BL161</f>
        <v>327170</v>
      </c>
      <c r="H8" s="11">
        <f>Knorr105!BM161</f>
        <v>0</v>
      </c>
      <c r="I8" s="11">
        <f>Knorr105!BN161</f>
        <v>0</v>
      </c>
      <c r="J8" s="11">
        <f>Knorr105!BO161</f>
        <v>0</v>
      </c>
      <c r="K8" s="11">
        <f>Knorr105!BP161</f>
        <v>546650</v>
      </c>
      <c r="L8" s="11">
        <f>Knorr105!BQ161</f>
        <v>546650</v>
      </c>
      <c r="M8" s="139">
        <f>SUM(F8:I8)</f>
        <v>546650</v>
      </c>
      <c r="N8" s="586"/>
    </row>
    <row r="9" spans="2:17">
      <c r="B9" s="59"/>
      <c r="C9" s="154"/>
      <c r="D9" s="33"/>
      <c r="E9" s="10"/>
      <c r="F9" s="11"/>
      <c r="G9" s="11"/>
      <c r="H9" s="11"/>
      <c r="I9" s="11"/>
      <c r="J9" s="82"/>
      <c r="K9" s="82"/>
      <c r="L9" s="448"/>
      <c r="M9" s="139"/>
      <c r="N9" s="11"/>
    </row>
    <row r="10" spans="2:17">
      <c r="B10" s="59" t="s">
        <v>33</v>
      </c>
      <c r="C10" s="56" t="str">
        <f>Knorr86!A1</f>
        <v>AP A13607465</v>
      </c>
      <c r="D10" s="10"/>
      <c r="E10" s="10"/>
      <c r="F10" s="11">
        <f>Knorr86!C159</f>
        <v>0</v>
      </c>
      <c r="G10" s="11">
        <f>Knorr86!D159</f>
        <v>0</v>
      </c>
      <c r="H10" s="11">
        <f>Knorr86!E159</f>
        <v>0</v>
      </c>
      <c r="I10" s="11">
        <f>Knorr86!F159</f>
        <v>0</v>
      </c>
      <c r="J10" s="82">
        <f>Knorr86!G159</f>
        <v>0</v>
      </c>
      <c r="K10" s="82">
        <f>Knorr86!H159</f>
        <v>0</v>
      </c>
      <c r="L10" s="82">
        <f>Knorr86!I159</f>
        <v>0</v>
      </c>
      <c r="M10" s="139">
        <f>SUM(F10:I10)</f>
        <v>0</v>
      </c>
      <c r="N10" s="54"/>
      <c r="P10" s="80">
        <f>J10</f>
        <v>0</v>
      </c>
      <c r="Q10" s="80">
        <f>M10-P10</f>
        <v>0</v>
      </c>
    </row>
    <row r="11" spans="2:17">
      <c r="B11" s="59"/>
      <c r="C11" s="56"/>
      <c r="D11" s="10"/>
      <c r="E11" s="10"/>
      <c r="F11" s="11"/>
      <c r="G11" s="11"/>
      <c r="H11" s="11"/>
      <c r="I11" s="11"/>
      <c r="J11" s="82"/>
      <c r="K11" s="82"/>
      <c r="L11" s="448"/>
      <c r="M11" s="139"/>
      <c r="N11" s="11"/>
    </row>
    <row r="12" spans="2:17">
      <c r="B12" s="59" t="s">
        <v>37</v>
      </c>
      <c r="C12" s="74" t="str">
        <f>Knorr69!A1</f>
        <v>AP A09111377</v>
      </c>
      <c r="D12" s="33"/>
      <c r="E12" s="33"/>
      <c r="F12" s="11">
        <f>Knorr69!C159</f>
        <v>250</v>
      </c>
      <c r="G12" s="11">
        <f>Knorr69!D159</f>
        <v>327308</v>
      </c>
      <c r="H12" s="11">
        <f>Knorr69!E159</f>
        <v>0</v>
      </c>
      <c r="I12" s="11">
        <f>Knorr69!F159</f>
        <v>7820</v>
      </c>
      <c r="J12" s="11">
        <f>Knorr69!G159</f>
        <v>0</v>
      </c>
      <c r="K12" s="11">
        <f>Knorr69!H159</f>
        <v>335378</v>
      </c>
      <c r="L12" s="11">
        <f>Knorr69!I159</f>
        <v>335378</v>
      </c>
      <c r="M12" s="139">
        <f>SUM(F12:I12)</f>
        <v>335378</v>
      </c>
      <c r="N12" s="139"/>
      <c r="P12" s="80">
        <f>J12</f>
        <v>0</v>
      </c>
      <c r="Q12" s="80">
        <f>M12-P12</f>
        <v>335378</v>
      </c>
    </row>
    <row r="13" spans="2:17">
      <c r="B13" s="59"/>
      <c r="C13" s="56"/>
      <c r="D13" s="33"/>
      <c r="E13" s="10"/>
      <c r="F13" s="11"/>
      <c r="G13" s="11"/>
      <c r="H13" s="11"/>
      <c r="I13" s="11"/>
      <c r="J13" s="82"/>
      <c r="K13" s="82"/>
      <c r="L13" s="448"/>
      <c r="M13" s="139"/>
      <c r="N13" s="11"/>
    </row>
    <row r="14" spans="2:17">
      <c r="B14" s="59" t="s">
        <v>40</v>
      </c>
      <c r="C14" s="74" t="str">
        <f>KTI!A1</f>
        <v>AP A13607773</v>
      </c>
      <c r="D14" s="33"/>
      <c r="E14" s="10"/>
      <c r="F14" s="11">
        <f>KTI!C159</f>
        <v>0</v>
      </c>
      <c r="G14" s="11">
        <f>KTI!D159</f>
        <v>0</v>
      </c>
      <c r="H14" s="11">
        <f>KTI!E159</f>
        <v>0</v>
      </c>
      <c r="I14" s="11">
        <f>KTI!F159</f>
        <v>0</v>
      </c>
      <c r="J14" s="11">
        <f>KTI!G159</f>
        <v>0</v>
      </c>
      <c r="K14" s="11">
        <f>KTI!H159</f>
        <v>0</v>
      </c>
      <c r="L14" s="11">
        <f>KTI!I159</f>
        <v>0</v>
      </c>
      <c r="M14" s="139">
        <f>SUM(F14:I14)</f>
        <v>0</v>
      </c>
      <c r="N14" s="586"/>
      <c r="P14" s="80">
        <f>J14</f>
        <v>0</v>
      </c>
      <c r="Q14" s="80">
        <f>M14-P14</f>
        <v>0</v>
      </c>
    </row>
    <row r="15" spans="2:17">
      <c r="B15" s="59"/>
      <c r="C15" s="56"/>
      <c r="D15" s="33"/>
      <c r="E15" s="10"/>
      <c r="F15" s="11"/>
      <c r="G15" s="11"/>
      <c r="H15" s="11"/>
      <c r="I15" s="11"/>
      <c r="J15" s="82"/>
      <c r="K15" s="82"/>
      <c r="L15" s="448"/>
      <c r="M15" s="139"/>
      <c r="N15" s="11"/>
    </row>
    <row r="16" spans="2:17">
      <c r="B16" s="59" t="s">
        <v>43</v>
      </c>
      <c r="C16" s="69" t="s">
        <v>92</v>
      </c>
      <c r="D16" s="33"/>
      <c r="E16" s="33"/>
      <c r="F16" s="11">
        <f>Szentkiralyi!C159</f>
        <v>0</v>
      </c>
      <c r="G16" s="11">
        <f>Szentkiralyi!D159</f>
        <v>0</v>
      </c>
      <c r="H16" s="11">
        <f>Szentkiralyi!E159</f>
        <v>0</v>
      </c>
      <c r="I16" s="11">
        <f>Szentkiralyi!F159</f>
        <v>0</v>
      </c>
      <c r="J16" s="11">
        <f>Szentkiralyi!G159</f>
        <v>0</v>
      </c>
      <c r="K16" s="11">
        <f>Szentkiralyi!H159</f>
        <v>0</v>
      </c>
      <c r="L16" s="11">
        <f>Szentkiralyi!I159</f>
        <v>0</v>
      </c>
      <c r="M16" s="139">
        <f>SUM(F16:I16)</f>
        <v>0</v>
      </c>
      <c r="N16" s="586"/>
    </row>
    <row r="17" spans="2:17">
      <c r="B17" s="59"/>
      <c r="C17" s="155"/>
      <c r="D17" s="33"/>
      <c r="E17" s="10"/>
      <c r="F17" s="11"/>
      <c r="G17" s="11"/>
      <c r="H17" s="11"/>
      <c r="I17" s="11"/>
      <c r="J17" s="82"/>
      <c r="K17" s="82"/>
      <c r="L17" s="448"/>
      <c r="M17" s="139"/>
      <c r="N17" s="11"/>
    </row>
    <row r="18" spans="2:17">
      <c r="B18" s="59" t="s">
        <v>45</v>
      </c>
      <c r="C18" s="69" t="s">
        <v>46</v>
      </c>
      <c r="D18" s="33"/>
      <c r="E18" s="33"/>
      <c r="F18" s="11">
        <f>RSR!C161</f>
        <v>50</v>
      </c>
      <c r="G18" s="11">
        <f>RSR!D161</f>
        <v>11800</v>
      </c>
      <c r="H18" s="11">
        <f>RSR!E161</f>
        <v>0</v>
      </c>
      <c r="I18" s="11">
        <f>RSR!F161</f>
        <v>1660</v>
      </c>
      <c r="J18" s="82">
        <f>RSR!G161</f>
        <v>3350</v>
      </c>
      <c r="K18" s="82">
        <f>RSR!H161</f>
        <v>10160</v>
      </c>
      <c r="L18" s="82">
        <f>RSR!I161</f>
        <v>10160</v>
      </c>
      <c r="M18" s="139">
        <f>SUM(F18:I18)</f>
        <v>13510</v>
      </c>
      <c r="N18" s="586"/>
      <c r="P18" s="80">
        <f>SUM(J18:J19)</f>
        <v>3350</v>
      </c>
      <c r="Q18" s="80">
        <f>SUM(M18:M19)-P18</f>
        <v>10160</v>
      </c>
    </row>
    <row r="19" spans="2:17">
      <c r="B19" s="59" t="s">
        <v>45</v>
      </c>
      <c r="C19" s="168" t="s">
        <v>49</v>
      </c>
      <c r="D19" s="33"/>
      <c r="E19" s="33"/>
      <c r="F19" s="11">
        <f>RSR!S161</f>
        <v>0</v>
      </c>
      <c r="G19" s="11">
        <f>RSR!T161</f>
        <v>0</v>
      </c>
      <c r="H19" s="11">
        <f>RSR!U161</f>
        <v>0</v>
      </c>
      <c r="I19" s="11">
        <f>RSR!V161</f>
        <v>0</v>
      </c>
      <c r="J19" s="82">
        <f>RSR!W161</f>
        <v>0</v>
      </c>
      <c r="K19" s="82">
        <f>RSR!X161</f>
        <v>0</v>
      </c>
      <c r="L19" s="82">
        <f>RSR!Y161</f>
        <v>0</v>
      </c>
      <c r="M19" s="139">
        <f>SUM(F19:I19)</f>
        <v>0</v>
      </c>
      <c r="N19" s="586"/>
    </row>
    <row r="20" spans="2:17">
      <c r="B20" s="59" t="s">
        <v>45</v>
      </c>
      <c r="C20" s="56" t="str">
        <f>'Egyéb pénztárgépek'!M1</f>
        <v>AP A13609679</v>
      </c>
      <c r="D20" s="33"/>
      <c r="E20" s="33"/>
      <c r="F20" s="11">
        <f>RSR!AI161</f>
        <v>0</v>
      </c>
      <c r="G20" s="11">
        <f>RSR!AJ161</f>
        <v>0</v>
      </c>
      <c r="H20" s="11">
        <f>RSR!AK161</f>
        <v>0</v>
      </c>
      <c r="I20" s="11">
        <f>RSR!AL161</f>
        <v>0</v>
      </c>
      <c r="J20" s="11">
        <f>RSR!AM161</f>
        <v>0</v>
      </c>
      <c r="K20" s="11">
        <f>RSR!AN161</f>
        <v>0</v>
      </c>
      <c r="L20" s="11">
        <f>RSR!AO161</f>
        <v>0</v>
      </c>
      <c r="M20" s="139">
        <f>SUM(F20:I20)</f>
        <v>0</v>
      </c>
      <c r="N20" s="586"/>
    </row>
    <row r="21" spans="2:17">
      <c r="B21" s="59" t="s">
        <v>45</v>
      </c>
      <c r="C21" s="56" t="str">
        <f>'Egyéb pénztárgépek'!AC1</f>
        <v>AP A09109974</v>
      </c>
      <c r="D21" s="33"/>
      <c r="E21" s="10"/>
      <c r="F21" s="11">
        <f>RSR!AY161</f>
        <v>0</v>
      </c>
      <c r="G21" s="11">
        <f>RSR!AZ161</f>
        <v>0</v>
      </c>
      <c r="H21" s="11">
        <f>RSR!BA161</f>
        <v>0</v>
      </c>
      <c r="I21" s="11">
        <f>RSR!BB161</f>
        <v>0</v>
      </c>
      <c r="J21" s="11">
        <f>RSR!BC161</f>
        <v>0</v>
      </c>
      <c r="K21" s="11">
        <f>RSR!BD161</f>
        <v>0</v>
      </c>
      <c r="L21" s="11">
        <f>RSR!BE161</f>
        <v>0</v>
      </c>
      <c r="M21" s="139">
        <f>SUM(F21:I21)</f>
        <v>0</v>
      </c>
      <c r="N21" s="242"/>
    </row>
    <row r="22" spans="2:17">
      <c r="B22" s="59"/>
      <c r="D22" s="33"/>
      <c r="F22" t="s">
        <v>93</v>
      </c>
      <c r="N22" s="242"/>
    </row>
    <row r="23" spans="2:17">
      <c r="B23" s="59" t="s">
        <v>57</v>
      </c>
      <c r="C23" s="56" t="s">
        <v>58</v>
      </c>
      <c r="D23" s="33"/>
      <c r="E23" s="10"/>
      <c r="F23" s="11">
        <f>'Egyéb pénztárgépek'!AT159</f>
        <v>1150</v>
      </c>
      <c r="G23" s="11">
        <f>'Egyéb pénztárgépek'!AU159</f>
        <v>162340</v>
      </c>
      <c r="H23" s="11">
        <f>'Egyéb pénztárgépek'!AV159</f>
        <v>0</v>
      </c>
      <c r="I23" s="11">
        <f>'Egyéb pénztárgépek'!AW159</f>
        <v>21719</v>
      </c>
      <c r="J23" s="11">
        <f>'Egyéb pénztárgépek'!AX159</f>
        <v>12210</v>
      </c>
      <c r="K23" s="11">
        <f>'Egyéb pénztárgépek'!AY159</f>
        <v>172999</v>
      </c>
      <c r="L23" s="11">
        <f>'Egyéb pénztárgépek'!AZ159</f>
        <v>172999</v>
      </c>
      <c r="M23" s="139">
        <f>SUM(F23:I23)</f>
        <v>185209</v>
      </c>
      <c r="N23" s="586"/>
    </row>
    <row r="24" spans="2:17">
      <c r="B24" s="59" t="s">
        <v>57</v>
      </c>
      <c r="C24" s="169" t="s">
        <v>61</v>
      </c>
      <c r="D24" s="33" t="s">
        <v>94</v>
      </c>
      <c r="E24" s="10"/>
      <c r="F24" s="11">
        <f>'Egyéb pénztárgépek'!BJ159</f>
        <v>0</v>
      </c>
      <c r="G24" s="11">
        <f>'Egyéb pénztárgépek'!BK159</f>
        <v>0</v>
      </c>
      <c r="H24" s="11">
        <f>'Egyéb pénztárgépek'!BL159</f>
        <v>0</v>
      </c>
      <c r="I24" s="11">
        <f>'Egyéb pénztárgépek'!BM159</f>
        <v>0</v>
      </c>
      <c r="J24" s="11">
        <f>'Egyéb pénztárgépek'!BN159</f>
        <v>0</v>
      </c>
      <c r="K24" s="11">
        <f>'Egyéb pénztárgépek'!BO159</f>
        <v>0</v>
      </c>
      <c r="L24" s="11">
        <f>'Egyéb pénztárgépek'!BP159</f>
        <v>0</v>
      </c>
      <c r="M24" s="139">
        <f>SUM(F24:I24)</f>
        <v>0</v>
      </c>
      <c r="N24" s="586"/>
    </row>
    <row r="25" spans="2:17">
      <c r="B25" s="59"/>
      <c r="C25" s="165"/>
      <c r="D25" s="33"/>
      <c r="E25" s="10"/>
      <c r="F25" s="11"/>
      <c r="G25" s="11"/>
      <c r="H25" s="11"/>
      <c r="I25" s="11"/>
      <c r="J25" s="82"/>
      <c r="K25" s="82"/>
      <c r="L25" s="448"/>
      <c r="M25" s="139"/>
      <c r="N25" s="54"/>
    </row>
    <row r="26" spans="2:17">
      <c r="B26" s="59"/>
      <c r="C26" s="168"/>
      <c r="D26" s="123"/>
      <c r="E26" s="76"/>
      <c r="F26" s="204"/>
      <c r="G26" s="204"/>
      <c r="H26" s="204"/>
      <c r="I26" s="204"/>
      <c r="J26" s="243"/>
      <c r="K26" s="243"/>
      <c r="L26" s="449"/>
      <c r="M26" s="244"/>
      <c r="N26" s="245"/>
    </row>
    <row r="27" spans="2:17" ht="24" customHeight="1">
      <c r="B27" s="535" t="s">
        <v>64</v>
      </c>
      <c r="C27" s="536"/>
      <c r="D27" s="537"/>
      <c r="E27" s="537"/>
      <c r="F27" s="538">
        <f>SUM(F3:F24)</f>
        <v>232420</v>
      </c>
      <c r="G27" s="538">
        <f>SUM(G3:G24)</f>
        <v>3345278</v>
      </c>
      <c r="H27" s="538">
        <f>SUM(H3:H24)</f>
        <v>0</v>
      </c>
      <c r="I27" s="538">
        <f>SUM(I3:I24)</f>
        <v>232684</v>
      </c>
      <c r="J27" s="539">
        <v>1495140</v>
      </c>
      <c r="K27" s="540"/>
      <c r="L27" s="348">
        <f>SUM(L3:L24)</f>
        <v>3774592</v>
      </c>
      <c r="M27" s="418">
        <f>SUM(M3:M24)</f>
        <v>3810382</v>
      </c>
      <c r="N27" s="140"/>
    </row>
    <row r="28" spans="2:17">
      <c r="D28" s="4"/>
      <c r="E28" s="4"/>
      <c r="F28" s="4"/>
      <c r="G28" s="4"/>
      <c r="H28" s="4"/>
      <c r="I28" s="4"/>
      <c r="J28" s="77"/>
      <c r="K28" s="77"/>
      <c r="L28" s="77"/>
      <c r="M28" s="50"/>
      <c r="N28" s="48"/>
    </row>
    <row r="29" spans="2:17"/>
    <row r="30" spans="2:17"/>
    <row r="31" spans="2:17"/>
  </sheetData>
  <protectedRanges>
    <protectedRange sqref="C26 C19" name="Range2"/>
  </protectedRanges>
  <conditionalFormatting sqref="C26">
    <cfRule type="containsText" dxfId="1358" priority="44" stopIfTrue="1" operator="containsText" text="ELTÉRÉS!">
      <formula>NOT(ISERROR(SEARCH("ELTÉRÉS!",C26)))</formula>
    </cfRule>
    <cfRule type="containsText" dxfId="1357" priority="45" stopIfTrue="1" operator="containsText" text="STIMMEL!">
      <formula>NOT(ISERROR(SEARCH("STIMMEL!",C26)))</formula>
    </cfRule>
  </conditionalFormatting>
  <conditionalFormatting sqref="C26">
    <cfRule type="cellIs" dxfId="1356" priority="43" operator="equal">
      <formula>0.01</formula>
    </cfRule>
  </conditionalFormatting>
  <conditionalFormatting sqref="C19">
    <cfRule type="containsText" dxfId="1355" priority="41" stopIfTrue="1" operator="containsText" text="ELTÉRÉS!">
      <formula>NOT(ISERROR(SEARCH("ELTÉRÉS!",C19)))</formula>
    </cfRule>
    <cfRule type="containsText" dxfId="1354" priority="42" stopIfTrue="1" operator="containsText" text="STIMMEL!">
      <formula>NOT(ISERROR(SEARCH("STIMMEL!",C19)))</formula>
    </cfRule>
  </conditionalFormatting>
  <conditionalFormatting sqref="C19">
    <cfRule type="cellIs" dxfId="1353" priority="40" operator="equal">
      <formula>0.01</formula>
    </cfRule>
  </conditionalFormatting>
  <conditionalFormatting sqref="N3">
    <cfRule type="containsText" dxfId="1352" priority="38" stopIfTrue="1" operator="containsText" text="ELTÉRÉS!">
      <formula>NOT(ISERROR(SEARCH("ELTÉRÉS!",N3)))</formula>
    </cfRule>
    <cfRule type="containsText" dxfId="1351" priority="39" stopIfTrue="1" operator="containsText" text="STIMMEL!">
      <formula>NOT(ISERROR(SEARCH("STIMMEL!",N3)))</formula>
    </cfRule>
  </conditionalFormatting>
  <conditionalFormatting sqref="N3">
    <cfRule type="cellIs" dxfId="1350" priority="37" operator="equal">
      <formula>0.01</formula>
    </cfRule>
  </conditionalFormatting>
  <conditionalFormatting sqref="N14">
    <cfRule type="containsText" dxfId="1349" priority="35" stopIfTrue="1" operator="containsText" text="ELTÉRÉS!">
      <formula>NOT(ISERROR(SEARCH("ELTÉRÉS!",N14)))</formula>
    </cfRule>
    <cfRule type="containsText" dxfId="1348" priority="36" stopIfTrue="1" operator="containsText" text="STIMMEL!">
      <formula>NOT(ISERROR(SEARCH("STIMMEL!",N14)))</formula>
    </cfRule>
  </conditionalFormatting>
  <conditionalFormatting sqref="N14">
    <cfRule type="cellIs" dxfId="1347" priority="34" operator="equal">
      <formula>0.01</formula>
    </cfRule>
  </conditionalFormatting>
  <conditionalFormatting sqref="N10">
    <cfRule type="containsText" dxfId="1346" priority="32" stopIfTrue="1" operator="containsText" text="ELTÉRÉS!">
      <formula>NOT(ISERROR(SEARCH("ELTÉRÉS!",N10)))</formula>
    </cfRule>
    <cfRule type="containsText" dxfId="1345" priority="33" stopIfTrue="1" operator="containsText" text="STIMMEL!">
      <formula>NOT(ISERROR(SEARCH("STIMMEL!",N10)))</formula>
    </cfRule>
  </conditionalFormatting>
  <conditionalFormatting sqref="N10">
    <cfRule type="cellIs" dxfId="1344" priority="31" operator="equal">
      <formula>0.01</formula>
    </cfRule>
  </conditionalFormatting>
  <conditionalFormatting sqref="N23">
    <cfRule type="containsText" dxfId="1343" priority="29" stopIfTrue="1" operator="containsText" text="ELTÉRÉS!">
      <formula>NOT(ISERROR(SEARCH("ELTÉRÉS!",N23)))</formula>
    </cfRule>
    <cfRule type="containsText" dxfId="1342" priority="30" stopIfTrue="1" operator="containsText" text="STIMMEL!">
      <formula>NOT(ISERROR(SEARCH("STIMMEL!",N23)))</formula>
    </cfRule>
  </conditionalFormatting>
  <conditionalFormatting sqref="N23">
    <cfRule type="cellIs" dxfId="1341" priority="28" operator="equal">
      <formula>0.01</formula>
    </cfRule>
  </conditionalFormatting>
  <conditionalFormatting sqref="N20">
    <cfRule type="containsText" dxfId="1340" priority="26" stopIfTrue="1" operator="containsText" text="ELTÉRÉS!">
      <formula>NOT(ISERROR(SEARCH("ELTÉRÉS!",N20)))</formula>
    </cfRule>
    <cfRule type="containsText" dxfId="1339" priority="27" stopIfTrue="1" operator="containsText" text="STIMMEL!">
      <formula>NOT(ISERROR(SEARCH("STIMMEL!",N20)))</formula>
    </cfRule>
  </conditionalFormatting>
  <conditionalFormatting sqref="N20">
    <cfRule type="cellIs" dxfId="1338" priority="25" operator="equal">
      <formula>0.01</formula>
    </cfRule>
  </conditionalFormatting>
  <conditionalFormatting sqref="N5">
    <cfRule type="containsText" dxfId="1337" priority="23" stopIfTrue="1" operator="containsText" text="ELTÉRÉS!">
      <formula>NOT(ISERROR(SEARCH("ELTÉRÉS!",N5)))</formula>
    </cfRule>
    <cfRule type="containsText" dxfId="1336" priority="24" stopIfTrue="1" operator="containsText" text="STIMMEL!">
      <formula>NOT(ISERROR(SEARCH("STIMMEL!",N5)))</formula>
    </cfRule>
  </conditionalFormatting>
  <conditionalFormatting sqref="N5">
    <cfRule type="cellIs" dxfId="1335" priority="22" operator="equal">
      <formula>0.01</formula>
    </cfRule>
  </conditionalFormatting>
  <conditionalFormatting sqref="N7">
    <cfRule type="containsText" dxfId="1334" priority="20" stopIfTrue="1" operator="containsText" text="ELTÉRÉS!">
      <formula>NOT(ISERROR(SEARCH("ELTÉRÉS!",N7)))</formula>
    </cfRule>
    <cfRule type="containsText" dxfId="1333" priority="21" stopIfTrue="1" operator="containsText" text="STIMMEL!">
      <formula>NOT(ISERROR(SEARCH("STIMMEL!",N7)))</formula>
    </cfRule>
  </conditionalFormatting>
  <conditionalFormatting sqref="N7">
    <cfRule type="cellIs" dxfId="1332" priority="19" operator="equal">
      <formula>0.01</formula>
    </cfRule>
  </conditionalFormatting>
  <conditionalFormatting sqref="N8">
    <cfRule type="containsText" dxfId="1331" priority="17" stopIfTrue="1" operator="containsText" text="ELTÉRÉS!">
      <formula>NOT(ISERROR(SEARCH("ELTÉRÉS!",N8)))</formula>
    </cfRule>
    <cfRule type="containsText" dxfId="1330" priority="18" stopIfTrue="1" operator="containsText" text="STIMMEL!">
      <formula>NOT(ISERROR(SEARCH("STIMMEL!",N8)))</formula>
    </cfRule>
  </conditionalFormatting>
  <conditionalFormatting sqref="N8">
    <cfRule type="cellIs" dxfId="1329" priority="16" operator="equal">
      <formula>0.01</formula>
    </cfRule>
  </conditionalFormatting>
  <conditionalFormatting sqref="N24">
    <cfRule type="containsText" dxfId="1328" priority="14" stopIfTrue="1" operator="containsText" text="ELTÉRÉS!">
      <formula>NOT(ISERROR(SEARCH("ELTÉRÉS!",N24)))</formula>
    </cfRule>
    <cfRule type="containsText" dxfId="1327" priority="15" stopIfTrue="1" operator="containsText" text="STIMMEL!">
      <formula>NOT(ISERROR(SEARCH("STIMMEL!",N24)))</formula>
    </cfRule>
  </conditionalFormatting>
  <conditionalFormatting sqref="N24">
    <cfRule type="cellIs" dxfId="1326" priority="13" operator="equal">
      <formula>0.01</formula>
    </cfRule>
  </conditionalFormatting>
  <conditionalFormatting sqref="N16">
    <cfRule type="containsText" dxfId="1325" priority="11" stopIfTrue="1" operator="containsText" text="ELTÉRÉS!">
      <formula>NOT(ISERROR(SEARCH("ELTÉRÉS!",N16)))</formula>
    </cfRule>
    <cfRule type="containsText" dxfId="1324" priority="12" stopIfTrue="1" operator="containsText" text="STIMMEL!">
      <formula>NOT(ISERROR(SEARCH("STIMMEL!",N16)))</formula>
    </cfRule>
  </conditionalFormatting>
  <conditionalFormatting sqref="N16">
    <cfRule type="cellIs" dxfId="1323" priority="10" operator="equal">
      <formula>0.01</formula>
    </cfRule>
  </conditionalFormatting>
  <conditionalFormatting sqref="N18">
    <cfRule type="containsText" dxfId="1322" priority="8" stopIfTrue="1" operator="containsText" text="ELTÉRÉS!">
      <formula>NOT(ISERROR(SEARCH("ELTÉRÉS!",N18)))</formula>
    </cfRule>
    <cfRule type="containsText" dxfId="1321" priority="9" stopIfTrue="1" operator="containsText" text="STIMMEL!">
      <formula>NOT(ISERROR(SEARCH("STIMMEL!",N18)))</formula>
    </cfRule>
  </conditionalFormatting>
  <conditionalFormatting sqref="N18">
    <cfRule type="cellIs" dxfId="1320" priority="7" operator="equal">
      <formula>0.01</formula>
    </cfRule>
  </conditionalFormatting>
  <conditionalFormatting sqref="N19">
    <cfRule type="containsText" dxfId="1319" priority="5" stopIfTrue="1" operator="containsText" text="ELTÉRÉS!">
      <formula>NOT(ISERROR(SEARCH("ELTÉRÉS!",N19)))</formula>
    </cfRule>
    <cfRule type="containsText" dxfId="1318" priority="6" stopIfTrue="1" operator="containsText" text="STIMMEL!">
      <formula>NOT(ISERROR(SEARCH("STIMMEL!",N19)))</formula>
    </cfRule>
  </conditionalFormatting>
  <conditionalFormatting sqref="N19">
    <cfRule type="cellIs" dxfId="1317" priority="4" operator="equal">
      <formula>0.01</formula>
    </cfRule>
  </conditionalFormatting>
  <conditionalFormatting sqref="N12">
    <cfRule type="containsText" dxfId="1316" priority="2" stopIfTrue="1" operator="containsText" text="ELTÉRÉS!">
      <formula>NOT(ISERROR(SEARCH("ELTÉRÉS!",N12)))</formula>
    </cfRule>
    <cfRule type="containsText" dxfId="1315" priority="3" stopIfTrue="1" operator="containsText" text="STIMMEL!">
      <formula>NOT(ISERROR(SEARCH("STIMMEL!",N12)))</formula>
    </cfRule>
  </conditionalFormatting>
  <conditionalFormatting sqref="N12">
    <cfRule type="cellIs" dxfId="1314" priority="1" operator="equal">
      <formula>0.01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3E98-333B-4759-BF17-E7A7F5C9D20F}">
  <dimension ref="B2:Q31"/>
  <sheetViews>
    <sheetView workbookViewId="0">
      <pane ySplit="2" topLeftCell="A3" activePane="bottomLeft" state="frozen"/>
      <selection pane="bottomLeft" activeCell="M21" sqref="M21"/>
    </sheetView>
  </sheetViews>
  <sheetFormatPr defaultRowHeight="15" customHeight="1"/>
  <cols>
    <col min="1" max="1" width="3.85546875" customWidth="1"/>
    <col min="2" max="2" width="16.7109375" style="49" customWidth="1"/>
    <col min="3" max="3" width="15.7109375" style="4" customWidth="1"/>
    <col min="4" max="5" width="10.85546875" customWidth="1"/>
    <col min="6" max="9" width="13.85546875" customWidth="1"/>
    <col min="10" max="12" width="13.85546875" style="78" customWidth="1"/>
    <col min="13" max="13" width="15.28515625" style="46" customWidth="1"/>
    <col min="14" max="14" width="25.5703125" style="49" customWidth="1"/>
    <col min="16" max="16" width="12.42578125" style="79" customWidth="1"/>
    <col min="17" max="17" width="13.42578125" style="79" customWidth="1"/>
  </cols>
  <sheetData>
    <row r="2" spans="2:17" ht="33.75" customHeight="1">
      <c r="B2" s="55"/>
      <c r="C2" s="58" t="s">
        <v>84</v>
      </c>
      <c r="D2" s="44" t="s">
        <v>85</v>
      </c>
      <c r="E2" s="44" t="s">
        <v>86</v>
      </c>
      <c r="F2" s="43">
        <v>0</v>
      </c>
      <c r="G2" s="43">
        <v>0.05</v>
      </c>
      <c r="H2" s="43">
        <v>0.18</v>
      </c>
      <c r="I2" s="43">
        <v>0.27</v>
      </c>
      <c r="J2" s="81" t="s">
        <v>16</v>
      </c>
      <c r="K2" s="81" t="s">
        <v>87</v>
      </c>
      <c r="L2" s="453" t="s">
        <v>88</v>
      </c>
      <c r="M2" s="44" t="s">
        <v>89</v>
      </c>
      <c r="N2" s="86" t="s">
        <v>90</v>
      </c>
      <c r="P2" s="79" t="s">
        <v>16</v>
      </c>
      <c r="Q2" s="79" t="s">
        <v>91</v>
      </c>
    </row>
    <row r="3" spans="2:17">
      <c r="B3" s="59" t="s">
        <v>17</v>
      </c>
      <c r="C3" s="74" t="str">
        <f>MÁK!A1</f>
        <v>AP A13610440</v>
      </c>
      <c r="D3" s="10">
        <v>1050</v>
      </c>
      <c r="E3" s="10">
        <v>1072</v>
      </c>
      <c r="F3" s="11">
        <f>MÁK!C119</f>
        <v>23800</v>
      </c>
      <c r="G3" s="11">
        <f>MÁK!D119</f>
        <v>4199840</v>
      </c>
      <c r="H3" s="11">
        <f>MÁK!E119</f>
        <v>0</v>
      </c>
      <c r="I3" s="11">
        <f>MÁK!F119</f>
        <v>3996735</v>
      </c>
      <c r="J3" s="82">
        <f>MÁK!G119</f>
        <v>531410</v>
      </c>
      <c r="K3" s="11">
        <f>MÁK!H119</f>
        <v>7687125</v>
      </c>
      <c r="L3" s="11">
        <f>MÁK!I119</f>
        <v>7687125</v>
      </c>
      <c r="M3" s="139">
        <f>SUM(F3:I3)</f>
        <v>8220375</v>
      </c>
      <c r="N3" s="12">
        <v>235157219</v>
      </c>
      <c r="P3" s="80" t="e">
        <f>J3+#REF!</f>
        <v>#REF!</v>
      </c>
      <c r="Q3" s="80" t="e">
        <f>SUM(M3:M3)-P3</f>
        <v>#REF!</v>
      </c>
    </row>
    <row r="4" spans="2:17">
      <c r="B4" s="59"/>
      <c r="C4" s="57"/>
      <c r="D4" s="10"/>
      <c r="E4" s="10"/>
      <c r="F4" s="11"/>
      <c r="G4" s="11"/>
      <c r="H4" s="11"/>
      <c r="I4" s="11"/>
      <c r="J4" s="82"/>
      <c r="K4" s="82"/>
      <c r="L4" s="448"/>
      <c r="M4" s="139"/>
      <c r="N4" s="11"/>
    </row>
    <row r="5" spans="2:17">
      <c r="B5" s="59" t="s">
        <v>21</v>
      </c>
      <c r="C5" s="74" t="str">
        <f>Knorr105!A1</f>
        <v>AP A09111376</v>
      </c>
      <c r="D5" s="33" t="s">
        <v>95</v>
      </c>
      <c r="E5" s="33" t="s">
        <v>96</v>
      </c>
      <c r="F5" s="11">
        <f>Knorr105!C$119</f>
        <v>26000</v>
      </c>
      <c r="G5" s="11">
        <f>Knorr105!D$119</f>
        <v>8932881</v>
      </c>
      <c r="H5" s="11">
        <f>Knorr105!E$119</f>
        <v>150</v>
      </c>
      <c r="I5" s="11">
        <f>Knorr105!F$119</f>
        <v>0</v>
      </c>
      <c r="J5" s="82">
        <f>Knorr105!G$119</f>
        <v>7760</v>
      </c>
      <c r="K5" s="82">
        <f>Knorr105!H$119</f>
        <v>8951271</v>
      </c>
      <c r="L5" s="82">
        <f>Knorr105!I$119</f>
        <v>8951271</v>
      </c>
      <c r="M5" s="139">
        <f>SUM(F5:I5)</f>
        <v>8959031</v>
      </c>
      <c r="N5" s="586">
        <v>150445134</v>
      </c>
      <c r="P5" s="80">
        <f>J5+J6+J7</f>
        <v>17900</v>
      </c>
      <c r="Q5" s="80">
        <f>SUM(M5:M7)-P5</f>
        <v>29995210</v>
      </c>
    </row>
    <row r="6" spans="2:17">
      <c r="B6" s="59" t="s">
        <v>21</v>
      </c>
      <c r="C6" s="56" t="str">
        <f>Knorr105!Q1</f>
        <v xml:space="preserve">AP A24010154 </v>
      </c>
      <c r="D6" s="33" t="s">
        <v>97</v>
      </c>
      <c r="E6" s="33" t="s">
        <v>98</v>
      </c>
      <c r="F6" s="11">
        <f>Knorr105!S$119</f>
        <v>73070</v>
      </c>
      <c r="G6" s="11">
        <f>Knorr105!T$119</f>
        <v>13232680</v>
      </c>
      <c r="H6" s="11">
        <f>Knorr105!U$119</f>
        <v>50</v>
      </c>
      <c r="I6" s="11">
        <f>Knorr105!V$119</f>
        <v>3</v>
      </c>
      <c r="J6" s="82">
        <f>Knorr105!W$119</f>
        <v>10140</v>
      </c>
      <c r="K6" s="82">
        <f>Knorr105!X$119</f>
        <v>13295663</v>
      </c>
      <c r="L6" s="82">
        <f>Knorr105!Y$119</f>
        <v>13295663</v>
      </c>
      <c r="M6" s="139">
        <f>SUM(F6:I6)</f>
        <v>13305803</v>
      </c>
      <c r="N6" s="54">
        <v>188928689</v>
      </c>
    </row>
    <row r="7" spans="2:17">
      <c r="B7" s="59" t="s">
        <v>21</v>
      </c>
      <c r="C7" s="56" t="str">
        <f>Knorr105!AG1</f>
        <v>AP A13609805</v>
      </c>
      <c r="D7" s="10">
        <v>1281</v>
      </c>
      <c r="E7" s="10">
        <v>1302</v>
      </c>
      <c r="F7" s="11">
        <f>Knorr105!AI$119</f>
        <v>39830</v>
      </c>
      <c r="G7" s="11">
        <f>Knorr105!AJ$119</f>
        <v>7708396</v>
      </c>
      <c r="H7" s="11">
        <f>Knorr105!AK$119</f>
        <v>50</v>
      </c>
      <c r="I7" s="11">
        <f>Knorr105!AL$119</f>
        <v>0</v>
      </c>
      <c r="J7" s="82">
        <f>Knorr105!AM$119</f>
        <v>0</v>
      </c>
      <c r="K7" s="82">
        <f>Knorr105!AN$119</f>
        <v>7748276</v>
      </c>
      <c r="L7" s="82">
        <f>Knorr105!AO$119</f>
        <v>7748276</v>
      </c>
      <c r="M7" s="139">
        <f>SUM(F7:I7)</f>
        <v>7748276</v>
      </c>
      <c r="N7" s="586">
        <v>319229393</v>
      </c>
    </row>
    <row r="8" spans="2:17">
      <c r="B8" s="59" t="s">
        <v>21</v>
      </c>
      <c r="C8" s="8" t="s">
        <v>29</v>
      </c>
      <c r="D8" s="33" t="s">
        <v>99</v>
      </c>
      <c r="E8" s="10">
        <v>1052</v>
      </c>
      <c r="F8" s="11">
        <f>Knorr105!BK119</f>
        <v>22635</v>
      </c>
      <c r="G8" s="11">
        <f>Knorr105!BL119</f>
        <v>5174496</v>
      </c>
      <c r="H8" s="11">
        <f>Knorr105!BM119</f>
        <v>0</v>
      </c>
      <c r="I8" s="11">
        <f>Knorr105!BN119</f>
        <v>50</v>
      </c>
      <c r="J8" s="11">
        <f>Knorr105!BO119</f>
        <v>5870</v>
      </c>
      <c r="K8" s="11">
        <f>Knorr105!BP119</f>
        <v>5191311</v>
      </c>
      <c r="L8" s="11">
        <f>Knorr105!BQ119</f>
        <v>5177161</v>
      </c>
      <c r="M8" s="139">
        <f>SUM(F8:I8)</f>
        <v>5197181</v>
      </c>
      <c r="N8" s="586">
        <v>179140358</v>
      </c>
    </row>
    <row r="9" spans="2:17">
      <c r="B9" s="59"/>
      <c r="C9" s="154"/>
      <c r="D9" s="33"/>
      <c r="E9" s="10"/>
      <c r="F9" s="11"/>
      <c r="G9" s="11"/>
      <c r="H9" s="11"/>
      <c r="I9" s="11"/>
      <c r="J9" s="82"/>
      <c r="K9" s="82"/>
      <c r="L9" s="448"/>
      <c r="M9" s="139"/>
      <c r="N9" s="11"/>
    </row>
    <row r="10" spans="2:17">
      <c r="B10" s="59" t="s">
        <v>33</v>
      </c>
      <c r="C10" s="56" t="str">
        <f>Knorr86!A1</f>
        <v>AP A13607465</v>
      </c>
      <c r="D10" s="10">
        <v>2315</v>
      </c>
      <c r="E10" s="10">
        <v>2336</v>
      </c>
      <c r="F10" s="11">
        <f>Knorr86!C118</f>
        <v>41190</v>
      </c>
      <c r="G10" s="11">
        <f>Knorr86!D118</f>
        <v>5365804</v>
      </c>
      <c r="H10" s="11">
        <f>Knorr86!E118</f>
        <v>0</v>
      </c>
      <c r="I10" s="11">
        <f>Knorr86!F118</f>
        <v>206410</v>
      </c>
      <c r="J10" s="82">
        <f>Knorr86!G118</f>
        <v>43750</v>
      </c>
      <c r="K10" s="82">
        <f>Knorr86!H118</f>
        <v>5569654</v>
      </c>
      <c r="L10" s="82">
        <f>Knorr86!I118</f>
        <v>5569654</v>
      </c>
      <c r="M10" s="139">
        <f>SUM(F10:I10)</f>
        <v>5613404</v>
      </c>
      <c r="N10" s="586">
        <v>220258229</v>
      </c>
      <c r="P10" s="80">
        <f>J10</f>
        <v>43750</v>
      </c>
      <c r="Q10" s="80">
        <f>M10-P10</f>
        <v>5569654</v>
      </c>
    </row>
    <row r="11" spans="2:17">
      <c r="B11" s="59"/>
      <c r="C11" s="56"/>
      <c r="D11" s="10"/>
      <c r="E11" s="10"/>
      <c r="F11" s="11"/>
      <c r="G11" s="11"/>
      <c r="H11" s="11"/>
      <c r="I11" s="11"/>
      <c r="J11" s="82"/>
      <c r="K11" s="82"/>
      <c r="L11" s="448"/>
      <c r="M11" s="139"/>
      <c r="N11" s="11"/>
    </row>
    <row r="12" spans="2:17">
      <c r="B12" s="59" t="s">
        <v>37</v>
      </c>
      <c r="C12" s="74" t="str">
        <f>Knorr69!A1</f>
        <v>AP A09111377</v>
      </c>
      <c r="D12" s="33" t="s">
        <v>100</v>
      </c>
      <c r="E12" s="33" t="s">
        <v>101</v>
      </c>
      <c r="F12" s="11">
        <f>Knorr69!C118</f>
        <v>5000</v>
      </c>
      <c r="G12" s="11">
        <f>Knorr69!D118</f>
        <v>8319343</v>
      </c>
      <c r="H12" s="11">
        <f>Knorr69!E118</f>
        <v>0</v>
      </c>
      <c r="I12" s="11">
        <f>Knorr69!F118</f>
        <v>145080</v>
      </c>
      <c r="J12" s="11">
        <f>Knorr69!G118</f>
        <v>10615</v>
      </c>
      <c r="K12" s="11">
        <f>Knorr69!H118</f>
        <v>8458808</v>
      </c>
      <c r="L12" s="11">
        <f>Knorr69!I118</f>
        <v>8475207</v>
      </c>
      <c r="M12" s="139">
        <f>SUM(F12:I12)</f>
        <v>8469423</v>
      </c>
      <c r="N12" s="139">
        <v>149604290</v>
      </c>
      <c r="P12" s="80">
        <f>J12</f>
        <v>10615</v>
      </c>
      <c r="Q12" s="80">
        <f>M12-P12</f>
        <v>8458808</v>
      </c>
    </row>
    <row r="13" spans="2:17">
      <c r="B13" s="59"/>
      <c r="C13" s="56"/>
      <c r="D13" s="33"/>
      <c r="E13" s="10"/>
      <c r="F13" s="11"/>
      <c r="G13" s="11"/>
      <c r="H13" s="11"/>
      <c r="I13" s="11"/>
      <c r="J13" s="82"/>
      <c r="K13" s="82"/>
      <c r="L13" s="448"/>
      <c r="M13" s="139"/>
      <c r="N13" s="11"/>
    </row>
    <row r="14" spans="2:17">
      <c r="B14" s="59" t="s">
        <v>40</v>
      </c>
      <c r="C14" s="74" t="str">
        <f>KTI!A1</f>
        <v>AP A13607773</v>
      </c>
      <c r="D14" s="33" t="s">
        <v>102</v>
      </c>
      <c r="E14" s="10">
        <v>1809</v>
      </c>
      <c r="F14" s="11">
        <f>KTI!C118</f>
        <v>15350</v>
      </c>
      <c r="G14" s="11">
        <f>KTI!D118</f>
        <v>3167135</v>
      </c>
      <c r="H14" s="11">
        <f>KTI!E118</f>
        <v>34564</v>
      </c>
      <c r="I14" s="11">
        <f>KTI!F118</f>
        <v>358815</v>
      </c>
      <c r="J14" s="11">
        <f>KTI!G118</f>
        <v>364510</v>
      </c>
      <c r="K14" s="11">
        <f>KTI!H118</f>
        <v>3207124</v>
      </c>
      <c r="L14" s="11">
        <f>KTI!I118</f>
        <v>3207124</v>
      </c>
      <c r="M14" s="139">
        <f>SUM(F14:I14)</f>
        <v>3575864</v>
      </c>
      <c r="N14" s="12">
        <v>213632400</v>
      </c>
      <c r="P14" s="80">
        <f>J14</f>
        <v>364510</v>
      </c>
      <c r="Q14" s="80">
        <f>M14-P14</f>
        <v>3211354</v>
      </c>
    </row>
    <row r="15" spans="2:17">
      <c r="B15" s="59"/>
      <c r="C15" s="56"/>
      <c r="D15" s="33"/>
      <c r="E15" s="10"/>
      <c r="F15" s="11"/>
      <c r="G15" s="11"/>
      <c r="H15" s="11"/>
      <c r="I15" s="11"/>
      <c r="J15" s="82"/>
      <c r="K15" s="82"/>
      <c r="L15" s="448"/>
      <c r="M15" s="139"/>
      <c r="N15" s="11"/>
    </row>
    <row r="16" spans="2:17">
      <c r="B16" s="59" t="s">
        <v>43</v>
      </c>
      <c r="C16" s="69" t="s">
        <v>92</v>
      </c>
      <c r="D16" s="33" t="s">
        <v>103</v>
      </c>
      <c r="E16" s="33" t="s">
        <v>104</v>
      </c>
      <c r="F16" s="11">
        <f>Szentkiralyi!C118</f>
        <v>6815</v>
      </c>
      <c r="G16" s="11">
        <f>Szentkiralyi!D118</f>
        <v>898808</v>
      </c>
      <c r="H16" s="11">
        <f>Szentkiralyi!E118</f>
        <v>0</v>
      </c>
      <c r="I16" s="11">
        <f>Szentkiralyi!F118</f>
        <v>106456</v>
      </c>
      <c r="J16" s="11">
        <f>Szentkiralyi!G118</f>
        <v>82095</v>
      </c>
      <c r="K16" s="11">
        <f>Szentkiralyi!H118</f>
        <v>929982</v>
      </c>
      <c r="L16" s="11">
        <f>Szentkiralyi!I118</f>
        <v>929552</v>
      </c>
      <c r="M16" s="139">
        <f>SUM(F16:I16)</f>
        <v>1012079</v>
      </c>
      <c r="N16" s="586">
        <v>6613472</v>
      </c>
    </row>
    <row r="17" spans="2:17">
      <c r="B17" s="59"/>
      <c r="C17" s="155"/>
      <c r="D17" s="33"/>
      <c r="E17" s="10"/>
      <c r="F17" s="11"/>
      <c r="G17" s="11"/>
      <c r="H17" s="11"/>
      <c r="I17" s="11"/>
      <c r="J17" s="82"/>
      <c r="K17" s="82"/>
      <c r="L17" s="448"/>
      <c r="M17" s="139"/>
      <c r="N17" s="11"/>
    </row>
    <row r="18" spans="2:17">
      <c r="B18" s="59" t="s">
        <v>45</v>
      </c>
      <c r="C18" s="69" t="s">
        <v>46</v>
      </c>
      <c r="D18" s="33" t="s">
        <v>105</v>
      </c>
      <c r="E18" s="33" t="s">
        <v>106</v>
      </c>
      <c r="F18" s="11">
        <f>RSR!C120</f>
        <v>12050</v>
      </c>
      <c r="G18" s="11">
        <f>RSR!D120</f>
        <v>2689383</v>
      </c>
      <c r="H18" s="11">
        <f>RSR!E120</f>
        <v>400790</v>
      </c>
      <c r="I18" s="11">
        <f>RSR!F120</f>
        <v>522069</v>
      </c>
      <c r="J18" s="82">
        <f>RSR!G120</f>
        <v>1134560</v>
      </c>
      <c r="K18" s="82">
        <f>RSR!H120</f>
        <v>2549719</v>
      </c>
      <c r="L18" s="82">
        <f ca="1">RSR!I120</f>
        <v>0</v>
      </c>
      <c r="M18" s="139">
        <f>SUM(F18:I18)</f>
        <v>3624292</v>
      </c>
      <c r="N18" s="12">
        <v>113059608</v>
      </c>
      <c r="P18" s="80">
        <f>SUM(J18:J19)</f>
        <v>1270775</v>
      </c>
      <c r="Q18" s="80">
        <f>SUM(M18:M19)-P18</f>
        <v>2813638</v>
      </c>
    </row>
    <row r="19" spans="2:17">
      <c r="B19" s="59" t="s">
        <v>45</v>
      </c>
      <c r="C19" s="168" t="s">
        <v>49</v>
      </c>
      <c r="D19" s="33" t="s">
        <v>107</v>
      </c>
      <c r="E19" s="33" t="s">
        <v>108</v>
      </c>
      <c r="F19" s="11">
        <f>RSR!S120</f>
        <v>12500</v>
      </c>
      <c r="G19" s="11">
        <f>RSR!T120</f>
        <v>16010</v>
      </c>
      <c r="H19" s="11">
        <f>RSR!U120</f>
        <v>28550</v>
      </c>
      <c r="I19" s="11">
        <f>RSR!V120</f>
        <v>403061</v>
      </c>
      <c r="J19" s="82">
        <f>RSR!W120</f>
        <v>136215</v>
      </c>
      <c r="K19" s="82">
        <f>RSR!X120</f>
        <v>323912</v>
      </c>
      <c r="L19" s="82">
        <f>RSR!Y120</f>
        <v>335180</v>
      </c>
      <c r="M19" s="139">
        <f>SUM(F19:I19)</f>
        <v>460121</v>
      </c>
      <c r="N19" s="12">
        <v>46375797</v>
      </c>
    </row>
    <row r="20" spans="2:17">
      <c r="B20" s="59" t="s">
        <v>45</v>
      </c>
      <c r="C20" s="56" t="str">
        <f>'Egyéb pénztárgépek'!M1</f>
        <v>AP A13609679</v>
      </c>
      <c r="D20" s="33" t="s">
        <v>109</v>
      </c>
      <c r="E20" s="33" t="s">
        <v>110</v>
      </c>
      <c r="F20" s="11">
        <f>RSR!AI120</f>
        <v>0</v>
      </c>
      <c r="G20" s="11">
        <f>RSR!AJ120</f>
        <v>0</v>
      </c>
      <c r="H20" s="11">
        <f>RSR!AK120</f>
        <v>0</v>
      </c>
      <c r="I20" s="11">
        <f>RSR!AL120</f>
        <v>0</v>
      </c>
      <c r="J20" s="11">
        <f>RSR!AM120</f>
        <v>0</v>
      </c>
      <c r="K20" s="11">
        <f>RSR!AN120</f>
        <v>0</v>
      </c>
      <c r="L20" s="11">
        <f>RSR!AO120</f>
        <v>0</v>
      </c>
      <c r="M20" s="139">
        <f>SUM(F20:I20)</f>
        <v>0</v>
      </c>
      <c r="N20" s="12">
        <v>277375359</v>
      </c>
    </row>
    <row r="21" spans="2:17">
      <c r="B21" s="59" t="s">
        <v>45</v>
      </c>
      <c r="C21" s="56" t="str">
        <f>'Egyéb pénztárgépek'!AC1</f>
        <v>AP A09109974</v>
      </c>
      <c r="D21" s="33" t="s">
        <v>111</v>
      </c>
      <c r="E21" s="10">
        <v>1464</v>
      </c>
      <c r="F21" s="11">
        <f>RSR!AY120</f>
        <v>200</v>
      </c>
      <c r="G21" s="11">
        <f>RSR!AZ120</f>
        <v>80120</v>
      </c>
      <c r="H21" s="11">
        <f>RSR!BA120</f>
        <v>12030</v>
      </c>
      <c r="I21" s="11">
        <f>RSR!BB120</f>
        <v>8030</v>
      </c>
      <c r="J21" s="11">
        <f>RSR!BC120</f>
        <v>24640</v>
      </c>
      <c r="K21" s="204">
        <f>RSR!BD120</f>
        <v>75740</v>
      </c>
      <c r="L21" s="204">
        <f>RSR!BE120</f>
        <v>73000</v>
      </c>
      <c r="M21" s="244">
        <f>SUM(F21:I21)</f>
        <v>100380</v>
      </c>
      <c r="N21" s="12">
        <v>220449392</v>
      </c>
    </row>
    <row r="22" spans="2:17">
      <c r="B22" s="59"/>
      <c r="D22" s="33"/>
      <c r="F22" t="s">
        <v>93</v>
      </c>
      <c r="K22" s="605"/>
      <c r="L22" s="605"/>
      <c r="M22" s="588"/>
      <c r="N22" s="606"/>
    </row>
    <row r="23" spans="2:17">
      <c r="B23" s="59" t="s">
        <v>57</v>
      </c>
      <c r="C23" s="56" t="s">
        <v>58</v>
      </c>
      <c r="D23" s="33" t="s">
        <v>112</v>
      </c>
      <c r="E23" s="10">
        <v>1689</v>
      </c>
      <c r="F23" s="11">
        <f>'Egyéb pénztárgépek'!AT117</f>
        <v>0</v>
      </c>
      <c r="G23" s="11">
        <f>'Egyéb pénztárgépek'!AU117</f>
        <v>0</v>
      </c>
      <c r="H23" s="11">
        <f>'Egyéb pénztárgépek'!AV117</f>
        <v>0</v>
      </c>
      <c r="I23" s="11">
        <f>'Egyéb pénztárgépek'!AW117</f>
        <v>0</v>
      </c>
      <c r="J23" s="11">
        <f>'Egyéb pénztárgépek'!AX117</f>
        <v>0</v>
      </c>
      <c r="K23" s="13">
        <f>'Egyéb pénztárgépek'!AY117</f>
        <v>0</v>
      </c>
      <c r="L23" s="13">
        <f>'Egyéb pénztárgépek'!AZ117</f>
        <v>0</v>
      </c>
      <c r="M23" s="607">
        <f>SUM(F23:I23)</f>
        <v>0</v>
      </c>
      <c r="N23" s="586">
        <v>265799692</v>
      </c>
    </row>
    <row r="24" spans="2:17">
      <c r="B24" s="59" t="s">
        <v>57</v>
      </c>
      <c r="C24" s="169" t="s">
        <v>61</v>
      </c>
      <c r="D24" s="33" t="s">
        <v>113</v>
      </c>
      <c r="E24" s="10">
        <v>2259</v>
      </c>
      <c r="F24" s="11">
        <f>'Egyéb pénztárgépek'!BJ117</f>
        <v>0</v>
      </c>
      <c r="G24" s="11">
        <f>'Egyéb pénztárgépek'!BK117</f>
        <v>0</v>
      </c>
      <c r="H24" s="11">
        <f>'Egyéb pénztárgépek'!BL117</f>
        <v>0</v>
      </c>
      <c r="I24" s="11">
        <f>'Egyéb pénztárgépek'!BM117</f>
        <v>0</v>
      </c>
      <c r="J24" s="11">
        <f>'Egyéb pénztárgépek'!BN117</f>
        <v>0</v>
      </c>
      <c r="K24" s="11">
        <f>'Egyéb pénztárgépek'!BO117</f>
        <v>0</v>
      </c>
      <c r="L24" s="11">
        <f>'Egyéb pénztárgépek'!BP117</f>
        <v>0</v>
      </c>
      <c r="M24" s="139">
        <f>SUM(F24:I24)</f>
        <v>0</v>
      </c>
      <c r="N24" s="12">
        <v>285033762</v>
      </c>
    </row>
    <row r="25" spans="2:17">
      <c r="B25" s="59"/>
      <c r="C25" s="165"/>
      <c r="D25" s="33"/>
      <c r="E25" s="10"/>
      <c r="F25" s="11"/>
      <c r="G25" s="11"/>
      <c r="H25" s="11"/>
      <c r="I25" s="11"/>
      <c r="J25" s="82"/>
      <c r="K25" s="82"/>
      <c r="L25" s="448"/>
      <c r="M25" s="139"/>
      <c r="N25" s="54"/>
    </row>
    <row r="26" spans="2:17">
      <c r="B26" s="59"/>
      <c r="C26" s="168"/>
      <c r="D26" s="123"/>
      <c r="E26" s="76"/>
      <c r="F26" s="204"/>
      <c r="G26" s="204"/>
      <c r="H26" s="204"/>
      <c r="I26" s="204"/>
      <c r="J26" s="243"/>
      <c r="K26" s="243"/>
      <c r="L26" s="449"/>
      <c r="M26" s="244"/>
      <c r="N26" s="245"/>
    </row>
    <row r="27" spans="2:17" ht="24" customHeight="1">
      <c r="B27" s="535" t="s">
        <v>64</v>
      </c>
      <c r="C27" s="536"/>
      <c r="D27" s="537"/>
      <c r="E27" s="537"/>
      <c r="F27" s="538">
        <f>SUM(F3:F24)</f>
        <v>278440</v>
      </c>
      <c r="G27" s="538">
        <f>SUM(G3:G24)</f>
        <v>59784896</v>
      </c>
      <c r="H27" s="538">
        <f>SUM(H3:H24)</f>
        <v>476184</v>
      </c>
      <c r="I27" s="538">
        <f>SUM(I3:I24)</f>
        <v>5746709</v>
      </c>
      <c r="J27" s="539">
        <v>1495140</v>
      </c>
      <c r="K27" s="540"/>
      <c r="L27" s="348">
        <f ca="1">SUM(L3:L24)</f>
        <v>53200611</v>
      </c>
      <c r="M27" s="418">
        <f>SUM(M3:M24)</f>
        <v>66286229</v>
      </c>
      <c r="N27" s="140"/>
    </row>
    <row r="28" spans="2:17">
      <c r="D28" s="4"/>
      <c r="E28" s="4"/>
      <c r="F28" s="4"/>
      <c r="G28" s="4"/>
      <c r="H28" s="4"/>
      <c r="I28" s="4"/>
      <c r="J28" s="77"/>
      <c r="K28" s="77"/>
      <c r="L28" s="77"/>
      <c r="M28" s="50"/>
      <c r="N28" s="48"/>
    </row>
    <row r="29" spans="2:17"/>
    <row r="30" spans="2:17"/>
    <row r="31" spans="2:17"/>
  </sheetData>
  <protectedRanges>
    <protectedRange sqref="C26 C19" name="Range2"/>
  </protectedRanges>
  <conditionalFormatting sqref="C26">
    <cfRule type="containsText" dxfId="1313" priority="83" stopIfTrue="1" operator="containsText" text="ELTÉRÉS!">
      <formula>NOT(ISERROR(SEARCH("ELTÉRÉS!",C26)))</formula>
    </cfRule>
    <cfRule type="containsText" dxfId="1312" priority="84" stopIfTrue="1" operator="containsText" text="STIMMEL!">
      <formula>NOT(ISERROR(SEARCH("STIMMEL!",C26)))</formula>
    </cfRule>
  </conditionalFormatting>
  <conditionalFormatting sqref="C26">
    <cfRule type="cellIs" dxfId="1311" priority="82" operator="equal">
      <formula>0.01</formula>
    </cfRule>
  </conditionalFormatting>
  <conditionalFormatting sqref="C19">
    <cfRule type="containsText" dxfId="1310" priority="80" stopIfTrue="1" operator="containsText" text="ELTÉRÉS!">
      <formula>NOT(ISERROR(SEARCH("ELTÉRÉS!",C19)))</formula>
    </cfRule>
    <cfRule type="containsText" dxfId="1309" priority="81" stopIfTrue="1" operator="containsText" text="STIMMEL!">
      <formula>NOT(ISERROR(SEARCH("STIMMEL!",C19)))</formula>
    </cfRule>
  </conditionalFormatting>
  <conditionalFormatting sqref="C19">
    <cfRule type="cellIs" dxfId="1308" priority="79" operator="equal">
      <formula>0.01</formula>
    </cfRule>
  </conditionalFormatting>
  <conditionalFormatting sqref="N12">
    <cfRule type="containsText" dxfId="1307" priority="41" stopIfTrue="1" operator="containsText" text="ELTÉRÉS!">
      <formula>NOT(ISERROR(SEARCH("ELTÉRÉS!",N12)))</formula>
    </cfRule>
    <cfRule type="containsText" dxfId="1306" priority="42" stopIfTrue="1" operator="containsText" text="STIMMEL!">
      <formula>NOT(ISERROR(SEARCH("STIMMEL!",N12)))</formula>
    </cfRule>
  </conditionalFormatting>
  <conditionalFormatting sqref="N12">
    <cfRule type="cellIs" dxfId="1305" priority="40" operator="equal">
      <formula>0.01</formula>
    </cfRule>
  </conditionalFormatting>
  <conditionalFormatting sqref="N19">
    <cfRule type="containsText" dxfId="1304" priority="38" stopIfTrue="1" operator="containsText" text="ELTÉRÉS!">
      <formula>NOT(ISERROR(SEARCH("ELTÉRÉS!",N19)))</formula>
    </cfRule>
    <cfRule type="containsText" dxfId="1303" priority="39" stopIfTrue="1" operator="containsText" text="STIMMEL!">
      <formula>NOT(ISERROR(SEARCH("STIMMEL!",N19)))</formula>
    </cfRule>
  </conditionalFormatting>
  <conditionalFormatting sqref="N19">
    <cfRule type="cellIs" dxfId="1302" priority="37" operator="equal">
      <formula>0.01</formula>
    </cfRule>
  </conditionalFormatting>
  <conditionalFormatting sqref="N21">
    <cfRule type="containsText" dxfId="1301" priority="35" stopIfTrue="1" operator="containsText" text="ELTÉRÉS!">
      <formula>NOT(ISERROR(SEARCH("ELTÉRÉS!",N21)))</formula>
    </cfRule>
    <cfRule type="containsText" dxfId="1300" priority="36" stopIfTrue="1" operator="containsText" text="STIMMEL!">
      <formula>NOT(ISERROR(SEARCH("STIMMEL!",N21)))</formula>
    </cfRule>
  </conditionalFormatting>
  <conditionalFormatting sqref="N21">
    <cfRule type="cellIs" dxfId="1299" priority="34" operator="equal">
      <formula>0.01</formula>
    </cfRule>
  </conditionalFormatting>
  <conditionalFormatting sqref="N20">
    <cfRule type="containsText" dxfId="1298" priority="32" stopIfTrue="1" operator="containsText" text="ELTÉRÉS!">
      <formula>NOT(ISERROR(SEARCH("ELTÉRÉS!",N20)))</formula>
    </cfRule>
    <cfRule type="containsText" dxfId="1297" priority="33" stopIfTrue="1" operator="containsText" text="STIMMEL!">
      <formula>NOT(ISERROR(SEARCH("STIMMEL!",N20)))</formula>
    </cfRule>
  </conditionalFormatting>
  <conditionalFormatting sqref="N20">
    <cfRule type="cellIs" dxfId="1296" priority="31" operator="equal">
      <formula>0.01</formula>
    </cfRule>
  </conditionalFormatting>
  <conditionalFormatting sqref="N18">
    <cfRule type="containsText" dxfId="1295" priority="29" stopIfTrue="1" operator="containsText" text="ELTÉRÉS!">
      <formula>NOT(ISERROR(SEARCH("ELTÉRÉS!",N18)))</formula>
    </cfRule>
    <cfRule type="containsText" dxfId="1294" priority="30" stopIfTrue="1" operator="containsText" text="STIMMEL!">
      <formula>NOT(ISERROR(SEARCH("STIMMEL!",N18)))</formula>
    </cfRule>
  </conditionalFormatting>
  <conditionalFormatting sqref="N18">
    <cfRule type="cellIs" dxfId="1293" priority="28" operator="equal">
      <formula>0.01</formula>
    </cfRule>
  </conditionalFormatting>
  <conditionalFormatting sqref="N24">
    <cfRule type="containsText" dxfId="1292" priority="26" stopIfTrue="1" operator="containsText" text="ELTÉRÉS!">
      <formula>NOT(ISERROR(SEARCH("ELTÉRÉS!",N24)))</formula>
    </cfRule>
    <cfRule type="containsText" dxfId="1291" priority="27" stopIfTrue="1" operator="containsText" text="STIMMEL!">
      <formula>NOT(ISERROR(SEARCH("STIMMEL!",N24)))</formula>
    </cfRule>
  </conditionalFormatting>
  <conditionalFormatting sqref="N24">
    <cfRule type="cellIs" dxfId="1290" priority="25" operator="equal">
      <formula>0.01</formula>
    </cfRule>
  </conditionalFormatting>
  <conditionalFormatting sqref="N14">
    <cfRule type="containsText" dxfId="1289" priority="23" stopIfTrue="1" operator="containsText" text="ELTÉRÉS!">
      <formula>NOT(ISERROR(SEARCH("ELTÉRÉS!",N14)))</formula>
    </cfRule>
    <cfRule type="containsText" dxfId="1288" priority="24" stopIfTrue="1" operator="containsText" text="STIMMEL!">
      <formula>NOT(ISERROR(SEARCH("STIMMEL!",N14)))</formula>
    </cfRule>
  </conditionalFormatting>
  <conditionalFormatting sqref="N14">
    <cfRule type="cellIs" dxfId="1287" priority="22" operator="equal">
      <formula>0.01</formula>
    </cfRule>
  </conditionalFormatting>
  <conditionalFormatting sqref="N3">
    <cfRule type="containsText" dxfId="1286" priority="20" stopIfTrue="1" operator="containsText" text="ELTÉRÉS!">
      <formula>NOT(ISERROR(SEARCH("ELTÉRÉS!",N3)))</formula>
    </cfRule>
    <cfRule type="containsText" dxfId="1285" priority="21" stopIfTrue="1" operator="containsText" text="STIMMEL!">
      <formula>NOT(ISERROR(SEARCH("STIMMEL!",N3)))</formula>
    </cfRule>
  </conditionalFormatting>
  <conditionalFormatting sqref="N3">
    <cfRule type="cellIs" dxfId="1284" priority="19" operator="equal">
      <formula>0.01</formula>
    </cfRule>
  </conditionalFormatting>
  <conditionalFormatting sqref="N10">
    <cfRule type="containsText" dxfId="1283" priority="17" stopIfTrue="1" operator="containsText" text="ELTÉRÉS!">
      <formula>NOT(ISERROR(SEARCH("ELTÉRÉS!",N10)))</formula>
    </cfRule>
    <cfRule type="containsText" dxfId="1282" priority="18" stopIfTrue="1" operator="containsText" text="STIMMEL!">
      <formula>NOT(ISERROR(SEARCH("STIMMEL!",N10)))</formula>
    </cfRule>
  </conditionalFormatting>
  <conditionalFormatting sqref="N10">
    <cfRule type="cellIs" dxfId="1281" priority="16" operator="equal">
      <formula>0.01</formula>
    </cfRule>
  </conditionalFormatting>
  <conditionalFormatting sqref="N5">
    <cfRule type="containsText" dxfId="1280" priority="14" stopIfTrue="1" operator="containsText" text="ELTÉRÉS!">
      <formula>NOT(ISERROR(SEARCH("ELTÉRÉS!",N5)))</formula>
    </cfRule>
    <cfRule type="containsText" dxfId="1279" priority="15" stopIfTrue="1" operator="containsText" text="STIMMEL!">
      <formula>NOT(ISERROR(SEARCH("STIMMEL!",N5)))</formula>
    </cfRule>
  </conditionalFormatting>
  <conditionalFormatting sqref="N5">
    <cfRule type="cellIs" dxfId="1278" priority="13" operator="equal">
      <formula>0.01</formula>
    </cfRule>
  </conditionalFormatting>
  <conditionalFormatting sqref="N7">
    <cfRule type="containsText" dxfId="1277" priority="11" stopIfTrue="1" operator="containsText" text="ELTÉRÉS!">
      <formula>NOT(ISERROR(SEARCH("ELTÉRÉS!",N7)))</formula>
    </cfRule>
    <cfRule type="containsText" dxfId="1276" priority="12" stopIfTrue="1" operator="containsText" text="STIMMEL!">
      <formula>NOT(ISERROR(SEARCH("STIMMEL!",N7)))</formula>
    </cfRule>
  </conditionalFormatting>
  <conditionalFormatting sqref="N7">
    <cfRule type="cellIs" dxfId="1275" priority="10" operator="equal">
      <formula>0.01</formula>
    </cfRule>
  </conditionalFormatting>
  <conditionalFormatting sqref="N8">
    <cfRule type="containsText" dxfId="1274" priority="8" stopIfTrue="1" operator="containsText" text="ELTÉRÉS!">
      <formula>NOT(ISERROR(SEARCH("ELTÉRÉS!",N8)))</formula>
    </cfRule>
    <cfRule type="containsText" dxfId="1273" priority="9" stopIfTrue="1" operator="containsText" text="STIMMEL!">
      <formula>NOT(ISERROR(SEARCH("STIMMEL!",N8)))</formula>
    </cfRule>
  </conditionalFormatting>
  <conditionalFormatting sqref="N8">
    <cfRule type="cellIs" dxfId="1272" priority="7" operator="equal">
      <formula>0.01</formula>
    </cfRule>
  </conditionalFormatting>
  <conditionalFormatting sqref="N23">
    <cfRule type="containsText" dxfId="1271" priority="5" stopIfTrue="1" operator="containsText" text="ELTÉRÉS!">
      <formula>NOT(ISERROR(SEARCH("ELTÉRÉS!",N23)))</formula>
    </cfRule>
    <cfRule type="containsText" dxfId="1270" priority="6" stopIfTrue="1" operator="containsText" text="STIMMEL!">
      <formula>NOT(ISERROR(SEARCH("STIMMEL!",N23)))</formula>
    </cfRule>
  </conditionalFormatting>
  <conditionalFormatting sqref="N23">
    <cfRule type="cellIs" dxfId="1269" priority="4" operator="equal">
      <formula>0.01</formula>
    </cfRule>
  </conditionalFormatting>
  <conditionalFormatting sqref="N16">
    <cfRule type="containsText" dxfId="1268" priority="2" stopIfTrue="1" operator="containsText" text="ELTÉRÉS!">
      <formula>NOT(ISERROR(SEARCH("ELTÉRÉS!",N16)))</formula>
    </cfRule>
    <cfRule type="containsText" dxfId="1267" priority="3" stopIfTrue="1" operator="containsText" text="STIMMEL!">
      <formula>NOT(ISERROR(SEARCH("STIMMEL!",N16)))</formula>
    </cfRule>
  </conditionalFormatting>
  <conditionalFormatting sqref="N16">
    <cfRule type="cellIs" dxfId="1266" priority="1" operator="equal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DE-C98A-4412-8A54-5391B35A7A73}">
  <dimension ref="B2:Q31"/>
  <sheetViews>
    <sheetView workbookViewId="0">
      <pane ySplit="2" topLeftCell="A3" activePane="bottomLeft" state="frozen"/>
      <selection pane="bottomLeft" activeCell="M4" sqref="M4"/>
    </sheetView>
  </sheetViews>
  <sheetFormatPr defaultRowHeight="15" customHeight="1"/>
  <cols>
    <col min="1" max="1" width="3.85546875" customWidth="1"/>
    <col min="2" max="2" width="16.7109375" style="49" customWidth="1"/>
    <col min="3" max="3" width="15.7109375" style="4" customWidth="1"/>
    <col min="4" max="5" width="10.85546875" customWidth="1"/>
    <col min="6" max="9" width="13.85546875" customWidth="1"/>
    <col min="10" max="12" width="13.85546875" style="78" customWidth="1"/>
    <col min="13" max="13" width="15.28515625" style="46" customWidth="1"/>
    <col min="14" max="14" width="25.5703125" style="49" customWidth="1"/>
    <col min="16" max="16" width="12.42578125" style="79" customWidth="1"/>
    <col min="17" max="17" width="13.42578125" style="79" customWidth="1"/>
  </cols>
  <sheetData>
    <row r="2" spans="2:17" ht="33.75" customHeight="1">
      <c r="B2" s="55"/>
      <c r="C2" s="58" t="s">
        <v>84</v>
      </c>
      <c r="D2" s="44" t="s">
        <v>85</v>
      </c>
      <c r="E2" s="44" t="s">
        <v>86</v>
      </c>
      <c r="F2" s="43">
        <v>0</v>
      </c>
      <c r="G2" s="43">
        <v>0.05</v>
      </c>
      <c r="H2" s="43">
        <v>0.18</v>
      </c>
      <c r="I2" s="43">
        <v>0.27</v>
      </c>
      <c r="J2" s="81" t="s">
        <v>16</v>
      </c>
      <c r="K2" s="81" t="s">
        <v>87</v>
      </c>
      <c r="L2" s="453" t="s">
        <v>88</v>
      </c>
      <c r="M2" s="44" t="s">
        <v>89</v>
      </c>
      <c r="N2" s="86" t="s">
        <v>90</v>
      </c>
      <c r="P2" s="79" t="s">
        <v>16</v>
      </c>
      <c r="Q2" s="79" t="s">
        <v>91</v>
      </c>
    </row>
    <row r="3" spans="2:17">
      <c r="B3" s="59" t="s">
        <v>17</v>
      </c>
      <c r="C3" s="74" t="str">
        <f>MÁK!A1</f>
        <v>AP A13610440</v>
      </c>
      <c r="D3" s="10">
        <v>1030</v>
      </c>
      <c r="E3" s="10">
        <v>1049</v>
      </c>
      <c r="F3" s="11">
        <f>MÁK!C76</f>
        <v>19240</v>
      </c>
      <c r="G3" s="11">
        <f>MÁK!D76</f>
        <v>4535249</v>
      </c>
      <c r="H3" s="11">
        <f>MÁK!E76</f>
        <v>3894</v>
      </c>
      <c r="I3" s="11">
        <f>MÁK!F76</f>
        <v>2862164</v>
      </c>
      <c r="J3" s="82">
        <f>MÁK!G76</f>
        <v>495690</v>
      </c>
      <c r="K3" s="11">
        <f>MÁK!H76</f>
        <v>6920105</v>
      </c>
      <c r="L3" s="11">
        <f>MÁK!I76</f>
        <v>6920105</v>
      </c>
      <c r="M3" s="401">
        <f>SUM(F3:I3)</f>
        <v>7420547</v>
      </c>
      <c r="N3" s="417">
        <v>226936844</v>
      </c>
      <c r="P3" s="80" t="e">
        <f>J3+#REF!</f>
        <v>#REF!</v>
      </c>
      <c r="Q3" s="80" t="e">
        <f>SUM(M3:M3)-P3</f>
        <v>#REF!</v>
      </c>
    </row>
    <row r="4" spans="2:17">
      <c r="B4" s="59"/>
      <c r="C4" s="57"/>
      <c r="D4" s="10"/>
      <c r="E4" s="10"/>
      <c r="F4" s="11"/>
      <c r="G4" s="11"/>
      <c r="H4" s="11"/>
      <c r="I4" s="11"/>
      <c r="J4" s="82"/>
      <c r="K4" s="82"/>
      <c r="L4" s="448"/>
      <c r="M4" s="139"/>
      <c r="N4" s="11"/>
    </row>
    <row r="5" spans="2:17">
      <c r="B5" s="59" t="s">
        <v>21</v>
      </c>
      <c r="C5" s="74" t="str">
        <f>Knorr105!A1</f>
        <v>AP A09111376</v>
      </c>
      <c r="D5" s="33" t="s">
        <v>114</v>
      </c>
      <c r="E5" s="33" t="s">
        <v>115</v>
      </c>
      <c r="F5" s="11">
        <f>Knorr105!C$76</f>
        <v>15290</v>
      </c>
      <c r="G5" s="11">
        <f>Knorr105!D$76</f>
        <v>7857997</v>
      </c>
      <c r="H5" s="11">
        <f>Knorr105!E$76</f>
        <v>50</v>
      </c>
      <c r="I5" s="11">
        <f>Knorr105!F$76</f>
        <v>2340</v>
      </c>
      <c r="J5" s="82">
        <f>Knorr105!G$76</f>
        <v>0</v>
      </c>
      <c r="K5" s="82">
        <f>Knorr105!H$76</f>
        <v>7875677</v>
      </c>
      <c r="L5" s="82">
        <f>Knorr105!I$76</f>
        <v>7875677</v>
      </c>
      <c r="M5" s="401">
        <f>SUM(F5:I5)</f>
        <v>7875677</v>
      </c>
      <c r="N5" s="533">
        <v>141486103</v>
      </c>
      <c r="P5" s="80">
        <f>J5+J6+J7</f>
        <v>17725</v>
      </c>
      <c r="Q5" s="80">
        <f>SUM(M5:M7)-P5</f>
        <v>26910138</v>
      </c>
    </row>
    <row r="6" spans="2:17">
      <c r="B6" s="59" t="s">
        <v>21</v>
      </c>
      <c r="C6" s="56" t="str">
        <f>Knorr105!Q1</f>
        <v xml:space="preserve">AP A24010154 </v>
      </c>
      <c r="D6" s="33" t="s">
        <v>116</v>
      </c>
      <c r="E6" s="33" t="s">
        <v>117</v>
      </c>
      <c r="F6" s="11">
        <f>Knorr105!S$76</f>
        <v>60410</v>
      </c>
      <c r="G6" s="11">
        <f>Knorr105!T$76</f>
        <v>11279526</v>
      </c>
      <c r="H6" s="11">
        <f>Knorr105!U$76</f>
        <v>0</v>
      </c>
      <c r="I6" s="11">
        <f>Knorr105!V$76</f>
        <v>0</v>
      </c>
      <c r="J6" s="82">
        <f>Knorr105!W$76</f>
        <v>17725</v>
      </c>
      <c r="K6" s="82">
        <f>Knorr105!X$76</f>
        <v>11322211</v>
      </c>
      <c r="L6" s="82">
        <f>Knorr105!Y$76</f>
        <v>11322211</v>
      </c>
      <c r="M6" s="401">
        <f>SUM(F6:I6)</f>
        <v>11339936</v>
      </c>
      <c r="N6" s="75">
        <v>175622886</v>
      </c>
    </row>
    <row r="7" spans="2:17">
      <c r="B7" s="59" t="s">
        <v>21</v>
      </c>
      <c r="C7" s="56" t="str">
        <f>Knorr105!AG1</f>
        <v>AP A13609805</v>
      </c>
      <c r="D7" s="10">
        <v>1260</v>
      </c>
      <c r="E7" s="10">
        <v>1280</v>
      </c>
      <c r="F7" s="11">
        <f>Knorr105!AI$76</f>
        <v>34330</v>
      </c>
      <c r="G7" s="11">
        <f>Knorr105!AJ$76</f>
        <v>7673400</v>
      </c>
      <c r="H7" s="11">
        <f>Knorr105!AK$76</f>
        <v>0</v>
      </c>
      <c r="I7" s="11">
        <f>Knorr105!AL$76</f>
        <v>4520</v>
      </c>
      <c r="J7" s="82">
        <f>Knorr105!AM$76</f>
        <v>0</v>
      </c>
      <c r="K7" s="82">
        <f>Knorr105!AN$76</f>
        <v>7712250</v>
      </c>
      <c r="L7" s="82">
        <f>Knorr105!AO$76</f>
        <v>7712250</v>
      </c>
      <c r="M7" s="401">
        <f>SUM(F7:I7)</f>
        <v>7712250</v>
      </c>
      <c r="N7" s="533">
        <v>311481117</v>
      </c>
    </row>
    <row r="8" spans="2:17">
      <c r="B8" s="59" t="s">
        <v>21</v>
      </c>
      <c r="C8" s="8" t="s">
        <v>29</v>
      </c>
      <c r="D8" s="33" t="s">
        <v>118</v>
      </c>
      <c r="E8" s="10">
        <v>1030</v>
      </c>
      <c r="F8" s="11">
        <f>Knorr105!BK76</f>
        <v>13550</v>
      </c>
      <c r="G8" s="11">
        <f>Knorr105!BL76</f>
        <v>3637165</v>
      </c>
      <c r="H8" s="11">
        <f>Knorr105!BM76</f>
        <v>50</v>
      </c>
      <c r="I8" s="11">
        <f>Knorr105!BN76</f>
        <v>0</v>
      </c>
      <c r="J8" s="11">
        <f>Knorr105!BO76</f>
        <v>0</v>
      </c>
      <c r="K8" s="11">
        <f>Knorr105!BP76</f>
        <v>3650765</v>
      </c>
      <c r="L8" s="11">
        <f>Knorr105!BQ76</f>
        <v>3650765</v>
      </c>
      <c r="M8" s="401">
        <f>SUM(F8:I8)</f>
        <v>3650765</v>
      </c>
      <c r="N8" s="417">
        <v>173943177</v>
      </c>
    </row>
    <row r="9" spans="2:17">
      <c r="B9" s="59"/>
      <c r="C9" s="154"/>
      <c r="D9" s="33"/>
      <c r="E9" s="10"/>
      <c r="F9" s="11"/>
      <c r="G9" s="11"/>
      <c r="H9" s="11"/>
      <c r="I9" s="11"/>
      <c r="J9" s="82"/>
      <c r="K9" s="82"/>
      <c r="L9" s="448"/>
      <c r="M9" s="139"/>
      <c r="N9" s="11"/>
    </row>
    <row r="10" spans="2:17">
      <c r="B10" s="59" t="s">
        <v>33</v>
      </c>
      <c r="C10" s="56" t="str">
        <f>Knorr86!A1</f>
        <v>AP A13607465</v>
      </c>
      <c r="D10" s="10">
        <v>2295</v>
      </c>
      <c r="E10" s="10">
        <v>2314</v>
      </c>
      <c r="F10" s="11">
        <f>Knorr86!C75</f>
        <v>28620</v>
      </c>
      <c r="G10" s="11">
        <f>Knorr86!D75</f>
        <v>4727400</v>
      </c>
      <c r="H10" s="11">
        <f>Knorr86!E75</f>
        <v>0</v>
      </c>
      <c r="I10" s="11">
        <f>Knorr86!F75</f>
        <v>146125</v>
      </c>
      <c r="J10" s="82">
        <f>Knorr86!G75</f>
        <v>37230</v>
      </c>
      <c r="K10" s="82">
        <f>Knorr86!H75</f>
        <v>4864915</v>
      </c>
      <c r="L10" s="82">
        <f>Knorr86!I75</f>
        <v>4864915</v>
      </c>
      <c r="M10" s="401">
        <f>SUM(F10:I10)</f>
        <v>4902145</v>
      </c>
      <c r="N10" s="75">
        <v>214644825</v>
      </c>
      <c r="P10" s="80">
        <f>J10</f>
        <v>37230</v>
      </c>
      <c r="Q10" s="80">
        <f>M10-P10</f>
        <v>4864915</v>
      </c>
    </row>
    <row r="11" spans="2:17">
      <c r="B11" s="59"/>
      <c r="C11" s="56"/>
      <c r="D11" s="10"/>
      <c r="E11" s="10"/>
      <c r="F11" s="11"/>
      <c r="G11" s="11"/>
      <c r="H11" s="11"/>
      <c r="I11" s="11"/>
      <c r="J11" s="82"/>
      <c r="K11" s="82"/>
      <c r="L11" s="448"/>
      <c r="M11" s="139"/>
      <c r="N11" s="11"/>
    </row>
    <row r="12" spans="2:17">
      <c r="B12" s="59" t="s">
        <v>37</v>
      </c>
      <c r="C12" s="74" t="str">
        <f>Knorr69!A1</f>
        <v>AP A09111377</v>
      </c>
      <c r="D12" s="33" t="s">
        <v>119</v>
      </c>
      <c r="E12" s="33" t="s">
        <v>120</v>
      </c>
      <c r="F12" s="11">
        <f>Knorr69!C75</f>
        <v>4505</v>
      </c>
      <c r="G12" s="11">
        <f>Knorr69!D75</f>
        <v>6881361</v>
      </c>
      <c r="H12" s="11">
        <f>Knorr69!E75</f>
        <v>0</v>
      </c>
      <c r="I12" s="11">
        <f>Knorr69!F75</f>
        <v>162564</v>
      </c>
      <c r="J12" s="11">
        <f>Knorr69!G75</f>
        <v>0</v>
      </c>
      <c r="K12" s="11">
        <f>Knorr69!H75</f>
        <v>7049220</v>
      </c>
      <c r="L12" s="11">
        <f>Knorr69!I75</f>
        <v>7048430</v>
      </c>
      <c r="M12" s="401">
        <f>SUM(F12:I12)</f>
        <v>7048430</v>
      </c>
      <c r="N12" s="401">
        <v>141134867</v>
      </c>
      <c r="P12" s="80">
        <f>J12</f>
        <v>0</v>
      </c>
      <c r="Q12" s="80">
        <f>M12-P12</f>
        <v>7048430</v>
      </c>
    </row>
    <row r="13" spans="2:17">
      <c r="B13" s="59"/>
      <c r="C13" s="56"/>
      <c r="D13" s="33"/>
      <c r="E13" s="10"/>
      <c r="F13" s="11"/>
      <c r="G13" s="11"/>
      <c r="H13" s="11"/>
      <c r="I13" s="11"/>
      <c r="J13" s="82"/>
      <c r="K13" s="82"/>
      <c r="L13" s="448"/>
      <c r="M13" s="139"/>
      <c r="N13" s="11"/>
    </row>
    <row r="14" spans="2:17">
      <c r="B14" s="59" t="s">
        <v>40</v>
      </c>
      <c r="C14" s="74" t="str">
        <f>KTI!A1</f>
        <v>AP A13607773</v>
      </c>
      <c r="D14" s="33" t="s">
        <v>121</v>
      </c>
      <c r="E14" s="10">
        <v>1787</v>
      </c>
      <c r="F14" s="11">
        <f>KTI!C75</f>
        <v>5700</v>
      </c>
      <c r="G14" s="11">
        <f>KTI!D75</f>
        <v>2761430</v>
      </c>
      <c r="H14" s="11">
        <f>KTI!E75</f>
        <v>25465</v>
      </c>
      <c r="I14" s="11">
        <f>KTI!F75</f>
        <v>327410</v>
      </c>
      <c r="J14" s="11">
        <f>KTI!G75</f>
        <v>322525</v>
      </c>
      <c r="K14" s="11">
        <f>KTI!H75</f>
        <v>2797480</v>
      </c>
      <c r="L14" s="11">
        <f>KTI!I75</f>
        <v>2797480</v>
      </c>
      <c r="M14" s="401">
        <f>SUM(F14:I14)</f>
        <v>3120005</v>
      </c>
      <c r="N14" s="417">
        <v>210056536</v>
      </c>
      <c r="P14" s="80">
        <f>J14</f>
        <v>322525</v>
      </c>
      <c r="Q14" s="80">
        <f>M14-P14</f>
        <v>2797480</v>
      </c>
    </row>
    <row r="15" spans="2:17">
      <c r="B15" s="59"/>
      <c r="C15" s="56"/>
      <c r="D15" s="33"/>
      <c r="E15" s="10"/>
      <c r="F15" s="11"/>
      <c r="G15" s="11"/>
      <c r="H15" s="11"/>
      <c r="I15" s="11"/>
      <c r="J15" s="82"/>
      <c r="K15" s="82"/>
      <c r="L15" s="448"/>
      <c r="M15" s="139"/>
      <c r="N15" s="11"/>
    </row>
    <row r="16" spans="2:17">
      <c r="B16" s="59" t="s">
        <v>43</v>
      </c>
      <c r="C16" s="69" t="s">
        <v>92</v>
      </c>
      <c r="D16" s="33" t="s">
        <v>122</v>
      </c>
      <c r="E16" s="33" t="s">
        <v>123</v>
      </c>
      <c r="F16" s="11">
        <f>Szentkiralyi!C75</f>
        <v>6670</v>
      </c>
      <c r="G16" s="11">
        <f>Szentkiralyi!D75</f>
        <v>756232</v>
      </c>
      <c r="H16" s="11">
        <f>Szentkiralyi!E75</f>
        <v>10360</v>
      </c>
      <c r="I16" s="11">
        <f>Szentkiralyi!F75</f>
        <v>104661</v>
      </c>
      <c r="J16" s="11">
        <f>Szentkiralyi!G75</f>
        <v>64210</v>
      </c>
      <c r="K16" s="11">
        <f>Szentkiralyi!H75</f>
        <v>813713</v>
      </c>
      <c r="L16" s="11">
        <f>Szentkiralyi!I75</f>
        <v>813713</v>
      </c>
      <c r="M16" s="401">
        <f>SUM(F16:I16)</f>
        <v>877923</v>
      </c>
      <c r="N16" s="417">
        <v>5601393</v>
      </c>
    </row>
    <row r="17" spans="2:17">
      <c r="B17" s="59"/>
      <c r="C17" s="155"/>
      <c r="D17" s="33"/>
      <c r="E17" s="10"/>
      <c r="F17" s="11"/>
      <c r="G17" s="11"/>
      <c r="H17" s="11"/>
      <c r="I17" s="11"/>
      <c r="J17" s="82"/>
      <c r="K17" s="82"/>
      <c r="L17" s="448"/>
      <c r="M17" s="139"/>
      <c r="N17" s="11"/>
    </row>
    <row r="18" spans="2:17">
      <c r="B18" s="59" t="s">
        <v>45</v>
      </c>
      <c r="C18" s="69" t="s">
        <v>46</v>
      </c>
      <c r="D18" s="33" t="s">
        <v>124</v>
      </c>
      <c r="E18" s="33" t="s">
        <v>125</v>
      </c>
      <c r="F18" s="11">
        <f>RSR!C75</f>
        <v>32700</v>
      </c>
      <c r="G18" s="11">
        <f>RSR!D75</f>
        <v>1977405</v>
      </c>
      <c r="H18" s="11">
        <f>RSR!E75</f>
        <v>117550</v>
      </c>
      <c r="I18" s="11">
        <f>RSR!F75</f>
        <v>1280460</v>
      </c>
      <c r="J18" s="82">
        <f>RSR!G75</f>
        <v>1580415</v>
      </c>
      <c r="K18" s="82">
        <f>RSR!H75</f>
        <v>1853719</v>
      </c>
      <c r="L18" s="82">
        <f>RSR!I75</f>
        <v>1848229</v>
      </c>
      <c r="M18" s="401">
        <f>SUM(F18:I18)</f>
        <v>3408115</v>
      </c>
      <c r="N18" s="417">
        <v>109435316</v>
      </c>
      <c r="P18" s="80">
        <f>SUM(J18:J19)</f>
        <v>2422100</v>
      </c>
      <c r="Q18" s="80">
        <f>SUM(M18:M19)-P18</f>
        <v>2619079</v>
      </c>
    </row>
    <row r="19" spans="2:17">
      <c r="B19" s="59" t="s">
        <v>45</v>
      </c>
      <c r="C19" s="168" t="s">
        <v>49</v>
      </c>
      <c r="D19" s="33" t="s">
        <v>126</v>
      </c>
      <c r="E19" s="33" t="s">
        <v>127</v>
      </c>
      <c r="F19" s="11">
        <f>RSR!S75</f>
        <v>35690</v>
      </c>
      <c r="G19" s="11">
        <f>RSR!T75</f>
        <v>615963</v>
      </c>
      <c r="H19" s="11">
        <f>RSR!U75</f>
        <v>67370</v>
      </c>
      <c r="I19" s="11">
        <f>RSR!V75</f>
        <v>914041</v>
      </c>
      <c r="J19" s="82">
        <f>RSR!W75</f>
        <v>841685</v>
      </c>
      <c r="K19" s="82">
        <f>RSR!X75</f>
        <v>821379</v>
      </c>
      <c r="L19" s="82">
        <f>RSR!Y75</f>
        <v>817167</v>
      </c>
      <c r="M19" s="401">
        <f>SUM(F19:I19)</f>
        <v>1633064</v>
      </c>
      <c r="N19" s="417">
        <v>45915676</v>
      </c>
    </row>
    <row r="20" spans="2:17">
      <c r="B20" s="59" t="s">
        <v>45</v>
      </c>
      <c r="C20" s="56" t="str">
        <f>'Egyéb pénztárgépek'!M1</f>
        <v>AP A13609679</v>
      </c>
      <c r="D20" s="33" t="s">
        <v>128</v>
      </c>
      <c r="E20" s="33" t="s">
        <v>129</v>
      </c>
      <c r="F20" s="11">
        <f>RSR!AI75</f>
        <v>30720</v>
      </c>
      <c r="G20" s="11">
        <f>RSR!AJ75</f>
        <v>1579482</v>
      </c>
      <c r="H20" s="11">
        <f>RSR!AK75</f>
        <v>211985</v>
      </c>
      <c r="I20" s="11">
        <f>RSR!AL75</f>
        <v>1907838</v>
      </c>
      <c r="J20" s="11">
        <f>RSR!AM75</f>
        <v>1760265</v>
      </c>
      <c r="K20" s="11">
        <f>RSR!AN75</f>
        <v>2153995</v>
      </c>
      <c r="L20" s="11">
        <f>RSR!AO75</f>
        <v>1732617</v>
      </c>
      <c r="M20" s="401">
        <f>SUM(F20:I20)</f>
        <v>3730025</v>
      </c>
      <c r="N20" s="417">
        <v>277375359</v>
      </c>
    </row>
    <row r="21" spans="2:17">
      <c r="B21" s="59" t="s">
        <v>45</v>
      </c>
      <c r="C21" s="56" t="str">
        <f>'Egyéb pénztárgépek'!AC1</f>
        <v>AP A09109974</v>
      </c>
      <c r="D21" s="33" t="s">
        <v>130</v>
      </c>
      <c r="E21" s="10">
        <v>1452</v>
      </c>
      <c r="F21" s="11">
        <f>RSR!AY75</f>
        <v>600</v>
      </c>
      <c r="G21" s="11">
        <f>RSR!AZ75</f>
        <v>91480</v>
      </c>
      <c r="H21" s="11">
        <f>RSR!BA75</f>
        <v>2520</v>
      </c>
      <c r="I21" s="11">
        <f>RSR!BB75</f>
        <v>17460</v>
      </c>
      <c r="J21" s="11">
        <f>RSR!BC75</f>
        <v>34150</v>
      </c>
      <c r="K21" s="11">
        <f>RSR!BD75</f>
        <v>71910</v>
      </c>
      <c r="L21" s="11">
        <f>RSR!BE75</f>
        <v>73990</v>
      </c>
      <c r="M21" s="401">
        <f>SUM(F21:I21)</f>
        <v>112060</v>
      </c>
      <c r="N21" s="426">
        <v>220349012</v>
      </c>
    </row>
    <row r="22" spans="2:17">
      <c r="B22" s="59"/>
      <c r="D22" s="33"/>
      <c r="F22" t="s">
        <v>93</v>
      </c>
      <c r="N22" s="242"/>
    </row>
    <row r="23" spans="2:17">
      <c r="B23" s="59" t="s">
        <v>57</v>
      </c>
      <c r="C23" s="56" t="s">
        <v>58</v>
      </c>
      <c r="D23" s="33" t="s">
        <v>131</v>
      </c>
      <c r="E23" s="10">
        <v>1680</v>
      </c>
      <c r="F23" s="11">
        <f>'Egyéb pénztárgépek'!AT78</f>
        <v>6950</v>
      </c>
      <c r="G23" s="11">
        <f>'Egyéb pénztárgépek'!AU78</f>
        <v>357344</v>
      </c>
      <c r="H23" s="11">
        <f>'Egyéb pénztárgépek'!AV78</f>
        <v>0</v>
      </c>
      <c r="I23" s="11">
        <f>'Egyéb pénztárgépek'!AW78</f>
        <v>34386</v>
      </c>
      <c r="J23" s="11">
        <f>'Egyéb pénztárgépek'!AX78</f>
        <v>22860</v>
      </c>
      <c r="K23" s="11">
        <f>'Egyéb pénztárgépek'!AY78</f>
        <v>286919</v>
      </c>
      <c r="L23" s="11">
        <f>'Egyéb pénztárgépek'!AZ78</f>
        <v>286918</v>
      </c>
      <c r="M23" s="401">
        <f>SUM(F23:I23)</f>
        <v>398680</v>
      </c>
      <c r="N23" s="417">
        <v>265252089</v>
      </c>
    </row>
    <row r="24" spans="2:17">
      <c r="B24" s="59" t="s">
        <v>57</v>
      </c>
      <c r="C24" s="169" t="s">
        <v>61</v>
      </c>
      <c r="D24" s="33" t="s">
        <v>132</v>
      </c>
      <c r="E24" s="10">
        <v>2255</v>
      </c>
      <c r="F24" s="11">
        <f>'Egyéb pénztárgépek'!BJ79</f>
        <v>2261</v>
      </c>
      <c r="G24" s="11">
        <f>'Egyéb pénztárgépek'!BK79</f>
        <v>245833</v>
      </c>
      <c r="H24" s="11">
        <f>'Egyéb pénztárgépek'!BL79</f>
        <v>0</v>
      </c>
      <c r="I24" s="11">
        <f>'Egyéb pénztárgépek'!BM79</f>
        <v>22490</v>
      </c>
      <c r="J24" s="11">
        <f>'Egyéb pénztárgépek'!BN79</f>
        <v>28570</v>
      </c>
      <c r="K24" s="11">
        <f>'Egyéb pénztárgépek'!BO79</f>
        <v>242014</v>
      </c>
      <c r="L24" s="11">
        <f>'Egyéb pénztárgépek'!BP79</f>
        <v>242014</v>
      </c>
      <c r="M24" s="401">
        <f>SUM(F24:I24)</f>
        <v>270584</v>
      </c>
      <c r="N24" s="417">
        <v>284799562</v>
      </c>
    </row>
    <row r="25" spans="2:17">
      <c r="B25" s="59"/>
      <c r="C25" s="165"/>
      <c r="D25" s="33"/>
      <c r="E25" s="10"/>
      <c r="F25" s="11"/>
      <c r="G25" s="11"/>
      <c r="H25" s="11"/>
      <c r="I25" s="11"/>
      <c r="J25" s="82"/>
      <c r="K25" s="82"/>
      <c r="L25" s="448"/>
      <c r="M25" s="139"/>
      <c r="N25" s="54"/>
    </row>
    <row r="26" spans="2:17">
      <c r="B26" s="59"/>
      <c r="C26" s="168"/>
      <c r="D26" s="123"/>
      <c r="E26" s="76"/>
      <c r="F26" s="204"/>
      <c r="G26" s="204"/>
      <c r="H26" s="204"/>
      <c r="I26" s="204"/>
      <c r="J26" s="243"/>
      <c r="K26" s="243"/>
      <c r="L26" s="449"/>
      <c r="M26" s="244"/>
      <c r="N26" s="245"/>
    </row>
    <row r="27" spans="2:17" ht="24" customHeight="1">
      <c r="B27" s="535" t="s">
        <v>64</v>
      </c>
      <c r="C27" s="536"/>
      <c r="D27" s="537"/>
      <c r="E27" s="537"/>
      <c r="F27" s="538">
        <f>SUM(F3:F24)</f>
        <v>297236</v>
      </c>
      <c r="G27" s="538">
        <f>SUM(G3:G24)</f>
        <v>54977267</v>
      </c>
      <c r="H27" s="538">
        <f>SUM(H3:H24)</f>
        <v>439244</v>
      </c>
      <c r="I27" s="538">
        <f>SUM(I3:I24)</f>
        <v>7786459</v>
      </c>
      <c r="J27" s="539">
        <v>1495140</v>
      </c>
      <c r="K27" s="540"/>
      <c r="L27" s="348">
        <f>SUM(L3:L24)</f>
        <v>58006481</v>
      </c>
      <c r="M27" s="418">
        <f>SUM(M3:M24)</f>
        <v>63500206</v>
      </c>
      <c r="N27" s="140"/>
    </row>
    <row r="28" spans="2:17">
      <c r="D28" s="4"/>
      <c r="E28" s="4"/>
      <c r="F28" s="4"/>
      <c r="G28" s="4"/>
      <c r="H28" s="4"/>
      <c r="I28" s="4"/>
      <c r="J28" s="77"/>
      <c r="K28" s="77"/>
      <c r="L28" s="77"/>
      <c r="M28" s="50"/>
      <c r="N28" s="48"/>
    </row>
    <row r="29" spans="2:17"/>
    <row r="30" spans="2:17"/>
    <row r="31" spans="2:17"/>
  </sheetData>
  <protectedRanges>
    <protectedRange sqref="C26 C19" name="Range2"/>
  </protectedRanges>
  <conditionalFormatting sqref="C26">
    <cfRule type="containsText" dxfId="1265" priority="50" stopIfTrue="1" operator="containsText" text="ELTÉRÉS!">
      <formula>NOT(ISERROR(SEARCH("ELTÉRÉS!",C26)))</formula>
    </cfRule>
    <cfRule type="containsText" dxfId="1264" priority="51" stopIfTrue="1" operator="containsText" text="STIMMEL!">
      <formula>NOT(ISERROR(SEARCH("STIMMEL!",C26)))</formula>
    </cfRule>
  </conditionalFormatting>
  <conditionalFormatting sqref="C26">
    <cfRule type="cellIs" dxfId="1263" priority="49" operator="equal">
      <formula>0.01</formula>
    </cfRule>
  </conditionalFormatting>
  <conditionalFormatting sqref="C19">
    <cfRule type="containsText" dxfId="1262" priority="47" stopIfTrue="1" operator="containsText" text="ELTÉRÉS!">
      <formula>NOT(ISERROR(SEARCH("ELTÉRÉS!",C19)))</formula>
    </cfRule>
    <cfRule type="containsText" dxfId="1261" priority="48" stopIfTrue="1" operator="containsText" text="STIMMEL!">
      <formula>NOT(ISERROR(SEARCH("STIMMEL!",C19)))</formula>
    </cfRule>
  </conditionalFormatting>
  <conditionalFormatting sqref="C19">
    <cfRule type="cellIs" dxfId="1260" priority="46" operator="equal">
      <formula>0.01</formula>
    </cfRule>
  </conditionalFormatting>
  <conditionalFormatting sqref="N3">
    <cfRule type="containsText" dxfId="1259" priority="44" stopIfTrue="1" operator="containsText" text="ELTÉRÉS!">
      <formula>NOT(ISERROR(SEARCH("ELTÉRÉS!",N3)))</formula>
    </cfRule>
    <cfRule type="containsText" dxfId="1258" priority="45" stopIfTrue="1" operator="containsText" text="STIMMEL!">
      <formula>NOT(ISERROR(SEARCH("STIMMEL!",N3)))</formula>
    </cfRule>
  </conditionalFormatting>
  <conditionalFormatting sqref="N3">
    <cfRule type="cellIs" dxfId="1257" priority="43" operator="equal">
      <formula>0.01</formula>
    </cfRule>
  </conditionalFormatting>
  <conditionalFormatting sqref="N14">
    <cfRule type="containsText" dxfId="1256" priority="41" stopIfTrue="1" operator="containsText" text="ELTÉRÉS!">
      <formula>NOT(ISERROR(SEARCH("ELTÉRÉS!",N14)))</formula>
    </cfRule>
    <cfRule type="containsText" dxfId="1255" priority="42" stopIfTrue="1" operator="containsText" text="STIMMEL!">
      <formula>NOT(ISERROR(SEARCH("STIMMEL!",N14)))</formula>
    </cfRule>
  </conditionalFormatting>
  <conditionalFormatting sqref="N14">
    <cfRule type="cellIs" dxfId="1254" priority="40" operator="equal">
      <formula>0.01</formula>
    </cfRule>
  </conditionalFormatting>
  <conditionalFormatting sqref="N10">
    <cfRule type="containsText" dxfId="1253" priority="38" stopIfTrue="1" operator="containsText" text="ELTÉRÉS!">
      <formula>NOT(ISERROR(SEARCH("ELTÉRÉS!",N10)))</formula>
    </cfRule>
    <cfRule type="containsText" dxfId="1252" priority="39" stopIfTrue="1" operator="containsText" text="STIMMEL!">
      <formula>NOT(ISERROR(SEARCH("STIMMEL!",N10)))</formula>
    </cfRule>
  </conditionalFormatting>
  <conditionalFormatting sqref="N10">
    <cfRule type="cellIs" dxfId="1251" priority="37" operator="equal">
      <formula>0.01</formula>
    </cfRule>
  </conditionalFormatting>
  <conditionalFormatting sqref="N23">
    <cfRule type="containsText" dxfId="1250" priority="32" stopIfTrue="1" operator="containsText" text="ELTÉRÉS!">
      <formula>NOT(ISERROR(SEARCH("ELTÉRÉS!",N23)))</formula>
    </cfRule>
    <cfRule type="containsText" dxfId="1249" priority="33" stopIfTrue="1" operator="containsText" text="STIMMEL!">
      <formula>NOT(ISERROR(SEARCH("STIMMEL!",N23)))</formula>
    </cfRule>
  </conditionalFormatting>
  <conditionalFormatting sqref="N23">
    <cfRule type="cellIs" dxfId="1248" priority="31" operator="equal">
      <formula>0.01</formula>
    </cfRule>
  </conditionalFormatting>
  <conditionalFormatting sqref="N20">
    <cfRule type="containsText" dxfId="1247" priority="29" stopIfTrue="1" operator="containsText" text="ELTÉRÉS!">
      <formula>NOT(ISERROR(SEARCH("ELTÉRÉS!",N20)))</formula>
    </cfRule>
    <cfRule type="containsText" dxfId="1246" priority="30" stopIfTrue="1" operator="containsText" text="STIMMEL!">
      <formula>NOT(ISERROR(SEARCH("STIMMEL!",N20)))</formula>
    </cfRule>
  </conditionalFormatting>
  <conditionalFormatting sqref="N20">
    <cfRule type="cellIs" dxfId="1245" priority="28" operator="equal">
      <formula>0.01</formula>
    </cfRule>
  </conditionalFormatting>
  <conditionalFormatting sqref="N5">
    <cfRule type="containsText" dxfId="1244" priority="26" stopIfTrue="1" operator="containsText" text="ELTÉRÉS!">
      <formula>NOT(ISERROR(SEARCH("ELTÉRÉS!",N5)))</formula>
    </cfRule>
    <cfRule type="containsText" dxfId="1243" priority="27" stopIfTrue="1" operator="containsText" text="STIMMEL!">
      <formula>NOT(ISERROR(SEARCH("STIMMEL!",N5)))</formula>
    </cfRule>
  </conditionalFormatting>
  <conditionalFormatting sqref="N5">
    <cfRule type="cellIs" dxfId="1242" priority="25" operator="equal">
      <formula>0.01</formula>
    </cfRule>
  </conditionalFormatting>
  <conditionalFormatting sqref="N7">
    <cfRule type="containsText" dxfId="1241" priority="23" stopIfTrue="1" operator="containsText" text="ELTÉRÉS!">
      <formula>NOT(ISERROR(SEARCH("ELTÉRÉS!",N7)))</formula>
    </cfRule>
    <cfRule type="containsText" dxfId="1240" priority="24" stopIfTrue="1" operator="containsText" text="STIMMEL!">
      <formula>NOT(ISERROR(SEARCH("STIMMEL!",N7)))</formula>
    </cfRule>
  </conditionalFormatting>
  <conditionalFormatting sqref="N7">
    <cfRule type="cellIs" dxfId="1239" priority="22" operator="equal">
      <formula>0.01</formula>
    </cfRule>
  </conditionalFormatting>
  <conditionalFormatting sqref="N8">
    <cfRule type="containsText" dxfId="1238" priority="20" stopIfTrue="1" operator="containsText" text="ELTÉRÉS!">
      <formula>NOT(ISERROR(SEARCH("ELTÉRÉS!",N8)))</formula>
    </cfRule>
    <cfRule type="containsText" dxfId="1237" priority="21" stopIfTrue="1" operator="containsText" text="STIMMEL!">
      <formula>NOT(ISERROR(SEARCH("STIMMEL!",N8)))</formula>
    </cfRule>
  </conditionalFormatting>
  <conditionalFormatting sqref="N8">
    <cfRule type="cellIs" dxfId="1236" priority="19" operator="equal">
      <formula>0.01</formula>
    </cfRule>
  </conditionalFormatting>
  <conditionalFormatting sqref="N24">
    <cfRule type="containsText" dxfId="1235" priority="17" stopIfTrue="1" operator="containsText" text="ELTÉRÉS!">
      <formula>NOT(ISERROR(SEARCH("ELTÉRÉS!",N24)))</formula>
    </cfRule>
    <cfRule type="containsText" dxfId="1234" priority="18" stopIfTrue="1" operator="containsText" text="STIMMEL!">
      <formula>NOT(ISERROR(SEARCH("STIMMEL!",N24)))</formula>
    </cfRule>
  </conditionalFormatting>
  <conditionalFormatting sqref="N24">
    <cfRule type="cellIs" dxfId="1233" priority="16" operator="equal">
      <formula>0.01</formula>
    </cfRule>
  </conditionalFormatting>
  <conditionalFormatting sqref="N16">
    <cfRule type="containsText" dxfId="1232" priority="14" stopIfTrue="1" operator="containsText" text="ELTÉRÉS!">
      <formula>NOT(ISERROR(SEARCH("ELTÉRÉS!",N16)))</formula>
    </cfRule>
    <cfRule type="containsText" dxfId="1231" priority="15" stopIfTrue="1" operator="containsText" text="STIMMEL!">
      <formula>NOT(ISERROR(SEARCH("STIMMEL!",N16)))</formula>
    </cfRule>
  </conditionalFormatting>
  <conditionalFormatting sqref="N16">
    <cfRule type="cellIs" dxfId="1230" priority="13" operator="equal">
      <formula>0.01</formula>
    </cfRule>
  </conditionalFormatting>
  <conditionalFormatting sqref="N18">
    <cfRule type="containsText" dxfId="1229" priority="11" stopIfTrue="1" operator="containsText" text="ELTÉRÉS!">
      <formula>NOT(ISERROR(SEARCH("ELTÉRÉS!",N18)))</formula>
    </cfRule>
    <cfRule type="containsText" dxfId="1228" priority="12" stopIfTrue="1" operator="containsText" text="STIMMEL!">
      <formula>NOT(ISERROR(SEARCH("STIMMEL!",N18)))</formula>
    </cfRule>
  </conditionalFormatting>
  <conditionalFormatting sqref="N18">
    <cfRule type="cellIs" dxfId="1227" priority="10" operator="equal">
      <formula>0.01</formula>
    </cfRule>
  </conditionalFormatting>
  <conditionalFormatting sqref="N19">
    <cfRule type="containsText" dxfId="1226" priority="5" stopIfTrue="1" operator="containsText" text="ELTÉRÉS!">
      <formula>NOT(ISERROR(SEARCH("ELTÉRÉS!",N19)))</formula>
    </cfRule>
    <cfRule type="containsText" dxfId="1225" priority="6" stopIfTrue="1" operator="containsText" text="STIMMEL!">
      <formula>NOT(ISERROR(SEARCH("STIMMEL!",N19)))</formula>
    </cfRule>
  </conditionalFormatting>
  <conditionalFormatting sqref="N19">
    <cfRule type="cellIs" dxfId="1224" priority="4" operator="equal">
      <formula>0.01</formula>
    </cfRule>
  </conditionalFormatting>
  <conditionalFormatting sqref="N12">
    <cfRule type="containsText" dxfId="1223" priority="2" stopIfTrue="1" operator="containsText" text="ELTÉRÉS!">
      <formula>NOT(ISERROR(SEARCH("ELTÉRÉS!",N12)))</formula>
    </cfRule>
    <cfRule type="containsText" dxfId="1222" priority="3" stopIfTrue="1" operator="containsText" text="STIMMEL!">
      <formula>NOT(ISERROR(SEARCH("STIMMEL!",N12)))</formula>
    </cfRule>
  </conditionalFormatting>
  <conditionalFormatting sqref="N12">
    <cfRule type="cellIs" dxfId="1221" priority="1" operator="equal">
      <formula>0.01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4FAC-C0D9-4CFE-8FBB-C17AA269988F}">
  <dimension ref="B2:Q31"/>
  <sheetViews>
    <sheetView workbookViewId="0">
      <pane ySplit="2" topLeftCell="A3" activePane="bottomLeft" state="frozen"/>
      <selection pane="bottomLeft" activeCell="I43" sqref="I43"/>
    </sheetView>
  </sheetViews>
  <sheetFormatPr defaultRowHeight="15" customHeight="1"/>
  <cols>
    <col min="1" max="1" width="3.85546875" customWidth="1"/>
    <col min="2" max="2" width="16.7109375" style="49" customWidth="1"/>
    <col min="3" max="3" width="15.7109375" style="4" customWidth="1"/>
    <col min="4" max="4" width="10.85546875" customWidth="1"/>
    <col min="5" max="5" width="12" customWidth="1"/>
    <col min="6" max="9" width="13.85546875" customWidth="1"/>
    <col min="10" max="10" width="13.85546875" style="78" customWidth="1"/>
    <col min="11" max="11" width="15.7109375" style="78" customWidth="1"/>
    <col min="12" max="12" width="13.85546875" style="78" customWidth="1"/>
    <col min="13" max="13" width="18.28515625" style="46" customWidth="1"/>
    <col min="14" max="14" width="25.5703125" style="49" customWidth="1"/>
    <col min="16" max="16" width="10.140625" style="79" bestFit="1" customWidth="1"/>
    <col min="17" max="17" width="13.42578125" style="79" customWidth="1"/>
  </cols>
  <sheetData>
    <row r="2" spans="2:17" ht="30" customHeight="1">
      <c r="B2" s="55"/>
      <c r="C2" s="58" t="s">
        <v>84</v>
      </c>
      <c r="D2" s="44" t="s">
        <v>85</v>
      </c>
      <c r="E2" s="44" t="s">
        <v>86</v>
      </c>
      <c r="F2" s="43">
        <v>0</v>
      </c>
      <c r="G2" s="43">
        <v>0.05</v>
      </c>
      <c r="H2" s="43">
        <v>0.18</v>
      </c>
      <c r="I2" s="43">
        <v>0.27</v>
      </c>
      <c r="J2" s="81" t="s">
        <v>16</v>
      </c>
      <c r="K2" s="450" t="s">
        <v>87</v>
      </c>
      <c r="L2" s="468" t="s">
        <v>88</v>
      </c>
      <c r="M2" s="44" t="s">
        <v>89</v>
      </c>
      <c r="N2" s="86" t="s">
        <v>90</v>
      </c>
      <c r="P2" s="79" t="s">
        <v>16</v>
      </c>
      <c r="Q2" s="79" t="s">
        <v>91</v>
      </c>
    </row>
    <row r="3" spans="2:17">
      <c r="B3" s="59" t="s">
        <v>17</v>
      </c>
      <c r="C3" s="74" t="str">
        <f>MÁK!A1</f>
        <v>AP A13610440</v>
      </c>
      <c r="D3" s="10">
        <v>1009</v>
      </c>
      <c r="E3" s="10">
        <v>1029</v>
      </c>
      <c r="F3" s="11">
        <f>MÁK!C35</f>
        <v>17250</v>
      </c>
      <c r="G3" s="11">
        <f>MÁK!D35</f>
        <v>4328426.05</v>
      </c>
      <c r="H3" s="11">
        <f>MÁK!E35</f>
        <v>0.18</v>
      </c>
      <c r="I3" s="11">
        <f>MÁK!F35</f>
        <v>2825575.27</v>
      </c>
      <c r="J3" s="82">
        <f>MÁK!G35</f>
        <v>459515</v>
      </c>
      <c r="K3" s="451">
        <f>MÁK!H35</f>
        <v>6705640</v>
      </c>
      <c r="L3" s="469">
        <f>MÁK!I35</f>
        <v>6422478</v>
      </c>
      <c r="M3" s="139">
        <f>SUM(F3:I3)</f>
        <v>7171251.5</v>
      </c>
      <c r="N3" s="417">
        <v>219216297</v>
      </c>
      <c r="P3" s="80" t="e">
        <f>J3+#REF!</f>
        <v>#REF!</v>
      </c>
      <c r="Q3" s="80" t="e">
        <f>SUM(M3:M3)-P3</f>
        <v>#REF!</v>
      </c>
    </row>
    <row r="4" spans="2:17">
      <c r="B4" s="59"/>
      <c r="C4" s="57"/>
      <c r="D4" s="10"/>
      <c r="E4" s="10"/>
      <c r="F4" s="11"/>
      <c r="G4" s="11"/>
      <c r="H4" s="11"/>
      <c r="I4" s="11"/>
      <c r="J4" s="82"/>
      <c r="K4" s="451"/>
      <c r="L4" s="470"/>
      <c r="M4" s="139"/>
      <c r="N4" s="11"/>
    </row>
    <row r="5" spans="2:17">
      <c r="B5" s="59" t="s">
        <v>21</v>
      </c>
      <c r="C5" s="74" t="str">
        <f>Knorr105!A1</f>
        <v>AP A09111376</v>
      </c>
      <c r="D5" s="33" t="s">
        <v>133</v>
      </c>
      <c r="E5" s="33" t="s">
        <v>134</v>
      </c>
      <c r="F5" s="11">
        <f>Knorr105!C$35</f>
        <v>19250</v>
      </c>
      <c r="G5" s="11">
        <f>Knorr105!D$35</f>
        <v>8487866</v>
      </c>
      <c r="H5" s="11">
        <f>Knorr105!E$35</f>
        <v>200</v>
      </c>
      <c r="I5" s="11">
        <f>Knorr105!F$35</f>
        <v>0</v>
      </c>
      <c r="J5" s="82">
        <f>Knorr105!G$35</f>
        <v>7190</v>
      </c>
      <c r="K5" s="451">
        <f>Knorr105!H$35</f>
        <v>8500126</v>
      </c>
      <c r="L5" s="469">
        <f>Knorr105!I$35</f>
        <v>8131173</v>
      </c>
      <c r="M5" s="139">
        <f>SUM(F5:I5)</f>
        <v>8507316</v>
      </c>
      <c r="N5" s="433">
        <v>133610426</v>
      </c>
      <c r="P5" s="80">
        <f>J5+J6+J7</f>
        <v>11415</v>
      </c>
      <c r="Q5" s="80">
        <f>SUM(M5:M7)-P5</f>
        <v>27070458.949999999</v>
      </c>
    </row>
    <row r="6" spans="2:17">
      <c r="B6" s="59" t="s">
        <v>21</v>
      </c>
      <c r="C6" s="56" t="str">
        <f>Knorr105!Q1</f>
        <v xml:space="preserve">AP A24010154 </v>
      </c>
      <c r="D6" s="33" t="s">
        <v>135</v>
      </c>
      <c r="E6" s="33" t="s">
        <v>136</v>
      </c>
      <c r="F6" s="11">
        <f>Knorr105!S$35</f>
        <v>57675</v>
      </c>
      <c r="G6" s="11">
        <f>Knorr105!T$35</f>
        <v>11233593</v>
      </c>
      <c r="H6" s="11">
        <f>Knorr105!U$35</f>
        <v>0.18</v>
      </c>
      <c r="I6" s="11">
        <f>Knorr105!V$35</f>
        <v>0.27</v>
      </c>
      <c r="J6" s="82">
        <f>Knorr105!W$35</f>
        <v>4225</v>
      </c>
      <c r="K6" s="451">
        <f>Knorr105!X$35</f>
        <v>11287043</v>
      </c>
      <c r="L6" s="469">
        <f>Knorr105!Y$35</f>
        <v>11287043</v>
      </c>
      <c r="M6" s="483">
        <f>SUM(F6:I6)</f>
        <v>11291268.449999999</v>
      </c>
      <c r="N6" s="417">
        <v>164839238</v>
      </c>
    </row>
    <row r="7" spans="2:17">
      <c r="B7" s="59" t="s">
        <v>21</v>
      </c>
      <c r="C7" s="56" t="str">
        <f>Knorr105!AG1</f>
        <v>AP A13609805</v>
      </c>
      <c r="D7" s="10">
        <v>1239</v>
      </c>
      <c r="E7" s="10">
        <v>1259</v>
      </c>
      <c r="F7" s="11">
        <f>Knorr105!AI$35</f>
        <v>33940</v>
      </c>
      <c r="G7" s="11">
        <f>Knorr105!AJ$35</f>
        <v>7249299.0499999998</v>
      </c>
      <c r="H7" s="11">
        <f>Knorr105!AK$35</f>
        <v>0.18</v>
      </c>
      <c r="I7" s="11">
        <f>Knorr105!AL$35</f>
        <v>50.27</v>
      </c>
      <c r="J7" s="82">
        <f>Knorr105!AM$35</f>
        <v>0</v>
      </c>
      <c r="K7" s="451">
        <f>Knorr105!AN$35</f>
        <v>7283289</v>
      </c>
      <c r="L7" s="469">
        <f>Knorr105!AO$35</f>
        <v>7283289</v>
      </c>
      <c r="M7" s="483">
        <f>SUM(F7:I7)</f>
        <v>7283289.4999999991</v>
      </c>
      <c r="N7" s="434">
        <v>303768867</v>
      </c>
    </row>
    <row r="8" spans="2:17">
      <c r="B8" s="59" t="s">
        <v>21</v>
      </c>
      <c r="C8" s="8" t="s">
        <v>29</v>
      </c>
      <c r="D8" s="33" t="s">
        <v>137</v>
      </c>
      <c r="E8" s="33" t="s">
        <v>138</v>
      </c>
      <c r="F8" s="11">
        <f>Knorr105!BK35</f>
        <v>21581</v>
      </c>
      <c r="G8" s="11">
        <f>Knorr105!BL35</f>
        <v>4229138.05</v>
      </c>
      <c r="H8" s="11">
        <f>Knorr105!BM35</f>
        <v>380.18</v>
      </c>
      <c r="I8" s="11">
        <f>Knorr105!BN35</f>
        <v>100.27000000000001</v>
      </c>
      <c r="J8" s="11">
        <f>Knorr105!BO35</f>
        <v>0</v>
      </c>
      <c r="K8" s="451">
        <f>Knorr105!BP35</f>
        <v>4250747</v>
      </c>
      <c r="L8" s="469">
        <f>Knorr105!BQ35</f>
        <v>4251651</v>
      </c>
      <c r="M8" s="483">
        <f>SUM(F8:I8)</f>
        <v>4251199.4999999991</v>
      </c>
      <c r="N8" s="462">
        <v>170292412</v>
      </c>
    </row>
    <row r="9" spans="2:17">
      <c r="B9" s="59"/>
      <c r="C9" s="154"/>
      <c r="D9" s="10"/>
      <c r="E9" s="10"/>
      <c r="F9" s="11"/>
      <c r="G9" s="11"/>
      <c r="H9" s="11"/>
      <c r="I9" s="11"/>
      <c r="J9" s="82"/>
      <c r="K9" s="451"/>
      <c r="L9" s="470"/>
      <c r="M9" s="483"/>
      <c r="N9" s="11"/>
    </row>
    <row r="10" spans="2:17">
      <c r="B10" s="59" t="s">
        <v>33</v>
      </c>
      <c r="C10" s="56" t="str">
        <f>Knorr86!A1</f>
        <v>AP A13607465</v>
      </c>
      <c r="D10" s="10">
        <v>2274</v>
      </c>
      <c r="E10" s="10">
        <v>2294</v>
      </c>
      <c r="F10" s="11">
        <f>Knorr86!C34</f>
        <v>26950</v>
      </c>
      <c r="G10" s="11">
        <f>Knorr86!D34</f>
        <v>4767430.05</v>
      </c>
      <c r="H10" s="11">
        <f>Knorr86!E34</f>
        <v>0.18</v>
      </c>
      <c r="I10" s="11">
        <f>Knorr86!F34</f>
        <v>191365.27000000002</v>
      </c>
      <c r="J10" s="82">
        <f>Knorr86!G34</f>
        <v>29890</v>
      </c>
      <c r="K10" s="451">
        <f>Knorr86!H34</f>
        <v>4955855</v>
      </c>
      <c r="L10" s="469">
        <f>Knorr86!I34</f>
        <v>4955855</v>
      </c>
      <c r="M10" s="483">
        <f>SUM(F10:I10)</f>
        <v>4985745.5</v>
      </c>
      <c r="N10" s="75">
        <v>209742680</v>
      </c>
      <c r="P10" s="80">
        <f>J10</f>
        <v>29890</v>
      </c>
      <c r="Q10" s="80">
        <f>M10-P10</f>
        <v>4955855.5</v>
      </c>
    </row>
    <row r="11" spans="2:17">
      <c r="B11" s="59"/>
      <c r="C11" s="56"/>
      <c r="D11" s="10"/>
      <c r="E11" s="10"/>
      <c r="F11" s="11"/>
      <c r="G11" s="11"/>
      <c r="H11" s="11"/>
      <c r="I11" s="11"/>
      <c r="J11" s="82"/>
      <c r="K11" s="451"/>
      <c r="L11" s="470"/>
      <c r="M11" s="483"/>
      <c r="N11" s="11"/>
    </row>
    <row r="12" spans="2:17">
      <c r="B12" s="59" t="s">
        <v>37</v>
      </c>
      <c r="C12" s="74" t="str">
        <f>Knorr69!A1</f>
        <v>AP A09111377</v>
      </c>
      <c r="D12" s="10">
        <v>527</v>
      </c>
      <c r="E12" s="10">
        <v>547</v>
      </c>
      <c r="F12" s="11">
        <f>Knorr69!C34</f>
        <v>3850</v>
      </c>
      <c r="G12" s="11">
        <f>Knorr69!D34</f>
        <v>7303830.0499999998</v>
      </c>
      <c r="H12" s="11">
        <f>Knorr69!E34</f>
        <v>0.18</v>
      </c>
      <c r="I12" s="11">
        <f>Knorr69!F34</f>
        <v>198090.27000000002</v>
      </c>
      <c r="J12" s="11">
        <f>Knorr69!G34</f>
        <v>350</v>
      </c>
      <c r="K12" s="451">
        <f>Knorr69!H34</f>
        <v>7503330</v>
      </c>
      <c r="L12" s="469">
        <f>Knorr69!I34</f>
        <v>7505420</v>
      </c>
      <c r="M12" s="483">
        <f>SUM(F12:I12)</f>
        <v>7505770.5</v>
      </c>
      <c r="N12" s="418">
        <v>134086437</v>
      </c>
      <c r="P12" s="80">
        <f>J12</f>
        <v>350</v>
      </c>
      <c r="Q12" s="80">
        <f>M12-P12</f>
        <v>7505420.5</v>
      </c>
    </row>
    <row r="13" spans="2:17">
      <c r="B13" s="59"/>
      <c r="C13" s="56"/>
      <c r="D13" s="10"/>
      <c r="E13" s="10"/>
      <c r="F13" s="11"/>
      <c r="G13" s="11"/>
      <c r="H13" s="11"/>
      <c r="I13" s="11"/>
      <c r="J13" s="82"/>
      <c r="K13" s="451"/>
      <c r="L13" s="470"/>
      <c r="M13" s="483"/>
      <c r="N13" s="11"/>
    </row>
    <row r="14" spans="2:17">
      <c r="B14" s="59" t="s">
        <v>40</v>
      </c>
      <c r="C14" s="74" t="str">
        <f>KTI!A1</f>
        <v>AP A13607773</v>
      </c>
      <c r="D14" s="10">
        <v>1747</v>
      </c>
      <c r="E14" s="10">
        <v>1767</v>
      </c>
      <c r="F14" s="11">
        <f>KTI!C34</f>
        <v>6100</v>
      </c>
      <c r="G14" s="11">
        <f>KTI!D34</f>
        <v>3164628.05</v>
      </c>
      <c r="H14" s="11">
        <f>KTI!E34</f>
        <v>71322.179999999993</v>
      </c>
      <c r="I14" s="11">
        <f>KTI!F34</f>
        <v>346741.27</v>
      </c>
      <c r="J14" s="11">
        <f>KTI!G34</f>
        <v>491910</v>
      </c>
      <c r="K14" s="451">
        <f>KTI!H34</f>
        <v>3095470</v>
      </c>
      <c r="L14" s="469">
        <f>KTI!I34</f>
        <v>2979140</v>
      </c>
      <c r="M14" s="483">
        <f>SUM(F14:I14)</f>
        <v>3588791.5</v>
      </c>
      <c r="N14" s="418">
        <v>206936531</v>
      </c>
      <c r="P14" s="80">
        <f>J14</f>
        <v>491910</v>
      </c>
      <c r="Q14" s="80">
        <f>M14-P14</f>
        <v>3096881.5</v>
      </c>
    </row>
    <row r="15" spans="2:17">
      <c r="B15" s="59"/>
      <c r="C15" s="56"/>
      <c r="D15" s="10"/>
      <c r="E15" s="10"/>
      <c r="F15" s="11"/>
      <c r="G15" s="11"/>
      <c r="H15" s="11"/>
      <c r="I15" s="11"/>
      <c r="J15" s="82"/>
      <c r="K15" s="451"/>
      <c r="L15" s="470"/>
      <c r="M15" s="483"/>
      <c r="N15" s="11"/>
    </row>
    <row r="16" spans="2:17">
      <c r="B16" s="59" t="s">
        <v>43</v>
      </c>
      <c r="C16" s="69" t="s">
        <v>92</v>
      </c>
      <c r="D16" s="33" t="s">
        <v>139</v>
      </c>
      <c r="E16" s="33" t="s">
        <v>140</v>
      </c>
      <c r="F16" s="11">
        <f>Szentkiralyi!C34</f>
        <v>4505</v>
      </c>
      <c r="G16" s="11">
        <f>Szentkiralyi!D34</f>
        <v>442943.05</v>
      </c>
      <c r="H16" s="11">
        <f>Szentkiralyi!E34</f>
        <v>360.18</v>
      </c>
      <c r="I16" s="11">
        <f>Szentkiralyi!F34</f>
        <v>59486.270000000004</v>
      </c>
      <c r="J16" s="11">
        <f>Szentkiralyi!G34</f>
        <v>52355</v>
      </c>
      <c r="K16" s="451">
        <f>Szentkiralyi!H34</f>
        <v>454939</v>
      </c>
      <c r="L16" s="469">
        <f>Szentkiralyi!I34</f>
        <v>451932</v>
      </c>
      <c r="M16" s="483">
        <f>SUM(F16:I16)</f>
        <v>507294.5</v>
      </c>
      <c r="N16" s="418">
        <v>4723470</v>
      </c>
    </row>
    <row r="17" spans="2:17">
      <c r="B17" s="59"/>
      <c r="C17" s="155"/>
      <c r="D17" s="10"/>
      <c r="E17" s="10"/>
      <c r="F17" s="11"/>
      <c r="G17" s="11"/>
      <c r="H17" s="11"/>
      <c r="I17" s="11"/>
      <c r="J17" s="82"/>
      <c r="K17" s="451"/>
      <c r="L17" s="470"/>
      <c r="M17" s="483"/>
      <c r="N17" s="11"/>
    </row>
    <row r="18" spans="2:17">
      <c r="B18" s="59" t="s">
        <v>45</v>
      </c>
      <c r="C18" s="69" t="s">
        <v>46</v>
      </c>
      <c r="D18" s="33" t="s">
        <v>141</v>
      </c>
      <c r="E18" s="33" t="s">
        <v>142</v>
      </c>
      <c r="F18" s="11">
        <f>RSR!C34</f>
        <v>4396</v>
      </c>
      <c r="G18" s="11">
        <f>RSR!D34</f>
        <v>1079710.05</v>
      </c>
      <c r="H18" s="11">
        <f>RSR!E34</f>
        <v>96790.18</v>
      </c>
      <c r="I18" s="11">
        <f>RSR!F34</f>
        <v>2647556.27</v>
      </c>
      <c r="J18" s="82">
        <f>RSR!G34</f>
        <v>864660</v>
      </c>
      <c r="K18" s="451">
        <f>RSR!H34</f>
        <v>1366490</v>
      </c>
      <c r="L18" s="469">
        <f>RSR!I34</f>
        <v>1372103</v>
      </c>
      <c r="M18" s="483">
        <f>SUM(F18:I18)</f>
        <v>3828452.5</v>
      </c>
      <c r="N18" s="418">
        <v>106027201</v>
      </c>
      <c r="P18" s="80">
        <f>SUM(J18:J19)</f>
        <v>980585</v>
      </c>
      <c r="Q18" s="80">
        <f>SUM(M18:M19)-P18</f>
        <v>4390505</v>
      </c>
    </row>
    <row r="19" spans="2:17">
      <c r="B19" s="59" t="s">
        <v>45</v>
      </c>
      <c r="C19" s="168" t="s">
        <v>49</v>
      </c>
      <c r="D19" s="33" t="s">
        <v>143</v>
      </c>
      <c r="E19" s="33" t="s">
        <v>144</v>
      </c>
      <c r="F19" s="11">
        <f>RSR!S34</f>
        <v>550</v>
      </c>
      <c r="G19" s="11">
        <f>RSR!T34</f>
        <v>1494187.05</v>
      </c>
      <c r="H19" s="11">
        <f>RSR!U34</f>
        <v>0.18</v>
      </c>
      <c r="I19" s="11">
        <f>RSR!V34</f>
        <v>47900.27</v>
      </c>
      <c r="J19" s="82">
        <f>RSR!W34</f>
        <v>115925</v>
      </c>
      <c r="K19" s="451">
        <f>RSR!X34</f>
        <v>285015</v>
      </c>
      <c r="L19" s="469">
        <f>RSR!Y34</f>
        <v>271983</v>
      </c>
      <c r="M19" s="483">
        <f>SUM(F19:I19)</f>
        <v>1542637.5</v>
      </c>
      <c r="N19" s="418">
        <v>44282612</v>
      </c>
    </row>
    <row r="20" spans="2:17">
      <c r="B20" s="59"/>
      <c r="C20" s="56"/>
      <c r="D20" s="10"/>
      <c r="E20" s="10"/>
      <c r="F20" s="11"/>
      <c r="G20" s="11"/>
      <c r="H20" s="11"/>
      <c r="I20" s="11"/>
      <c r="J20" s="82"/>
      <c r="K20" s="451"/>
      <c r="L20" s="470"/>
      <c r="M20" s="483"/>
      <c r="N20" s="11"/>
    </row>
    <row r="21" spans="2:17">
      <c r="B21" s="59" t="s">
        <v>145</v>
      </c>
      <c r="C21" s="56" t="str">
        <f>'Egyéb pénztárgépek'!M1</f>
        <v>AP A13609679</v>
      </c>
      <c r="D21" s="10">
        <v>1016</v>
      </c>
      <c r="E21" s="10">
        <v>1019</v>
      </c>
      <c r="F21" s="11">
        <f>RSR!AI36</f>
        <v>11065</v>
      </c>
      <c r="G21" s="11">
        <f>RSR!AJ36</f>
        <v>589720.05000000005</v>
      </c>
      <c r="H21" s="11">
        <f>RSR!AK36</f>
        <v>0.18</v>
      </c>
      <c r="I21" s="11">
        <f>RSR!AL36</f>
        <v>265500.27</v>
      </c>
      <c r="J21" s="11">
        <f>RSR!AM36</f>
        <v>343775</v>
      </c>
      <c r="K21" s="451">
        <f>RSR!AN36</f>
        <v>522510</v>
      </c>
      <c r="L21" s="470">
        <f>RSR!AO36</f>
        <v>522510</v>
      </c>
      <c r="M21" s="483">
        <f>SUM(F21:I21)</f>
        <v>866285.50000000012</v>
      </c>
      <c r="N21" s="425">
        <v>273645334</v>
      </c>
    </row>
    <row r="22" spans="2:17">
      <c r="B22" s="59" t="s">
        <v>145</v>
      </c>
      <c r="C22" s="56" t="str">
        <f>'Egyéb pénztárgépek'!AC1</f>
        <v>AP A09109974</v>
      </c>
      <c r="D22" s="10">
        <v>1447</v>
      </c>
      <c r="E22" s="10">
        <v>1447</v>
      </c>
      <c r="F22" s="11">
        <f>'Egyéb pénztárgépek'!AD36</f>
        <v>0</v>
      </c>
      <c r="G22" s="11">
        <f>'Egyéb pénztárgépek'!AE36</f>
        <v>0</v>
      </c>
      <c r="H22" s="11">
        <f>'Egyéb pénztárgépek'!AF36</f>
        <v>0</v>
      </c>
      <c r="I22" s="11">
        <f>'Egyéb pénztárgépek'!AG36</f>
        <v>0</v>
      </c>
      <c r="J22" s="82">
        <f>'Egyéb pénztárgépek'!AH36</f>
        <v>0</v>
      </c>
      <c r="K22" s="451">
        <f>'Egyéb pénztárgépek'!AI36</f>
        <v>0</v>
      </c>
      <c r="L22" s="469">
        <f>'Egyéb pénztárgépek'!AJ36</f>
        <v>0</v>
      </c>
      <c r="M22" s="483">
        <f>SUM(F22:I22)</f>
        <v>0</v>
      </c>
      <c r="N22" s="426">
        <v>220236952</v>
      </c>
    </row>
    <row r="23" spans="2:17">
      <c r="B23" s="59" t="s">
        <v>57</v>
      </c>
      <c r="C23" s="56" t="s">
        <v>58</v>
      </c>
      <c r="D23" s="10">
        <v>1666</v>
      </c>
      <c r="E23" s="10">
        <v>1672</v>
      </c>
      <c r="F23" s="11">
        <f>'Egyéb pénztárgépek'!AT37</f>
        <v>4075</v>
      </c>
      <c r="G23" s="11">
        <f>'Egyéb pénztárgépek'!AU37</f>
        <v>428902</v>
      </c>
      <c r="H23" s="11">
        <f>'Egyéb pénztárgépek'!AV37</f>
        <v>15638</v>
      </c>
      <c r="I23" s="11">
        <f>'Egyéb pénztárgépek'!AW37</f>
        <v>18208</v>
      </c>
      <c r="J23" s="11">
        <f>'Egyéb pénztárgépek'!AX37</f>
        <v>28930</v>
      </c>
      <c r="K23" s="451">
        <f>'Egyéb pénztárgépek'!AY37</f>
        <v>360622</v>
      </c>
      <c r="L23" s="469">
        <f>'Egyéb pénztárgépek'!AZ37</f>
        <v>437893</v>
      </c>
      <c r="M23" s="139">
        <f>SUM(F23:I23)</f>
        <v>466823</v>
      </c>
      <c r="N23" s="418">
        <v>264853409</v>
      </c>
    </row>
    <row r="24" spans="2:17">
      <c r="B24" s="59" t="s">
        <v>57</v>
      </c>
      <c r="C24" s="169" t="s">
        <v>61</v>
      </c>
      <c r="D24" s="10">
        <v>2243</v>
      </c>
      <c r="E24" s="10">
        <v>2249</v>
      </c>
      <c r="F24" s="11">
        <f>'Egyéb pénztárgépek'!BJ36</f>
        <v>3850</v>
      </c>
      <c r="G24" s="11">
        <f>'Egyéb pénztárgépek'!BK36</f>
        <v>400331</v>
      </c>
      <c r="H24" s="11">
        <f>'Egyéb pénztárgépek'!BL36</f>
        <v>0</v>
      </c>
      <c r="I24" s="11">
        <f>'Egyéb pénztárgépek'!BM36</f>
        <v>45403</v>
      </c>
      <c r="J24" s="11">
        <f>'Egyéb pénztárgépek'!BN36</f>
        <v>26565</v>
      </c>
      <c r="K24" s="451">
        <f>'Egyéb pénztárgépek'!BO36</f>
        <v>423016</v>
      </c>
      <c r="L24" s="469">
        <f>'Egyéb pénztárgépek'!BP36</f>
        <v>334776</v>
      </c>
      <c r="M24" s="139">
        <f>SUM(F24:I24)</f>
        <v>449584</v>
      </c>
      <c r="N24" s="418">
        <v>284528978</v>
      </c>
    </row>
    <row r="25" spans="2:17">
      <c r="B25" s="59"/>
      <c r="C25" s="165"/>
      <c r="D25" s="10"/>
      <c r="E25" s="10"/>
      <c r="F25" s="11"/>
      <c r="G25" s="11"/>
      <c r="H25" s="11"/>
      <c r="I25" s="11"/>
      <c r="J25" s="82"/>
      <c r="K25" s="451"/>
      <c r="L25" s="471"/>
      <c r="M25" s="139"/>
      <c r="N25" s="54"/>
    </row>
    <row r="26" spans="2:17">
      <c r="B26" s="59"/>
      <c r="C26" s="168"/>
      <c r="D26" s="76"/>
      <c r="E26" s="76"/>
      <c r="F26" s="204"/>
      <c r="G26" s="204"/>
      <c r="H26" s="204"/>
      <c r="I26" s="204"/>
      <c r="J26" s="243"/>
      <c r="K26" s="452"/>
      <c r="L26" s="472"/>
      <c r="M26" s="244"/>
      <c r="N26" s="245"/>
    </row>
    <row r="27" spans="2:17" ht="23.25" customHeight="1">
      <c r="B27" s="535" t="s">
        <v>64</v>
      </c>
      <c r="C27" s="536"/>
      <c r="D27" s="537"/>
      <c r="E27" s="537"/>
      <c r="F27" s="538">
        <f>SUM(F3:F24)</f>
        <v>215037</v>
      </c>
      <c r="G27" s="538">
        <f>SUM(G3:G24)</f>
        <v>55200003.499999978</v>
      </c>
      <c r="H27" s="538">
        <f>SUM(H3:H25)</f>
        <v>184691.97999999998</v>
      </c>
      <c r="I27" s="538">
        <f>SUM(I3:I26)</f>
        <v>6645976.9699999988</v>
      </c>
      <c r="J27" s="539">
        <f>SUM(J3:J26)</f>
        <v>2425290</v>
      </c>
      <c r="K27" s="541"/>
      <c r="L27" s="348">
        <f>SUM(L3:L24)</f>
        <v>56207246</v>
      </c>
      <c r="M27" s="418">
        <f>SUM(M3:M24)</f>
        <v>62245709.449999996</v>
      </c>
      <c r="N27" s="140"/>
    </row>
    <row r="28" spans="2:17">
      <c r="D28" s="4"/>
      <c r="E28" s="4"/>
      <c r="F28" s="4"/>
      <c r="G28" s="4"/>
      <c r="H28" s="4"/>
      <c r="I28" s="4"/>
      <c r="J28" s="77"/>
      <c r="K28" s="77"/>
      <c r="L28" s="77"/>
      <c r="M28" s="50"/>
      <c r="N28" s="48"/>
    </row>
    <row r="29" spans="2:17"/>
    <row r="30" spans="2:17">
      <c r="H30" s="164"/>
    </row>
    <row r="31" spans="2:17"/>
  </sheetData>
  <protectedRanges>
    <protectedRange sqref="C26 C19" name="Range2"/>
  </protectedRanges>
  <conditionalFormatting sqref="C26">
    <cfRule type="containsText" dxfId="1220" priority="8" stopIfTrue="1" operator="containsText" text="ELTÉRÉS!">
      <formula>NOT(ISERROR(SEARCH("ELTÉRÉS!",C26)))</formula>
    </cfRule>
    <cfRule type="containsText" dxfId="1219" priority="9" stopIfTrue="1" operator="containsText" text="STIMMEL!">
      <formula>NOT(ISERROR(SEARCH("STIMMEL!",C26)))</formula>
    </cfRule>
  </conditionalFormatting>
  <conditionalFormatting sqref="C26">
    <cfRule type="cellIs" dxfId="1218" priority="7" operator="equal">
      <formula>0.01</formula>
    </cfRule>
  </conditionalFormatting>
  <conditionalFormatting sqref="C19">
    <cfRule type="containsText" dxfId="1217" priority="5" stopIfTrue="1" operator="containsText" text="ELTÉRÉS!">
      <formula>NOT(ISERROR(SEARCH("ELTÉRÉS!",C19)))</formula>
    </cfRule>
    <cfRule type="containsText" dxfId="1216" priority="6" stopIfTrue="1" operator="containsText" text="STIMMEL!">
      <formula>NOT(ISERROR(SEARCH("STIMMEL!",C19)))</formula>
    </cfRule>
  </conditionalFormatting>
  <conditionalFormatting sqref="C19">
    <cfRule type="cellIs" dxfId="1215" priority="4" operator="equal">
      <formula>0.01</formula>
    </cfRule>
  </conditionalFormatting>
  <conditionalFormatting sqref="N3">
    <cfRule type="containsText" dxfId="1214" priority="2" stopIfTrue="1" operator="containsText" text="ELTÉRÉS!">
      <formula>NOT(ISERROR(SEARCH("ELTÉRÉS!",N3)))</formula>
    </cfRule>
    <cfRule type="containsText" dxfId="1213" priority="3" stopIfTrue="1" operator="containsText" text="STIMMEL!">
      <formula>NOT(ISERROR(SEARCH("STIMMEL!",N3)))</formula>
    </cfRule>
  </conditionalFormatting>
  <conditionalFormatting sqref="N3">
    <cfRule type="cellIs" dxfId="1212" priority="1" operator="equal">
      <formula>0.01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65"/>
  <sheetViews>
    <sheetView workbookViewId="0">
      <pane ySplit="1" topLeftCell="A100" activePane="bottomLeft" state="frozen"/>
      <selection pane="bottomLeft" activeCell="H101" sqref="H101"/>
    </sheetView>
  </sheetViews>
  <sheetFormatPr defaultRowHeight="15" customHeight="1"/>
  <cols>
    <col min="1" max="1" width="15" style="62" customWidth="1"/>
    <col min="2" max="2" width="16" style="356" customWidth="1"/>
    <col min="3" max="3" width="12.140625" style="4" customWidth="1"/>
    <col min="4" max="4" width="13.7109375" style="4" customWidth="1"/>
    <col min="5" max="5" width="11.85546875" style="4" customWidth="1"/>
    <col min="6" max="6" width="13" style="4" customWidth="1"/>
    <col min="7" max="7" width="12.5703125" style="4" customWidth="1"/>
    <col min="8" max="8" width="14.7109375" style="4" customWidth="1"/>
    <col min="9" max="9" width="13" style="4" customWidth="1"/>
    <col min="10" max="10" width="12.140625" style="35" customWidth="1"/>
    <col min="11" max="11" width="17.42578125" style="41" customWidth="1"/>
    <col min="12" max="12" width="19.85546875" style="261" customWidth="1"/>
    <col min="13" max="13" width="9.85546875" customWidth="1"/>
    <col min="14" max="14" width="14.7109375" customWidth="1"/>
    <col min="16" max="16" width="14" customWidth="1"/>
    <col min="17" max="17" width="16.140625" hidden="1" customWidth="1"/>
    <col min="18" max="20" width="0" hidden="1" customWidth="1"/>
    <col min="21" max="21" width="10.5703125" hidden="1" customWidth="1"/>
    <col min="22" max="22" width="13.5703125" hidden="1" customWidth="1"/>
    <col min="23" max="23" width="17.140625" hidden="1" customWidth="1"/>
    <col min="24" max="24" width="13.5703125" hidden="1" customWidth="1"/>
    <col min="25" max="25" width="11" hidden="1" customWidth="1"/>
    <col min="26" max="27" width="0" hidden="1" customWidth="1"/>
    <col min="28" max="28" width="12.5703125" hidden="1" customWidth="1"/>
    <col min="29" max="29" width="13.7109375" hidden="1" customWidth="1"/>
    <col min="30" max="30" width="0" hidden="1" customWidth="1"/>
  </cols>
  <sheetData>
    <row r="1" spans="1:37" ht="32.25" customHeight="1">
      <c r="A1" s="65" t="s">
        <v>146</v>
      </c>
      <c r="B1" s="350" t="s">
        <v>147</v>
      </c>
      <c r="C1" s="7">
        <v>0</v>
      </c>
      <c r="D1" s="7">
        <v>0.05</v>
      </c>
      <c r="E1" s="7">
        <v>0.18</v>
      </c>
      <c r="F1" s="7">
        <v>0.27</v>
      </c>
      <c r="G1" s="6" t="s">
        <v>148</v>
      </c>
      <c r="H1" s="6" t="s">
        <v>149</v>
      </c>
      <c r="I1" s="40" t="s">
        <v>150</v>
      </c>
      <c r="J1" s="36" t="s">
        <v>151</v>
      </c>
      <c r="K1" s="348" t="s">
        <v>152</v>
      </c>
      <c r="L1" s="254" t="s">
        <v>153</v>
      </c>
      <c r="M1" s="273" t="s">
        <v>154</v>
      </c>
      <c r="N1" s="273" t="s">
        <v>155</v>
      </c>
      <c r="P1" s="273" t="s">
        <v>147</v>
      </c>
    </row>
    <row r="2" spans="1:37" s="27" customFormat="1" ht="21">
      <c r="A2" s="66" t="s">
        <v>3</v>
      </c>
      <c r="B2" s="351"/>
      <c r="C2" s="26"/>
      <c r="D2" s="26"/>
      <c r="E2" s="26"/>
      <c r="F2" s="26"/>
      <c r="G2" s="26"/>
      <c r="H2" s="26"/>
      <c r="I2" s="26"/>
      <c r="J2" s="34"/>
      <c r="K2" s="349"/>
      <c r="L2" s="255"/>
      <c r="M2" s="157"/>
      <c r="N2" s="157"/>
      <c r="P2" s="273" t="str">
        <f>'[1]2026 január'!B1</f>
        <v>Novohost</v>
      </c>
      <c r="Q2" s="273" t="str">
        <f>'[1]2026 január'!G1</f>
        <v>Tartalék kiadás</v>
      </c>
      <c r="R2" s="273" t="str">
        <f>'[1]2026 január'!W1</f>
        <v>Kivét</v>
      </c>
      <c r="S2" s="273" t="s">
        <v>156</v>
      </c>
      <c r="T2" s="274"/>
      <c r="U2" s="275"/>
      <c r="V2" s="273" t="str">
        <f>'[1]2026 január'!S1</f>
        <v>Pénztár nyitó</v>
      </c>
      <c r="W2" s="273" t="str">
        <f>'[1]2026 január'!T1</f>
        <v>novo kp bevétel</v>
      </c>
      <c r="X2" s="273" t="str">
        <f>'[1]2026 január'!U1</f>
        <v>Egyéb bevétel</v>
      </c>
      <c r="Y2" s="273" t="str">
        <f>'[1]2026 január'!V1</f>
        <v>Költött</v>
      </c>
      <c r="Z2" s="273" t="str">
        <f>'[1]2026 január'!W1</f>
        <v>Kivét</v>
      </c>
      <c r="AA2" s="273" t="str">
        <f>'[1]2026 január'!X1</f>
        <v>Eltérés</v>
      </c>
      <c r="AB2" s="273" t="str">
        <f>'[1]2026 január'!Y1</f>
        <v>Záró</v>
      </c>
      <c r="AC2" s="273" t="str">
        <f>'[1]2026 január'!Z1</f>
        <v>Megjegyzések</v>
      </c>
      <c r="AD2" s="277">
        <f>'[1]2026 január'!AA1</f>
        <v>0</v>
      </c>
      <c r="AE2" s="277">
        <f>'[1]2026 január'!AB1</f>
        <v>0</v>
      </c>
      <c r="AF2" s="277">
        <f>'[1]2026 január'!AC1</f>
        <v>0</v>
      </c>
      <c r="AG2" s="277">
        <f>'[1]2026 január'!AD1</f>
        <v>0</v>
      </c>
    </row>
    <row r="3" spans="1:37">
      <c r="A3" s="141">
        <v>46023</v>
      </c>
      <c r="B3" s="142"/>
      <c r="C3" s="142"/>
      <c r="D3" s="142"/>
      <c r="E3" s="142"/>
      <c r="F3" s="142"/>
      <c r="G3" s="142"/>
      <c r="H3" s="142"/>
      <c r="I3" s="142"/>
      <c r="J3" s="143"/>
      <c r="K3" s="144"/>
      <c r="L3" s="256"/>
      <c r="M3" s="158"/>
      <c r="N3" s="158"/>
      <c r="P3" s="267" t="str">
        <f>IF('[1]2026 január'!B$2=0,
    "",
    '[1]2026 január'!B$2
)</f>
        <v/>
      </c>
      <c r="Q3" s="267" t="str">
        <f>IF(OR('[1]2026 január'!G2=0,
       ISBLANK('[1]2026 január'!G2)),
    "",
    '[1]2026 január'!G2
)</f>
        <v/>
      </c>
      <c r="R3" s="11">
        <f>'[1]2026 január'!W2</f>
        <v>0</v>
      </c>
      <c r="S3" s="11" t="e">
        <f>P3-Q3-R3-G3-H3</f>
        <v>#VALUE!</v>
      </c>
      <c r="T3" s="11"/>
      <c r="U3" s="10"/>
      <c r="V3" s="267" t="str">
        <f>IF('[1]2026 január'!S2=0,
    "",
    '[1]2026 január'!S2
)</f>
        <v/>
      </c>
      <c r="W3" s="267" t="str">
        <f>IF('[1]2026 január'!T2=0,
    "",
    '[1]2026 január'!T2
)</f>
        <v/>
      </c>
      <c r="X3" s="267" t="str">
        <f>IF('[1]2026 január'!U2=0,
    "",
    '[1]2026 január'!U2
)</f>
        <v/>
      </c>
      <c r="Y3" s="267" t="str">
        <f>IF('[1]2026 január'!V2=0,
    "",
    '[1]2026 január'!V2
)</f>
        <v/>
      </c>
      <c r="Z3" s="267" t="str">
        <f>IF('[1]2026 január'!W2=0,
    "",
    '[1]2026 január'!W2
)</f>
        <v/>
      </c>
      <c r="AA3" s="267" t="str">
        <f>IF('[1]2026 január'!X2=0,
    "",
    '[1]2026 január'!X2
)</f>
        <v/>
      </c>
      <c r="AB3" s="267" t="str">
        <f>IF('[1]2026 január'!Y2=0,
    "",
    '[1]2026 január'!Y2
)</f>
        <v/>
      </c>
      <c r="AC3" s="267" t="str">
        <f>IF('[1]2026 január'!Z2=0,
    "",
    '[1]2026 január'!Z2
)</f>
        <v/>
      </c>
      <c r="AD3" s="220" t="str">
        <f>IF('[1]2026 január'!AA2=0,
    "",
    '[1]2026 január'!AA2
)</f>
        <v/>
      </c>
      <c r="AE3" s="220" t="str">
        <f>IF('[1]2026 január'!AB$2=0,
    "",
    '[1]2026 január'!AB$2
)</f>
        <v/>
      </c>
      <c r="AF3" s="220" t="str">
        <f>IF('[1]2026 január'!AC$2=0,
    "",
    '[1]2026 január'!AC$2
)</f>
        <v/>
      </c>
      <c r="AG3" s="220" t="str">
        <f>IF('[1]2026 január'!AD$2=0,
    "",
    '[1]2026 január'!AD$2
)</f>
        <v/>
      </c>
      <c r="AH3" s="220" t="str">
        <f>IF('[1]2026 január'!AE2=0,
    "",
    '[1]2026 január'!AE2
)</f>
        <v/>
      </c>
      <c r="AI3" s="220" t="str">
        <f>IF('[1]2026 január'!AF2=0,
    "",
    '[1]2026 január'!AF2
)</f>
        <v/>
      </c>
      <c r="AJ3" s="220" t="str">
        <f>IF('[1]2026 január'!AG2=0,
    "",
    '[1]2026 január'!AG2
)</f>
        <v/>
      </c>
      <c r="AK3" s="220" t="str">
        <f>IF('[1]2026 január'!AH2=0,
    "",
    '[1]2026 január'!AH2
)</f>
        <v/>
      </c>
    </row>
    <row r="4" spans="1:37">
      <c r="A4" s="141">
        <v>46024</v>
      </c>
      <c r="B4" s="142"/>
      <c r="C4" s="142"/>
      <c r="D4" s="142"/>
      <c r="E4" s="142"/>
      <c r="F4" s="142"/>
      <c r="G4" s="142"/>
      <c r="H4" s="142"/>
      <c r="I4" s="142"/>
      <c r="J4" s="143"/>
      <c r="K4" s="144"/>
      <c r="L4" s="256"/>
      <c r="M4" s="158"/>
      <c r="N4" s="158"/>
      <c r="P4" s="267" t="str">
        <f>IF('[1]2026 január'!B$3=0,
    "",
    '[1]2026 január'!B$3
)</f>
        <v/>
      </c>
      <c r="Q4" s="267" t="str">
        <f>IF(OR('[1]2026 január'!G3=0,
       ISBLANK('[1]2026 január'!G3)),
    "",
    '[1]2026 január'!G3
)</f>
        <v/>
      </c>
      <c r="R4" s="11">
        <f>'[1]2026 január'!W3</f>
        <v>0</v>
      </c>
      <c r="S4" s="11"/>
      <c r="T4" s="11"/>
      <c r="U4" s="10"/>
      <c r="V4" s="267" t="str">
        <f>IF('[1]2026 január'!S3=0,
    "",
    '[1]2026 január'!S3
)</f>
        <v/>
      </c>
      <c r="W4" s="267" t="str">
        <f>IF('[1]2026 január'!T3=0,
    "",
    '[1]2026 január'!T3
)</f>
        <v/>
      </c>
      <c r="X4" s="267" t="str">
        <f>IF('[1]2026 január'!U3=0,
    "",
    '[1]2026 január'!U3
)</f>
        <v/>
      </c>
      <c r="Y4" s="267" t="str">
        <f>IF('[1]2026 január'!V3=0,
    "",
    '[1]2026 január'!V3
)</f>
        <v/>
      </c>
      <c r="Z4" s="267" t="str">
        <f>IF('[1]2026 január'!W3=0,
    "",
    '[1]2026 január'!W3
)</f>
        <v/>
      </c>
      <c r="AA4" s="267" t="str">
        <f>IF('[1]2026 január'!X3=0,
    "",
    '[1]2026 január'!X3
)</f>
        <v/>
      </c>
      <c r="AB4" s="267" t="str">
        <f>IF('[1]2026 január'!Y3=0,
    "",
    '[1]2026 január'!Y3
)</f>
        <v/>
      </c>
      <c r="AC4" s="267" t="str">
        <f>IF('[1]2026 január'!Z3=0,
    "",
    '[1]2026 január'!Z3
)</f>
        <v/>
      </c>
      <c r="AD4" s="220" t="str">
        <f>IF('[1]2026 január'!AA3=0,
    "",
    '[1]2026 január'!AA3
)</f>
        <v/>
      </c>
      <c r="AE4" s="220" t="str">
        <f>IF('[1]2026 január'!AB$3=0,
    "",
    '[1]2026 január'!AB$3
)</f>
        <v/>
      </c>
      <c r="AF4" s="220" t="str">
        <f>IF('[1]2026 január'!AC$3=0,
    "",
    '[1]2026 január'!AC$3
)</f>
        <v/>
      </c>
      <c r="AG4" s="220" t="str">
        <f>IF('[1]2026 január'!AD$3=0,
    "",
    '[1]2026 január'!AD$3
)</f>
        <v/>
      </c>
      <c r="AH4" s="220" t="str">
        <f>IF('[1]2026 január'!AE3=0,
    "",
    '[1]2026 január'!AE3
)</f>
        <v/>
      </c>
      <c r="AI4" s="220" t="str">
        <f>IF('[1]2026 január'!AF3=0,
    "",
    '[1]2026 január'!AF3
)</f>
        <v/>
      </c>
      <c r="AJ4" s="220" t="str">
        <f>IF('[1]2026 január'!AG3=0,
    "",
    '[1]2026 január'!AG3
)</f>
        <v/>
      </c>
      <c r="AK4" s="220" t="str">
        <f>IF('[1]2026 január'!AH3=0,
    "",
    '[1]2026 január'!AH3
)</f>
        <v/>
      </c>
    </row>
    <row r="5" spans="1:37">
      <c r="A5" s="141">
        <v>46025</v>
      </c>
      <c r="B5" s="142"/>
      <c r="C5" s="142"/>
      <c r="D5" s="142"/>
      <c r="E5" s="142"/>
      <c r="F5" s="142"/>
      <c r="G5" s="142"/>
      <c r="H5" s="142"/>
      <c r="I5" s="142"/>
      <c r="J5" s="143"/>
      <c r="K5" s="146"/>
      <c r="L5" s="257"/>
      <c r="M5" s="158"/>
      <c r="N5" s="158"/>
      <c r="P5" s="267" t="str">
        <f>IF('[1]2026 január'!B$4=0,
    "",
    '[1]2026 január'!B$4
)</f>
        <v/>
      </c>
      <c r="Q5" s="267" t="str">
        <f>IF(OR('[1]2026 január'!G4=0,
       ISBLANK('[1]2026 január'!G4)),
    "",
    '[1]2026 január'!G4
)</f>
        <v/>
      </c>
      <c r="R5" s="11">
        <f>'[1]2026 január'!W4</f>
        <v>0</v>
      </c>
      <c r="S5" s="11"/>
      <c r="T5" s="11"/>
      <c r="U5" s="10"/>
      <c r="V5" s="267" t="str">
        <f>IF('[1]2026 január'!S4=0,
    "",
    '[1]2026 január'!S4
)</f>
        <v/>
      </c>
      <c r="W5" s="267" t="str">
        <f>IF('[1]2026 január'!T4=0,
    "",
    '[1]2026 január'!T4
)</f>
        <v/>
      </c>
      <c r="X5" s="267" t="str">
        <f>IF('[1]2026 január'!U4=0,
    "",
    '[1]2026 január'!U4
)</f>
        <v/>
      </c>
      <c r="Y5" s="267" t="str">
        <f>IF('[1]2026 január'!V4=0,
    "",
    '[1]2026 január'!V4
)</f>
        <v/>
      </c>
      <c r="Z5" s="267" t="str">
        <f>IF('[1]2026 január'!W4=0,
    "",
    '[1]2026 január'!W4
)</f>
        <v/>
      </c>
      <c r="AA5" s="267" t="str">
        <f>IF('[1]2026 január'!X4=0,
    "",
    '[1]2026 január'!X4
)</f>
        <v/>
      </c>
      <c r="AB5" s="267" t="str">
        <f>IF('[1]2026 január'!Y4=0,
    "",
    '[1]2026 január'!Y4
)</f>
        <v/>
      </c>
      <c r="AC5" s="267" t="str">
        <f>IF('[1]2026 január'!Z4=0,
    "",
    '[1]2026 január'!Z4
)</f>
        <v/>
      </c>
      <c r="AD5" s="220" t="str">
        <f>IF('[1]2026 január'!AA4=0,
    "",
    '[1]2026 január'!AA4
)</f>
        <v/>
      </c>
      <c r="AE5" s="220" t="str">
        <f>IF('[1]2026 január'!AB$4=0,
    "",
    '[1]2026 január'!AB$4
)</f>
        <v/>
      </c>
      <c r="AF5" s="220" t="str">
        <f>IF('[1]2026 január'!AC$4=0,
    "",
    '[1]2026 január'!AC$4
)</f>
        <v/>
      </c>
      <c r="AG5" s="220" t="str">
        <f>IF('[1]2026 január'!AD$4=0,
    "",
    '[1]2026 január'!AD$4
)</f>
        <v/>
      </c>
      <c r="AH5" s="220" t="str">
        <f>IF('[1]2026 január'!AE4=0,
    "",
    '[1]2026 január'!AE4
)</f>
        <v/>
      </c>
      <c r="AI5" s="220" t="str">
        <f>IF('[1]2026 január'!AF4=0,
    "",
    '[1]2026 január'!AF4
)</f>
        <v/>
      </c>
      <c r="AJ5" s="220" t="str">
        <f>IF('[1]2026 január'!AG4=0,
    "",
    '[1]2026 január'!AG4
)</f>
        <v/>
      </c>
      <c r="AK5" s="220" t="str">
        <f>IF('[1]2026 január'!AH4=0,
    "",
    '[1]2026 január'!AH4
)</f>
        <v/>
      </c>
    </row>
    <row r="6" spans="1:37">
      <c r="A6" s="141">
        <v>46026</v>
      </c>
      <c r="B6" s="142"/>
      <c r="C6" s="142"/>
      <c r="D6" s="142"/>
      <c r="E6" s="142"/>
      <c r="F6" s="142"/>
      <c r="G6" s="142"/>
      <c r="H6" s="142"/>
      <c r="I6" s="142"/>
      <c r="J6" s="143"/>
      <c r="K6" s="146"/>
      <c r="L6" s="257"/>
      <c r="M6" s="158"/>
      <c r="N6" s="158"/>
      <c r="P6" s="267"/>
      <c r="Q6" s="267"/>
      <c r="R6" s="11"/>
      <c r="S6" s="11"/>
      <c r="T6" s="11"/>
      <c r="U6" s="10"/>
      <c r="V6" s="267"/>
      <c r="W6" s="267"/>
      <c r="X6" s="267"/>
      <c r="Y6" s="267"/>
      <c r="Z6" s="267"/>
      <c r="AA6" s="267"/>
      <c r="AB6" s="267"/>
      <c r="AC6" s="267"/>
      <c r="AD6" s="220"/>
      <c r="AE6" s="220"/>
      <c r="AF6" s="220"/>
      <c r="AG6" s="220"/>
      <c r="AH6" s="220"/>
      <c r="AI6" s="220"/>
      <c r="AJ6" s="220"/>
      <c r="AK6" s="220"/>
    </row>
    <row r="7" spans="1:37">
      <c r="A7" s="5">
        <v>46027</v>
      </c>
      <c r="B7" s="11"/>
      <c r="C7" s="11">
        <v>1150</v>
      </c>
      <c r="D7" s="11">
        <v>164389</v>
      </c>
      <c r="E7" s="11"/>
      <c r="F7" s="11">
        <v>177841</v>
      </c>
      <c r="G7" s="11">
        <v>33775</v>
      </c>
      <c r="H7" s="11">
        <v>309605</v>
      </c>
      <c r="I7" s="11">
        <v>314305</v>
      </c>
      <c r="J7" s="38" t="s">
        <v>157</v>
      </c>
      <c r="K7" s="72">
        <v>212688426</v>
      </c>
      <c r="L7" s="258"/>
      <c r="M7" s="9"/>
      <c r="N7" s="9"/>
      <c r="P7" s="267" t="str">
        <f>IF('[1]2026 január'!B$5=0,
    "",
    '[1]2026 január'!B$5
)</f>
        <v/>
      </c>
      <c r="Q7" s="267" t="str">
        <f>IF(OR('[1]2026 január'!G5=0,
       ISBLANK('[1]2026 január'!G5)),
    "",
    '[1]2026 január'!G5
)</f>
        <v/>
      </c>
      <c r="R7" s="11">
        <f>'[1]2026 január'!W5</f>
        <v>0</v>
      </c>
      <c r="S7" s="11"/>
      <c r="T7" s="11"/>
      <c r="U7" s="10"/>
      <c r="V7" s="267" t="str">
        <f>IF('[1]2026 január'!S5=0,
    "",
    '[1]2026 január'!S5
)</f>
        <v/>
      </c>
      <c r="W7" s="267" t="str">
        <f>IF('[1]2026 január'!T5=0,
    "",
    '[1]2026 január'!T5
)</f>
        <v/>
      </c>
      <c r="X7" s="267" t="str">
        <f>IF('[1]2026 január'!U5=0,
    "",
    '[1]2026 január'!U5
)</f>
        <v/>
      </c>
      <c r="Y7" s="267" t="str">
        <f>IF('[1]2026 január'!V5=0,
    "",
    '[1]2026 január'!V5
)</f>
        <v/>
      </c>
      <c r="Z7" s="267" t="str">
        <f>IF('[1]2026 január'!W5=0,
    "",
    '[1]2026 január'!W5
)</f>
        <v/>
      </c>
      <c r="AA7" s="267" t="str">
        <f>IF('[1]2026 január'!X5=0,
    "",
    '[1]2026 január'!X5
)</f>
        <v/>
      </c>
      <c r="AB7" s="267" t="str">
        <f>IF('[1]2026 január'!Y5=0,
    "",
    '[1]2026 január'!Y5
)</f>
        <v/>
      </c>
      <c r="AC7" s="267" t="str">
        <f>IF('[1]2026 január'!Z5=0,
    "",
    '[1]2026 január'!Z5
)</f>
        <v/>
      </c>
      <c r="AD7" s="220" t="str">
        <f>IF('[1]2026 január'!AA5=0,
    "",
    '[1]2026 január'!AA5
)</f>
        <v/>
      </c>
      <c r="AE7" s="220" t="str">
        <f>IF('[1]2026 január'!AB$5=0,
    "",
    '[1]2026 január'!AB$5
)</f>
        <v/>
      </c>
      <c r="AF7" s="220" t="str">
        <f>IF('[1]2026 január'!AC$5=0,
    "",
    '[1]2026 január'!AC$5
)</f>
        <v/>
      </c>
      <c r="AG7" s="220" t="str">
        <f>IF('[1]2026 január'!AD$5=0,
    "",
    '[1]2026 január'!AD$5
)</f>
        <v/>
      </c>
      <c r="AH7" s="220" t="str">
        <f>IF('[1]2026 január'!AE5=0,
    "",
    '[1]2026 január'!AE5
)</f>
        <v/>
      </c>
      <c r="AI7" s="220" t="str">
        <f>IF('[1]2026 január'!AF5=0,
    "",
    '[1]2026 január'!AF5
)</f>
        <v/>
      </c>
      <c r="AJ7" s="220" t="str">
        <f>IF('[1]2026 január'!AG5=0,
    "",
    '[1]2026 január'!AG5
)</f>
        <v/>
      </c>
      <c r="AK7" s="220" t="str">
        <f>IF('[1]2026 január'!AH5=0,
    "",
    '[1]2026 január'!AH5
)</f>
        <v/>
      </c>
    </row>
    <row r="8" spans="1:37">
      <c r="A8" s="5">
        <v>46027</v>
      </c>
      <c r="B8" s="11">
        <v>366030</v>
      </c>
      <c r="C8" s="11"/>
      <c r="D8" s="11"/>
      <c r="E8" s="11"/>
      <c r="F8" s="11">
        <v>4700</v>
      </c>
      <c r="G8" s="11"/>
      <c r="H8" s="11">
        <v>4700</v>
      </c>
      <c r="I8" s="11"/>
      <c r="J8" s="38" t="s">
        <v>138</v>
      </c>
      <c r="K8" s="72">
        <v>212693126</v>
      </c>
      <c r="L8" s="258"/>
      <c r="M8" s="9"/>
      <c r="N8" s="9"/>
      <c r="P8" s="267">
        <f>IF('[1]2026 január'!B$6=0,
    "",
    '[1]2026 január'!B$6
)</f>
        <v>348080</v>
      </c>
      <c r="Q8" s="267" t="str">
        <f>IF(OR('[1]2026 január'!G6=0,
       ISBLANK('[1]2026 január'!G6)),
    "",
    '[1]2026 január'!G6
)</f>
        <v/>
      </c>
      <c r="R8" s="11">
        <f>'[1]2026 január'!W6</f>
        <v>0</v>
      </c>
      <c r="S8" s="11"/>
      <c r="T8" s="11"/>
      <c r="U8" s="10"/>
      <c r="V8" s="267">
        <f>IF('[1]2026 január'!S6=0,
    "",
    '[1]2026 január'!S6
)</f>
        <v>119577</v>
      </c>
      <c r="W8" s="267">
        <f>IF('[1]2026 január'!T6=0,
    "",
    '[1]2026 január'!T6
)</f>
        <v>33775</v>
      </c>
      <c r="X8" s="267" t="str">
        <f>IF('[1]2026 január'!U6=0,
    "",
    '[1]2026 január'!U6
)</f>
        <v/>
      </c>
      <c r="Y8" s="267" t="str">
        <f>IF('[1]2026 január'!V6=0,
    "",
    '[1]2026 január'!V6
)</f>
        <v/>
      </c>
      <c r="Z8" s="267" t="str">
        <f>IF('[1]2026 január'!W6=0,
    "",
    '[1]2026 január'!W6
)</f>
        <v/>
      </c>
      <c r="AA8" s="267" t="str">
        <f>IF('[1]2026 január'!X6=0,
    "",
    '[1]2026 január'!X6
)</f>
        <v/>
      </c>
      <c r="AB8" s="267">
        <f>IF('[1]2026 január'!Y6=0,
    "",
    '[1]2026 január'!Y6
)</f>
        <v>153352</v>
      </c>
      <c r="AC8" s="267" t="str">
        <f>IF('[1]2026 január'!Z6=0,
    "",
    '[1]2026 január'!Z6
)</f>
        <v/>
      </c>
      <c r="AD8" s="220" t="str">
        <f>IF('[1]2026 január'!AA6=0,
    "",
    '[1]2026 január'!AA6
)</f>
        <v/>
      </c>
      <c r="AE8" s="220" t="str">
        <f>IF('[1]2026 január'!AB$6=0,
    "",
    '[1]2026 január'!AB$6
)</f>
        <v/>
      </c>
      <c r="AF8" s="220" t="str">
        <f>IF('[1]2026 január'!AC$6=0,
    "",
    '[1]2026 január'!AC$6
)</f>
        <v/>
      </c>
      <c r="AG8" s="220" t="str">
        <f>IF('[1]2026 január'!AD$6=0,
    "",
    '[1]2026 január'!AD$6
)</f>
        <v/>
      </c>
      <c r="AH8" s="220" t="str">
        <f>IF('[1]2026 január'!AE6=0,
    "",
    '[1]2026 január'!AE6
)</f>
        <v/>
      </c>
      <c r="AI8" s="220" t="str">
        <f>IF('[1]2026 január'!AF6=0,
    "",
    '[1]2026 január'!AF6
)</f>
        <v/>
      </c>
      <c r="AJ8" s="220" t="str">
        <f>IF('[1]2026 január'!AG6=0,
    "",
    '[1]2026 január'!AG6
)</f>
        <v/>
      </c>
      <c r="AK8" s="220" t="str">
        <f>IF('[1]2026 január'!AH6=0,
    "",
    '[1]2026 január'!AH6
)</f>
        <v/>
      </c>
    </row>
    <row r="9" spans="1:37">
      <c r="A9" s="5">
        <v>46028</v>
      </c>
      <c r="B9" s="11">
        <v>412300</v>
      </c>
      <c r="C9" s="11">
        <v>750</v>
      </c>
      <c r="D9" s="11">
        <v>242410</v>
      </c>
      <c r="E9" s="11"/>
      <c r="F9" s="11">
        <v>199650</v>
      </c>
      <c r="G9" s="11">
        <v>16720</v>
      </c>
      <c r="H9" s="11">
        <v>426090</v>
      </c>
      <c r="I9" s="11">
        <v>426090</v>
      </c>
      <c r="J9" s="38" t="s">
        <v>118</v>
      </c>
      <c r="K9" s="72">
        <v>213135936</v>
      </c>
      <c r="L9" s="258"/>
      <c r="M9" s="9"/>
      <c r="N9" s="9"/>
      <c r="P9" s="267">
        <f>IF('[1]2026 január'!B$7=0,
    "",
    '[1]2026 január'!B$7
)</f>
        <v>402810</v>
      </c>
      <c r="Q9" s="267" t="str">
        <f>IF(OR('[1]2026 január'!G7=0,
       ISBLANK('[1]2026 január'!G7)),
    "",
    '[1]2026 január'!G7
)</f>
        <v/>
      </c>
      <c r="R9" s="11">
        <f>'[1]2026 január'!W7</f>
        <v>0</v>
      </c>
      <c r="S9" s="11"/>
      <c r="T9" s="11"/>
      <c r="U9" s="10"/>
      <c r="V9" s="267">
        <f>IF('[1]2026 január'!S7=0,
    "",
    '[1]2026 január'!S7
)</f>
        <v>153352</v>
      </c>
      <c r="W9" s="267">
        <f>IF('[1]2026 január'!T7=0,
    "",
    '[1]2026 január'!T7
)</f>
        <v>-23280</v>
      </c>
      <c r="X9" s="267">
        <f>IF('[1]2026 január'!U7=0,
    "",
    '[1]2026 január'!U7
)</f>
        <v>44985</v>
      </c>
      <c r="Y9" s="267">
        <f>IF('[1]2026 január'!V7=0,
    "",
    '[1]2026 január'!V7
)</f>
        <v>3600</v>
      </c>
      <c r="Z9" s="267" t="str">
        <f>IF('[1]2026 január'!W7=0,
    "",
    '[1]2026 január'!W7
)</f>
        <v/>
      </c>
      <c r="AA9" s="267" t="str">
        <f>IF('[1]2026 január'!X7=0,
    "",
    '[1]2026 január'!X7
)</f>
        <v/>
      </c>
      <c r="AB9" s="267">
        <f>IF('[1]2026 január'!Y7=0,
    "",
    '[1]2026 január'!Y7
)</f>
        <v>171457</v>
      </c>
      <c r="AC9" s="267" t="str">
        <f>IF('[1]2026 január'!Z7=0,
    "",
    '[1]2026 január'!Z7
)</f>
        <v/>
      </c>
      <c r="AD9" s="220" t="str">
        <f>IF('[1]2026 január'!AA7=0,
    "",
    '[1]2026 január'!AA7
)</f>
        <v>Vásárlás</v>
      </c>
      <c r="AE9" s="220" t="str">
        <f>IF('[1]2026 január'!AB$7=0,
    "",
    '[1]2026 január'!AB$7
)</f>
        <v>Vip töltés</v>
      </c>
      <c r="AF9" s="220" t="str">
        <f>IF('[1]2026 január'!AC$7=0,
    "",
    '[1]2026 január'!AC$7
)</f>
        <v/>
      </c>
      <c r="AG9" s="220" t="str">
        <f>IF('[1]2026 január'!AD$7=0,
    "",
    '[1]2026 január'!AD$7
)</f>
        <v/>
      </c>
      <c r="AH9" s="220" t="str">
        <f>IF('[1]2026 január'!AE7=0,
    "",
    '[1]2026 január'!AE7
)</f>
        <v/>
      </c>
      <c r="AI9" s="220" t="str">
        <f>IF('[1]2026 január'!AF7=0,
    "",
    '[1]2026 január'!AF7
)</f>
        <v/>
      </c>
      <c r="AJ9" s="220" t="str">
        <f>IF('[1]2026 január'!AG7=0,
    "",
    '[1]2026 január'!AG7
)</f>
        <v/>
      </c>
      <c r="AK9" s="220" t="str">
        <f>IF('[1]2026 január'!AH7=0,
    "",
    '[1]2026 január'!AH7
)</f>
        <v/>
      </c>
    </row>
    <row r="10" spans="1:37">
      <c r="A10" s="5">
        <v>46029</v>
      </c>
      <c r="B10" s="11">
        <v>423525</v>
      </c>
      <c r="C10" s="11">
        <v>850</v>
      </c>
      <c r="D10" s="11">
        <v>247930</v>
      </c>
      <c r="E10" s="11"/>
      <c r="F10" s="11">
        <v>161945</v>
      </c>
      <c r="G10" s="11">
        <v>20510</v>
      </c>
      <c r="H10" s="11">
        <v>390215</v>
      </c>
      <c r="I10" s="11">
        <v>390215</v>
      </c>
      <c r="J10" s="38" t="s">
        <v>158</v>
      </c>
      <c r="K10" s="72">
        <v>213546661</v>
      </c>
      <c r="L10" s="258"/>
      <c r="M10" s="9"/>
      <c r="N10" s="9"/>
      <c r="P10" s="267">
        <f>IF('[1]2026 január'!B$8=0,
    "",
    '[1]2026 január'!B$8
)</f>
        <v>410725</v>
      </c>
      <c r="Q10" s="267" t="str">
        <f>IF(OR('[1]2026 január'!G8=0,
       ISBLANK('[1]2026 január'!G8)),
    "",
    '[1]2026 január'!G8
)</f>
        <v/>
      </c>
      <c r="R10" s="11">
        <f>'[1]2026 január'!W8</f>
        <v>7190</v>
      </c>
      <c r="S10" s="11"/>
      <c r="T10" s="11"/>
      <c r="U10" s="10"/>
      <c r="V10" s="267">
        <f>IF('[1]2026 január'!S8=0,
    "",
    '[1]2026 január'!S8
)</f>
        <v>171457</v>
      </c>
      <c r="W10" s="267">
        <f>IF('[1]2026 január'!T8=0,
    "",
    '[1]2026 január'!T8
)</f>
        <v>20510</v>
      </c>
      <c r="X10" s="267" t="str">
        <f>IF('[1]2026 január'!U8=0,
    "",
    '[1]2026 január'!U8
)</f>
        <v/>
      </c>
      <c r="Y10" s="267" t="str">
        <f>IF('[1]2026 január'!V8=0,
    "",
    '[1]2026 január'!V8
)</f>
        <v/>
      </c>
      <c r="Z10" s="267">
        <f>IF('[1]2026 január'!W8=0,
    "",
    '[1]2026 január'!W8
)</f>
        <v>7190</v>
      </c>
      <c r="AA10" s="267" t="str">
        <f>IF('[1]2026 január'!X8=0,
    "",
    '[1]2026 január'!X8
)</f>
        <v/>
      </c>
      <c r="AB10" s="267">
        <f>IF('[1]2026 január'!Y8=0,
    "",
    '[1]2026 január'!Y8
)</f>
        <v>184777</v>
      </c>
      <c r="AC10" s="267" t="str">
        <f>IF('[1]2026 január'!Z8=0,
    "",
    '[1]2026 január'!Z8
)</f>
        <v/>
      </c>
      <c r="AD10" s="220" t="str">
        <f>IF('[1]2026 január'!AA8=0,
    "",
    '[1]2026 január'!AA8
)</f>
        <v>Matrica</v>
      </c>
      <c r="AE10" s="220" t="str">
        <f>IF('[1]2026 január'!AB$8=0,
    "",
    '[1]2026 január'!AB$8
)</f>
        <v/>
      </c>
      <c r="AF10" s="220" t="str">
        <f>IF('[1]2026 január'!AC$8=0,
    "",
    '[1]2026 január'!AC$8
)</f>
        <v/>
      </c>
      <c r="AG10" s="220" t="str">
        <f>IF('[1]2026 január'!AD$8=0,
    "",
    '[1]2026 január'!AD$8
)</f>
        <v/>
      </c>
      <c r="AH10" s="220" t="str">
        <f>IF('[1]2026 január'!AE8=0,
    "",
    '[1]2026 január'!AE8
)</f>
        <v/>
      </c>
      <c r="AI10" s="220" t="str">
        <f>IF('[1]2026 január'!AF8=0,
    "",
    '[1]2026 január'!AF8
)</f>
        <v/>
      </c>
      <c r="AJ10" s="220" t="str">
        <f>IF('[1]2026 január'!AG8=0,
    "",
    '[1]2026 január'!AG8
)</f>
        <v/>
      </c>
      <c r="AK10" s="220" t="str">
        <f>IF('[1]2026 január'!AH8=0,
    "",
    '[1]2026 január'!AH8
)</f>
        <v/>
      </c>
    </row>
    <row r="11" spans="1:37">
      <c r="A11" s="5">
        <v>46030</v>
      </c>
      <c r="B11" s="11">
        <v>459800</v>
      </c>
      <c r="C11" s="11">
        <v>1150</v>
      </c>
      <c r="D11" s="11">
        <v>275605</v>
      </c>
      <c r="E11" s="11"/>
      <c r="F11" s="11">
        <v>196505</v>
      </c>
      <c r="G11" s="11">
        <v>28825</v>
      </c>
      <c r="H11" s="11">
        <v>444435</v>
      </c>
      <c r="I11" s="11">
        <v>444435</v>
      </c>
      <c r="J11" s="38" t="s">
        <v>159</v>
      </c>
      <c r="K11" s="72">
        <v>214019921</v>
      </c>
      <c r="L11" s="258"/>
      <c r="M11" s="9"/>
      <c r="N11" s="9"/>
      <c r="P11" s="267">
        <f>IF('[1]2026 január'!B$9=0,
    "",
    '[1]2026 január'!B$9
)</f>
        <v>443260</v>
      </c>
      <c r="Q11" s="267" t="str">
        <f>IF(OR('[1]2026 január'!G9=0,
       ISBLANK('[1]2026 január'!G9)),
    "",
    '[1]2026 január'!G9
)</f>
        <v/>
      </c>
      <c r="R11" s="11">
        <f>'[1]2026 január'!W9</f>
        <v>0</v>
      </c>
      <c r="S11" s="11"/>
      <c r="T11" s="11"/>
      <c r="U11" s="10"/>
      <c r="V11" s="267">
        <f>IF('[1]2026 január'!S9=0,
    "",
    '[1]2026 január'!S9
)</f>
        <v>184777</v>
      </c>
      <c r="W11" s="267">
        <f>IF('[1]2026 január'!T9=0,
    "",
    '[1]2026 január'!T9
)</f>
        <v>-1175</v>
      </c>
      <c r="X11" s="267" t="str">
        <f>IF('[1]2026 január'!U9=0,
    "",
    '[1]2026 január'!U9
)</f>
        <v/>
      </c>
      <c r="Y11" s="267">
        <f>IF('[1]2026 január'!V9=0,
    "",
    '[1]2026 január'!V9
)</f>
        <v>22997</v>
      </c>
      <c r="Z11" s="267" t="str">
        <f>IF('[1]2026 január'!W9=0,
    "",
    '[1]2026 január'!W9
)</f>
        <v/>
      </c>
      <c r="AA11" s="267" t="str">
        <f>IF('[1]2026 január'!X9=0,
    "",
    '[1]2026 január'!X9
)</f>
        <v/>
      </c>
      <c r="AB11" s="267">
        <f>IF('[1]2026 január'!Y9=0,
    "",
    '[1]2026 január'!Y9
)</f>
        <v>160605</v>
      </c>
      <c r="AC11" s="267" t="str">
        <f>IF('[1]2026 január'!Z9=0,
    "",
    '[1]2026 január'!Z9
)</f>
        <v/>
      </c>
      <c r="AD11" s="220" t="str">
        <f>IF('[1]2026 január'!AA9=0,
    "",
    '[1]2026 január'!AA9
)</f>
        <v>Media Markt</v>
      </c>
      <c r="AE11" s="220" t="str">
        <f>IF('[1]2026 január'!AB$9=0,
    "",
    '[1]2026 január'!AB$9
)</f>
        <v/>
      </c>
      <c r="AF11" s="220" t="str">
        <f>IF('[1]2026 január'!AC$9=0,
    "",
    '[1]2026 január'!AC$9
)</f>
        <v/>
      </c>
      <c r="AG11" s="220" t="str">
        <f>IF('[1]2026 január'!AD$9=0,
    "",
    '[1]2026 január'!AD$9
)</f>
        <v/>
      </c>
      <c r="AH11" s="220" t="str">
        <f>IF('[1]2026 január'!AE9=0,
    "",
    '[1]2026 január'!AE9
)</f>
        <v/>
      </c>
      <c r="AI11" s="220" t="str">
        <f>IF('[1]2026 január'!AF9=0,
    "",
    '[1]2026 január'!AF9
)</f>
        <v/>
      </c>
      <c r="AJ11" s="220" t="str">
        <f>IF('[1]2026 január'!AG9=0,
    "",
    '[1]2026 január'!AG9
)</f>
        <v/>
      </c>
      <c r="AK11" s="220" t="str">
        <f>IF('[1]2026 január'!AH9=0,
    "",
    '[1]2026 január'!AH9
)</f>
        <v/>
      </c>
    </row>
    <row r="12" spans="1:37">
      <c r="A12" s="5">
        <v>46031</v>
      </c>
      <c r="B12" s="11">
        <v>377780</v>
      </c>
      <c r="C12" s="11">
        <v>700</v>
      </c>
      <c r="D12" s="11">
        <v>301850</v>
      </c>
      <c r="E12" s="11"/>
      <c r="F12" s="11">
        <v>108675</v>
      </c>
      <c r="G12" s="11">
        <v>12365</v>
      </c>
      <c r="H12" s="11">
        <v>398860</v>
      </c>
      <c r="I12" s="11">
        <v>398860</v>
      </c>
      <c r="J12" s="38" t="s">
        <v>160</v>
      </c>
      <c r="K12" s="72">
        <v>214431146</v>
      </c>
      <c r="L12" s="258"/>
      <c r="M12" s="9"/>
      <c r="N12" s="9"/>
      <c r="P12" s="267">
        <f>IF('[1]2026 január'!B$10=0,
    "",
    '[1]2026 január'!B$10
)</f>
        <v>361225</v>
      </c>
      <c r="Q12" s="267" t="str">
        <f>IF(OR('[1]2026 január'!G10=0,
       ISBLANK('[1]2026 január'!G10)),
    "",
    '[1]2026 január'!G10
)</f>
        <v/>
      </c>
      <c r="R12" s="11">
        <f>'[1]2026 január'!W10</f>
        <v>0</v>
      </c>
      <c r="S12" s="11"/>
      <c r="T12" s="11"/>
      <c r="U12" s="10"/>
      <c r="V12" s="267">
        <f>IF('[1]2026 január'!S10=0,
    "",
    '[1]2026 január'!S10
)</f>
        <v>160605</v>
      </c>
      <c r="W12" s="267">
        <f>IF('[1]2026 január'!T10=0,
    "",
    '[1]2026 január'!T10
)</f>
        <v>-37735</v>
      </c>
      <c r="X12" s="267">
        <f>IF('[1]2026 január'!U10=0,
    "",
    '[1]2026 január'!U10
)</f>
        <v>104000</v>
      </c>
      <c r="Y12" s="267">
        <f>IF('[1]2026 január'!V10=0,
    "",
    '[1]2026 január'!V10
)</f>
        <v>79850</v>
      </c>
      <c r="Z12" s="267" t="str">
        <f>IF('[1]2026 január'!W10=0,
    "",
    '[1]2026 január'!W10
)</f>
        <v/>
      </c>
      <c r="AA12" s="267" t="str">
        <f>IF('[1]2026 január'!X10=0,
    "",
    '[1]2026 január'!X10
)</f>
        <v/>
      </c>
      <c r="AB12" s="267">
        <f>IF('[1]2026 január'!Y10=0,
    "",
    '[1]2026 január'!Y10
)</f>
        <v>147020</v>
      </c>
      <c r="AC12" s="267" t="str">
        <f>IF('[1]2026 január'!Z10=0,
    "",
    '[1]2026 január'!Z10
)</f>
        <v/>
      </c>
      <c r="AD12" s="220" t="str">
        <f>IF('[1]2026 január'!AA10=0,
    "",
    '[1]2026 január'!AA10
)</f>
        <v>Vásárlás, Vip töltés, Melinda, Parkolás</v>
      </c>
      <c r="AE12" s="220" t="str">
        <f>IF('[1]2026 január'!AB$10=0,
    "",
    '[1]2026 január'!AB$10
)</f>
        <v/>
      </c>
      <c r="AF12" s="220" t="str">
        <f>IF('[1]2026 január'!AC$10=0,
    "",
    '[1]2026 január'!AC$10
)</f>
        <v/>
      </c>
      <c r="AG12" s="220" t="str">
        <f>IF('[1]2026 január'!AD$10=0,
    "",
    '[1]2026 január'!AD$10
)</f>
        <v/>
      </c>
      <c r="AH12" s="220" t="str">
        <f>IF('[1]2026 január'!AE10=0,
    "",
    '[1]2026 január'!AE10
)</f>
        <v/>
      </c>
      <c r="AI12" s="220" t="str">
        <f>IF('[1]2026 január'!AF10=0,
    "",
    '[1]2026 január'!AF10
)</f>
        <v/>
      </c>
      <c r="AJ12" s="220" t="str">
        <f>IF('[1]2026 január'!AG10=0,
    "",
    '[1]2026 január'!AG10
)</f>
        <v/>
      </c>
      <c r="AK12" s="220" t="str">
        <f>IF('[1]2026 január'!AH10=0,
    "",
    '[1]2026 január'!AH10
)</f>
        <v/>
      </c>
    </row>
    <row r="13" spans="1:37">
      <c r="A13" s="141">
        <v>46032</v>
      </c>
      <c r="B13" s="142"/>
      <c r="C13" s="142"/>
      <c r="D13" s="142"/>
      <c r="E13" s="142"/>
      <c r="F13" s="142"/>
      <c r="G13" s="142"/>
      <c r="H13" s="142"/>
      <c r="I13" s="142"/>
      <c r="J13" s="143"/>
      <c r="K13" s="146"/>
      <c r="L13" s="257"/>
      <c r="M13" s="158"/>
      <c r="N13" s="158"/>
      <c r="P13" s="267" t="str">
        <f>IF('[1]2026 január'!B$11=0,
    "",
    '[1]2026 január'!B$11
)</f>
        <v/>
      </c>
      <c r="Q13" s="267" t="str">
        <f>IF(OR('[1]2026 január'!G11=0,
       ISBLANK('[1]2026 január'!G11)),
    "",
    '[1]2026 január'!G11
)</f>
        <v/>
      </c>
      <c r="R13" s="11">
        <f>'[1]2026 január'!W11</f>
        <v>0</v>
      </c>
      <c r="S13" s="11"/>
      <c r="T13" s="11"/>
      <c r="U13" s="10"/>
      <c r="V13" s="267">
        <f>IF('[1]2026 január'!S11=0,
    "",
    '[1]2026 január'!S11
)</f>
        <v>147020</v>
      </c>
      <c r="W13" s="267" t="str">
        <f>IF('[1]2026 január'!T11=0,
    "",
    '[1]2026 január'!T11
)</f>
        <v/>
      </c>
      <c r="X13" s="267" t="str">
        <f>IF('[1]2026 január'!U11=0,
    "",
    '[1]2026 január'!U11
)</f>
        <v/>
      </c>
      <c r="Y13" s="267" t="str">
        <f>IF('[1]2026 január'!V11=0,
    "",
    '[1]2026 január'!V11
)</f>
        <v/>
      </c>
      <c r="Z13" s="267" t="str">
        <f>IF('[1]2026 január'!W11=0,
    "",
    '[1]2026 január'!W11
)</f>
        <v/>
      </c>
      <c r="AA13" s="267" t="str">
        <f>IF('[1]2026 január'!X11=0,
    "",
    '[1]2026 január'!X11
)</f>
        <v/>
      </c>
      <c r="AB13" s="267">
        <f>IF('[1]2026 január'!Y11=0,
    "",
    '[1]2026 január'!Y11
)</f>
        <v>147020</v>
      </c>
      <c r="AC13" s="267" t="str">
        <f>IF('[1]2026 január'!Z11=0,
    "",
    '[1]2026 január'!Z11
)</f>
        <v/>
      </c>
      <c r="AD13" s="220" t="str">
        <f>IF('[1]2026 január'!AA11=0,
    "",
    '[1]2026 január'!AA11
)</f>
        <v/>
      </c>
      <c r="AE13" s="220" t="str">
        <f>IF('[1]2026 január'!AB$11=0,
    "",
    '[1]2026 január'!AB$11
)</f>
        <v/>
      </c>
      <c r="AF13" s="220" t="str">
        <f>IF('[1]2026 január'!AC$11=0,
    "",
    '[1]2026 január'!AC$11
)</f>
        <v/>
      </c>
      <c r="AG13" s="220" t="str">
        <f>IF('[1]2026 január'!AD$11=0,
    "",
    '[1]2026 január'!AD$11
)</f>
        <v/>
      </c>
      <c r="AH13" s="220" t="str">
        <f>IF('[1]2026 január'!AE11=0,
    "",
    '[1]2026 január'!AE11
)</f>
        <v/>
      </c>
      <c r="AI13" s="220" t="str">
        <f>IF('[1]2026 január'!AF11=0,
    "",
    '[1]2026 január'!AF11
)</f>
        <v/>
      </c>
      <c r="AJ13" s="220" t="str">
        <f>IF('[1]2026 január'!AG11=0,
    "",
    '[1]2026 január'!AG11
)</f>
        <v/>
      </c>
      <c r="AK13" s="220" t="str">
        <f>IF('[1]2026 január'!AH11=0,
    "",
    '[1]2026 január'!AH11
)</f>
        <v/>
      </c>
    </row>
    <row r="14" spans="1:37">
      <c r="A14" s="141">
        <v>46033</v>
      </c>
      <c r="B14" s="142"/>
      <c r="C14" s="142"/>
      <c r="D14" s="142"/>
      <c r="E14" s="142"/>
      <c r="F14" s="142"/>
      <c r="G14" s="142"/>
      <c r="H14" s="142"/>
      <c r="I14" s="142"/>
      <c r="J14" s="143"/>
      <c r="K14" s="146"/>
      <c r="L14" s="257"/>
      <c r="M14" s="158"/>
      <c r="N14" s="158"/>
      <c r="P14" s="267" t="str">
        <f>IF('[1]2026 január'!B$12=0,
    "",
    '[1]2026 január'!B$12
)</f>
        <v/>
      </c>
      <c r="Q14" s="267" t="str">
        <f>IF(OR('[1]2026 január'!G12=0,
       ISBLANK('[1]2026 január'!G12)),
    "",
    '[1]2026 január'!G12
)</f>
        <v/>
      </c>
      <c r="R14" s="11">
        <f>'[1]2026 január'!W12</f>
        <v>0</v>
      </c>
      <c r="S14" s="11"/>
      <c r="T14" s="11"/>
      <c r="U14" s="10"/>
      <c r="V14" s="267">
        <f>IF('[1]2026 január'!S12=0,
    "",
    '[1]2026 január'!S12
)</f>
        <v>147020</v>
      </c>
      <c r="W14" s="267" t="str">
        <f>IF('[1]2026 január'!T12=0,
    "",
    '[1]2026 január'!T12
)</f>
        <v/>
      </c>
      <c r="X14" s="267" t="str">
        <f>IF('[1]2026 január'!U12=0,
    "",
    '[1]2026 január'!U12
)</f>
        <v/>
      </c>
      <c r="Y14" s="267" t="str">
        <f>IF('[1]2026 január'!V12=0,
    "",
    '[1]2026 január'!V12
)</f>
        <v/>
      </c>
      <c r="Z14" s="267" t="str">
        <f>IF('[1]2026 január'!W12=0,
    "",
    '[1]2026 január'!W12
)</f>
        <v/>
      </c>
      <c r="AA14" s="267" t="str">
        <f>IF('[1]2026 január'!X12=0,
    "",
    '[1]2026 január'!X12
)</f>
        <v/>
      </c>
      <c r="AB14" s="267">
        <f>IF('[1]2026 január'!Y12=0,
    "",
    '[1]2026 január'!Y12
)</f>
        <v>147020</v>
      </c>
      <c r="AC14" s="267" t="str">
        <f>IF('[1]2026 január'!Z12=0,
    "",
    '[1]2026 január'!Z12
)</f>
        <v/>
      </c>
      <c r="AD14" s="220" t="str">
        <f>IF('[1]2026 január'!AA12=0,
    "",
    '[1]2026 január'!AA12
)</f>
        <v/>
      </c>
      <c r="AE14" s="220" t="str">
        <f>IF('[1]2026 január'!AB$12=0,
    "",
    '[1]2026 január'!AB$12
)</f>
        <v/>
      </c>
      <c r="AF14" s="220" t="str">
        <f>IF('[1]2026 január'!AC$12=0,
    "",
    '[1]2026 január'!AC$12
)</f>
        <v/>
      </c>
      <c r="AG14" s="220" t="str">
        <f>IF('[1]2026 január'!AD$12=0,
    "",
    '[1]2026 január'!AD$12
)</f>
        <v/>
      </c>
      <c r="AH14" s="220" t="str">
        <f>IF('[1]2026 január'!AE12=0,
    "",
    '[1]2026 január'!AE12
)</f>
        <v/>
      </c>
      <c r="AI14" s="220" t="str">
        <f>IF('[1]2026 január'!AF12=0,
    "",
    '[1]2026 január'!AF12
)</f>
        <v/>
      </c>
      <c r="AJ14" s="220" t="str">
        <f>IF('[1]2026 január'!AG12=0,
    "",
    '[1]2026 január'!AG12
)</f>
        <v/>
      </c>
      <c r="AK14" s="220" t="str">
        <f>IF('[1]2026 január'!AH12=0,
    "",
    '[1]2026 január'!AH12
)</f>
        <v/>
      </c>
    </row>
    <row r="15" spans="1:37">
      <c r="A15" s="5">
        <v>46034</v>
      </c>
      <c r="B15" s="11">
        <v>359915</v>
      </c>
      <c r="C15" s="11">
        <v>1000</v>
      </c>
      <c r="D15" s="11">
        <v>203450</v>
      </c>
      <c r="E15" s="11"/>
      <c r="F15" s="11">
        <v>148695</v>
      </c>
      <c r="G15" s="11">
        <v>18725</v>
      </c>
      <c r="H15" s="11">
        <v>332630</v>
      </c>
      <c r="I15" s="11">
        <v>332630</v>
      </c>
      <c r="J15" s="38" t="s">
        <v>161</v>
      </c>
      <c r="K15" s="72">
        <v>214784291</v>
      </c>
      <c r="L15" s="258"/>
      <c r="M15" s="419">
        <v>1790</v>
      </c>
      <c r="N15" s="455" t="s">
        <v>162</v>
      </c>
      <c r="P15" s="267">
        <f>IF('[1]2026 január'!B$13=0,
    "",
    '[1]2026 január'!B$13
)</f>
        <v>351355</v>
      </c>
      <c r="Q15" s="267" t="str">
        <f>IF(OR('[1]2026 január'!G13=0,
       ISBLANK('[1]2026 január'!G13)),
    "",
    '[1]2026 január'!G13
)</f>
        <v/>
      </c>
      <c r="R15" s="11">
        <f>'[1]2026 január'!W13</f>
        <v>0</v>
      </c>
      <c r="S15" s="11"/>
      <c r="T15" s="11"/>
      <c r="U15" s="10"/>
      <c r="V15" s="267">
        <f>IF('[1]2026 január'!S13=0,
    "",
    '[1]2026 január'!S13
)</f>
        <v>147020</v>
      </c>
      <c r="W15" s="267">
        <f>IF('[1]2026 január'!T13=0,
    "",
    '[1]2026 január'!T13
)</f>
        <v>18725</v>
      </c>
      <c r="X15" s="267" t="str">
        <f>IF('[1]2026 január'!U13=0,
    "",
    '[1]2026 január'!U13
)</f>
        <v/>
      </c>
      <c r="Y15" s="267" t="str">
        <f>IF('[1]2026 január'!V13=0,
    "",
    '[1]2026 január'!V13
)</f>
        <v/>
      </c>
      <c r="Z15" s="267" t="str">
        <f>IF('[1]2026 január'!W13=0,
    "",
    '[1]2026 január'!W13
)</f>
        <v/>
      </c>
      <c r="AA15" s="267" t="str">
        <f>IF('[1]2026 január'!X13=0,
    "",
    '[1]2026 január'!X13
)</f>
        <v/>
      </c>
      <c r="AB15" s="267">
        <f>IF('[1]2026 január'!Y13=0,
    "",
    '[1]2026 január'!Y13
)</f>
        <v>165745</v>
      </c>
      <c r="AC15" s="267" t="str">
        <f>IF('[1]2026 január'!Z13=0,
    "",
    '[1]2026 január'!Z13
)</f>
        <v/>
      </c>
      <c r="AD15" s="220" t="str">
        <f>IF('[1]2026 január'!AA13=0,
    "",
    '[1]2026 január'!AA13
)</f>
        <v/>
      </c>
      <c r="AE15" s="220" t="str">
        <f>IF('[1]2026 január'!AB$13=0,
    "",
    '[1]2026 január'!AB$13
)</f>
        <v/>
      </c>
      <c r="AF15" s="220" t="str">
        <f>IF('[1]2026 január'!AC$13=0,
    "",
    '[1]2026 január'!AC$13
)</f>
        <v/>
      </c>
      <c r="AG15" s="220" t="str">
        <f>IF('[1]2026 január'!AD$13=0,
    "",
    '[1]2026 január'!AD$13
)</f>
        <v/>
      </c>
      <c r="AH15" s="220" t="str">
        <f>IF('[1]2026 január'!AE13=0,
    "",
    '[1]2026 január'!AE13
)</f>
        <v/>
      </c>
      <c r="AI15" s="220" t="str">
        <f>IF('[1]2026 január'!AF13=0,
    "",
    '[1]2026 január'!AF13
)</f>
        <v/>
      </c>
      <c r="AJ15" s="220" t="str">
        <f>IF('[1]2026 január'!AG13=0,
    "",
    '[1]2026 január'!AG13
)</f>
        <v/>
      </c>
      <c r="AK15" s="220" t="str">
        <f>IF('[1]2026 január'!AH13=0,
    "",
    '[1]2026 január'!AH13
)</f>
        <v/>
      </c>
    </row>
    <row r="16" spans="1:37">
      <c r="A16" s="5">
        <v>46035</v>
      </c>
      <c r="B16" s="11">
        <v>479540</v>
      </c>
      <c r="C16" s="11">
        <v>950</v>
      </c>
      <c r="D16" s="11">
        <v>312260</v>
      </c>
      <c r="E16" s="11"/>
      <c r="F16" s="11">
        <v>153045</v>
      </c>
      <c r="G16" s="11">
        <v>23625</v>
      </c>
      <c r="H16" s="11">
        <v>442630</v>
      </c>
      <c r="I16" s="11">
        <v>442630</v>
      </c>
      <c r="J16" s="38" t="s">
        <v>163</v>
      </c>
      <c r="K16" s="72">
        <v>215250546</v>
      </c>
      <c r="L16" s="258"/>
      <c r="M16" s="9"/>
      <c r="N16" s="9"/>
      <c r="P16" s="267">
        <f>IF('[1]2026 január'!B$14=0,
    "",
    '[1]2026 január'!B$14
)</f>
        <v>466255</v>
      </c>
      <c r="Q16" s="267" t="str">
        <f>IF(OR('[1]2026 január'!G14=0,
       ISBLANK('[1]2026 január'!G14)),
    "",
    '[1]2026 január'!G14
)</f>
        <v/>
      </c>
      <c r="R16" s="11">
        <f>'[1]2026 január'!W14</f>
        <v>0</v>
      </c>
      <c r="S16" s="11"/>
      <c r="T16" s="11"/>
      <c r="U16" s="10"/>
      <c r="V16" s="267">
        <f>IF('[1]2026 január'!S14=0,
    "",
    '[1]2026 január'!S14
)</f>
        <v>165745</v>
      </c>
      <c r="W16" s="267">
        <f>IF('[1]2026 január'!T14=0,
    "",
    '[1]2026 január'!T14
)</f>
        <v>23625</v>
      </c>
      <c r="X16" s="267" t="str">
        <f>IF('[1]2026 január'!U14=0,
    "",
    '[1]2026 január'!U14
)</f>
        <v/>
      </c>
      <c r="Y16" s="267" t="str">
        <f>IF('[1]2026 január'!V14=0,
    "",
    '[1]2026 január'!V14
)</f>
        <v/>
      </c>
      <c r="Z16" s="267" t="str">
        <f>IF('[1]2026 január'!W14=0,
    "",
    '[1]2026 január'!W14
)</f>
        <v/>
      </c>
      <c r="AA16" s="267" t="str">
        <f>IF('[1]2026 január'!X14=0,
    "",
    '[1]2026 január'!X14
)</f>
        <v/>
      </c>
      <c r="AB16" s="267">
        <f>IF('[1]2026 január'!Y14=0,
    "",
    '[1]2026 január'!Y14
)</f>
        <v>189370</v>
      </c>
      <c r="AC16" s="267" t="str">
        <f>IF('[1]2026 január'!Z14=0,
    "",
    '[1]2026 január'!Z14
)</f>
        <v/>
      </c>
      <c r="AD16" s="220" t="str">
        <f>IF('[1]2026 január'!AA14=0,
    "",
    '[1]2026 január'!AA14
)</f>
        <v/>
      </c>
      <c r="AE16" s="220" t="str">
        <f>IF('[1]2026 január'!AB$14=0,
    "",
    '[1]2026 január'!AB$14
)</f>
        <v/>
      </c>
      <c r="AF16" s="220" t="str">
        <f>IF('[1]2026 január'!AC$14=0,
    "",
    '[1]2026 január'!AC$14
)</f>
        <v/>
      </c>
      <c r="AG16" s="220" t="str">
        <f>IF('[1]2026 január'!AD$14=0,
    "",
    '[1]2026 január'!AD$14
)</f>
        <v/>
      </c>
      <c r="AH16" s="220" t="str">
        <f>IF('[1]2026 január'!AE14=0,
    "",
    '[1]2026 január'!AE14
)</f>
        <v/>
      </c>
      <c r="AI16" s="220" t="str">
        <f>IF('[1]2026 január'!AF14=0,
    "",
    '[1]2026 január'!AF14
)</f>
        <v/>
      </c>
      <c r="AJ16" s="220" t="str">
        <f>IF('[1]2026 január'!AG14=0,
    "",
    '[1]2026 január'!AG14
)</f>
        <v/>
      </c>
      <c r="AK16" s="220" t="str">
        <f>IF('[1]2026 január'!AH14=0,
    "",
    '[1]2026 január'!AH14
)</f>
        <v/>
      </c>
    </row>
    <row r="17" spans="1:37">
      <c r="A17" s="5">
        <v>46036</v>
      </c>
      <c r="B17" s="11">
        <v>363510</v>
      </c>
      <c r="C17" s="11">
        <v>700</v>
      </c>
      <c r="D17" s="11">
        <v>240091</v>
      </c>
      <c r="E17" s="11"/>
      <c r="F17" s="11">
        <v>110000</v>
      </c>
      <c r="G17" s="11">
        <v>20045</v>
      </c>
      <c r="H17" s="75">
        <v>330745</v>
      </c>
      <c r="I17" s="75">
        <v>371745</v>
      </c>
      <c r="J17" s="38" t="s">
        <v>164</v>
      </c>
      <c r="K17" s="72">
        <v>215601337</v>
      </c>
      <c r="L17" s="258"/>
      <c r="M17" s="9"/>
      <c r="N17" s="9" t="s">
        <v>165</v>
      </c>
      <c r="P17" s="267">
        <f>IF('[1]2026 január'!B$15=0,
    "",
    '[1]2026 január'!B$15
)</f>
        <v>350790</v>
      </c>
      <c r="Q17" s="267" t="str">
        <f>IF(OR('[1]2026 január'!G15=0,
       ISBLANK('[1]2026 január'!G15)),
    "",
    '[1]2026 január'!G15
)</f>
        <v/>
      </c>
      <c r="R17" s="11">
        <f>'[1]2026 január'!W15</f>
        <v>0</v>
      </c>
      <c r="S17" s="11"/>
      <c r="T17" s="11"/>
      <c r="U17" s="10"/>
      <c r="V17" s="267">
        <f>IF('[1]2026 január'!S15=0,
    "",
    '[1]2026 január'!S15
)</f>
        <v>189370</v>
      </c>
      <c r="W17" s="267">
        <f>IF('[1]2026 január'!T15=0,
    "",
    '[1]2026 január'!T15
)</f>
        <v>-20955</v>
      </c>
      <c r="X17" s="267">
        <f>IF('[1]2026 január'!U15=0,
    "",
    '[1]2026 január'!U15
)</f>
        <v>41000</v>
      </c>
      <c r="Y17" s="267">
        <f>IF('[1]2026 január'!V15=0,
    "",
    '[1]2026 január'!V15
)</f>
        <v>63000</v>
      </c>
      <c r="Z17" s="267" t="str">
        <f>IF('[1]2026 január'!W15=0,
    "",
    '[1]2026 január'!W15
)</f>
        <v/>
      </c>
      <c r="AA17" s="267" t="str">
        <f>IF('[1]2026 január'!X15=0,
    "",
    '[1]2026 január'!X15
)</f>
        <v/>
      </c>
      <c r="AB17" s="267">
        <f>IF('[1]2026 január'!Y15=0,
    "",
    '[1]2026 január'!Y15
)</f>
        <v>146415</v>
      </c>
      <c r="AC17" s="267" t="str">
        <f>IF('[1]2026 január'!Z15=0,
    "",
    '[1]2026 január'!Z15
)</f>
        <v/>
      </c>
      <c r="AD17" s="220" t="str">
        <f>IF('[1]2026 január'!AA15=0,
    "",
    '[1]2026 január'!AA15
)</f>
        <v>Márk, Vip töltés</v>
      </c>
      <c r="AE17" s="220" t="str">
        <f>IF('[1]2026 január'!AB$15=0,
    "",
    '[1]2026 január'!AB$15
)</f>
        <v/>
      </c>
      <c r="AF17" s="220" t="str">
        <f>IF('[1]2026 január'!AC$15=0,
    "",
    '[1]2026 január'!AC$15
)</f>
        <v/>
      </c>
      <c r="AG17" s="220" t="str">
        <f>IF('[1]2026 január'!AD$15=0,
    "",
    '[1]2026 január'!AD$15
)</f>
        <v/>
      </c>
      <c r="AH17" s="220" t="str">
        <f>IF('[1]2026 január'!AE15=0,
    "",
    '[1]2026 január'!AE15
)</f>
        <v/>
      </c>
      <c r="AI17" s="220" t="str">
        <f>IF('[1]2026 január'!AF15=0,
    "",
    '[1]2026 január'!AF15
)</f>
        <v/>
      </c>
      <c r="AJ17" s="220" t="str">
        <f>IF('[1]2026 január'!AG15=0,
    "",
    '[1]2026 január'!AG15
)</f>
        <v/>
      </c>
      <c r="AK17" s="220" t="str">
        <f>IF('[1]2026 január'!AH15=0,
    "",
    '[1]2026 január'!AH15
)</f>
        <v/>
      </c>
    </row>
    <row r="18" spans="1:37">
      <c r="A18" s="5">
        <v>46037</v>
      </c>
      <c r="B18" s="11">
        <v>335270</v>
      </c>
      <c r="C18" s="11">
        <v>800</v>
      </c>
      <c r="D18" s="11">
        <v>245235</v>
      </c>
      <c r="E18" s="11"/>
      <c r="F18" s="11">
        <v>107715</v>
      </c>
      <c r="G18" s="11">
        <v>27940</v>
      </c>
      <c r="H18" s="11">
        <v>325810</v>
      </c>
      <c r="I18" s="11">
        <v>325810</v>
      </c>
      <c r="J18" s="38" t="s">
        <v>166</v>
      </c>
      <c r="K18" s="72">
        <v>215955087</v>
      </c>
      <c r="L18" s="258"/>
      <c r="M18" s="9"/>
      <c r="N18" s="9"/>
      <c r="P18" s="267">
        <f>IF('[1]2026 január'!B$16=0,
    "",
    '[1]2026 január'!B$16
)</f>
        <v>323750</v>
      </c>
      <c r="Q18" s="267" t="str">
        <f>IF(OR('[1]2026 január'!G16=0,
       ISBLANK('[1]2026 január'!G16)),
    "",
    '[1]2026 január'!G16
)</f>
        <v/>
      </c>
      <c r="R18" s="11">
        <f>'[1]2026 január'!W16</f>
        <v>0</v>
      </c>
      <c r="S18" s="11"/>
      <c r="T18" s="11"/>
      <c r="U18" s="10"/>
      <c r="V18" s="267">
        <f>IF('[1]2026 január'!S16=0,
    "",
    '[1]2026 január'!S16
)</f>
        <v>146415</v>
      </c>
      <c r="W18" s="267">
        <f>IF('[1]2026 január'!T16=0,
    "",
    '[1]2026 január'!T16
)</f>
        <v>-2060</v>
      </c>
      <c r="X18" s="267">
        <f>IF('[1]2026 január'!U16=0,
    "",
    '[1]2026 január'!U16
)</f>
        <v>30000</v>
      </c>
      <c r="Y18" s="267" t="str">
        <f>IF('[1]2026 január'!V16=0,
    "",
    '[1]2026 január'!V16
)</f>
        <v/>
      </c>
      <c r="Z18" s="267" t="str">
        <f>IF('[1]2026 január'!W16=0,
    "",
    '[1]2026 január'!W16
)</f>
        <v/>
      </c>
      <c r="AA18" s="267" t="str">
        <f>IF('[1]2026 január'!X16=0,
    "",
    '[1]2026 január'!X16
)</f>
        <v/>
      </c>
      <c r="AB18" s="267">
        <f>IF('[1]2026 január'!Y16=0,
    "",
    '[1]2026 január'!Y16
)</f>
        <v>174355</v>
      </c>
      <c r="AC18" s="267" t="str">
        <f>IF('[1]2026 január'!Z16=0,
    "",
    '[1]2026 január'!Z16
)</f>
        <v/>
      </c>
      <c r="AD18" s="220" t="str">
        <f>IF('[1]2026 január'!AA16=0,
    "",
    '[1]2026 január'!AA16
)</f>
        <v>Vip töltés</v>
      </c>
      <c r="AE18" s="220" t="str">
        <f>IF('[1]2026 január'!AB$16=0,
    "",
    '[1]2026 január'!AB$16
)</f>
        <v/>
      </c>
      <c r="AF18" s="220" t="str">
        <f>IF('[1]2026 január'!AC$16=0,
    "",
    '[1]2026 január'!AC$16
)</f>
        <v/>
      </c>
      <c r="AG18" s="220" t="str">
        <f>IF('[1]2026 január'!AD$16=0,
    "",
    '[1]2026 január'!AD$16
)</f>
        <v/>
      </c>
      <c r="AH18" s="220" t="str">
        <f>IF('[1]2026 január'!AE16=0,
    "",
    '[1]2026 január'!AE16
)</f>
        <v/>
      </c>
      <c r="AI18" s="220" t="str">
        <f>IF('[1]2026 január'!AF16=0,
    "",
    '[1]2026 január'!AF16
)</f>
        <v/>
      </c>
      <c r="AJ18" s="220" t="str">
        <f>IF('[1]2026 január'!AG16=0,
    "",
    '[1]2026 január'!AG16
)</f>
        <v/>
      </c>
      <c r="AK18" s="220" t="str">
        <f>IF('[1]2026 január'!AH16=0,
    "",
    '[1]2026 január'!AH16
)</f>
        <v/>
      </c>
    </row>
    <row r="19" spans="1:37">
      <c r="A19" s="5">
        <v>46038</v>
      </c>
      <c r="B19" s="11">
        <v>284595</v>
      </c>
      <c r="C19" s="11">
        <v>550</v>
      </c>
      <c r="D19" s="11">
        <v>160155</v>
      </c>
      <c r="E19" s="11"/>
      <c r="F19" s="11">
        <v>120070</v>
      </c>
      <c r="G19" s="11">
        <v>24505</v>
      </c>
      <c r="H19" s="11">
        <v>256270</v>
      </c>
      <c r="I19" s="11">
        <v>256270</v>
      </c>
      <c r="J19" s="38" t="s">
        <v>167</v>
      </c>
      <c r="K19" s="72">
        <v>216235862</v>
      </c>
      <c r="L19" s="258"/>
      <c r="M19" s="9"/>
      <c r="N19" s="9"/>
      <c r="P19" s="267">
        <f>IF('[1]2026 január'!B$17=0,
    "",
    '[1]2026 január'!B$17
)</f>
        <v>280775</v>
      </c>
      <c r="Q19" s="267" t="str">
        <f>IF(OR('[1]2026 január'!G17=0,
       ISBLANK('[1]2026 január'!G17)),
    "",
    '[1]2026 január'!G17
)</f>
        <v/>
      </c>
      <c r="R19" s="11">
        <f>'[1]2026 január'!W17</f>
        <v>0</v>
      </c>
      <c r="S19" s="11"/>
      <c r="T19" s="11"/>
      <c r="U19" s="10"/>
      <c r="V19" s="267">
        <f>IF('[1]2026 január'!S17=0,
    "",
    '[1]2026 január'!S17
)</f>
        <v>174355</v>
      </c>
      <c r="W19" s="267">
        <f>IF('[1]2026 január'!T17=0,
    "",
    '[1]2026 január'!T17
)</f>
        <v>24505</v>
      </c>
      <c r="X19" s="267" t="str">
        <f>IF('[1]2026 január'!U17=0,
    "",
    '[1]2026 január'!U17
)</f>
        <v/>
      </c>
      <c r="Y19" s="267">
        <f>IF('[1]2026 január'!V17=0,
    "",
    '[1]2026 január'!V17
)</f>
        <v>99015</v>
      </c>
      <c r="Z19" s="267" t="str">
        <f>IF('[1]2026 január'!W17=0,
    "",
    '[1]2026 január'!W17
)</f>
        <v/>
      </c>
      <c r="AA19" s="267" t="str">
        <f>IF('[1]2026 január'!X17=0,
    "",
    '[1]2026 január'!X17
)</f>
        <v/>
      </c>
      <c r="AB19" s="267">
        <f>IF('[1]2026 január'!Y17=0,
    "",
    '[1]2026 január'!Y17
)</f>
        <v>99845</v>
      </c>
      <c r="AC19" s="267" t="str">
        <f>IF('[1]2026 január'!Z17=0,
    "",
    '[1]2026 január'!Z17
)</f>
        <v/>
      </c>
      <c r="AD19" s="220" t="str">
        <f>IF('[1]2026 január'!AA17=0,
    "",
    '[1]2026 január'!AA17
)</f>
        <v>Melinda</v>
      </c>
      <c r="AE19" s="220" t="str">
        <f>IF('[1]2026 január'!AB$17=0,
    "",
    '[1]2026 január'!AB$17
)</f>
        <v/>
      </c>
      <c r="AF19" s="220" t="str">
        <f>IF('[1]2026 január'!AC$17=0,
    "",
    '[1]2026 január'!AC$17
)</f>
        <v/>
      </c>
      <c r="AG19" s="220" t="str">
        <f>IF('[1]2026 január'!AD$17=0,
    "",
    '[1]2026 január'!AD$17
)</f>
        <v/>
      </c>
      <c r="AH19" s="220" t="str">
        <f>IF('[1]2026 január'!AE17=0,
    "",
    '[1]2026 január'!AE17
)</f>
        <v/>
      </c>
      <c r="AI19" s="220" t="str">
        <f>IF('[1]2026 január'!AF17=0,
    "",
    '[1]2026 január'!AF17
)</f>
        <v/>
      </c>
      <c r="AJ19" s="220" t="str">
        <f>IF('[1]2026 január'!AG17=0,
    "",
    '[1]2026 január'!AG17
)</f>
        <v/>
      </c>
      <c r="AK19" s="220" t="str">
        <f>IF('[1]2026 január'!AH17=0,
    "",
    '[1]2026 január'!AH17
)</f>
        <v/>
      </c>
    </row>
    <row r="20" spans="1:37">
      <c r="A20" s="141">
        <v>46039</v>
      </c>
      <c r="B20" s="142"/>
      <c r="C20" s="142"/>
      <c r="D20" s="142"/>
      <c r="E20" s="142"/>
      <c r="F20" s="142"/>
      <c r="G20" s="142"/>
      <c r="H20" s="142"/>
      <c r="I20" s="142"/>
      <c r="J20" s="143"/>
      <c r="K20" s="146"/>
      <c r="L20" s="257"/>
      <c r="M20" s="158"/>
      <c r="N20" s="158"/>
      <c r="P20" s="267" t="str">
        <f>IF('[1]2026 január'!B$18=0,
    "",
    '[1]2026 január'!B$18
)</f>
        <v/>
      </c>
      <c r="Q20" s="267" t="str">
        <f>IF(OR('[1]2026 január'!G18=0,
       ISBLANK('[1]2026 január'!G18)),
    "",
    '[1]2026 január'!G18
)</f>
        <v/>
      </c>
      <c r="R20" s="11">
        <f>'[1]2026 január'!W18</f>
        <v>0</v>
      </c>
      <c r="S20" s="11"/>
      <c r="T20" s="11"/>
      <c r="U20" s="10"/>
      <c r="V20" s="267">
        <f>IF('[1]2026 január'!S18=0,
    "",
    '[1]2026 január'!S18
)</f>
        <v>99845</v>
      </c>
      <c r="W20" s="267" t="str">
        <f>IF('[1]2026 január'!T18=0,
    "",
    '[1]2026 január'!T18
)</f>
        <v/>
      </c>
      <c r="X20" s="267" t="str">
        <f>IF('[1]2026 január'!U18=0,
    "",
    '[1]2026 január'!U18
)</f>
        <v/>
      </c>
      <c r="Y20" s="267" t="str">
        <f>IF('[1]2026 január'!V18=0,
    "",
    '[1]2026 január'!V18
)</f>
        <v/>
      </c>
      <c r="Z20" s="267" t="str">
        <f>IF('[1]2026 január'!W18=0,
    "",
    '[1]2026 január'!W18
)</f>
        <v/>
      </c>
      <c r="AA20" s="267" t="str">
        <f>IF('[1]2026 január'!X18=0,
    "",
    '[1]2026 január'!X18
)</f>
        <v/>
      </c>
      <c r="AB20" s="267">
        <f>IF('[1]2026 január'!Y18=0,
    "",
    '[1]2026 január'!Y18
)</f>
        <v>99845</v>
      </c>
      <c r="AC20" s="267" t="str">
        <f>IF('[1]2026 január'!Z18=0,
    "",
    '[1]2026 január'!Z18
)</f>
        <v/>
      </c>
      <c r="AD20" s="220" t="str">
        <f>IF('[1]2026 január'!AA18=0,
    "",
    '[1]2026 január'!AA18
)</f>
        <v/>
      </c>
      <c r="AE20" s="220" t="str">
        <f>IF('[1]2026 január'!AB$18=0,
    "",
    '[1]2026 január'!AB$18
)</f>
        <v/>
      </c>
      <c r="AF20" s="220" t="str">
        <f>IF('[1]2026 január'!AC$18=0,
    "",
    '[1]2026 január'!AC$18
)</f>
        <v/>
      </c>
      <c r="AG20" s="220" t="str">
        <f>IF('[1]2026 január'!AD$18=0,
    "",
    '[1]2026 január'!AD$18
)</f>
        <v/>
      </c>
      <c r="AH20" s="220" t="str">
        <f>IF('[1]2026 január'!AE18=0,
    "",
    '[1]2026 január'!AE18
)</f>
        <v/>
      </c>
      <c r="AI20" s="220" t="str">
        <f>IF('[1]2026 január'!AF18=0,
    "",
    '[1]2026 január'!AF18
)</f>
        <v/>
      </c>
      <c r="AJ20" s="220" t="str">
        <f>IF('[1]2026 január'!AG18=0,
    "",
    '[1]2026 január'!AG18
)</f>
        <v/>
      </c>
      <c r="AK20" s="220" t="str">
        <f>IF('[1]2026 január'!AH18=0,
    "",
    '[1]2026 január'!AH18
)</f>
        <v/>
      </c>
    </row>
    <row r="21" spans="1:37">
      <c r="A21" s="141">
        <v>46040</v>
      </c>
      <c r="B21" s="142"/>
      <c r="C21" s="142"/>
      <c r="D21" s="142"/>
      <c r="E21" s="142"/>
      <c r="F21" s="142"/>
      <c r="G21" s="142"/>
      <c r="H21" s="142"/>
      <c r="I21" s="142"/>
      <c r="J21" s="143"/>
      <c r="K21" s="146"/>
      <c r="L21" s="257"/>
      <c r="M21" s="158"/>
      <c r="N21" s="158"/>
      <c r="P21" s="267" t="str">
        <f>IF('[1]2026 január'!B$19=0,
    "",
    '[1]2026 január'!B$19
)</f>
        <v/>
      </c>
      <c r="Q21" s="267" t="str">
        <f>IF(OR('[1]2026 január'!G19=0,
       ISBLANK('[1]2026 január'!G19)),
    "",
    '[1]2026 január'!G19
)</f>
        <v/>
      </c>
      <c r="R21" s="11">
        <f>'[1]2026 január'!W19</f>
        <v>0</v>
      </c>
      <c r="S21" s="11"/>
      <c r="T21" s="11"/>
      <c r="U21" s="10"/>
      <c r="V21" s="267">
        <f>IF('[1]2026 január'!S19=0,
    "",
    '[1]2026 január'!S19
)</f>
        <v>99845</v>
      </c>
      <c r="W21" s="267" t="str">
        <f>IF('[1]2026 január'!T19=0,
    "",
    '[1]2026 január'!T19
)</f>
        <v/>
      </c>
      <c r="X21" s="267" t="str">
        <f>IF('[1]2026 január'!U19=0,
    "",
    '[1]2026 január'!U19
)</f>
        <v/>
      </c>
      <c r="Y21" s="267" t="str">
        <f>IF('[1]2026 január'!V19=0,
    "",
    '[1]2026 január'!V19
)</f>
        <v/>
      </c>
      <c r="Z21" s="267" t="str">
        <f>IF('[1]2026 január'!W19=0,
    "",
    '[1]2026 január'!W19
)</f>
        <v/>
      </c>
      <c r="AA21" s="267" t="str">
        <f>IF('[1]2026 január'!X19=0,
    "",
    '[1]2026 január'!X19
)</f>
        <v/>
      </c>
      <c r="AB21" s="267">
        <f>IF('[1]2026 január'!Y19=0,
    "",
    '[1]2026 január'!Y19
)</f>
        <v>99845</v>
      </c>
      <c r="AC21" s="267" t="str">
        <f>IF('[1]2026 január'!Z19=0,
    "",
    '[1]2026 január'!Z19
)</f>
        <v/>
      </c>
      <c r="AD21" s="220" t="str">
        <f>IF('[1]2026 január'!AA19=0,
    "",
    '[1]2026 január'!AA19
)</f>
        <v/>
      </c>
      <c r="AE21" s="220" t="str">
        <f>IF('[1]2026 január'!AB$19=0,
    "",
    '[1]2026 január'!AB$19
)</f>
        <v/>
      </c>
      <c r="AF21" s="220" t="str">
        <f>IF('[1]2026 január'!AC$19=0,
    "",
    '[1]2026 január'!AC$19
)</f>
        <v/>
      </c>
      <c r="AG21" s="220" t="str">
        <f>IF('[1]2026 január'!AD$19=0,
    "",
    '[1]2026 január'!AD$19
)</f>
        <v/>
      </c>
      <c r="AH21" s="220" t="str">
        <f>IF('[1]2026 január'!AE19=0,
    "",
    '[1]2026 január'!AE19
)</f>
        <v/>
      </c>
      <c r="AI21" s="220" t="str">
        <f>IF('[1]2026 január'!AF19=0,
    "",
    '[1]2026 január'!AF19
)</f>
        <v/>
      </c>
      <c r="AJ21" s="220" t="str">
        <f>IF('[1]2026 január'!AG19=0,
    "",
    '[1]2026 január'!AG19
)</f>
        <v/>
      </c>
      <c r="AK21" s="220" t="str">
        <f>IF('[1]2026 január'!AH19=0,
    "",
    '[1]2026 január'!AH19
)</f>
        <v/>
      </c>
    </row>
    <row r="22" spans="1:37">
      <c r="A22" s="5">
        <v>46041</v>
      </c>
      <c r="B22" s="11">
        <v>311770</v>
      </c>
      <c r="C22" s="11">
        <v>650</v>
      </c>
      <c r="D22" s="11">
        <v>139715</v>
      </c>
      <c r="E22" s="11"/>
      <c r="F22" s="11">
        <v>154705</v>
      </c>
      <c r="G22" s="11">
        <v>24775</v>
      </c>
      <c r="H22" s="11">
        <v>270295</v>
      </c>
      <c r="I22" s="11">
        <v>270295</v>
      </c>
      <c r="J22" s="38" t="s">
        <v>128</v>
      </c>
      <c r="K22" s="72">
        <v>216530932</v>
      </c>
      <c r="L22" s="258"/>
      <c r="M22" s="9"/>
      <c r="N22" s="9"/>
      <c r="P22" s="267">
        <f>IF('[1]2026 január'!B$20=0,
    "",
    '[1]2026 január'!B$20
)</f>
        <v>295070</v>
      </c>
      <c r="Q22" s="267" t="str">
        <f>IF(OR('[1]2026 január'!G20=0,
       ISBLANK('[1]2026 január'!G20)),
    "",
    '[1]2026 január'!G20
)</f>
        <v/>
      </c>
      <c r="R22" s="11">
        <f>'[1]2026 január'!W20</f>
        <v>0</v>
      </c>
      <c r="S22" s="11"/>
      <c r="T22" s="11"/>
      <c r="U22" s="10"/>
      <c r="V22" s="267">
        <f>IF('[1]2026 január'!S20=0,
    "",
    '[1]2026 január'!S20
)</f>
        <v>99845</v>
      </c>
      <c r="W22" s="267">
        <f>IF('[1]2026 január'!T20=0,
    "",
    '[1]2026 január'!T20
)</f>
        <v>24775</v>
      </c>
      <c r="X22" s="267" t="str">
        <f>IF('[1]2026 január'!U20=0,
    "",
    '[1]2026 január'!U20
)</f>
        <v/>
      </c>
      <c r="Y22" s="267" t="str">
        <f>IF('[1]2026 január'!V20=0,
    "",
    '[1]2026 január'!V20
)</f>
        <v/>
      </c>
      <c r="Z22" s="267" t="str">
        <f>IF('[1]2026 január'!W20=0,
    "",
    '[1]2026 január'!W20
)</f>
        <v/>
      </c>
      <c r="AA22" s="267" t="str">
        <f>IF('[1]2026 január'!X20=0,
    "",
    '[1]2026 január'!X20
)</f>
        <v/>
      </c>
      <c r="AB22" s="267">
        <f>IF('[1]2026 január'!Y20=0,
    "",
    '[1]2026 január'!Y20
)</f>
        <v>124620</v>
      </c>
      <c r="AC22" s="267" t="str">
        <f>IF('[1]2026 január'!Z20=0,
    "",
    '[1]2026 január'!Z20
)</f>
        <v/>
      </c>
      <c r="AD22" s="220" t="str">
        <f>IF('[1]2026 január'!AA20=0,
    "",
    '[1]2026 január'!AA20
)</f>
        <v/>
      </c>
      <c r="AE22" s="220" t="str">
        <f>IF('[1]2026 január'!AB$20=0,
    "",
    '[1]2026 január'!AB$20
)</f>
        <v/>
      </c>
      <c r="AF22" s="220" t="str">
        <f>IF('[1]2026 január'!AC$20=0,
    "",
    '[1]2026 január'!AC$20
)</f>
        <v/>
      </c>
      <c r="AG22" s="220" t="str">
        <f>IF('[1]2026 január'!AD$20=0,
    "",
    '[1]2026 január'!AD$20
)</f>
        <v/>
      </c>
      <c r="AH22" s="220" t="str">
        <f>IF('[1]2026 január'!AE20=0,
    "",
    '[1]2026 január'!AE20
)</f>
        <v/>
      </c>
      <c r="AI22" s="220" t="str">
        <f>IF('[1]2026 január'!AF20=0,
    "",
    '[1]2026 január'!AF20
)</f>
        <v/>
      </c>
      <c r="AJ22" s="220" t="str">
        <f>IF('[1]2026 január'!AG20=0,
    "",
    '[1]2026 január'!AG20
)</f>
        <v/>
      </c>
      <c r="AK22" s="220" t="str">
        <f>IF('[1]2026 január'!AH20=0,
    "",
    '[1]2026 január'!AH20
)</f>
        <v/>
      </c>
    </row>
    <row r="23" spans="1:37">
      <c r="A23" s="5">
        <v>46042</v>
      </c>
      <c r="B23" s="11">
        <v>401625</v>
      </c>
      <c r="C23" s="11">
        <v>700</v>
      </c>
      <c r="D23" s="11">
        <v>244105</v>
      </c>
      <c r="E23" s="11"/>
      <c r="F23" s="11">
        <v>140370</v>
      </c>
      <c r="G23" s="11">
        <v>28320</v>
      </c>
      <c r="H23" s="11">
        <v>356855</v>
      </c>
      <c r="I23" s="11">
        <v>356855</v>
      </c>
      <c r="J23" s="38" t="s">
        <v>168</v>
      </c>
      <c r="K23" s="72">
        <v>216916107</v>
      </c>
      <c r="L23" s="258"/>
      <c r="M23" s="9"/>
      <c r="N23" s="9"/>
      <c r="P23" s="267">
        <f>IF('[1]2026 január'!B$21=0,
    "",
    '[1]2026 január'!B$21
)</f>
        <v>385175</v>
      </c>
      <c r="Q23" s="267" t="str">
        <f>IF(OR('[1]2026 január'!G21=0,
       ISBLANK('[1]2026 január'!G21)),
    "",
    '[1]2026 január'!G21
)</f>
        <v/>
      </c>
      <c r="R23" s="11">
        <f>'[1]2026 január'!W21</f>
        <v>0</v>
      </c>
      <c r="S23" s="11"/>
      <c r="T23" s="11"/>
      <c r="U23" s="10"/>
      <c r="V23" s="267">
        <f>IF('[1]2026 január'!S21=0,
    "",
    '[1]2026 január'!S21
)</f>
        <v>124620</v>
      </c>
      <c r="W23" s="267">
        <f>IF('[1]2026 január'!T21=0,
    "",
    '[1]2026 január'!T21
)</f>
        <v>28320</v>
      </c>
      <c r="X23" s="267" t="str">
        <f>IF('[1]2026 január'!U21=0,
    "",
    '[1]2026 január'!U21
)</f>
        <v/>
      </c>
      <c r="Y23" s="267" t="str">
        <f>IF('[1]2026 január'!V21=0,
    "",
    '[1]2026 január'!V21
)</f>
        <v/>
      </c>
      <c r="Z23" s="267" t="str">
        <f>IF('[1]2026 január'!W21=0,
    "",
    '[1]2026 január'!W21
)</f>
        <v/>
      </c>
      <c r="AA23" s="267" t="str">
        <f>IF('[1]2026 január'!X21=0,
    "",
    '[1]2026 január'!X21
)</f>
        <v/>
      </c>
      <c r="AB23" s="267">
        <f>IF('[1]2026 január'!Y21=0,
    "",
    '[1]2026 január'!Y21
)</f>
        <v>152940</v>
      </c>
      <c r="AC23" s="267" t="str">
        <f>IF('[1]2026 január'!Z21=0,
    "",
    '[1]2026 január'!Z21
)</f>
        <v/>
      </c>
      <c r="AD23" s="220" t="str">
        <f>IF('[1]2026 január'!AA21=0,
    "",
    '[1]2026 január'!AA21
)</f>
        <v/>
      </c>
      <c r="AE23" s="220" t="str">
        <f>IF('[1]2026 január'!AB$21=0,
    "",
    '[1]2026 január'!AB$21
)</f>
        <v/>
      </c>
      <c r="AF23" s="220" t="str">
        <f>IF('[1]2026 január'!AC$21=0,
    "",
    '[1]2026 január'!AC$21
)</f>
        <v/>
      </c>
      <c r="AG23" s="220" t="str">
        <f>IF('[1]2026 január'!AD$21=0,
    "",
    '[1]2026 január'!AD$21
)</f>
        <v/>
      </c>
      <c r="AH23" s="220" t="str">
        <f>IF('[1]2026 január'!AE21=0,
    "",
    '[1]2026 január'!AE21
)</f>
        <v/>
      </c>
      <c r="AI23" s="220" t="str">
        <f>IF('[1]2026 január'!AF21=0,
    "",
    '[1]2026 január'!AF21
)</f>
        <v/>
      </c>
      <c r="AJ23" s="220" t="str">
        <f>IF('[1]2026 január'!AG21=0,
    "",
    '[1]2026 január'!AG21
)</f>
        <v/>
      </c>
      <c r="AK23" s="220" t="str">
        <f>IF('[1]2026 január'!AH21=0,
    "",
    '[1]2026 január'!AH21
)</f>
        <v/>
      </c>
    </row>
    <row r="24" spans="1:37">
      <c r="A24" s="5">
        <v>46043</v>
      </c>
      <c r="B24" s="11">
        <v>305995</v>
      </c>
      <c r="C24" s="11">
        <v>1250</v>
      </c>
      <c r="D24" s="11">
        <v>158570</v>
      </c>
      <c r="E24" s="11"/>
      <c r="F24" s="11">
        <v>133445</v>
      </c>
      <c r="G24" s="11">
        <v>25800</v>
      </c>
      <c r="H24" s="11">
        <v>267465</v>
      </c>
      <c r="I24" s="11">
        <v>267465</v>
      </c>
      <c r="J24" s="38" t="s">
        <v>169</v>
      </c>
      <c r="K24" s="72">
        <v>217209372</v>
      </c>
      <c r="L24" s="258"/>
      <c r="M24" s="9"/>
      <c r="N24" s="9"/>
      <c r="P24" s="267">
        <f>IF('[1]2026 január'!B$22=0,
    "",
    '[1]2026 január'!B$22
)</f>
        <v>293265</v>
      </c>
      <c r="Q24" s="267" t="str">
        <f>IF(OR('[1]2026 január'!G22=0,
       ISBLANK('[1]2026 január'!G22)),
    "",
    '[1]2026 január'!G22
)</f>
        <v/>
      </c>
      <c r="R24" s="11">
        <f>'[1]2026 január'!W22</f>
        <v>0</v>
      </c>
      <c r="S24" s="11"/>
      <c r="T24" s="11"/>
      <c r="U24" s="10"/>
      <c r="V24" s="267">
        <f>IF('[1]2026 január'!S22=0,
    "",
    '[1]2026 január'!S22
)</f>
        <v>152940</v>
      </c>
      <c r="W24" s="267">
        <f>IF('[1]2026 január'!T22=0,
    "",
    '[1]2026 január'!T22
)</f>
        <v>25800</v>
      </c>
      <c r="X24" s="267" t="str">
        <f>IF('[1]2026 január'!U22=0,
    "",
    '[1]2026 január'!U22
)</f>
        <v/>
      </c>
      <c r="Y24" s="267" t="str">
        <f>IF('[1]2026 január'!V22=0,
    "",
    '[1]2026 január'!V22
)</f>
        <v/>
      </c>
      <c r="Z24" s="267" t="str">
        <f>IF('[1]2026 január'!W22=0,
    "",
    '[1]2026 január'!W22
)</f>
        <v/>
      </c>
      <c r="AA24" s="267" t="str">
        <f>IF('[1]2026 január'!X22=0,
    "",
    '[1]2026 január'!X22
)</f>
        <v/>
      </c>
      <c r="AB24" s="267">
        <f>IF('[1]2026 január'!Y22=0,
    "",
    '[1]2026 január'!Y22
)</f>
        <v>178740</v>
      </c>
      <c r="AC24" s="267" t="str">
        <f>IF('[1]2026 január'!Z22=0,
    "",
    '[1]2026 január'!Z22
)</f>
        <v/>
      </c>
      <c r="AD24" s="220" t="str">
        <f>IF('[1]2026 január'!AA22=0,
    "",
    '[1]2026 január'!AA22
)</f>
        <v/>
      </c>
      <c r="AE24" s="220" t="str">
        <f>IF('[1]2026 január'!AB$22=0,
    "",
    '[1]2026 január'!AB$22
)</f>
        <v/>
      </c>
      <c r="AF24" s="220" t="str">
        <f>IF('[1]2026 január'!AC$22=0,
    "",
    '[1]2026 január'!AC$22
)</f>
        <v/>
      </c>
      <c r="AG24" s="220" t="str">
        <f>IF('[1]2026 január'!AD$22=0,
    "",
    '[1]2026 január'!AD$22
)</f>
        <v/>
      </c>
      <c r="AH24" s="220" t="str">
        <f>IF('[1]2026 január'!AE22=0,
    "",
    '[1]2026 január'!AE22
)</f>
        <v/>
      </c>
      <c r="AI24" s="220" t="str">
        <f>IF('[1]2026 január'!AF22=0,
    "",
    '[1]2026 január'!AF22
)</f>
        <v/>
      </c>
      <c r="AJ24" s="220" t="str">
        <f>IF('[1]2026 január'!AG22=0,
    "",
    '[1]2026 január'!AG22
)</f>
        <v/>
      </c>
      <c r="AK24" s="220" t="str">
        <f>IF('[1]2026 január'!AH22=0,
    "",
    '[1]2026 január'!AH22
)</f>
        <v/>
      </c>
    </row>
    <row r="25" spans="1:37">
      <c r="A25" s="5">
        <v>46044</v>
      </c>
      <c r="B25" s="11">
        <v>387015</v>
      </c>
      <c r="C25" s="11">
        <v>900</v>
      </c>
      <c r="D25" s="11">
        <v>201465</v>
      </c>
      <c r="E25" s="11"/>
      <c r="F25" s="11">
        <v>158810</v>
      </c>
      <c r="G25" s="11">
        <v>26950</v>
      </c>
      <c r="H25" s="11">
        <v>334255</v>
      </c>
      <c r="I25" s="11">
        <v>334255</v>
      </c>
      <c r="J25" s="38" t="s">
        <v>170</v>
      </c>
      <c r="K25" s="72">
        <v>217570547</v>
      </c>
      <c r="L25" s="258"/>
      <c r="M25" s="9"/>
      <c r="N25" s="9"/>
      <c r="P25" s="267">
        <f>IF('[1]2026 január'!B$23=0,
    "",
    '[1]2026 január'!B$23
)</f>
        <v>361175</v>
      </c>
      <c r="Q25" s="267" t="str">
        <f>IF(OR('[1]2026 január'!G23=0,
       ISBLANK('[1]2026 január'!G23)),
    "",
    '[1]2026 január'!G23
)</f>
        <v/>
      </c>
      <c r="R25" s="11">
        <f>'[1]2026 január'!W23</f>
        <v>0</v>
      </c>
      <c r="S25" s="11"/>
      <c r="T25" s="11"/>
      <c r="U25" s="10"/>
      <c r="V25" s="267">
        <f>IF('[1]2026 január'!S23=0,
    "",
    '[1]2026 január'!S23
)</f>
        <v>178740</v>
      </c>
      <c r="W25" s="267">
        <f>IF('[1]2026 január'!T23=0,
    "",
    '[1]2026 január'!T23
)</f>
        <v>26950</v>
      </c>
      <c r="X25" s="267" t="str">
        <f>IF('[1]2026 január'!U23=0,
    "",
    '[1]2026 január'!U23
)</f>
        <v/>
      </c>
      <c r="Y25" s="267" t="str">
        <f>IF('[1]2026 január'!V23=0,
    "",
    '[1]2026 január'!V23
)</f>
        <v/>
      </c>
      <c r="Z25" s="267" t="str">
        <f>IF('[1]2026 január'!W23=0,
    "",
    '[1]2026 január'!W23
)</f>
        <v/>
      </c>
      <c r="AA25" s="267" t="str">
        <f>IF('[1]2026 január'!X23=0,
    "",
    '[1]2026 január'!X23
)</f>
        <v/>
      </c>
      <c r="AB25" s="267">
        <f>IF('[1]2026 január'!Y23=0,
    "",
    '[1]2026 január'!Y23
)</f>
        <v>205690</v>
      </c>
      <c r="AC25" s="267" t="str">
        <f>IF('[1]2026 január'!Z23=0,
    "",
    '[1]2026 január'!Z23
)</f>
        <v/>
      </c>
      <c r="AD25" s="220" t="str">
        <f>IF('[1]2026 január'!AA23=0,
    "",
    '[1]2026 január'!AA23
)</f>
        <v/>
      </c>
      <c r="AE25" s="220" t="str">
        <f>IF('[1]2026 január'!AB$23=0,
    "",
    '[1]2026 január'!AB$23
)</f>
        <v/>
      </c>
      <c r="AF25" s="220" t="str">
        <f>IF('[1]2026 január'!AC$23=0,
    "",
    '[1]2026 január'!AC$23
)</f>
        <v/>
      </c>
      <c r="AG25" s="220" t="str">
        <f>IF('[1]2026 január'!AD$23=0,
    "",
    '[1]2026 január'!AD$23
)</f>
        <v/>
      </c>
      <c r="AH25" s="220" t="str">
        <f>IF('[1]2026 január'!AE23=0,
    "",
    '[1]2026 január'!AE23
)</f>
        <v/>
      </c>
      <c r="AI25" s="220" t="str">
        <f>IF('[1]2026 január'!AF23=0,
    "",
    '[1]2026 január'!AF23
)</f>
        <v/>
      </c>
      <c r="AJ25" s="220" t="str">
        <f>IF('[1]2026 január'!AG23=0,
    "",
    '[1]2026 január'!AG23
)</f>
        <v/>
      </c>
      <c r="AK25" s="220" t="str">
        <f>IF('[1]2026 január'!AH23=0,
    "",
    '[1]2026 január'!AH23
)</f>
        <v/>
      </c>
    </row>
    <row r="26" spans="1:37">
      <c r="A26" s="5">
        <v>46045</v>
      </c>
      <c r="B26" s="11">
        <v>309170</v>
      </c>
      <c r="C26" s="11">
        <v>750</v>
      </c>
      <c r="D26" s="11">
        <v>194725</v>
      </c>
      <c r="E26" s="11"/>
      <c r="F26" s="11">
        <v>97045</v>
      </c>
      <c r="G26" s="11">
        <v>8790</v>
      </c>
      <c r="H26" s="11">
        <v>283730</v>
      </c>
      <c r="I26" s="11">
        <v>283730</v>
      </c>
      <c r="J26" s="38" t="s">
        <v>171</v>
      </c>
      <c r="K26" s="72">
        <v>217863067</v>
      </c>
      <c r="L26" s="258"/>
      <c r="M26" s="9"/>
      <c r="N26" s="9"/>
      <c r="P26" s="267">
        <f>IF('[1]2026 január'!B$24=0,
    "",
    '[1]2026 január'!B$24
)</f>
        <v>292520</v>
      </c>
      <c r="Q26" s="267" t="str">
        <f>IF(OR('[1]2026 január'!G24=0,
       ISBLANK('[1]2026 január'!G24)),
    "",
    '[1]2026 január'!G24
)</f>
        <v/>
      </c>
      <c r="R26" s="11">
        <f>'[1]2026 január'!W24</f>
        <v>0</v>
      </c>
      <c r="S26" s="11"/>
      <c r="T26" s="11"/>
      <c r="U26" s="10"/>
      <c r="V26" s="267">
        <f>IF('[1]2026 január'!S24=0,
    "",
    '[1]2026 január'!S24
)</f>
        <v>205690</v>
      </c>
      <c r="W26" s="267">
        <f>IF('[1]2026 január'!T24=0,
    "",
    '[1]2026 január'!T24
)</f>
        <v>8790</v>
      </c>
      <c r="X26" s="267" t="str">
        <f>IF('[1]2026 január'!U24=0,
    "",
    '[1]2026 január'!U24
)</f>
        <v/>
      </c>
      <c r="Y26" s="267">
        <f>IF('[1]2026 január'!V24=0,
    "",
    '[1]2026 január'!V24
)</f>
        <v>64015</v>
      </c>
      <c r="Z26" s="267" t="str">
        <f>IF('[1]2026 január'!W24=0,
    "",
    '[1]2026 január'!W24
)</f>
        <v/>
      </c>
      <c r="AA26" s="267" t="str">
        <f>IF('[1]2026 január'!X24=0,
    "",
    '[1]2026 január'!X24
)</f>
        <v/>
      </c>
      <c r="AB26" s="267">
        <f>IF('[1]2026 január'!Y24=0,
    "",
    '[1]2026 január'!Y24
)</f>
        <v>150465</v>
      </c>
      <c r="AC26" s="267" t="str">
        <f>IF('[1]2026 január'!Z24=0,
    "",
    '[1]2026 január'!Z24
)</f>
        <v/>
      </c>
      <c r="AD26" s="220" t="str">
        <f>IF('[1]2026 január'!AA24=0,
    "",
    '[1]2026 január'!AA24
)</f>
        <v>Melinda</v>
      </c>
      <c r="AE26" s="220" t="str">
        <f>IF('[1]2026 január'!AB$24=0,
    "",
    '[1]2026 január'!AB$24
)</f>
        <v/>
      </c>
      <c r="AF26" s="220" t="str">
        <f>IF('[1]2026 január'!AC$24=0,
    "",
    '[1]2026 január'!AC$24
)</f>
        <v/>
      </c>
      <c r="AG26" s="220" t="str">
        <f>IF('[1]2026 január'!AD$24=0,
    "",
    '[1]2026 január'!AD$24
)</f>
        <v/>
      </c>
      <c r="AH26" s="220" t="str">
        <f>IF('[1]2026 január'!AE24=0,
    "",
    '[1]2026 január'!AE24
)</f>
        <v/>
      </c>
      <c r="AI26" s="220" t="str">
        <f>IF('[1]2026 január'!AF24=0,
    "",
    '[1]2026 január'!AF24
)</f>
        <v/>
      </c>
      <c r="AJ26" s="220" t="str">
        <f>IF('[1]2026 január'!AG24=0,
    "",
    '[1]2026 január'!AG24
)</f>
        <v/>
      </c>
      <c r="AK26" s="220" t="str">
        <f>IF('[1]2026 január'!AH24=0,
    "",
    '[1]2026 január'!AH24
)</f>
        <v/>
      </c>
    </row>
    <row r="27" spans="1:37">
      <c r="A27" s="141">
        <v>46046</v>
      </c>
      <c r="B27" s="142"/>
      <c r="C27" s="142"/>
      <c r="D27" s="142"/>
      <c r="E27" s="142"/>
      <c r="F27" s="142"/>
      <c r="G27" s="142"/>
      <c r="H27" s="142"/>
      <c r="I27" s="142"/>
      <c r="J27" s="143"/>
      <c r="K27" s="146"/>
      <c r="L27" s="257"/>
      <c r="M27" s="158"/>
      <c r="N27" s="158"/>
      <c r="P27" s="267" t="str">
        <f>IF('[1]2026 január'!B$25=0,
    "",
    '[1]2026 január'!B$25
)</f>
        <v/>
      </c>
      <c r="Q27" s="267" t="str">
        <f>IF(OR('[1]2026 január'!G25=0,
       ISBLANK('[1]2026 január'!G25)),
    "",
    '[1]2026 január'!G25
)</f>
        <v/>
      </c>
      <c r="R27" s="11">
        <f>'[1]2026 január'!W25</f>
        <v>0</v>
      </c>
      <c r="S27" s="11"/>
      <c r="T27" s="11"/>
      <c r="U27" s="10"/>
      <c r="V27" s="267">
        <f>IF('[1]2026 január'!S25=0,
    "",
    '[1]2026 január'!S25
)</f>
        <v>150465</v>
      </c>
      <c r="W27" s="267" t="str">
        <f>IF('[1]2026 január'!T25=0,
    "",
    '[1]2026 január'!T25
)</f>
        <v/>
      </c>
      <c r="X27" s="267" t="str">
        <f>IF('[1]2026 január'!U25=0,
    "",
    '[1]2026 január'!U25
)</f>
        <v/>
      </c>
      <c r="Y27" s="267" t="str">
        <f>IF('[1]2026 január'!V25=0,
    "",
    '[1]2026 január'!V25
)</f>
        <v/>
      </c>
      <c r="Z27" s="267" t="str">
        <f>IF('[1]2026 január'!W25=0,
    "",
    '[1]2026 január'!W25
)</f>
        <v/>
      </c>
      <c r="AA27" s="267" t="str">
        <f>IF('[1]2026 január'!X25=0,
    "",
    '[1]2026 január'!X25
)</f>
        <v/>
      </c>
      <c r="AB27" s="267">
        <f>IF('[1]2026 január'!Y25=0,
    "",
    '[1]2026 január'!Y25
)</f>
        <v>150465</v>
      </c>
      <c r="AC27" s="267" t="str">
        <f>IF('[1]2026 január'!Z25=0,
    "",
    '[1]2026 január'!Z25
)</f>
        <v/>
      </c>
      <c r="AD27" s="220" t="str">
        <f>IF('[1]2026 január'!AA25=0,
    "",
    '[1]2026 január'!AA25
)</f>
        <v/>
      </c>
      <c r="AE27" s="220" t="str">
        <f>IF('[1]2026 január'!AB$25=0,
    "",
    '[1]2026 január'!AB$25
)</f>
        <v/>
      </c>
      <c r="AF27" s="220" t="str">
        <f>IF('[1]2026 január'!AC$25=0,
    "",
    '[1]2026 január'!AC$25
)</f>
        <v/>
      </c>
      <c r="AG27" s="220" t="str">
        <f>IF('[1]2026 január'!AD$25=0,
    "",
    '[1]2026 január'!AD$25
)</f>
        <v/>
      </c>
      <c r="AH27" s="220" t="str">
        <f>IF('[1]2026 január'!AE25=0,
    "",
    '[1]2026 január'!AE25
)</f>
        <v/>
      </c>
      <c r="AI27" s="220" t="str">
        <f>IF('[1]2026 január'!AF25=0,
    "",
    '[1]2026 január'!AF25
)</f>
        <v/>
      </c>
      <c r="AJ27" s="220" t="str">
        <f>IF('[1]2026 január'!AG25=0,
    "",
    '[1]2026 január'!AG25
)</f>
        <v/>
      </c>
      <c r="AK27" s="220" t="str">
        <f>IF('[1]2026 január'!AH25=0,
    "",
    '[1]2026 január'!AH25
)</f>
        <v/>
      </c>
    </row>
    <row r="28" spans="1:37">
      <c r="A28" s="141">
        <v>46047</v>
      </c>
      <c r="B28" s="142"/>
      <c r="C28" s="142"/>
      <c r="D28" s="142"/>
      <c r="E28" s="142"/>
      <c r="F28" s="142"/>
      <c r="G28" s="142"/>
      <c r="H28" s="142"/>
      <c r="I28" s="142"/>
      <c r="J28" s="143"/>
      <c r="K28" s="146"/>
      <c r="L28" s="257"/>
      <c r="M28" s="158"/>
      <c r="N28" s="158"/>
      <c r="P28" s="267" t="str">
        <f>IF('[1]2026 január'!B$26=0,
    "",
    '[1]2026 január'!B$26
)</f>
        <v/>
      </c>
      <c r="Q28" s="267" t="str">
        <f>IF(OR('[1]2026 január'!G26=0,
       ISBLANK('[1]2026 január'!G26)),
    "",
    '[1]2026 január'!G26
)</f>
        <v/>
      </c>
      <c r="R28" s="11">
        <f>'[1]2026 január'!W26</f>
        <v>0</v>
      </c>
      <c r="S28" s="11"/>
      <c r="T28" s="11"/>
      <c r="U28" s="10"/>
      <c r="V28" s="267">
        <f>IF('[1]2026 január'!S26=0,
    "",
    '[1]2026 január'!S26
)</f>
        <v>150465</v>
      </c>
      <c r="W28" s="267" t="str">
        <f>IF('[1]2026 január'!T26=0,
    "",
    '[1]2026 január'!T26
)</f>
        <v/>
      </c>
      <c r="X28" s="267" t="str">
        <f>IF('[1]2026 január'!U26=0,
    "",
    '[1]2026 január'!U26
)</f>
        <v/>
      </c>
      <c r="Y28" s="267" t="str">
        <f>IF('[1]2026 január'!V26=0,
    "",
    '[1]2026 január'!V26
)</f>
        <v/>
      </c>
      <c r="Z28" s="267" t="str">
        <f>IF('[1]2026 január'!W26=0,
    "",
    '[1]2026 január'!W26
)</f>
        <v/>
      </c>
      <c r="AA28" s="267" t="str">
        <f>IF('[1]2026 január'!X26=0,
    "",
    '[1]2026 január'!X26
)</f>
        <v/>
      </c>
      <c r="AB28" s="267">
        <f>IF('[1]2026 január'!Y26=0,
    "",
    '[1]2026 január'!Y26
)</f>
        <v>150465</v>
      </c>
      <c r="AC28" s="267" t="str">
        <f>IF('[1]2026 január'!Z26=0,
    "",
    '[1]2026 január'!Z26
)</f>
        <v/>
      </c>
      <c r="AD28" s="220" t="str">
        <f>IF('[1]2026 január'!AA26=0,
    "",
    '[1]2026 január'!AA26
)</f>
        <v/>
      </c>
      <c r="AE28" s="220" t="str">
        <f>IF('[1]2026 január'!AB$26=0,
    "",
    '[1]2026 január'!AB$26
)</f>
        <v/>
      </c>
      <c r="AF28" s="220" t="str">
        <f>IF('[1]2026 január'!AC$26=0,
    "",
    '[1]2026 január'!AC$26
)</f>
        <v/>
      </c>
      <c r="AG28" s="220" t="str">
        <f>IF('[1]2026 január'!AD$26=0,
    "",
    '[1]2026 január'!AD$26
)</f>
        <v/>
      </c>
      <c r="AH28" s="220" t="str">
        <f>IF('[1]2026 január'!AE26=0,
    "",
    '[1]2026 január'!AE26
)</f>
        <v/>
      </c>
      <c r="AI28" s="220" t="str">
        <f>IF('[1]2026 január'!AF26=0,
    "",
    '[1]2026 január'!AF26
)</f>
        <v/>
      </c>
      <c r="AJ28" s="220" t="str">
        <f>IF('[1]2026 január'!AG26=0,
    "",
    '[1]2026 január'!AG26
)</f>
        <v/>
      </c>
      <c r="AK28" s="220" t="str">
        <f>IF('[1]2026 január'!AH26=0,
    "",
    '[1]2026 január'!AH26
)</f>
        <v/>
      </c>
    </row>
    <row r="29" spans="1:37">
      <c r="A29" s="5">
        <v>46048</v>
      </c>
      <c r="B29" s="11">
        <v>304025</v>
      </c>
      <c r="C29" s="11">
        <v>850</v>
      </c>
      <c r="D29" s="11">
        <v>170825</v>
      </c>
      <c r="E29" s="11"/>
      <c r="F29" s="11">
        <v>124060</v>
      </c>
      <c r="G29" s="11">
        <v>20560</v>
      </c>
      <c r="H29" s="11">
        <v>272830</v>
      </c>
      <c r="I29" s="11">
        <v>272830</v>
      </c>
      <c r="J29" s="38" t="s">
        <v>172</v>
      </c>
      <c r="K29" s="72">
        <v>218158802</v>
      </c>
      <c r="L29" s="258"/>
      <c r="M29" s="419">
        <v>2340</v>
      </c>
      <c r="N29" s="455" t="s">
        <v>162</v>
      </c>
      <c r="P29" s="267">
        <f>IF('[1]2026 január'!B$27=0,
    "",
    '[1]2026 január'!B$27
)</f>
        <v>293395</v>
      </c>
      <c r="Q29" s="267" t="str">
        <f>IF(OR('[1]2026 január'!G27=0,
       ISBLANK('[1]2026 január'!G27)),
    "",
    '[1]2026 január'!G27
)</f>
        <v/>
      </c>
      <c r="R29" s="11">
        <f>'[1]2026 január'!W27</f>
        <v>0</v>
      </c>
      <c r="S29" s="11"/>
      <c r="T29" s="11"/>
      <c r="U29" s="10"/>
      <c r="V29" s="267">
        <f>IF('[1]2026 január'!S27=0,
    "",
    '[1]2026 január'!S27
)</f>
        <v>150465</v>
      </c>
      <c r="W29" s="267">
        <f>IF('[1]2026 január'!T27=0,
    "",
    '[1]2026 január'!T27
)</f>
        <v>20565</v>
      </c>
      <c r="X29" s="267" t="str">
        <f>IF('[1]2026 január'!U27=0,
    "",
    '[1]2026 január'!U27
)</f>
        <v/>
      </c>
      <c r="Y29" s="267" t="str">
        <f>IF('[1]2026 január'!V27=0,
    "",
    '[1]2026 január'!V27
)</f>
        <v/>
      </c>
      <c r="Z29" s="267" t="str">
        <f>IF('[1]2026 január'!W27=0,
    "",
    '[1]2026 január'!W27
)</f>
        <v/>
      </c>
      <c r="AA29" s="267" t="str">
        <f>IF('[1]2026 január'!X27=0,
    "",
    '[1]2026 január'!X27
)</f>
        <v/>
      </c>
      <c r="AB29" s="267">
        <f>IF('[1]2026 január'!Y27=0,
    "",
    '[1]2026 január'!Y27
)</f>
        <v>171030</v>
      </c>
      <c r="AC29" s="267" t="str">
        <f>IF('[1]2026 január'!Z27=0,
    "",
    '[1]2026 január'!Z27
)</f>
        <v/>
      </c>
      <c r="AD29" s="220" t="str">
        <f>IF('[1]2026 január'!AA27=0,
    "",
    '[1]2026 január'!AA27
)</f>
        <v/>
      </c>
      <c r="AE29" s="220" t="str">
        <f>IF('[1]2026 január'!AB$27=0,
    "",
    '[1]2026 január'!AB$27
)</f>
        <v/>
      </c>
      <c r="AF29" s="220" t="str">
        <f>IF('[1]2026 január'!AC$27=0,
    "",
    '[1]2026 január'!AC$27
)</f>
        <v/>
      </c>
      <c r="AG29" s="220" t="str">
        <f>IF('[1]2026 január'!AD$27=0,
    "",
    '[1]2026 január'!AD$27
)</f>
        <v/>
      </c>
      <c r="AH29" s="220" t="str">
        <f>IF('[1]2026 január'!AE27=0,
    "",
    '[1]2026 január'!AE27
)</f>
        <v/>
      </c>
      <c r="AI29" s="220" t="str">
        <f>IF('[1]2026 január'!AF27=0,
    "",
    '[1]2026 január'!AF27
)</f>
        <v/>
      </c>
      <c r="AJ29" s="220" t="str">
        <f>IF('[1]2026 január'!AG27=0,
    "",
    '[1]2026 január'!AG27
)</f>
        <v/>
      </c>
      <c r="AK29" s="220" t="str">
        <f>IF('[1]2026 január'!AH27=0,
    "",
    '[1]2026 január'!AH27
)</f>
        <v/>
      </c>
    </row>
    <row r="30" spans="1:37">
      <c r="A30" s="5">
        <v>46049</v>
      </c>
      <c r="B30" s="11">
        <v>362210</v>
      </c>
      <c r="C30" s="11">
        <v>800</v>
      </c>
      <c r="D30" s="11">
        <v>214315</v>
      </c>
      <c r="E30" s="11"/>
      <c r="F30" s="11">
        <v>135480</v>
      </c>
      <c r="G30" s="11">
        <v>26430</v>
      </c>
      <c r="H30" s="11">
        <v>324165</v>
      </c>
      <c r="I30" s="11">
        <v>3</v>
      </c>
      <c r="J30" s="38" t="s">
        <v>173</v>
      </c>
      <c r="K30" s="72">
        <v>218509397</v>
      </c>
      <c r="L30" s="258"/>
      <c r="M30" s="9"/>
      <c r="N30" s="9"/>
      <c r="P30" s="267">
        <f>IF('[1]2026 január'!B$28=0,
    "",
    '[1]2026 január'!B$28
)</f>
        <v>350595</v>
      </c>
      <c r="Q30" s="267" t="str">
        <f>IF(OR('[1]2026 január'!G28=0,
       ISBLANK('[1]2026 január'!G28)),
    "",
    '[1]2026 január'!G28
)</f>
        <v/>
      </c>
      <c r="R30" s="11">
        <f>'[1]2026 január'!W28</f>
        <v>0</v>
      </c>
      <c r="S30" s="11"/>
      <c r="T30" s="11"/>
      <c r="U30" s="10"/>
      <c r="V30" s="267">
        <f>IF('[1]2026 január'!S28=0,
    "",
    '[1]2026 január'!S28
)</f>
        <v>171030</v>
      </c>
      <c r="W30" s="267">
        <f>IF('[1]2026 január'!T28=0,
    "",
    '[1]2026 január'!T28
)</f>
        <v>26430</v>
      </c>
      <c r="X30" s="267" t="str">
        <f>IF('[1]2026 január'!U28=0,
    "",
    '[1]2026 január'!U28
)</f>
        <v/>
      </c>
      <c r="Y30" s="267" t="str">
        <f>IF('[1]2026 január'!V28=0,
    "",
    '[1]2026 január'!V28
)</f>
        <v/>
      </c>
      <c r="Z30" s="267" t="str">
        <f>IF('[1]2026 január'!W28=0,
    "",
    '[1]2026 január'!W28
)</f>
        <v/>
      </c>
      <c r="AA30" s="267" t="str">
        <f>IF('[1]2026 január'!X28=0,
    "",
    '[1]2026 január'!X28
)</f>
        <v/>
      </c>
      <c r="AB30" s="267">
        <f>IF('[1]2026 január'!Y28=0,
    "",
    '[1]2026 január'!Y28
)</f>
        <v>197460</v>
      </c>
      <c r="AC30" s="267" t="str">
        <f>IF('[1]2026 január'!Z28=0,
    "",
    '[1]2026 január'!Z28
)</f>
        <v/>
      </c>
      <c r="AD30" s="220" t="str">
        <f>IF('[1]2026 január'!AA28=0,
    "",
    '[1]2026 január'!AA28
)</f>
        <v/>
      </c>
      <c r="AE30" s="220" t="str">
        <f>IF('[1]2026 január'!AB$28=0,
    "",
    '[1]2026 január'!AB$28
)</f>
        <v/>
      </c>
      <c r="AF30" s="220" t="str">
        <f>IF('[1]2026 január'!AC$28=0,
    "",
    '[1]2026 január'!AC$28
)</f>
        <v/>
      </c>
      <c r="AG30" s="220" t="str">
        <f>IF('[1]2026 január'!AD$28=0,
    "",
    '[1]2026 január'!AD$28
)</f>
        <v/>
      </c>
      <c r="AH30" s="220" t="str">
        <f>IF('[1]2026 január'!AE28=0,
    "",
    '[1]2026 január'!AE28
)</f>
        <v/>
      </c>
      <c r="AI30" s="220" t="str">
        <f>IF('[1]2026 január'!AF28=0,
    "",
    '[1]2026 január'!AF28
)</f>
        <v/>
      </c>
      <c r="AJ30" s="220" t="str">
        <f>IF('[1]2026 január'!AG28=0,
    "",
    '[1]2026 január'!AG28
)</f>
        <v/>
      </c>
      <c r="AK30" s="220" t="str">
        <f>IF('[1]2026 január'!AH28=0,
    "",
    '[1]2026 január'!AH28
)</f>
        <v/>
      </c>
    </row>
    <row r="31" spans="1:37">
      <c r="A31" s="5">
        <v>46050</v>
      </c>
      <c r="B31" s="11">
        <v>321215</v>
      </c>
      <c r="C31" s="11">
        <v>1050</v>
      </c>
      <c r="D31" s="11">
        <v>159435</v>
      </c>
      <c r="E31" s="11"/>
      <c r="F31" s="11">
        <v>150590</v>
      </c>
      <c r="G31" s="11">
        <v>27800</v>
      </c>
      <c r="H31" s="11">
        <v>283275</v>
      </c>
      <c r="I31" s="11">
        <v>283275</v>
      </c>
      <c r="J31" s="38" t="s">
        <v>174</v>
      </c>
      <c r="K31" s="72">
        <v>218820478</v>
      </c>
      <c r="L31" s="258"/>
      <c r="M31" s="9"/>
      <c r="N31" s="9"/>
      <c r="P31" s="267">
        <f>IF('[1]2026 január'!B$29=0,
    "",
    '[1]2026 január'!B$29
)</f>
        <v>311075</v>
      </c>
      <c r="Q31" s="267" t="str">
        <f>IF(OR('[1]2026 január'!G29=0,
       ISBLANK('[1]2026 január'!G29)),
    "",
    '[1]2026 január'!G29
)</f>
        <v/>
      </c>
      <c r="R31" s="11">
        <f>'[1]2026 január'!W29</f>
        <v>0</v>
      </c>
      <c r="S31" s="11"/>
      <c r="T31" s="11"/>
      <c r="U31" s="10"/>
      <c r="V31" s="267">
        <f>IF('[1]2026 január'!S29=0,
    "",
    '[1]2026 január'!S29
)</f>
        <v>197460</v>
      </c>
      <c r="W31" s="267">
        <f>IF('[1]2026 január'!T29=0,
    "",
    '[1]2026 január'!T29
)</f>
        <v>27800</v>
      </c>
      <c r="X31" s="267" t="str">
        <f>IF('[1]2026 január'!U29=0,
    "",
    '[1]2026 január'!U29
)</f>
        <v/>
      </c>
      <c r="Y31" s="267" t="str">
        <f>IF('[1]2026 január'!V29=0,
    "",
    '[1]2026 január'!V29
)</f>
        <v/>
      </c>
      <c r="Z31" s="267" t="str">
        <f>IF('[1]2026 január'!W29=0,
    "",
    '[1]2026 január'!W29
)</f>
        <v/>
      </c>
      <c r="AA31" s="267" t="str">
        <f>IF('[1]2026 január'!X29=0,
    "",
    '[1]2026 január'!X29
)</f>
        <v/>
      </c>
      <c r="AB31" s="267">
        <f>IF('[1]2026 január'!Y29=0,
    "",
    '[1]2026 január'!Y29
)</f>
        <v>225260</v>
      </c>
      <c r="AC31" s="267" t="str">
        <f>IF('[1]2026 január'!Z29=0,
    "",
    '[1]2026 január'!Z29
)</f>
        <v/>
      </c>
      <c r="AD31" s="220" t="str">
        <f>IF('[1]2026 január'!AA29=0,
    "",
    '[1]2026 január'!AA29
)</f>
        <v/>
      </c>
      <c r="AE31" s="220" t="str">
        <f>IF('[1]2026 január'!AB$29=0,
    "",
    '[1]2026 január'!AB$29
)</f>
        <v/>
      </c>
      <c r="AF31" s="220" t="str">
        <f>IF('[1]2026 január'!AC$29=0,
    "",
    '[1]2026 január'!AC$29
)</f>
        <v/>
      </c>
      <c r="AG31" s="220" t="str">
        <f>IF('[1]2026 január'!AD$29=0,
    "",
    '[1]2026 január'!AD$29
)</f>
        <v/>
      </c>
      <c r="AH31" s="220" t="str">
        <f>IF('[1]2026 január'!AE29=0,
    "",
    '[1]2026 január'!AE29
)</f>
        <v/>
      </c>
      <c r="AI31" s="220" t="str">
        <f>IF('[1]2026 január'!AF29=0,
    "",
    '[1]2026 január'!AF29
)</f>
        <v/>
      </c>
      <c r="AJ31" s="220" t="str">
        <f>IF('[1]2026 január'!AG29=0,
    "",
    '[1]2026 január'!AG29
)</f>
        <v/>
      </c>
      <c r="AK31" s="220" t="str">
        <f>IF('[1]2026 január'!AH29=0,
    "",
    '[1]2026 január'!AH29
)</f>
        <v/>
      </c>
    </row>
    <row r="32" spans="1:37">
      <c r="A32" s="5">
        <v>46051</v>
      </c>
      <c r="B32" s="11">
        <v>350505</v>
      </c>
      <c r="C32" s="11">
        <v>950</v>
      </c>
      <c r="D32" s="11">
        <v>234076</v>
      </c>
      <c r="E32" s="11"/>
      <c r="F32" s="11">
        <v>142204</v>
      </c>
      <c r="G32" s="11">
        <v>26835</v>
      </c>
      <c r="H32" s="11">
        <v>348405</v>
      </c>
      <c r="I32" s="11">
        <v>348405</v>
      </c>
      <c r="J32" s="38" t="s">
        <v>175</v>
      </c>
      <c r="K32" s="72">
        <v>219197702</v>
      </c>
      <c r="L32" s="258"/>
      <c r="M32" s="419">
        <v>1990</v>
      </c>
      <c r="N32" s="455" t="s">
        <v>162</v>
      </c>
      <c r="P32" s="267">
        <f>IF('[1]2026 január'!B$30=0,
    "",
    '[1]2026 január'!B$30
)</f>
        <v>335240</v>
      </c>
      <c r="Q32" s="267" t="str">
        <f>IF(OR('[1]2026 január'!G30=0,
       ISBLANK('[1]2026 január'!G30)),
    "",
    '[1]2026 január'!G30
)</f>
        <v/>
      </c>
      <c r="R32" s="11">
        <f>'[1]2026 január'!W30</f>
        <v>0</v>
      </c>
      <c r="S32" s="11"/>
      <c r="T32" s="11"/>
      <c r="U32" s="10"/>
      <c r="V32" s="267">
        <f>IF('[1]2026 január'!S30=0,
    "",
    '[1]2026 január'!S30
)</f>
        <v>225260</v>
      </c>
      <c r="W32" s="267">
        <f>IF('[1]2026 január'!T30=0,
    "",
    '[1]2026 január'!T30
)</f>
        <v>-13165</v>
      </c>
      <c r="X32" s="267">
        <f>IF('[1]2026 január'!U30=0,
    "",
    '[1]2026 január'!U30
)</f>
        <v>40000</v>
      </c>
      <c r="Y32" s="267" t="str">
        <f>IF('[1]2026 január'!V30=0,
    "",
    '[1]2026 január'!V30
)</f>
        <v/>
      </c>
      <c r="Z32" s="267" t="str">
        <f>IF('[1]2026 január'!W30=0,
    "",
    '[1]2026 január'!W30
)</f>
        <v/>
      </c>
      <c r="AA32" s="267" t="str">
        <f>IF('[1]2026 január'!X30=0,
    "",
    '[1]2026 január'!X30
)</f>
        <v/>
      </c>
      <c r="AB32" s="267">
        <f>IF('[1]2026 január'!Y30=0,
    "",
    '[1]2026 január'!Y30
)</f>
        <v>252095</v>
      </c>
      <c r="AC32" s="267" t="str">
        <f>IF('[1]2026 január'!Z30=0,
    "",
    '[1]2026 január'!Z30
)</f>
        <v/>
      </c>
      <c r="AD32" s="220" t="str">
        <f>IF('[1]2026 január'!AA30=0,
    "",
    '[1]2026 január'!AA30
)</f>
        <v>Vip töltés</v>
      </c>
      <c r="AE32" s="220" t="str">
        <f>IF('[1]2026 január'!AB$30=0,
    "",
    '[1]2026 január'!AB$30
)</f>
        <v/>
      </c>
      <c r="AF32" s="220" t="str">
        <f>IF('[1]2026 január'!AC$30=0,
    "",
    '[1]2026 január'!AC$30
)</f>
        <v/>
      </c>
      <c r="AG32" s="220" t="str">
        <f>IF('[1]2026 január'!AD$30=0,
    "",
    '[1]2026 január'!AD$30
)</f>
        <v/>
      </c>
      <c r="AH32" s="220" t="str">
        <f>IF('[1]2026 január'!AE30=0,
    "",
    '[1]2026 január'!AE30
)</f>
        <v/>
      </c>
      <c r="AI32" s="220" t="str">
        <f>IF('[1]2026 január'!AF30=0,
    "",
    '[1]2026 január'!AF30
)</f>
        <v/>
      </c>
      <c r="AJ32" s="220" t="str">
        <f>IF('[1]2026 január'!AG30=0,
    "",
    '[1]2026 január'!AG30
)</f>
        <v/>
      </c>
      <c r="AK32" s="220" t="str">
        <f>IF('[1]2026 január'!AH30=0,
    "",
    '[1]2026 január'!AH30
)</f>
        <v/>
      </c>
    </row>
    <row r="33" spans="1:37">
      <c r="A33" s="5">
        <v>46052</v>
      </c>
      <c r="B33" s="11">
        <v>330590</v>
      </c>
      <c r="C33" s="11">
        <v>750</v>
      </c>
      <c r="D33" s="11">
        <v>217820</v>
      </c>
      <c r="E33" s="11"/>
      <c r="F33" s="11">
        <v>100025</v>
      </c>
      <c r="G33" s="11">
        <v>16220</v>
      </c>
      <c r="H33" s="11">
        <v>302375</v>
      </c>
      <c r="I33" s="11">
        <v>302375</v>
      </c>
      <c r="J33" s="38" t="s">
        <v>176</v>
      </c>
      <c r="K33" s="72">
        <v>219516297</v>
      </c>
      <c r="L33" s="258"/>
      <c r="M33" s="9"/>
      <c r="N33" s="9"/>
      <c r="P33" s="267">
        <f>IF('[1]2026 január'!B$31=0,
    "",
    '[1]2026 január'!B$31
)</f>
        <v>318595</v>
      </c>
      <c r="Q33" s="267" t="str">
        <f>IF(OR('[1]2026 január'!G31=0,
       ISBLANK('[1]2026 január'!G31)),
    "",
    '[1]2026 január'!G31
)</f>
        <v/>
      </c>
      <c r="R33" s="11">
        <f>'[1]2026 január'!W31</f>
        <v>0</v>
      </c>
      <c r="S33" s="11"/>
      <c r="T33" s="11"/>
      <c r="U33" s="10"/>
      <c r="V33" s="267">
        <f>IF('[1]2026 január'!S31=0,
    "",
    '[1]2026 január'!S31
)</f>
        <v>252095</v>
      </c>
      <c r="W33" s="267">
        <f>IF('[1]2026 január'!T31=0,
    "",
    '[1]2026 január'!T31
)</f>
        <v>16220</v>
      </c>
      <c r="X33" s="267" t="str">
        <f>IF('[1]2026 január'!U31=0,
    "",
    '[1]2026 január'!U31
)</f>
        <v/>
      </c>
      <c r="Y33" s="267">
        <f>IF('[1]2026 január'!V31=0,
    "",
    '[1]2026 január'!V31
)</f>
        <v>64015</v>
      </c>
      <c r="Z33" s="267" t="str">
        <f>IF('[1]2026 január'!W31=0,
    "",
    '[1]2026 január'!W31
)</f>
        <v/>
      </c>
      <c r="AA33" s="267" t="str">
        <f>IF('[1]2026 január'!X31=0,
    "",
    '[1]2026 január'!X31
)</f>
        <v/>
      </c>
      <c r="AB33" s="267">
        <f>IF('[1]2026 január'!Y31=0,
    "",
    '[1]2026 január'!Y31
)</f>
        <v>204300</v>
      </c>
      <c r="AC33" s="267" t="str">
        <f>IF('[1]2026 január'!Z31=0,
    "",
    '[1]2026 január'!Z31
)</f>
        <v/>
      </c>
      <c r="AD33" s="220" t="str">
        <f>IF('[1]2026 január'!AA31=0,
    "",
    '[1]2026 január'!AA31
)</f>
        <v>Melinda</v>
      </c>
      <c r="AE33" s="220" t="str">
        <f>IF('[1]2026 január'!AB$31=0,
    "",
    '[1]2026 január'!AB$31
)</f>
        <v/>
      </c>
      <c r="AF33" s="220" t="str">
        <f>IF('[1]2026 január'!AC$31=0,
    "",
    '[1]2026 január'!AC$31
)</f>
        <v/>
      </c>
      <c r="AG33" s="220" t="str">
        <f>IF('[1]2026 január'!AD$31=0,
    "",
    '[1]2026 január'!AD$31
)</f>
        <v/>
      </c>
      <c r="AH33" s="220" t="str">
        <f>IF('[1]2026 január'!AE31=0,
    "",
    '[1]2026 január'!AE31
)</f>
        <v/>
      </c>
      <c r="AI33" s="220" t="str">
        <f>IF('[1]2026 január'!AF31=0,
    "",
    '[1]2026 január'!AF31
)</f>
        <v/>
      </c>
      <c r="AJ33" s="220" t="str">
        <f>IF('[1]2026 január'!AG31=0,
    "",
    '[1]2026 január'!AG31
)</f>
        <v/>
      </c>
      <c r="AK33" s="220" t="str">
        <f>IF('[1]2026 január'!AH31=0,
    "",
    '[1]2026 január'!AH31
)</f>
        <v/>
      </c>
    </row>
    <row r="34" spans="1:37">
      <c r="A34" s="141">
        <v>46053</v>
      </c>
      <c r="B34" s="142"/>
      <c r="C34" s="142"/>
      <c r="D34" s="142"/>
      <c r="E34" s="142"/>
      <c r="F34" s="142"/>
      <c r="G34" s="142"/>
      <c r="H34" s="142"/>
      <c r="I34" s="142"/>
      <c r="J34" s="185"/>
      <c r="K34" s="186"/>
      <c r="L34" s="259"/>
      <c r="M34" s="188"/>
      <c r="N34" s="158"/>
      <c r="P34" s="267" t="str">
        <f>IF('[1]2026 január'!B$32=0,
    "",
    '[1]2026 január'!B$32
)</f>
        <v/>
      </c>
      <c r="Q34" s="267" t="str">
        <f>IF(OR('[1]2026 január'!G32=0,
       ISBLANK('[1]2026 január'!G32)),
    "",
    '[1]2026 január'!G32
)</f>
        <v/>
      </c>
      <c r="R34" s="11">
        <f>'[1]2026 január'!W32</f>
        <v>0</v>
      </c>
      <c r="S34" s="11"/>
      <c r="T34" s="11"/>
      <c r="U34" s="10"/>
      <c r="V34" s="267">
        <f>IF('[1]2026 január'!S32=0,
    "",
    '[1]2026 január'!S32
)</f>
        <v>204300</v>
      </c>
      <c r="W34" s="267" t="str">
        <f>IF('[1]2026 január'!T32=0,
    "",
    '[1]2026 január'!T32
)</f>
        <v/>
      </c>
      <c r="X34" s="267" t="str">
        <f>IF('[1]2026 január'!U32=0,
    "",
    '[1]2026 január'!U32
)</f>
        <v/>
      </c>
      <c r="Y34" s="267" t="str">
        <f>IF('[1]2026 január'!V32=0,
    "",
    '[1]2026 január'!V32
)</f>
        <v/>
      </c>
      <c r="Z34" s="267" t="str">
        <f>IF('[1]2026 január'!W32=0,
    "",
    '[1]2026 január'!W32
)</f>
        <v/>
      </c>
      <c r="AA34" s="267" t="str">
        <f>IF('[1]2026 január'!X32=0,
    "",
    '[1]2026 január'!X32
)</f>
        <v/>
      </c>
      <c r="AB34" s="267">
        <f>IF('[1]2026 január'!Y32=0,
    "",
    '[1]2026 január'!Y32
)</f>
        <v>204300</v>
      </c>
      <c r="AC34" s="267" t="str">
        <f>IF('[1]2026 január'!Z32=0,
    "",
    '[1]2026 január'!Z32
)</f>
        <v/>
      </c>
      <c r="AD34" s="220" t="str">
        <f>IF('[1]2026 január'!AA32=0,
    "",
    '[1]2026 január'!AA32
)</f>
        <v/>
      </c>
      <c r="AE34" s="220" t="str">
        <f>IF('[1]2026 január'!AB$32=0,
    "",
    '[1]2026 január'!AB$32
)</f>
        <v/>
      </c>
      <c r="AF34" s="220" t="str">
        <f>IF('[1]2026 január'!AC$32=0,
    "",
    '[1]2026 január'!AC$32
)</f>
        <v/>
      </c>
      <c r="AG34" s="220" t="str">
        <f>IF('[1]2026 január'!AD$32=0,
    "",
    '[1]2026 január'!AD$32
)</f>
        <v/>
      </c>
      <c r="AH34" s="220" t="str">
        <f>IF('[1]2026 január'!AE32=0,
    "",
    '[1]2026 január'!AE32
)</f>
        <v/>
      </c>
      <c r="AI34" s="220" t="str">
        <f>IF('[1]2026 január'!AF32=0,
    "",
    '[1]2026 január'!AF32
)</f>
        <v/>
      </c>
      <c r="AJ34" s="220" t="str">
        <f>IF('[1]2026 január'!AG32=0,
    "",
    '[1]2026 január'!AG32
)</f>
        <v/>
      </c>
      <c r="AK34" s="220" t="str">
        <f>IF('[1]2026 január'!AH32=0,
    "",
    '[1]2026 január'!AH32
)</f>
        <v/>
      </c>
    </row>
    <row r="35" spans="1:37" ht="22.5" customHeight="1">
      <c r="A35" s="18" t="s">
        <v>64</v>
      </c>
      <c r="B35" s="362"/>
      <c r="C35" s="19">
        <f>SUM(C1:C34)</f>
        <v>17250</v>
      </c>
      <c r="D35" s="19">
        <f>SUM(D1:D34)</f>
        <v>4328426.05</v>
      </c>
      <c r="E35" s="19">
        <f>SUM(E1:E34)</f>
        <v>0.18</v>
      </c>
      <c r="F35" s="19">
        <f>SUM(F1:F34)</f>
        <v>2825575.27</v>
      </c>
      <c r="G35" s="20">
        <f>SUM(G1:G34)</f>
        <v>459515</v>
      </c>
      <c r="H35" s="20">
        <f>SUM(H3:H34)</f>
        <v>6705640</v>
      </c>
      <c r="I35" s="39">
        <f>SUM(I3:I34)</f>
        <v>6422478</v>
      </c>
      <c r="J35" s="32"/>
      <c r="K35" s="417">
        <v>219516297</v>
      </c>
      <c r="L35" s="417">
        <v>7171251</v>
      </c>
      <c r="M35" s="9"/>
      <c r="N35" s="184"/>
      <c r="P35" s="267">
        <f>IF('[1]2026 január'!B$33=0,
    "",
    '[1]2026 január'!B$33
)</f>
        <v>6975130</v>
      </c>
      <c r="Q35" s="267" t="str">
        <f>IF(OR('[1]2026 január'!G33=0,
       ISBLANK('[1]2026 január'!G33)),
    "",
    '[1]2026 január'!G33
)</f>
        <v/>
      </c>
      <c r="R35" s="234">
        <f>'[1]2026 január'!W33</f>
        <v>0</v>
      </c>
      <c r="S35" s="10"/>
      <c r="T35" s="10"/>
      <c r="U35" s="10"/>
      <c r="V35" s="268" t="str">
        <f>IF('[1]2026 január'!S33=0,
    "",
    '[1]2026 január'!S33
)</f>
        <v/>
      </c>
      <c r="W35" s="268">
        <f>IF('[1]2026 január'!T33=0,
    "",
    '[1]2026 január'!T33
)</f>
        <v>228420</v>
      </c>
      <c r="X35" s="268">
        <f>IF('[1]2026 január'!U33=0,
    "",
    '[1]2026 január'!U33
)</f>
        <v>259985</v>
      </c>
      <c r="Y35" s="268" t="str">
        <f>IF('[1]2026 január'!V33=0,
    "",
    '[1]2026 január'!V33
)</f>
        <v/>
      </c>
      <c r="Z35" s="268" t="str">
        <f>IF('[1]2026 január'!W33=0,
    "",
    '[1]2026 január'!W33
)</f>
        <v/>
      </c>
      <c r="AA35" s="268" t="str">
        <f>IF('[1]2026 január'!X33=0,
    "",
    '[1]2026 január'!X33
)</f>
        <v/>
      </c>
      <c r="AB35" s="268" t="str">
        <f>IF('[1]2026 január'!Y33=0,
    "",
    '[1]2026 január'!Y33
)</f>
        <v/>
      </c>
      <c r="AC35" s="268" t="str">
        <f>IF('[1]2026 január'!Z33=0,
    "",
    '[1]2026 január'!Z33
)</f>
        <v/>
      </c>
      <c r="AD35" s="235" t="str">
        <f>IF('[1]2026 január'!AA33=0,
    "",
    '[1]2026 január'!AA33
)</f>
        <v/>
      </c>
      <c r="AE35" s="235" t="str">
        <f>IF('[1]2026 január'!AB$33=0,
    "",
    '[1]2026 január'!AB$33
)</f>
        <v/>
      </c>
      <c r="AF35" s="235" t="str">
        <f>IF('[1]2026 január'!AC$33=0,
    "",
    '[1]2026 január'!AC$33
)</f>
        <v/>
      </c>
      <c r="AG35" s="235" t="str">
        <f>IF('[1]2026 január'!AD$33=0,
    "",
    '[1]2026 január'!AD$33
)</f>
        <v/>
      </c>
      <c r="AH35" s="235" t="str">
        <f>IF('[1]2026 január'!AE33=0,
    "",
    '[1]2026 január'!AE33
)</f>
        <v/>
      </c>
      <c r="AI35" s="235" t="str">
        <f>IF('[1]2026 január'!AF33=0,
    "",
    '[1]2026 január'!AF33
)</f>
        <v/>
      </c>
      <c r="AJ35" s="235" t="str">
        <f>IF('[1]2026 január'!AG33=0,
    "",
    '[1]2026 január'!AG33
)</f>
        <v/>
      </c>
      <c r="AK35" s="235" t="str">
        <f>IF('[1]2026 január'!AH33=0,
    "",
    '[1]2026 január'!AH33
)</f>
        <v/>
      </c>
    </row>
    <row r="36" spans="1:37" ht="19.5" customHeight="1">
      <c r="A36" s="5"/>
      <c r="B36" s="11"/>
      <c r="C36" s="29">
        <f>C35+D35+E35+F35</f>
        <v>7171251.5</v>
      </c>
      <c r="D36" s="10"/>
      <c r="E36" s="10"/>
      <c r="F36" s="10"/>
      <c r="G36" s="47">
        <f>G35+H35</f>
        <v>7165155</v>
      </c>
      <c r="H36" s="10"/>
      <c r="I36" s="10"/>
      <c r="J36" s="33"/>
      <c r="K36" s="11"/>
      <c r="L36" s="260"/>
      <c r="M36" s="9"/>
      <c r="N36" s="184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8" spans="1:37" ht="15" customHeight="1">
      <c r="H38" s="41"/>
    </row>
    <row r="40" spans="1:37" ht="15" customHeight="1">
      <c r="A40" s="403" t="s">
        <v>177</v>
      </c>
      <c r="B40" s="404"/>
      <c r="C40" s="405"/>
      <c r="D40" s="405"/>
      <c r="E40" s="405"/>
      <c r="F40" s="406"/>
      <c r="G40" s="406"/>
      <c r="H40" s="406"/>
      <c r="I40" s="406"/>
      <c r="J40" s="407"/>
      <c r="K40" s="408"/>
    </row>
    <row r="41" spans="1:37" ht="15" customHeight="1">
      <c r="A41" s="409"/>
      <c r="B41" s="402"/>
      <c r="C41" s="402"/>
      <c r="D41" s="402"/>
      <c r="E41" s="402"/>
      <c r="F41" s="402"/>
      <c r="G41" s="396"/>
      <c r="H41" s="396"/>
      <c r="I41" s="396"/>
      <c r="J41" s="396"/>
      <c r="K41" s="410"/>
    </row>
    <row r="42" spans="1:37" ht="15" customHeight="1">
      <c r="A42" s="628"/>
      <c r="B42" s="629"/>
      <c r="C42" s="629"/>
      <c r="D42" s="629"/>
      <c r="E42" s="629"/>
      <c r="F42" s="629"/>
      <c r="G42" s="411"/>
      <c r="H42" s="411"/>
      <c r="I42" s="411"/>
      <c r="J42" s="411"/>
      <c r="K42" s="412"/>
    </row>
    <row r="44" spans="1:37" ht="15" customHeight="1">
      <c r="A44" s="66" t="s">
        <v>4</v>
      </c>
      <c r="B44" s="351"/>
      <c r="C44" s="26"/>
      <c r="D44" s="26"/>
      <c r="E44" s="26"/>
      <c r="F44" s="26"/>
      <c r="G44" s="26"/>
      <c r="H44" s="26"/>
      <c r="I44" s="26"/>
      <c r="J44" s="34"/>
      <c r="K44" s="349"/>
      <c r="L44" s="255"/>
      <c r="M44" s="157"/>
      <c r="N44" s="157"/>
      <c r="O44" s="27"/>
      <c r="P44" s="273">
        <f>'[1]2026 január'!B42</f>
        <v>0</v>
      </c>
      <c r="Q44" s="273">
        <f>'[1]2026 január'!G42</f>
        <v>0</v>
      </c>
      <c r="R44" s="273">
        <f>'[1]2026 január'!W42</f>
        <v>0</v>
      </c>
      <c r="S44" s="273" t="s">
        <v>156</v>
      </c>
      <c r="T44" s="274"/>
      <c r="U44" s="275"/>
      <c r="V44" s="273">
        <f>'[1]2026 január'!S42</f>
        <v>0</v>
      </c>
      <c r="W44" s="273">
        <f>'[1]2026 január'!T42</f>
        <v>0</v>
      </c>
      <c r="X44" s="273">
        <f>'[1]2026 január'!U42</f>
        <v>0</v>
      </c>
      <c r="Y44" s="273">
        <f>'[1]2026 január'!V42</f>
        <v>0</v>
      </c>
      <c r="Z44" s="273">
        <f>'[1]2026 január'!W42</f>
        <v>0</v>
      </c>
      <c r="AA44" s="273">
        <f>'[1]2026 január'!X42</f>
        <v>0</v>
      </c>
      <c r="AB44" s="273">
        <f>'[1]2026 január'!Y42</f>
        <v>0</v>
      </c>
      <c r="AC44" s="273">
        <f>'[1]2026 január'!Z42</f>
        <v>0</v>
      </c>
      <c r="AD44" s="277">
        <f>'[1]2026 január'!AA42</f>
        <v>0</v>
      </c>
      <c r="AE44" s="277">
        <f>'[1]2026 január'!AB42</f>
        <v>0</v>
      </c>
      <c r="AF44" s="277">
        <f>'[1]2026 január'!AC42</f>
        <v>0</v>
      </c>
      <c r="AG44" s="277">
        <f>'[1]2026 január'!AD42</f>
        <v>0</v>
      </c>
      <c r="AH44" s="27"/>
      <c r="AI44" s="27"/>
      <c r="AJ44" s="27"/>
      <c r="AK44" s="27"/>
    </row>
    <row r="45" spans="1:37" ht="15" customHeight="1">
      <c r="A45" s="141">
        <v>46054</v>
      </c>
      <c r="B45" s="142"/>
      <c r="C45" s="142"/>
      <c r="D45" s="142"/>
      <c r="E45" s="142"/>
      <c r="F45" s="142"/>
      <c r="G45" s="142"/>
      <c r="H45" s="142"/>
      <c r="I45" s="142"/>
      <c r="J45" s="143"/>
      <c r="K45" s="144"/>
      <c r="L45" s="256"/>
      <c r="M45" s="158"/>
      <c r="N45" s="158"/>
      <c r="Q45" s="267" t="str">
        <f>IF(OR('[1]2026 február'!G43=0,
       ISBLANK('[1]2026 február'!G43)),
    "",
    '[1]2026 február'!G43
)</f>
        <v/>
      </c>
      <c r="R45" s="11">
        <f>'[1]2026 február'!W43</f>
        <v>0</v>
      </c>
      <c r="S45" s="11" t="e">
        <f>P46-Q45-R45-G45-H45</f>
        <v>#VALUE!</v>
      </c>
      <c r="T45" s="11"/>
      <c r="U45" s="10"/>
      <c r="V45" s="267" t="str">
        <f>IF('[1]2026 február'!S43=0,
    "",
    '[1]2026 február'!S43
)</f>
        <v/>
      </c>
      <c r="W45" s="267" t="str">
        <f>IF('[1]2026 február'!T43=0,
    "",
    '[1]2026 február'!T43
)</f>
        <v/>
      </c>
      <c r="X45" s="267" t="str">
        <f>IF('[1]2026 február'!U43=0,
    "",
    '[1]2026 február'!U43
)</f>
        <v/>
      </c>
      <c r="Y45" s="267" t="str">
        <f>IF('[1]2026 február'!V43=0,
    "",
    '[1]2026 február'!V43
)</f>
        <v/>
      </c>
      <c r="Z45" s="267" t="str">
        <f>IF('[1]2026 február'!W43=0,
    "",
    '[1]2026 február'!W43
)</f>
        <v/>
      </c>
      <c r="AA45" s="267" t="str">
        <f>IF('[1]2026 február'!X43=0,
    "",
    '[1]2026 február'!X43
)</f>
        <v/>
      </c>
      <c r="AB45" s="267" t="str">
        <f>IF('[1]2026 február'!Y43=0,
    "",
    '[1]2026 február'!Y43
)</f>
        <v/>
      </c>
      <c r="AC45" s="267" t="str">
        <f>IF('[1]2026 február'!Z43=0,
    "",
    '[1]2026 február'!Z43
)</f>
        <v/>
      </c>
      <c r="AD45" s="220" t="str">
        <f>IF('[1]2026 február'!AA43=0,
    "",
    '[1]2026 február'!AA43
)</f>
        <v/>
      </c>
      <c r="AE45" s="220" t="str">
        <f>IF('[1]2026 február'!AB$2=0,
    "",
    '[1]2026 február'!AB$2
)</f>
        <v/>
      </c>
      <c r="AF45" s="220" t="str">
        <f>IF('[1]2026 február'!AC$2=0,
    "",
    '[1]2026 február'!AC$2
)</f>
        <v/>
      </c>
      <c r="AG45" s="220" t="str">
        <f>IF('[1]2026 február'!AD$2=0,
    "",
    '[1]2026 február'!AD$2
)</f>
        <v/>
      </c>
      <c r="AH45" s="220" t="str">
        <f>IF('[1]2026 február'!AE43=0,
    "",
    '[1]2026 február'!AE43
)</f>
        <v/>
      </c>
      <c r="AI45" s="220" t="str">
        <f>IF('[1]2026 február'!AF43=0,
    "",
    '[1]2026 február'!AF43
)</f>
        <v/>
      </c>
      <c r="AJ45" s="220" t="str">
        <f>IF('[1]2026 február'!AG43=0,
    "",
    '[1]2026 február'!AG43
)</f>
        <v/>
      </c>
      <c r="AK45" s="220" t="str">
        <f>IF('[1]2026 február'!AH43=0,
    "",
    '[1]2026 február'!AH43
)</f>
        <v/>
      </c>
    </row>
    <row r="46" spans="1:37" ht="15" customHeight="1">
      <c r="A46" s="141">
        <v>46055</v>
      </c>
      <c r="B46" s="11">
        <v>335525</v>
      </c>
      <c r="C46" s="11">
        <v>1350</v>
      </c>
      <c r="D46" s="11">
        <v>299592</v>
      </c>
      <c r="E46" s="11">
        <v>1750</v>
      </c>
      <c r="F46" s="11">
        <v>16480</v>
      </c>
      <c r="G46" s="11">
        <v>28090</v>
      </c>
      <c r="H46" s="11">
        <v>291082</v>
      </c>
      <c r="I46" s="11">
        <v>291082</v>
      </c>
      <c r="J46" s="38" t="s">
        <v>178</v>
      </c>
      <c r="K46" s="71">
        <v>219835469</v>
      </c>
      <c r="L46" s="377"/>
      <c r="M46" s="9"/>
      <c r="N46" s="9"/>
      <c r="P46" s="267">
        <f>IF('[1]2026 február'!B$2=0,
    "",
    '[1]2026 február'!B$2
)</f>
        <v>319570</v>
      </c>
      <c r="Q46" s="267" t="str">
        <f>IF(OR('[1]2026 február'!G44=0,
       ISBLANK('[1]2026 február'!G44)),
    "",
    '[1]2026 február'!G44
)</f>
        <v/>
      </c>
      <c r="R46" s="11">
        <f>'[1]2026 február'!W44</f>
        <v>0</v>
      </c>
      <c r="S46" s="11"/>
      <c r="T46" s="11"/>
      <c r="U46" s="10"/>
      <c r="V46" s="267" t="str">
        <f>IF('[1]2026 február'!S44=0,
    "",
    '[1]2026 február'!S44
)</f>
        <v/>
      </c>
      <c r="W46" s="267" t="str">
        <f>IF('[1]2026 február'!T44=0,
    "",
    '[1]2026 február'!T44
)</f>
        <v/>
      </c>
      <c r="X46" s="267" t="str">
        <f>IF('[1]2026 február'!U44=0,
    "",
    '[1]2026 február'!U44
)</f>
        <v/>
      </c>
      <c r="Y46" s="267" t="str">
        <f>IF('[1]2026 február'!V44=0,
    "",
    '[1]2026 február'!V44
)</f>
        <v/>
      </c>
      <c r="Z46" s="267" t="str">
        <f>IF('[1]2026 február'!W44=0,
    "",
    '[1]2026 február'!W44
)</f>
        <v/>
      </c>
      <c r="AA46" s="267" t="str">
        <f>IF('[1]2026 február'!X44=0,
    "",
    '[1]2026 február'!X44
)</f>
        <v/>
      </c>
      <c r="AB46" s="267" t="str">
        <f>IF('[1]2026 február'!Y44=0,
    "",
    '[1]2026 február'!Y44
)</f>
        <v/>
      </c>
      <c r="AC46" s="267" t="str">
        <f>IF('[1]2026 február'!Z44=0,
    "",
    '[1]2026 február'!Z44
)</f>
        <v/>
      </c>
      <c r="AD46" s="220" t="str">
        <f>IF('[1]2026 február'!AA44=0,
    "",
    '[1]2026 február'!AA44
)</f>
        <v/>
      </c>
      <c r="AE46" s="220" t="str">
        <f>IF('[1]2026 február'!AB$3=0,
    "",
    '[1]2026 február'!AB$3
)</f>
        <v/>
      </c>
      <c r="AF46" s="220" t="str">
        <f>IF('[1]2026 február'!AC$3=0,
    "",
    '[1]2026 február'!AC$3
)</f>
        <v/>
      </c>
      <c r="AG46" s="220" t="str">
        <f>IF('[1]2026 február'!AD$3=0,
    "",
    '[1]2026 február'!AD$3
)</f>
        <v/>
      </c>
      <c r="AH46" s="220" t="str">
        <f>IF('[1]2026 február'!AE44=0,
    "",
    '[1]2026 február'!AE44
)</f>
        <v/>
      </c>
      <c r="AI46" s="220" t="str">
        <f>IF('[1]2026 február'!AF44=0,
    "",
    '[1]2026 február'!AF44
)</f>
        <v/>
      </c>
      <c r="AJ46" s="220" t="str">
        <f>IF('[1]2026 február'!AG44=0,
    "",
    '[1]2026 február'!AG44
)</f>
        <v/>
      </c>
      <c r="AK46" s="220" t="str">
        <f>IF('[1]2026 február'!AH44=0,
    "",
    '[1]2026 február'!AH44
)</f>
        <v/>
      </c>
    </row>
    <row r="47" spans="1:37" ht="15" customHeight="1">
      <c r="A47" s="141">
        <v>46056</v>
      </c>
      <c r="B47" s="11">
        <v>415350</v>
      </c>
      <c r="C47" s="11">
        <v>950</v>
      </c>
      <c r="D47" s="11">
        <v>368665</v>
      </c>
      <c r="E47" s="11">
        <v>1054</v>
      </c>
      <c r="F47" s="11">
        <v>5720</v>
      </c>
      <c r="G47" s="11">
        <v>28000</v>
      </c>
      <c r="H47" s="11">
        <v>348389</v>
      </c>
      <c r="I47" s="11">
        <v>348389</v>
      </c>
      <c r="J47" s="38" t="s">
        <v>99</v>
      </c>
      <c r="K47" s="72">
        <v>220211858</v>
      </c>
      <c r="L47" s="258"/>
      <c r="M47" s="9"/>
      <c r="N47" s="9"/>
      <c r="P47" s="267">
        <f>IF('[1]2026 február'!B$3=0,
    "",
    '[1]2026 február'!B$3
)</f>
        <v>398070</v>
      </c>
      <c r="Q47" s="267" t="str">
        <f>IF(OR('[1]2026 február'!G45=0,
       ISBLANK('[1]2026 február'!G45)),
    "",
    '[1]2026 február'!G45
)</f>
        <v/>
      </c>
      <c r="R47" s="11">
        <f>'[1]2026 február'!W45</f>
        <v>0</v>
      </c>
      <c r="S47" s="11"/>
      <c r="T47" s="11"/>
      <c r="U47" s="10"/>
      <c r="V47" s="267" t="str">
        <f>IF('[1]2026 február'!S45=0,
    "",
    '[1]2026 február'!S45
)</f>
        <v/>
      </c>
      <c r="W47" s="267" t="str">
        <f>IF('[1]2026 február'!T45=0,
    "",
    '[1]2026 február'!T45
)</f>
        <v/>
      </c>
      <c r="X47" s="267" t="str">
        <f>IF('[1]2026 február'!U45=0,
    "",
    '[1]2026 február'!U45
)</f>
        <v/>
      </c>
      <c r="Y47" s="267" t="str">
        <f>IF('[1]2026 február'!V45=0,
    "",
    '[1]2026 február'!V45
)</f>
        <v/>
      </c>
      <c r="Z47" s="267" t="str">
        <f>IF('[1]2026 február'!W45=0,
    "",
    '[1]2026 február'!W45
)</f>
        <v/>
      </c>
      <c r="AA47" s="267" t="str">
        <f>IF('[1]2026 február'!X45=0,
    "",
    '[1]2026 február'!X45
)</f>
        <v/>
      </c>
      <c r="AB47" s="267" t="str">
        <f>IF('[1]2026 február'!Y45=0,
    "",
    '[1]2026 február'!Y45
)</f>
        <v/>
      </c>
      <c r="AC47" s="267" t="str">
        <f>IF('[1]2026 február'!Z45=0,
    "",
    '[1]2026 február'!Z45
)</f>
        <v/>
      </c>
      <c r="AD47" s="220" t="str">
        <f>IF('[1]2026 február'!AA45=0,
    "",
    '[1]2026 február'!AA45
)</f>
        <v/>
      </c>
      <c r="AE47" s="220" t="str">
        <f>IF('[1]2026 február'!AB$4=0,
    "",
    '[1]2026 február'!AB$4
)</f>
        <v/>
      </c>
      <c r="AF47" s="220" t="str">
        <f>IF('[1]2026 február'!AC$4=0,
    "",
    '[1]2026 február'!AC$4
)</f>
        <v/>
      </c>
      <c r="AG47" s="220" t="str">
        <f>IF('[1]2026 február'!AD$4=0,
    "",
    '[1]2026 február'!AD$4
)</f>
        <v/>
      </c>
      <c r="AH47" s="220" t="str">
        <f>IF('[1]2026 február'!AE45=0,
    "",
    '[1]2026 február'!AE45
)</f>
        <v/>
      </c>
      <c r="AI47" s="220" t="str">
        <f>IF('[1]2026 február'!AF45=0,
    "",
    '[1]2026 február'!AF45
)</f>
        <v/>
      </c>
      <c r="AJ47" s="220" t="str">
        <f>IF('[1]2026 február'!AG45=0,
    "",
    '[1]2026 február'!AG45
)</f>
        <v/>
      </c>
      <c r="AK47" s="220" t="str">
        <f>IF('[1]2026 február'!AH45=0,
    "",
    '[1]2026 február'!AH45
)</f>
        <v/>
      </c>
    </row>
    <row r="48" spans="1:37" ht="15" customHeight="1">
      <c r="A48" s="141">
        <v>46057</v>
      </c>
      <c r="B48" s="11">
        <v>409875</v>
      </c>
      <c r="C48" s="11">
        <v>850</v>
      </c>
      <c r="D48" s="11">
        <v>379601</v>
      </c>
      <c r="E48" s="11">
        <v>700</v>
      </c>
      <c r="F48" s="11">
        <v>12500</v>
      </c>
      <c r="G48" s="11">
        <v>16970</v>
      </c>
      <c r="H48" s="11">
        <v>376681</v>
      </c>
      <c r="I48" s="11">
        <v>376681</v>
      </c>
      <c r="J48" s="38" t="s">
        <v>179</v>
      </c>
      <c r="K48" s="72">
        <v>220606509</v>
      </c>
      <c r="L48" s="258"/>
      <c r="M48" s="9"/>
      <c r="N48" s="9"/>
      <c r="P48" s="267">
        <f>IF('[1]2026 február'!B$4=0,
    "",
    '[1]2026 február'!B$4
)</f>
        <v>398925</v>
      </c>
      <c r="Q48" s="267" t="str">
        <f>IF(OR('[1]2026 február'!G46=0,
       ISBLANK('[1]2026 február'!G46)),
    "",
    '[1]2026 február'!G46
)</f>
        <v/>
      </c>
      <c r="R48" s="11">
        <f>'[1]2026 február'!W46</f>
        <v>0</v>
      </c>
      <c r="S48" s="11"/>
      <c r="T48" s="11"/>
      <c r="U48" s="10"/>
      <c r="V48" s="267" t="str">
        <f>IF('[1]2026 február'!S46=0,
    "",
    '[1]2026 február'!S46
)</f>
        <v/>
      </c>
      <c r="W48" s="267" t="str">
        <f>IF('[1]2026 február'!T46=0,
    "",
    '[1]2026 február'!T46
)</f>
        <v/>
      </c>
      <c r="X48" s="267" t="str">
        <f>IF('[1]2026 február'!U46=0,
    "",
    '[1]2026 február'!U46
)</f>
        <v/>
      </c>
      <c r="Y48" s="267" t="str">
        <f>IF('[1]2026 február'!V46=0,
    "",
    '[1]2026 február'!V46
)</f>
        <v/>
      </c>
      <c r="Z48" s="267" t="str">
        <f>IF('[1]2026 február'!W46=0,
    "",
    '[1]2026 február'!W46
)</f>
        <v/>
      </c>
      <c r="AA48" s="267" t="str">
        <f>IF('[1]2026 február'!X46=0,
    "",
    '[1]2026 február'!X46
)</f>
        <v/>
      </c>
      <c r="AB48" s="267" t="str">
        <f>IF('[1]2026 február'!Y46=0,
    "",
    '[1]2026 február'!Y46
)</f>
        <v/>
      </c>
      <c r="AC48" s="267" t="str">
        <f>IF('[1]2026 február'!Z46=0,
    "",
    '[1]2026 február'!Z46
)</f>
        <v/>
      </c>
      <c r="AD48" s="220" t="str">
        <f>IF('[1]2026 február'!AA46=0,
    "",
    '[1]2026 február'!AA46
)</f>
        <v/>
      </c>
      <c r="AE48" s="220" t="str">
        <f>IF('[1]2026 február'!AB$5=0,
    "",
    '[1]2026 február'!AB$5
)</f>
        <v/>
      </c>
      <c r="AF48" s="220" t="str">
        <f>IF('[1]2026 február'!AC$5=0,
    "",
    '[1]2026 február'!AC$5
)</f>
        <v/>
      </c>
      <c r="AG48" s="220" t="str">
        <f>IF('[1]2026 február'!AD$5=0,
    "",
    '[1]2026 február'!AD$5
)</f>
        <v/>
      </c>
      <c r="AH48" s="220" t="str">
        <f>IF('[1]2026 február'!AE46=0,
    "",
    '[1]2026 február'!AE46
)</f>
        <v/>
      </c>
      <c r="AI48" s="220" t="str">
        <f>IF('[1]2026 február'!AF46=0,
    "",
    '[1]2026 február'!AF46
)</f>
        <v/>
      </c>
      <c r="AJ48" s="220" t="str">
        <f>IF('[1]2026 február'!AG46=0,
    "",
    '[1]2026 február'!AG46
)</f>
        <v/>
      </c>
      <c r="AK48" s="220" t="str">
        <f>IF('[1]2026 február'!AH46=0,
    "",
    '[1]2026 február'!AH46
)</f>
        <v/>
      </c>
    </row>
    <row r="49" spans="1:37" ht="15" customHeight="1">
      <c r="A49" s="141">
        <v>46058</v>
      </c>
      <c r="B49" s="11">
        <v>396615</v>
      </c>
      <c r="C49" s="11">
        <v>1300</v>
      </c>
      <c r="D49" s="11">
        <v>173155</v>
      </c>
      <c r="E49" s="11"/>
      <c r="F49" s="11">
        <v>209850</v>
      </c>
      <c r="G49" s="11">
        <v>17245</v>
      </c>
      <c r="H49" s="11">
        <v>367060</v>
      </c>
      <c r="I49" s="11">
        <v>367060</v>
      </c>
      <c r="J49" s="38" t="s">
        <v>129</v>
      </c>
      <c r="K49" s="72">
        <v>220989814</v>
      </c>
      <c r="L49" s="258"/>
      <c r="M49" s="9"/>
      <c r="N49" s="9"/>
      <c r="P49" s="267">
        <f>IF('[1]2026 február'!B$5=0,
    "",
    '[1]2026 február'!B$5
)</f>
        <v>384305</v>
      </c>
      <c r="Q49" s="267" t="str">
        <f>IF(OR('[1]2026 február'!G47=0,
       ISBLANK('[1]2026 február'!G47)),
    "",
    '[1]2026 február'!G47
)</f>
        <v/>
      </c>
      <c r="R49" s="11">
        <f>'[1]2026 február'!W47</f>
        <v>0</v>
      </c>
      <c r="S49" s="11"/>
      <c r="T49" s="11"/>
      <c r="U49" s="10"/>
      <c r="V49" s="267" t="str">
        <f>IF('[1]2026 február'!S47=0,
    "",
    '[1]2026 február'!S47
)</f>
        <v/>
      </c>
      <c r="W49" s="267" t="str">
        <f>IF('[1]2026 február'!T47=0,
    "",
    '[1]2026 február'!T47
)</f>
        <v/>
      </c>
      <c r="X49" s="267" t="str">
        <f>IF('[1]2026 február'!U47=0,
    "",
    '[1]2026 február'!U47
)</f>
        <v/>
      </c>
      <c r="Y49" s="267" t="str">
        <f>IF('[1]2026 február'!V47=0,
    "",
    '[1]2026 február'!V47
)</f>
        <v/>
      </c>
      <c r="Z49" s="267" t="str">
        <f>IF('[1]2026 február'!W47=0,
    "",
    '[1]2026 február'!W47
)</f>
        <v/>
      </c>
      <c r="AA49" s="267" t="str">
        <f>IF('[1]2026 február'!X47=0,
    "",
    '[1]2026 február'!X47
)</f>
        <v/>
      </c>
      <c r="AB49" s="267" t="str">
        <f>IF('[1]2026 február'!Y47=0,
    "",
    '[1]2026 február'!Y47
)</f>
        <v/>
      </c>
      <c r="AC49" s="267" t="str">
        <f>IF('[1]2026 február'!Z47=0,
    "",
    '[1]2026 február'!Z47
)</f>
        <v/>
      </c>
      <c r="AD49" s="220" t="str">
        <f>IF('[1]2026 február'!AA47=0,
    "",
    '[1]2026 február'!AA47
)</f>
        <v/>
      </c>
      <c r="AE49" s="220" t="str">
        <f>IF('[1]2026 február'!AB$6=0,
    "",
    '[1]2026 február'!AB$6
)</f>
        <v/>
      </c>
      <c r="AF49" s="220" t="str">
        <f>IF('[1]2026 február'!AC$6=0,
    "",
    '[1]2026 február'!AC$6
)</f>
        <v/>
      </c>
      <c r="AG49" s="220" t="str">
        <f>IF('[1]2026 február'!AD$6=0,
    "",
    '[1]2026 február'!AD$6
)</f>
        <v/>
      </c>
      <c r="AH49" s="220" t="str">
        <f>IF('[1]2026 február'!AE47=0,
    "",
    '[1]2026 február'!AE47
)</f>
        <v/>
      </c>
      <c r="AI49" s="220" t="str">
        <f>IF('[1]2026 február'!AF47=0,
    "",
    '[1]2026 február'!AF47
)</f>
        <v/>
      </c>
      <c r="AJ49" s="220" t="str">
        <f>IF('[1]2026 február'!AG47=0,
    "",
    '[1]2026 február'!AG47
)</f>
        <v/>
      </c>
      <c r="AK49" s="220" t="str">
        <f>IF('[1]2026 február'!AH47=0,
    "",
    '[1]2026 február'!AH47
)</f>
        <v/>
      </c>
    </row>
    <row r="50" spans="1:37" ht="15" customHeight="1">
      <c r="A50" s="141">
        <v>46059</v>
      </c>
      <c r="B50" s="11">
        <v>333895</v>
      </c>
      <c r="C50" s="11">
        <v>850</v>
      </c>
      <c r="D50" s="11">
        <v>205120</v>
      </c>
      <c r="E50" s="11"/>
      <c r="F50" s="11">
        <v>105805</v>
      </c>
      <c r="G50" s="11">
        <v>55835</v>
      </c>
      <c r="H50" s="11">
        <v>255940</v>
      </c>
      <c r="I50" s="11">
        <v>255940</v>
      </c>
      <c r="J50" s="38" t="s">
        <v>180</v>
      </c>
      <c r="K50" s="72">
        <v>221301589</v>
      </c>
      <c r="L50" s="258"/>
      <c r="M50" s="9"/>
      <c r="N50" s="9"/>
      <c r="P50" s="267">
        <f>IF('[1]2026 február'!B$6=0,
    "",
    '[1]2026 február'!B$6
)</f>
        <v>311755</v>
      </c>
      <c r="Q50" s="267" t="str">
        <f>IF(OR('[1]2026 február'!G48=0,
       ISBLANK('[1]2026 február'!G48)),
    "",
    '[1]2026 február'!G48
)</f>
        <v/>
      </c>
      <c r="R50" s="11">
        <f>'[1]2026 február'!W48</f>
        <v>0</v>
      </c>
      <c r="S50" s="11"/>
      <c r="T50" s="11"/>
      <c r="U50" s="10"/>
      <c r="V50" s="267" t="str">
        <f>IF('[1]2026 február'!S48=0,
    "",
    '[1]2026 február'!S48
)</f>
        <v/>
      </c>
      <c r="W50" s="267" t="str">
        <f>IF('[1]2026 február'!T48=0,
    "",
    '[1]2026 február'!T48
)</f>
        <v/>
      </c>
      <c r="X50" s="267" t="str">
        <f>IF('[1]2026 február'!U48=0,
    "",
    '[1]2026 február'!U48
)</f>
        <v/>
      </c>
      <c r="Y50" s="267" t="str">
        <f>IF('[1]2026 február'!V48=0,
    "",
    '[1]2026 február'!V48
)</f>
        <v/>
      </c>
      <c r="Z50" s="267" t="str">
        <f>IF('[1]2026 február'!W48=0,
    "",
    '[1]2026 február'!W48
)</f>
        <v/>
      </c>
      <c r="AA50" s="267" t="str">
        <f>IF('[1]2026 február'!X48=0,
    "",
    '[1]2026 február'!X48
)</f>
        <v/>
      </c>
      <c r="AB50" s="267" t="str">
        <f>IF('[1]2026 február'!Y48=0,
    "",
    '[1]2026 február'!Y48
)</f>
        <v/>
      </c>
      <c r="AC50" s="267" t="str">
        <f>IF('[1]2026 február'!Z48=0,
    "",
    '[1]2026 február'!Z48
)</f>
        <v/>
      </c>
      <c r="AD50" s="220" t="str">
        <f>IF('[1]2026 február'!AA48=0,
    "",
    '[1]2026 február'!AA48
)</f>
        <v/>
      </c>
      <c r="AE50" s="220" t="str">
        <f>IF('[1]2026 február'!AB$7=0,
    "",
    '[1]2026 február'!AB$7
)</f>
        <v/>
      </c>
      <c r="AF50" s="220" t="str">
        <f>IF('[1]2026 február'!AC$7=0,
    "",
    '[1]2026 február'!AC$7
)</f>
        <v/>
      </c>
      <c r="AG50" s="220" t="str">
        <f>IF('[1]2026 február'!AD$7=0,
    "",
    '[1]2026 február'!AD$7
)</f>
        <v/>
      </c>
      <c r="AH50" s="220" t="str">
        <f>IF('[1]2026 február'!AE48=0,
    "",
    '[1]2026 február'!AE48
)</f>
        <v/>
      </c>
      <c r="AI50" s="220" t="str">
        <f>IF('[1]2026 február'!AF48=0,
    "",
    '[1]2026 február'!AF48
)</f>
        <v/>
      </c>
      <c r="AJ50" s="220" t="str">
        <f>IF('[1]2026 február'!AG48=0,
    "",
    '[1]2026 február'!AG48
)</f>
        <v/>
      </c>
      <c r="AK50" s="220" t="str">
        <f>IF('[1]2026 február'!AH48=0,
    "",
    '[1]2026 február'!AH48
)</f>
        <v/>
      </c>
    </row>
    <row r="51" spans="1:37" ht="15" customHeight="1">
      <c r="A51" s="141">
        <v>46060</v>
      </c>
      <c r="B51" s="142"/>
      <c r="C51" s="142"/>
      <c r="D51" s="142"/>
      <c r="E51" s="142"/>
      <c r="F51" s="142"/>
      <c r="G51" s="142"/>
      <c r="H51" s="142"/>
      <c r="I51" s="142"/>
      <c r="J51" s="143"/>
      <c r="K51" s="146"/>
      <c r="L51" s="257"/>
      <c r="M51" s="158"/>
      <c r="N51" s="158"/>
      <c r="P51" s="267" t="str">
        <f>IF('[1]2026 február'!B$7=0,
    "",
    '[1]2026 február'!B$7
)</f>
        <v/>
      </c>
      <c r="Q51" s="267" t="str">
        <f>IF(OR('[1]2026 február'!G49=0,
       ISBLANK('[1]2026 február'!G49)),
    "",
    '[1]2026 február'!G49
)</f>
        <v/>
      </c>
      <c r="R51" s="11">
        <f>'[1]2026 február'!W49</f>
        <v>0</v>
      </c>
      <c r="S51" s="11"/>
      <c r="T51" s="11"/>
      <c r="U51" s="10"/>
      <c r="V51" s="267" t="str">
        <f>IF('[1]2026 február'!S49=0,
    "",
    '[1]2026 február'!S49
)</f>
        <v/>
      </c>
      <c r="W51" s="267" t="str">
        <f>IF('[1]2026 február'!T49=0,
    "",
    '[1]2026 február'!T49
)</f>
        <v/>
      </c>
      <c r="X51" s="267" t="str">
        <f>IF('[1]2026 február'!U49=0,
    "",
    '[1]2026 február'!U49
)</f>
        <v/>
      </c>
      <c r="Y51" s="267" t="str">
        <f>IF('[1]2026 február'!V49=0,
    "",
    '[1]2026 február'!V49
)</f>
        <v/>
      </c>
      <c r="Z51" s="267" t="str">
        <f>IF('[1]2026 február'!W49=0,
    "",
    '[1]2026 február'!W49
)</f>
        <v/>
      </c>
      <c r="AA51" s="267" t="str">
        <f>IF('[1]2026 február'!X49=0,
    "",
    '[1]2026 február'!X49
)</f>
        <v/>
      </c>
      <c r="AB51" s="267" t="str">
        <f>IF('[1]2026 február'!Y49=0,
    "",
    '[1]2026 február'!Y49
)</f>
        <v/>
      </c>
      <c r="AC51" s="267" t="str">
        <f>IF('[1]2026 február'!Z49=0,
    "",
    '[1]2026 február'!Z49
)</f>
        <v/>
      </c>
      <c r="AD51" s="220" t="str">
        <f>IF('[1]2026 február'!AA49=0,
    "",
    '[1]2026 február'!AA49
)</f>
        <v/>
      </c>
      <c r="AE51" s="220" t="str">
        <f>IF('[1]2026 február'!AB$8=0,
    "",
    '[1]2026 február'!AB$8
)</f>
        <v/>
      </c>
      <c r="AF51" s="220" t="str">
        <f>IF('[1]2026 február'!AC$8=0,
    "",
    '[1]2026 február'!AC$8
)</f>
        <v/>
      </c>
      <c r="AG51" s="220" t="str">
        <f>IF('[1]2026 február'!AD$8=0,
    "",
    '[1]2026 február'!AD$8
)</f>
        <v/>
      </c>
      <c r="AH51" s="220" t="str">
        <f>IF('[1]2026 február'!AE49=0,
    "",
    '[1]2026 február'!AE49
)</f>
        <v/>
      </c>
      <c r="AI51" s="220" t="str">
        <f>IF('[1]2026 február'!AF49=0,
    "",
    '[1]2026 február'!AF49
)</f>
        <v/>
      </c>
      <c r="AJ51" s="220" t="str">
        <f>IF('[1]2026 február'!AG49=0,
    "",
    '[1]2026 február'!AG49
)</f>
        <v/>
      </c>
      <c r="AK51" s="220" t="str">
        <f>IF('[1]2026 február'!AH49=0,
    "",
    '[1]2026 február'!AH49
)</f>
        <v/>
      </c>
    </row>
    <row r="52" spans="1:37" ht="15" customHeight="1">
      <c r="A52" s="141">
        <v>46061</v>
      </c>
      <c r="B52" s="142"/>
      <c r="C52" s="142"/>
      <c r="D52" s="142"/>
      <c r="E52" s="142"/>
      <c r="F52" s="142"/>
      <c r="G52" s="142"/>
      <c r="H52" s="142"/>
      <c r="I52" s="142"/>
      <c r="J52" s="143"/>
      <c r="K52" s="146"/>
      <c r="L52" s="257"/>
      <c r="M52" s="158"/>
      <c r="N52" s="158"/>
      <c r="P52" s="267" t="str">
        <f>IF('[1]2026 február'!B$8=0,
    "",
    '[1]2026 február'!B$8
)</f>
        <v/>
      </c>
      <c r="Q52" s="267" t="str">
        <f>IF(OR('[1]2026 február'!G50=0,
       ISBLANK('[1]2026 február'!G50)),
    "",
    '[1]2026 február'!G50
)</f>
        <v/>
      </c>
      <c r="R52" s="11">
        <f>'[1]2026 február'!W50</f>
        <v>0</v>
      </c>
      <c r="S52" s="11"/>
      <c r="T52" s="11"/>
      <c r="U52" s="10"/>
      <c r="V52" s="267" t="str">
        <f>IF('[1]2026 február'!S50=0,
    "",
    '[1]2026 február'!S50
)</f>
        <v/>
      </c>
      <c r="W52" s="267" t="str">
        <f>IF('[1]2026 február'!T50=0,
    "",
    '[1]2026 február'!T50
)</f>
        <v/>
      </c>
      <c r="X52" s="267" t="str">
        <f>IF('[1]2026 február'!U50=0,
    "",
    '[1]2026 február'!U50
)</f>
        <v/>
      </c>
      <c r="Y52" s="267" t="str">
        <f>IF('[1]2026 február'!V50=0,
    "",
    '[1]2026 február'!V50
)</f>
        <v/>
      </c>
      <c r="Z52" s="267" t="str">
        <f>IF('[1]2026 február'!W50=0,
    "",
    '[1]2026 február'!W50
)</f>
        <v/>
      </c>
      <c r="AA52" s="267" t="str">
        <f>IF('[1]2026 február'!X50=0,
    "",
    '[1]2026 február'!X50
)</f>
        <v/>
      </c>
      <c r="AB52" s="267" t="str">
        <f>IF('[1]2026 február'!Y50=0,
    "",
    '[1]2026 február'!Y50
)</f>
        <v/>
      </c>
      <c r="AC52" s="267" t="str">
        <f>IF('[1]2026 február'!Z50=0,
    "",
    '[1]2026 február'!Z50
)</f>
        <v/>
      </c>
      <c r="AD52" s="220" t="str">
        <f>IF('[1]2026 február'!AA50=0,
    "",
    '[1]2026 február'!AA50
)</f>
        <v/>
      </c>
      <c r="AE52" s="220" t="str">
        <f>IF('[1]2026 február'!AB$9=0,
    "",
    '[1]2026 február'!AB$9
)</f>
        <v/>
      </c>
      <c r="AF52" s="220" t="str">
        <f>IF('[1]2026 február'!AC$9=0,
    "",
    '[1]2026 február'!AC$9
)</f>
        <v/>
      </c>
      <c r="AG52" s="220" t="str">
        <f>IF('[1]2026 február'!AD$9=0,
    "",
    '[1]2026 február'!AD$9
)</f>
        <v/>
      </c>
      <c r="AH52" s="220" t="str">
        <f>IF('[1]2026 február'!AE50=0,
    "",
    '[1]2026 február'!AE50
)</f>
        <v/>
      </c>
      <c r="AI52" s="220" t="str">
        <f>IF('[1]2026 február'!AF50=0,
    "",
    '[1]2026 február'!AF50
)</f>
        <v/>
      </c>
      <c r="AJ52" s="220" t="str">
        <f>IF('[1]2026 február'!AG50=0,
    "",
    '[1]2026 február'!AG50
)</f>
        <v/>
      </c>
      <c r="AK52" s="220" t="str">
        <f>IF('[1]2026 február'!AH50=0,
    "",
    '[1]2026 február'!AH50
)</f>
        <v/>
      </c>
    </row>
    <row r="53" spans="1:37" ht="15" customHeight="1">
      <c r="A53" s="141">
        <v>46062</v>
      </c>
      <c r="B53" s="11">
        <v>341880</v>
      </c>
      <c r="C53" s="11">
        <v>900</v>
      </c>
      <c r="D53" s="11">
        <v>217171</v>
      </c>
      <c r="E53" s="11"/>
      <c r="F53" s="11">
        <v>149199</v>
      </c>
      <c r="G53" s="11">
        <v>25105</v>
      </c>
      <c r="H53" s="11">
        <v>342165</v>
      </c>
      <c r="I53" s="11">
        <v>342165</v>
      </c>
      <c r="J53" s="38" t="s">
        <v>109</v>
      </c>
      <c r="K53" s="72">
        <v>221668859</v>
      </c>
      <c r="L53" s="258"/>
      <c r="M53" s="9"/>
      <c r="N53" s="9"/>
      <c r="P53" s="267">
        <f>IF('[1]2026 február'!B$9=0,
    "",
    '[1]2026 február'!B$9
)</f>
        <v>327270</v>
      </c>
      <c r="Q53" s="267" t="str">
        <f>IF(OR('[1]2026 február'!G51=0,
       ISBLANK('[1]2026 február'!G51)),
    "",
    '[1]2026 február'!G51
)</f>
        <v/>
      </c>
      <c r="R53" s="11">
        <f>'[1]2026 február'!W51</f>
        <v>0</v>
      </c>
      <c r="S53" s="11"/>
      <c r="T53" s="11"/>
      <c r="U53" s="10"/>
      <c r="V53" s="267" t="str">
        <f>IF('[1]2026 február'!S51=0,
    "",
    '[1]2026 február'!S51
)</f>
        <v/>
      </c>
      <c r="W53" s="267" t="str">
        <f>IF('[1]2026 február'!T51=0,
    "",
    '[1]2026 február'!T51
)</f>
        <v/>
      </c>
      <c r="X53" s="267" t="str">
        <f>IF('[1]2026 február'!U51=0,
    "",
    '[1]2026 február'!U51
)</f>
        <v/>
      </c>
      <c r="Y53" s="267" t="str">
        <f>IF('[1]2026 február'!V51=0,
    "",
    '[1]2026 február'!V51
)</f>
        <v/>
      </c>
      <c r="Z53" s="267" t="str">
        <f>IF('[1]2026 február'!W51=0,
    "",
    '[1]2026 február'!W51
)</f>
        <v/>
      </c>
      <c r="AA53" s="267" t="str">
        <f>IF('[1]2026 február'!X51=0,
    "",
    '[1]2026 február'!X51
)</f>
        <v/>
      </c>
      <c r="AB53" s="267" t="str">
        <f>IF('[1]2026 február'!Y51=0,
    "",
    '[1]2026 február'!Y51
)</f>
        <v/>
      </c>
      <c r="AC53" s="267" t="str">
        <f>IF('[1]2026 február'!Z51=0,
    "",
    '[1]2026 február'!Z51
)</f>
        <v/>
      </c>
      <c r="AD53" s="220" t="str">
        <f>IF('[1]2026 február'!AA51=0,
    "",
    '[1]2026 február'!AA51
)</f>
        <v/>
      </c>
      <c r="AE53" s="220" t="str">
        <f>IF('[1]2026 február'!AB$10=0,
    "",
    '[1]2026 február'!AB$10
)</f>
        <v/>
      </c>
      <c r="AF53" s="220" t="str">
        <f>IF('[1]2026 február'!AC$10=0,
    "",
    '[1]2026 február'!AC$10
)</f>
        <v/>
      </c>
      <c r="AG53" s="220" t="str">
        <f>IF('[1]2026 február'!AD$10=0,
    "",
    '[1]2026 február'!AD$10
)</f>
        <v/>
      </c>
      <c r="AH53" s="220" t="str">
        <f>IF('[1]2026 február'!AE51=0,
    "",
    '[1]2026 február'!AE51
)</f>
        <v/>
      </c>
      <c r="AI53" s="220" t="str">
        <f>IF('[1]2026 február'!AF51=0,
    "",
    '[1]2026 február'!AF51
)</f>
        <v/>
      </c>
      <c r="AJ53" s="220" t="str">
        <f>IF('[1]2026 február'!AG51=0,
    "",
    '[1]2026 február'!AG51
)</f>
        <v/>
      </c>
      <c r="AK53" s="220" t="str">
        <f>IF('[1]2026 február'!AH51=0,
    "",
    '[1]2026 február'!AH51
)</f>
        <v/>
      </c>
    </row>
    <row r="54" spans="1:37" ht="15" customHeight="1">
      <c r="A54" s="141">
        <v>46063</v>
      </c>
      <c r="B54" s="11">
        <v>449295</v>
      </c>
      <c r="C54" s="11">
        <v>1200</v>
      </c>
      <c r="D54" s="11">
        <v>220070</v>
      </c>
      <c r="E54" s="11"/>
      <c r="F54" s="11">
        <v>215495</v>
      </c>
      <c r="G54" s="11">
        <v>34730</v>
      </c>
      <c r="H54" s="11">
        <v>402035</v>
      </c>
      <c r="I54" s="11">
        <v>402035</v>
      </c>
      <c r="J54" s="38" t="s">
        <v>181</v>
      </c>
      <c r="K54" s="72">
        <v>222105624</v>
      </c>
      <c r="L54" s="258"/>
      <c r="M54" s="9"/>
      <c r="N54" s="9"/>
      <c r="P54" s="267">
        <f>IF('[1]2026 február'!B$10=0,
    "",
    '[1]2026 február'!B$10
)</f>
        <v>435065</v>
      </c>
      <c r="Q54" s="267" t="str">
        <f>IF(OR('[1]2026 február'!G52=0,
       ISBLANK('[1]2026 február'!G52)),
    "",
    '[1]2026 február'!G52
)</f>
        <v/>
      </c>
      <c r="R54" s="11">
        <f>'[1]2026 február'!W52</f>
        <v>0</v>
      </c>
      <c r="S54" s="11"/>
      <c r="T54" s="11"/>
      <c r="U54" s="10"/>
      <c r="V54" s="267" t="str">
        <f>IF('[1]2026 február'!S52=0,
    "",
    '[1]2026 február'!S52
)</f>
        <v/>
      </c>
      <c r="W54" s="267" t="str">
        <f>IF('[1]2026 február'!T52=0,
    "",
    '[1]2026 február'!T52
)</f>
        <v/>
      </c>
      <c r="X54" s="267" t="str">
        <f>IF('[1]2026 február'!U52=0,
    "",
    '[1]2026 február'!U52
)</f>
        <v/>
      </c>
      <c r="Y54" s="267" t="str">
        <f>IF('[1]2026 február'!V52=0,
    "",
    '[1]2026 február'!V52
)</f>
        <v/>
      </c>
      <c r="Z54" s="267" t="str">
        <f>IF('[1]2026 február'!W52=0,
    "",
    '[1]2026 február'!W52
)</f>
        <v/>
      </c>
      <c r="AA54" s="267" t="str">
        <f>IF('[1]2026 február'!X52=0,
    "",
    '[1]2026 február'!X52
)</f>
        <v/>
      </c>
      <c r="AB54" s="267" t="str">
        <f>IF('[1]2026 február'!Y52=0,
    "",
    '[1]2026 február'!Y52
)</f>
        <v/>
      </c>
      <c r="AC54" s="267" t="str">
        <f>IF('[1]2026 február'!Z52=0,
    "",
    '[1]2026 február'!Z52
)</f>
        <v/>
      </c>
      <c r="AD54" s="220" t="str">
        <f>IF('[1]2026 február'!AA52=0,
    "",
    '[1]2026 február'!AA52
)</f>
        <v/>
      </c>
      <c r="AE54" s="220" t="str">
        <f>IF('[1]2026 február'!AB$11=0,
    "",
    '[1]2026 február'!AB$11
)</f>
        <v>Vip töltés</v>
      </c>
      <c r="AF54" s="220" t="str">
        <f>IF('[1]2026 február'!AC$11=0,
    "",
    '[1]2026 február'!AC$11
)</f>
        <v/>
      </c>
      <c r="AG54" s="220" t="str">
        <f>IF('[1]2026 február'!AD$11=0,
    "",
    '[1]2026 február'!AD$11
)</f>
        <v/>
      </c>
      <c r="AH54" s="220" t="str">
        <f>IF('[1]2026 február'!AE52=0,
    "",
    '[1]2026 február'!AE52
)</f>
        <v/>
      </c>
      <c r="AI54" s="220" t="str">
        <f>IF('[1]2026 február'!AF52=0,
    "",
    '[1]2026 február'!AF52
)</f>
        <v/>
      </c>
      <c r="AJ54" s="220" t="str">
        <f>IF('[1]2026 február'!AG52=0,
    "",
    '[1]2026 február'!AG52
)</f>
        <v/>
      </c>
      <c r="AK54" s="220" t="str">
        <f>IF('[1]2026 február'!AH52=0,
    "",
    '[1]2026 február'!AH52
)</f>
        <v/>
      </c>
    </row>
    <row r="55" spans="1:37" ht="15" customHeight="1">
      <c r="A55" s="141">
        <v>46064</v>
      </c>
      <c r="B55" s="11">
        <v>453595</v>
      </c>
      <c r="C55" s="11">
        <v>1000</v>
      </c>
      <c r="D55" s="11">
        <v>241425</v>
      </c>
      <c r="E55" s="11"/>
      <c r="F55" s="11">
        <v>211680</v>
      </c>
      <c r="G55" s="11">
        <v>23345</v>
      </c>
      <c r="H55" s="11">
        <v>430760</v>
      </c>
      <c r="I55" s="11">
        <v>430760</v>
      </c>
      <c r="J55" s="38" t="s">
        <v>182</v>
      </c>
      <c r="K55" s="72">
        <v>222559729</v>
      </c>
      <c r="L55" s="258"/>
      <c r="M55" s="9"/>
      <c r="N55" s="9"/>
      <c r="P55" s="267">
        <f>IF('[1]2026 február'!B$11=0,
    "",
    '[1]2026 február'!B$11
)</f>
        <v>434105</v>
      </c>
      <c r="Q55" s="267" t="str">
        <f>IF(OR('[1]2026 február'!G53=0,
       ISBLANK('[1]2026 február'!G53)),
    "",
    '[1]2026 február'!G53
)</f>
        <v/>
      </c>
      <c r="R55" s="11">
        <f>'[1]2026 február'!W53</f>
        <v>0</v>
      </c>
      <c r="S55" s="11"/>
      <c r="T55" s="11"/>
      <c r="U55" s="10"/>
      <c r="V55" s="267" t="str">
        <f>IF('[1]2026 február'!S53=0,
    "",
    '[1]2026 február'!S53
)</f>
        <v/>
      </c>
      <c r="W55" s="267" t="str">
        <f>IF('[1]2026 február'!T53=0,
    "",
    '[1]2026 február'!T53
)</f>
        <v/>
      </c>
      <c r="X55" s="267" t="str">
        <f>IF('[1]2026 február'!U53=0,
    "",
    '[1]2026 február'!U53
)</f>
        <v/>
      </c>
      <c r="Y55" s="267" t="str">
        <f>IF('[1]2026 február'!V53=0,
    "",
    '[1]2026 február'!V53
)</f>
        <v/>
      </c>
      <c r="Z55" s="267" t="str">
        <f>IF('[1]2026 február'!W53=0,
    "",
    '[1]2026 február'!W53
)</f>
        <v/>
      </c>
      <c r="AA55" s="267" t="str">
        <f>IF('[1]2026 február'!X53=0,
    "",
    '[1]2026 február'!X53
)</f>
        <v/>
      </c>
      <c r="AB55" s="267" t="str">
        <f>IF('[1]2026 február'!Y53=0,
    "",
    '[1]2026 február'!Y53
)</f>
        <v/>
      </c>
      <c r="AC55" s="267" t="str">
        <f>IF('[1]2026 február'!Z53=0,
    "",
    '[1]2026 február'!Z53
)</f>
        <v/>
      </c>
      <c r="AD55" s="220" t="str">
        <f>IF('[1]2026 február'!AA53=0,
    "",
    '[1]2026 február'!AA53
)</f>
        <v/>
      </c>
      <c r="AE55" s="220" t="str">
        <f>IF('[1]2026 február'!AB$12=0,
    "",
    '[1]2026 február'!AB$12
)</f>
        <v/>
      </c>
      <c r="AF55" s="220" t="str">
        <f>IF('[1]2026 február'!AC$12=0,
    "",
    '[1]2026 február'!AC$12
)</f>
        <v/>
      </c>
      <c r="AG55" s="220" t="str">
        <f>IF('[1]2026 február'!AD$12=0,
    "",
    '[1]2026 február'!AD$12
)</f>
        <v/>
      </c>
      <c r="AH55" s="220" t="str">
        <f>IF('[1]2026 február'!AE53=0,
    "",
    '[1]2026 február'!AE53
)</f>
        <v/>
      </c>
      <c r="AI55" s="220" t="str">
        <f>IF('[1]2026 február'!AF53=0,
    "",
    '[1]2026 február'!AF53
)</f>
        <v/>
      </c>
      <c r="AJ55" s="220" t="str">
        <f>IF('[1]2026 február'!AG53=0,
    "",
    '[1]2026 február'!AG53
)</f>
        <v/>
      </c>
      <c r="AK55" s="220" t="str">
        <f>IF('[1]2026 február'!AH53=0,
    "",
    '[1]2026 február'!AH53
)</f>
        <v/>
      </c>
    </row>
    <row r="56" spans="1:37" ht="15" customHeight="1">
      <c r="A56" s="141">
        <v>46065</v>
      </c>
      <c r="B56" s="11">
        <v>458575</v>
      </c>
      <c r="C56" s="11">
        <v>1300</v>
      </c>
      <c r="D56" s="11">
        <v>295950</v>
      </c>
      <c r="E56" s="11"/>
      <c r="F56" s="11">
        <v>176995</v>
      </c>
      <c r="G56" s="11">
        <v>30370</v>
      </c>
      <c r="H56" s="11">
        <v>443875</v>
      </c>
      <c r="I56" s="11">
        <v>443875</v>
      </c>
      <c r="J56" s="38" t="s">
        <v>183</v>
      </c>
      <c r="K56" s="72">
        <v>223033974</v>
      </c>
      <c r="L56" s="258"/>
      <c r="M56" s="378"/>
      <c r="N56" s="9"/>
      <c r="P56" s="267">
        <f>IF('[1]2026 február'!B$12=0,
    "",
    '[1]2026 február'!B$12
)</f>
        <v>444245</v>
      </c>
      <c r="Q56" s="267" t="str">
        <f>IF(OR('[1]2026 február'!G54=0,
       ISBLANK('[1]2026 február'!G54)),
    "",
    '[1]2026 február'!G54
)</f>
        <v/>
      </c>
      <c r="R56" s="11">
        <f>'[1]2026 február'!W54</f>
        <v>0</v>
      </c>
      <c r="S56" s="11"/>
      <c r="T56" s="11"/>
      <c r="U56" s="10"/>
      <c r="V56" s="267" t="str">
        <f>IF('[1]2026 február'!S54=0,
    "",
    '[1]2026 február'!S54
)</f>
        <v/>
      </c>
      <c r="W56" s="267" t="str">
        <f>IF('[1]2026 február'!T54=0,
    "",
    '[1]2026 február'!T54
)</f>
        <v/>
      </c>
      <c r="X56" s="267" t="str">
        <f>IF('[1]2026 február'!U54=0,
    "",
    '[1]2026 február'!U54
)</f>
        <v/>
      </c>
      <c r="Y56" s="267" t="str">
        <f>IF('[1]2026 február'!V54=0,
    "",
    '[1]2026 február'!V54
)</f>
        <v/>
      </c>
      <c r="Z56" s="267" t="str">
        <f>IF('[1]2026 február'!W54=0,
    "",
    '[1]2026 február'!W54
)</f>
        <v/>
      </c>
      <c r="AA56" s="267" t="str">
        <f>IF('[1]2026 február'!X54=0,
    "",
    '[1]2026 február'!X54
)</f>
        <v/>
      </c>
      <c r="AB56" s="267" t="str">
        <f>IF('[1]2026 február'!Y54=0,
    "",
    '[1]2026 február'!Y54
)</f>
        <v/>
      </c>
      <c r="AC56" s="267" t="str">
        <f>IF('[1]2026 február'!Z54=0,
    "",
    '[1]2026 február'!Z54
)</f>
        <v/>
      </c>
      <c r="AD56" s="220" t="str">
        <f>IF('[1]2026 február'!AA54=0,
    "",
    '[1]2026 február'!AA54
)</f>
        <v/>
      </c>
      <c r="AE56" s="220" t="str">
        <f>IF('[1]2026 február'!AB$13=0,
    "",
    '[1]2026 február'!AB$13
)</f>
        <v/>
      </c>
      <c r="AF56" s="220" t="str">
        <f>IF('[1]2026 február'!AC$13=0,
    "",
    '[1]2026 február'!AC$13
)</f>
        <v/>
      </c>
      <c r="AG56" s="220" t="str">
        <f>IF('[1]2026 február'!AD$13=0,
    "",
    '[1]2026 február'!AD$13
)</f>
        <v/>
      </c>
      <c r="AH56" s="220" t="str">
        <f>IF('[1]2026 február'!AE54=0,
    "",
    '[1]2026 február'!AE54
)</f>
        <v/>
      </c>
      <c r="AI56" s="220" t="str">
        <f>IF('[1]2026 február'!AF54=0,
    "",
    '[1]2026 február'!AF54
)</f>
        <v/>
      </c>
      <c r="AJ56" s="220" t="str">
        <f>IF('[1]2026 február'!AG54=0,
    "",
    '[1]2026 február'!AG54
)</f>
        <v/>
      </c>
      <c r="AK56" s="220" t="str">
        <f>IF('[1]2026 február'!AH54=0,
    "",
    '[1]2026 február'!AH54
)</f>
        <v/>
      </c>
    </row>
    <row r="57" spans="1:37" ht="15" customHeight="1">
      <c r="A57" s="141">
        <v>46066</v>
      </c>
      <c r="B57" s="11">
        <v>291240</v>
      </c>
      <c r="C57" s="11">
        <v>600</v>
      </c>
      <c r="D57" s="11">
        <v>176955</v>
      </c>
      <c r="E57" s="11"/>
      <c r="F57" s="11">
        <v>100175</v>
      </c>
      <c r="G57" s="11">
        <v>12285</v>
      </c>
      <c r="H57" s="11">
        <v>265445</v>
      </c>
      <c r="I57" s="11">
        <v>265445</v>
      </c>
      <c r="J57" s="38" t="s">
        <v>110</v>
      </c>
      <c r="K57" s="72">
        <v>223311704</v>
      </c>
      <c r="L57" s="258"/>
      <c r="M57" s="9"/>
      <c r="N57" s="9"/>
      <c r="P57" s="267">
        <f>IF('[1]2026 február'!B$13=0,
    "",
    '[1]2026 február'!B$13
)</f>
        <v>277730</v>
      </c>
      <c r="Q57" s="267" t="str">
        <f>IF(OR('[1]2026 február'!G55=0,
       ISBLANK('[1]2026 február'!G55)),
    "",
    '[1]2026 február'!G55
)</f>
        <v/>
      </c>
      <c r="R57" s="11">
        <f>'[1]2026 február'!W55</f>
        <v>0</v>
      </c>
      <c r="S57" s="11"/>
      <c r="T57" s="11"/>
      <c r="U57" s="10"/>
      <c r="V57" s="267" t="str">
        <f>IF('[1]2026 február'!S55=0,
    "",
    '[1]2026 február'!S55
)</f>
        <v/>
      </c>
      <c r="W57" s="267" t="str">
        <f>IF('[1]2026 február'!T55=0,
    "",
    '[1]2026 február'!T55
)</f>
        <v/>
      </c>
      <c r="X57" s="267" t="str">
        <f>IF('[1]2026 február'!U55=0,
    "",
    '[1]2026 február'!U55
)</f>
        <v/>
      </c>
      <c r="Y57" s="267" t="str">
        <f>IF('[1]2026 február'!V55=0,
    "",
    '[1]2026 február'!V55
)</f>
        <v/>
      </c>
      <c r="Z57" s="267" t="str">
        <f>IF('[1]2026 február'!W55=0,
    "",
    '[1]2026 február'!W55
)</f>
        <v/>
      </c>
      <c r="AA57" s="267" t="str">
        <f>IF('[1]2026 február'!X55=0,
    "",
    '[1]2026 február'!X55
)</f>
        <v/>
      </c>
      <c r="AB57" s="267" t="str">
        <f>IF('[1]2026 február'!Y55=0,
    "",
    '[1]2026 február'!Y55
)</f>
        <v/>
      </c>
      <c r="AC57" s="267" t="str">
        <f>IF('[1]2026 február'!Z55=0,
    "",
    '[1]2026 február'!Z55
)</f>
        <v/>
      </c>
      <c r="AD57" s="220" t="str">
        <f>IF('[1]2026 február'!AA55=0,
    "",
    '[1]2026 február'!AA55
)</f>
        <v/>
      </c>
      <c r="AE57" s="220" t="str">
        <f>IF('[1]2026 február'!AB$14=0,
    "",
    '[1]2026 február'!AB$14
)</f>
        <v/>
      </c>
      <c r="AF57" s="220" t="str">
        <f>IF('[1]2026 február'!AC$14=0,
    "",
    '[1]2026 február'!AC$14
)</f>
        <v/>
      </c>
      <c r="AG57" s="220" t="str">
        <f>IF('[1]2026 február'!AD$14=0,
    "",
    '[1]2026 február'!AD$14
)</f>
        <v/>
      </c>
      <c r="AH57" s="220" t="str">
        <f>IF('[1]2026 február'!AE55=0,
    "",
    '[1]2026 február'!AE55
)</f>
        <v/>
      </c>
      <c r="AI57" s="220" t="str">
        <f>IF('[1]2026 február'!AF55=0,
    "",
    '[1]2026 február'!AF55
)</f>
        <v/>
      </c>
      <c r="AJ57" s="220" t="str">
        <f>IF('[1]2026 február'!AG55=0,
    "",
    '[1]2026 február'!AG55
)</f>
        <v/>
      </c>
      <c r="AK57" s="220" t="str">
        <f>IF('[1]2026 február'!AH55=0,
    "",
    '[1]2026 február'!AH55
)</f>
        <v/>
      </c>
    </row>
    <row r="58" spans="1:37" ht="15" customHeight="1">
      <c r="A58" s="141">
        <v>46067</v>
      </c>
      <c r="B58" s="142"/>
      <c r="C58" s="142"/>
      <c r="D58" s="142"/>
      <c r="E58" s="142"/>
      <c r="F58" s="142"/>
      <c r="G58" s="142"/>
      <c r="H58" s="142"/>
      <c r="I58" s="142"/>
      <c r="J58" s="143"/>
      <c r="K58" s="146"/>
      <c r="L58" s="257"/>
      <c r="M58" s="158"/>
      <c r="N58" s="158"/>
      <c r="P58" s="267" t="str">
        <f>IF('[1]2026 február'!B$14=0,
    "",
    '[1]2026 február'!B$14
)</f>
        <v/>
      </c>
      <c r="Q58" s="267" t="str">
        <f>IF(OR('[1]2026 február'!G56=0,
       ISBLANK('[1]2026 február'!G56)),
    "",
    '[1]2026 február'!G56
)</f>
        <v/>
      </c>
      <c r="R58" s="11">
        <f>'[1]2026 február'!W56</f>
        <v>0</v>
      </c>
      <c r="S58" s="11"/>
      <c r="T58" s="11"/>
      <c r="U58" s="10"/>
      <c r="V58" s="267" t="str">
        <f>IF('[1]2026 február'!S56=0,
    "",
    '[1]2026 február'!S56
)</f>
        <v/>
      </c>
      <c r="W58" s="267" t="str">
        <f>IF('[1]2026 február'!T56=0,
    "",
    '[1]2026 február'!T56
)</f>
        <v/>
      </c>
      <c r="X58" s="267" t="str">
        <f>IF('[1]2026 február'!U56=0,
    "",
    '[1]2026 február'!U56
)</f>
        <v/>
      </c>
      <c r="Y58" s="267" t="str">
        <f>IF('[1]2026 február'!V56=0,
    "",
    '[1]2026 február'!V56
)</f>
        <v/>
      </c>
      <c r="Z58" s="267" t="str">
        <f>IF('[1]2026 február'!W56=0,
    "",
    '[1]2026 február'!W56
)</f>
        <v/>
      </c>
      <c r="AA58" s="267" t="str">
        <f>IF('[1]2026 február'!X56=0,
    "",
    '[1]2026 február'!X56
)</f>
        <v/>
      </c>
      <c r="AB58" s="267" t="str">
        <f>IF('[1]2026 február'!Y56=0,
    "",
    '[1]2026 február'!Y56
)</f>
        <v/>
      </c>
      <c r="AC58" s="267" t="str">
        <f>IF('[1]2026 február'!Z56=0,
    "",
    '[1]2026 február'!Z56
)</f>
        <v/>
      </c>
      <c r="AD58" s="220" t="str">
        <f>IF('[1]2026 február'!AA56=0,
    "",
    '[1]2026 február'!AA56
)</f>
        <v/>
      </c>
      <c r="AE58" s="220" t="str">
        <f>IF('[1]2026 február'!AB$15=0,
    "",
    '[1]2026 február'!AB$15
)</f>
        <v/>
      </c>
      <c r="AF58" s="220" t="str">
        <f>IF('[1]2026 február'!AC$15=0,
    "",
    '[1]2026 február'!AC$15
)</f>
        <v/>
      </c>
      <c r="AG58" s="220" t="str">
        <f>IF('[1]2026 február'!AD$15=0,
    "",
    '[1]2026 február'!AD$15
)</f>
        <v/>
      </c>
      <c r="AH58" s="220" t="str">
        <f>IF('[1]2026 február'!AE56=0,
    "",
    '[1]2026 február'!AE56
)</f>
        <v/>
      </c>
      <c r="AI58" s="220" t="str">
        <f>IF('[1]2026 február'!AF56=0,
    "",
    '[1]2026 február'!AF56
)</f>
        <v/>
      </c>
      <c r="AJ58" s="220" t="str">
        <f>IF('[1]2026 február'!AG56=0,
    "",
    '[1]2026 február'!AG56
)</f>
        <v/>
      </c>
      <c r="AK58" s="220" t="str">
        <f>IF('[1]2026 február'!AH56=0,
    "",
    '[1]2026 február'!AH56
)</f>
        <v/>
      </c>
    </row>
    <row r="59" spans="1:37" ht="15" customHeight="1">
      <c r="A59" s="141">
        <v>46068</v>
      </c>
      <c r="B59" s="142"/>
      <c r="C59" s="142"/>
      <c r="D59" s="142"/>
      <c r="E59" s="142"/>
      <c r="F59" s="142"/>
      <c r="G59" s="142"/>
      <c r="H59" s="142"/>
      <c r="I59" s="142"/>
      <c r="J59" s="143"/>
      <c r="K59" s="146"/>
      <c r="L59" s="257"/>
      <c r="M59" s="158"/>
      <c r="N59" s="158"/>
      <c r="P59" s="267" t="str">
        <f>IF('[1]2026 február'!B$15=0,
    "",
    '[1]2026 február'!B$15
)</f>
        <v/>
      </c>
      <c r="Q59" s="267" t="str">
        <f>IF(OR('[1]2026 február'!G57=0,
       ISBLANK('[1]2026 február'!G57)),
    "",
    '[1]2026 február'!G57
)</f>
        <v/>
      </c>
      <c r="R59" s="11">
        <f>'[1]2026 február'!W57</f>
        <v>0</v>
      </c>
      <c r="S59" s="11"/>
      <c r="T59" s="11"/>
      <c r="U59" s="10"/>
      <c r="V59" s="267" t="str">
        <f>IF('[1]2026 február'!S57=0,
    "",
    '[1]2026 február'!S57
)</f>
        <v/>
      </c>
      <c r="W59" s="267" t="str">
        <f>IF('[1]2026 február'!T57=0,
    "",
    '[1]2026 február'!T57
)</f>
        <v/>
      </c>
      <c r="X59" s="267" t="str">
        <f>IF('[1]2026 február'!U57=0,
    "",
    '[1]2026 február'!U57
)</f>
        <v/>
      </c>
      <c r="Y59" s="267" t="str">
        <f>IF('[1]2026 február'!V57=0,
    "",
    '[1]2026 február'!V57
)</f>
        <v/>
      </c>
      <c r="Z59" s="267" t="str">
        <f>IF('[1]2026 február'!W57=0,
    "",
    '[1]2026 február'!W57
)</f>
        <v/>
      </c>
      <c r="AA59" s="267" t="str">
        <f>IF('[1]2026 február'!X57=0,
    "",
    '[1]2026 február'!X57
)</f>
        <v/>
      </c>
      <c r="AB59" s="267" t="str">
        <f>IF('[1]2026 február'!Y57=0,
    "",
    '[1]2026 február'!Y57
)</f>
        <v/>
      </c>
      <c r="AC59" s="267" t="str">
        <f>IF('[1]2026 február'!Z57=0,
    "",
    '[1]2026 február'!Z57
)</f>
        <v/>
      </c>
      <c r="AD59" s="220" t="str">
        <f>IF('[1]2026 február'!AA57=0,
    "",
    '[1]2026 február'!AA57
)</f>
        <v/>
      </c>
      <c r="AE59" s="220" t="str">
        <f>IF('[1]2026 február'!AB$16=0,
    "",
    '[1]2026 február'!AB$16
)</f>
        <v/>
      </c>
      <c r="AF59" s="220" t="str">
        <f>IF('[1]2026 február'!AC$16=0,
    "",
    '[1]2026 február'!AC$16
)</f>
        <v/>
      </c>
      <c r="AG59" s="220" t="str">
        <f>IF('[1]2026 február'!AD$16=0,
    "",
    '[1]2026 február'!AD$16
)</f>
        <v/>
      </c>
      <c r="AH59" s="220" t="str">
        <f>IF('[1]2026 február'!AE57=0,
    "",
    '[1]2026 február'!AE57
)</f>
        <v/>
      </c>
      <c r="AI59" s="220" t="str">
        <f>IF('[1]2026 február'!AF57=0,
    "",
    '[1]2026 február'!AF57
)</f>
        <v/>
      </c>
      <c r="AJ59" s="220" t="str">
        <f>IF('[1]2026 február'!AG57=0,
    "",
    '[1]2026 február'!AG57
)</f>
        <v/>
      </c>
      <c r="AK59" s="220" t="str">
        <f>IF('[1]2026 február'!AH57=0,
    "",
    '[1]2026 február'!AH57
)</f>
        <v/>
      </c>
    </row>
    <row r="60" spans="1:37" ht="15" customHeight="1">
      <c r="A60" s="141">
        <v>46069</v>
      </c>
      <c r="B60" s="11">
        <v>353405</v>
      </c>
      <c r="C60" s="11">
        <v>800</v>
      </c>
      <c r="D60" s="11">
        <v>180420</v>
      </c>
      <c r="E60" s="11"/>
      <c r="F60" s="11">
        <v>158145</v>
      </c>
      <c r="G60" s="11">
        <v>24125</v>
      </c>
      <c r="H60" s="11">
        <v>315240</v>
      </c>
      <c r="I60" s="11">
        <v>315240</v>
      </c>
      <c r="J60" s="38" t="s">
        <v>184</v>
      </c>
      <c r="K60" s="72">
        <v>223651069</v>
      </c>
      <c r="L60" s="258"/>
      <c r="M60" s="9"/>
      <c r="N60" s="9"/>
      <c r="P60" s="267">
        <f>IF('[1]2026 február'!B$16=0,
    "",
    '[1]2026 február'!B$16
)</f>
        <v>339365</v>
      </c>
      <c r="Q60" s="267" t="str">
        <f>IF(OR('[1]2026 február'!G58=0,
       ISBLANK('[1]2026 február'!G58)),
    "",
    '[1]2026 február'!G58
)</f>
        <v/>
      </c>
      <c r="R60" s="11">
        <f>'[1]2026 február'!W58</f>
        <v>0</v>
      </c>
      <c r="S60" s="11"/>
      <c r="T60" s="11"/>
      <c r="U60" s="10"/>
      <c r="V60" s="267" t="str">
        <f>IF('[1]2026 február'!S58=0,
    "",
    '[1]2026 február'!S58
)</f>
        <v/>
      </c>
      <c r="W60" s="267" t="str">
        <f>IF('[1]2026 február'!T58=0,
    "",
    '[1]2026 február'!T58
)</f>
        <v/>
      </c>
      <c r="X60" s="267" t="str">
        <f>IF('[1]2026 február'!U58=0,
    "",
    '[1]2026 február'!U58
)</f>
        <v/>
      </c>
      <c r="Y60" s="267" t="str">
        <f>IF('[1]2026 február'!V58=0,
    "",
    '[1]2026 február'!V58
)</f>
        <v/>
      </c>
      <c r="Z60" s="267" t="str">
        <f>IF('[1]2026 február'!W58=0,
    "",
    '[1]2026 február'!W58
)</f>
        <v/>
      </c>
      <c r="AA60" s="267" t="str">
        <f>IF('[1]2026 február'!X58=0,
    "",
    '[1]2026 február'!X58
)</f>
        <v/>
      </c>
      <c r="AB60" s="267" t="str">
        <f>IF('[1]2026 február'!Y58=0,
    "",
    '[1]2026 február'!Y58
)</f>
        <v/>
      </c>
      <c r="AC60" s="267" t="str">
        <f>IF('[1]2026 február'!Z58=0,
    "",
    '[1]2026 február'!Z58
)</f>
        <v/>
      </c>
      <c r="AD60" s="220" t="str">
        <f>IF('[1]2026 február'!AA58=0,
    "",
    '[1]2026 február'!AA58
)</f>
        <v/>
      </c>
      <c r="AE60" s="220" t="str">
        <f>IF('[1]2026 február'!AB$17=0,
    "",
    '[1]2026 február'!AB$17
)</f>
        <v/>
      </c>
      <c r="AF60" s="220" t="str">
        <f>IF('[1]2026 február'!AC$17=0,
    "",
    '[1]2026 február'!AC$17
)</f>
        <v/>
      </c>
      <c r="AG60" s="220" t="str">
        <f>IF('[1]2026 február'!AD$17=0,
    "",
    '[1]2026 február'!AD$17
)</f>
        <v/>
      </c>
      <c r="AH60" s="220" t="str">
        <f>IF('[1]2026 február'!AE58=0,
    "",
    '[1]2026 február'!AE58
)</f>
        <v/>
      </c>
      <c r="AI60" s="220" t="str">
        <f>IF('[1]2026 február'!AF58=0,
    "",
    '[1]2026 február'!AF58
)</f>
        <v/>
      </c>
      <c r="AJ60" s="220" t="str">
        <f>IF('[1]2026 február'!AG58=0,
    "",
    '[1]2026 február'!AG58
)</f>
        <v/>
      </c>
      <c r="AK60" s="220" t="str">
        <f>IF('[1]2026 február'!AH58=0,
    "",
    '[1]2026 február'!AH58
)</f>
        <v/>
      </c>
    </row>
    <row r="61" spans="1:37" ht="15" customHeight="1">
      <c r="A61" s="141">
        <v>46070</v>
      </c>
      <c r="B61" s="11">
        <v>441580</v>
      </c>
      <c r="C61" s="11">
        <v>1250</v>
      </c>
      <c r="D61" s="11">
        <v>198035</v>
      </c>
      <c r="E61" s="11"/>
      <c r="F61" s="11">
        <v>276055</v>
      </c>
      <c r="G61" s="11">
        <v>19505</v>
      </c>
      <c r="H61" s="11">
        <v>455835</v>
      </c>
      <c r="I61" s="11">
        <v>455835</v>
      </c>
      <c r="J61" s="38" t="s">
        <v>185</v>
      </c>
      <c r="K61" s="72">
        <v>224126409</v>
      </c>
      <c r="L61" s="258"/>
      <c r="M61" s="9"/>
      <c r="N61" s="9"/>
      <c r="P61" s="267">
        <f>IF('[1]2026 február'!B$17=0,
    "",
    '[1]2026 február'!B$17
)</f>
        <v>425340</v>
      </c>
      <c r="Q61" s="267" t="str">
        <f>IF(OR('[1]2026 február'!G59=0,
       ISBLANK('[1]2026 február'!G59)),
    "",
    '[1]2026 február'!G59
)</f>
        <v/>
      </c>
      <c r="R61" s="11">
        <f>'[1]2026 február'!W59</f>
        <v>0</v>
      </c>
      <c r="S61" s="11"/>
      <c r="T61" s="11"/>
      <c r="U61" s="10"/>
      <c r="V61" s="267" t="str">
        <f>IF('[1]2026 február'!S59=0,
    "",
    '[1]2026 február'!S59
)</f>
        <v/>
      </c>
      <c r="W61" s="267" t="str">
        <f>IF('[1]2026 február'!T59=0,
    "",
    '[1]2026 február'!T59
)</f>
        <v/>
      </c>
      <c r="X61" s="267" t="str">
        <f>IF('[1]2026 február'!U59=0,
    "",
    '[1]2026 február'!U59
)</f>
        <v/>
      </c>
      <c r="Y61" s="267" t="str">
        <f>IF('[1]2026 február'!V59=0,
    "",
    '[1]2026 február'!V59
)</f>
        <v/>
      </c>
      <c r="Z61" s="267" t="str">
        <f>IF('[1]2026 február'!W59=0,
    "",
    '[1]2026 február'!W59
)</f>
        <v/>
      </c>
      <c r="AA61" s="267" t="str">
        <f>IF('[1]2026 február'!X59=0,
    "",
    '[1]2026 február'!X59
)</f>
        <v/>
      </c>
      <c r="AB61" s="267" t="str">
        <f>IF('[1]2026 február'!Y59=0,
    "",
    '[1]2026 február'!Y59
)</f>
        <v/>
      </c>
      <c r="AC61" s="267" t="str">
        <f>IF('[1]2026 február'!Z59=0,
    "",
    '[1]2026 február'!Z59
)</f>
        <v/>
      </c>
      <c r="AD61" s="220" t="str">
        <f>IF('[1]2026 február'!AA59=0,
    "",
    '[1]2026 február'!AA59
)</f>
        <v/>
      </c>
      <c r="AE61" s="220" t="str">
        <f>IF('[1]2026 február'!AB$18=0,
    "",
    '[1]2026 február'!AB$18
)</f>
        <v/>
      </c>
      <c r="AF61" s="220" t="str">
        <f>IF('[1]2026 február'!AC$18=0,
    "",
    '[1]2026 február'!AC$18
)</f>
        <v/>
      </c>
      <c r="AG61" s="220" t="str">
        <f>IF('[1]2026 február'!AD$18=0,
    "",
    '[1]2026 február'!AD$18
)</f>
        <v/>
      </c>
      <c r="AH61" s="220" t="str">
        <f>IF('[1]2026 február'!AE59=0,
    "",
    '[1]2026 február'!AE59
)</f>
        <v/>
      </c>
      <c r="AI61" s="220" t="str">
        <f>IF('[1]2026 február'!AF59=0,
    "",
    '[1]2026 február'!AF59
)</f>
        <v/>
      </c>
      <c r="AJ61" s="220" t="str">
        <f>IF('[1]2026 február'!AG59=0,
    "",
    '[1]2026 február'!AG59
)</f>
        <v/>
      </c>
      <c r="AK61" s="220" t="str">
        <f>IF('[1]2026 február'!AH59=0,
    "",
    '[1]2026 február'!AH59
)</f>
        <v/>
      </c>
    </row>
    <row r="62" spans="1:37" ht="15" customHeight="1">
      <c r="A62" s="141">
        <v>46071</v>
      </c>
      <c r="B62" s="11">
        <v>343075</v>
      </c>
      <c r="C62" s="11">
        <v>1040</v>
      </c>
      <c r="D62" s="11">
        <v>309810</v>
      </c>
      <c r="E62" s="11">
        <v>390</v>
      </c>
      <c r="F62" s="11">
        <v>12490</v>
      </c>
      <c r="G62" s="11">
        <v>12685</v>
      </c>
      <c r="H62" s="11">
        <v>311043</v>
      </c>
      <c r="I62" s="11">
        <v>311043</v>
      </c>
      <c r="J62" s="38" t="s">
        <v>186</v>
      </c>
      <c r="K62" s="72">
        <v>224450139</v>
      </c>
      <c r="L62" s="258"/>
      <c r="M62" s="9"/>
      <c r="N62" s="9"/>
      <c r="P62" s="267">
        <f>IF('[1]2026 február'!B$18=0,
    "",
    '[1]2026 február'!B$18
)</f>
        <v>325560</v>
      </c>
      <c r="Q62" s="267" t="str">
        <f>IF(OR('[1]2026 február'!G60=0,
       ISBLANK('[1]2026 február'!G60)),
    "",
    '[1]2026 február'!G60
)</f>
        <v/>
      </c>
      <c r="R62" s="11">
        <f>'[1]2026 február'!W60</f>
        <v>0</v>
      </c>
      <c r="S62" s="11"/>
      <c r="T62" s="11"/>
      <c r="U62" s="10"/>
      <c r="V62" s="267" t="str">
        <f>IF('[1]2026 február'!S60=0,
    "",
    '[1]2026 február'!S60
)</f>
        <v/>
      </c>
      <c r="W62" s="267" t="str">
        <f>IF('[1]2026 február'!T60=0,
    "",
    '[1]2026 február'!T60
)</f>
        <v/>
      </c>
      <c r="X62" s="267" t="str">
        <f>IF('[1]2026 február'!U60=0,
    "",
    '[1]2026 február'!U60
)</f>
        <v/>
      </c>
      <c r="Y62" s="267" t="str">
        <f>IF('[1]2026 február'!V60=0,
    "",
    '[1]2026 február'!V60
)</f>
        <v/>
      </c>
      <c r="Z62" s="267" t="str">
        <f>IF('[1]2026 február'!W60=0,
    "",
    '[1]2026 február'!W60
)</f>
        <v/>
      </c>
      <c r="AA62" s="267" t="str">
        <f>IF('[1]2026 február'!X60=0,
    "",
    '[1]2026 február'!X60
)</f>
        <v/>
      </c>
      <c r="AB62" s="267" t="str">
        <f>IF('[1]2026 február'!Y60=0,
    "",
    '[1]2026 február'!Y60
)</f>
        <v/>
      </c>
      <c r="AC62" s="267" t="str">
        <f>IF('[1]2026 február'!Z60=0,
    "",
    '[1]2026 február'!Z60
)</f>
        <v/>
      </c>
      <c r="AD62" s="220" t="str">
        <f>IF('[1]2026 február'!AA60=0,
    "",
    '[1]2026 február'!AA60
)</f>
        <v/>
      </c>
      <c r="AE62" s="220" t="str">
        <f>IF('[1]2026 február'!AB$19=0,
    "",
    '[1]2026 február'!AB$19
)</f>
        <v/>
      </c>
      <c r="AF62" s="220" t="str">
        <f>IF('[1]2026 február'!AC$19=0,
    "",
    '[1]2026 február'!AC$19
)</f>
        <v/>
      </c>
      <c r="AG62" s="220" t="str">
        <f>IF('[1]2026 február'!AD$19=0,
    "",
    '[1]2026 február'!AD$19
)</f>
        <v/>
      </c>
      <c r="AH62" s="220" t="str">
        <f>IF('[1]2026 február'!AE60=0,
    "",
    '[1]2026 február'!AE60
)</f>
        <v/>
      </c>
      <c r="AI62" s="220" t="str">
        <f>IF('[1]2026 február'!AF60=0,
    "",
    '[1]2026 február'!AF60
)</f>
        <v/>
      </c>
      <c r="AJ62" s="220" t="str">
        <f>IF('[1]2026 február'!AG60=0,
    "",
    '[1]2026 február'!AG60
)</f>
        <v/>
      </c>
      <c r="AK62" s="220" t="str">
        <f>IF('[1]2026 február'!AH60=0,
    "",
    '[1]2026 február'!AH60
)</f>
        <v/>
      </c>
    </row>
    <row r="63" spans="1:37" ht="15" customHeight="1">
      <c r="A63" s="141">
        <v>46072</v>
      </c>
      <c r="B63" s="11">
        <v>440925</v>
      </c>
      <c r="C63" s="11">
        <v>1000</v>
      </c>
      <c r="D63" s="11">
        <v>169525</v>
      </c>
      <c r="E63" s="11"/>
      <c r="F63" s="11">
        <v>297690</v>
      </c>
      <c r="G63" s="11">
        <v>23680</v>
      </c>
      <c r="H63" s="11">
        <v>444535</v>
      </c>
      <c r="I63" s="11">
        <v>444535</v>
      </c>
      <c r="J63" s="38" t="s">
        <v>187</v>
      </c>
      <c r="K63" s="72">
        <v>224918354</v>
      </c>
      <c r="L63" s="258"/>
      <c r="M63" s="9"/>
      <c r="N63" s="9"/>
      <c r="P63" s="267">
        <f>IF('[1]2026 február'!B$19=0,
    "",
    '[1]2026 február'!B$19
)</f>
        <v>418215</v>
      </c>
      <c r="Q63" s="267" t="str">
        <f>IF(OR('[1]2026 február'!G61=0,
       ISBLANK('[1]2026 február'!G61)),
    "",
    '[1]2026 február'!G61
)</f>
        <v/>
      </c>
      <c r="R63" s="11">
        <f>'[1]2026 február'!W61</f>
        <v>0</v>
      </c>
      <c r="S63" s="11"/>
      <c r="T63" s="11"/>
      <c r="U63" s="10"/>
      <c r="V63" s="267" t="str">
        <f>IF('[1]2026 február'!S61=0,
    "",
    '[1]2026 február'!S61
)</f>
        <v/>
      </c>
      <c r="W63" s="267" t="str">
        <f>IF('[1]2026 február'!T61=0,
    "",
    '[1]2026 február'!T61
)</f>
        <v/>
      </c>
      <c r="X63" s="267" t="str">
        <f>IF('[1]2026 február'!U61=0,
    "",
    '[1]2026 február'!U61
)</f>
        <v/>
      </c>
      <c r="Y63" s="267" t="str">
        <f>IF('[1]2026 február'!V61=0,
    "",
    '[1]2026 február'!V61
)</f>
        <v/>
      </c>
      <c r="Z63" s="267" t="str">
        <f>IF('[1]2026 február'!W61=0,
    "",
    '[1]2026 február'!W61
)</f>
        <v/>
      </c>
      <c r="AA63" s="267" t="str">
        <f>IF('[1]2026 február'!X61=0,
    "",
    '[1]2026 február'!X61
)</f>
        <v/>
      </c>
      <c r="AB63" s="267" t="str">
        <f>IF('[1]2026 február'!Y61=0,
    "",
    '[1]2026 február'!Y61
)</f>
        <v/>
      </c>
      <c r="AC63" s="267" t="str">
        <f>IF('[1]2026 február'!Z61=0,
    "",
    '[1]2026 február'!Z61
)</f>
        <v/>
      </c>
      <c r="AD63" s="220" t="str">
        <f>IF('[1]2026 február'!AA61=0,
    "",
    '[1]2026 február'!AA61
)</f>
        <v/>
      </c>
      <c r="AE63" s="220" t="str">
        <f>IF('[1]2026 február'!AB$20=0,
    "",
    '[1]2026 február'!AB$20
)</f>
        <v/>
      </c>
      <c r="AF63" s="220" t="str">
        <f>IF('[1]2026 február'!AC$20=0,
    "",
    '[1]2026 február'!AC$20
)</f>
        <v/>
      </c>
      <c r="AG63" s="220" t="str">
        <f>IF('[1]2026 február'!AD$20=0,
    "",
    '[1]2026 február'!AD$20
)</f>
        <v/>
      </c>
      <c r="AH63" s="220" t="str">
        <f>IF('[1]2026 február'!AE61=0,
    "",
    '[1]2026 február'!AE61
)</f>
        <v/>
      </c>
      <c r="AI63" s="220" t="str">
        <f>IF('[1]2026 február'!AF61=0,
    "",
    '[1]2026 február'!AF61
)</f>
        <v/>
      </c>
      <c r="AJ63" s="220" t="str">
        <f>IF('[1]2026 február'!AG61=0,
    "",
    '[1]2026 február'!AG61
)</f>
        <v/>
      </c>
      <c r="AK63" s="220" t="str">
        <f>IF('[1]2026 február'!AH61=0,
    "",
    '[1]2026 február'!AH61
)</f>
        <v/>
      </c>
    </row>
    <row r="64" spans="1:37" ht="15" customHeight="1">
      <c r="A64" s="141">
        <v>46073</v>
      </c>
      <c r="B64" s="11">
        <v>309220</v>
      </c>
      <c r="C64" s="11">
        <v>850</v>
      </c>
      <c r="D64" s="11">
        <v>217955</v>
      </c>
      <c r="E64" s="11"/>
      <c r="F64" s="11">
        <v>119215</v>
      </c>
      <c r="G64" s="11">
        <v>26365</v>
      </c>
      <c r="H64" s="11">
        <v>311655</v>
      </c>
      <c r="I64" s="11">
        <v>311655</v>
      </c>
      <c r="J64" s="38" t="s">
        <v>188</v>
      </c>
      <c r="K64" s="72">
        <v>225256374</v>
      </c>
      <c r="L64" s="258"/>
      <c r="M64" s="9"/>
      <c r="N64" s="9"/>
      <c r="P64" s="267">
        <f>IF('[1]2026 február'!B$20=0,
    "",
    '[1]2026 február'!B$20
)</f>
        <v>288020</v>
      </c>
      <c r="Q64" s="267" t="str">
        <f>IF(OR('[1]2026 február'!G62=0,
       ISBLANK('[1]2026 február'!G62)),
    "",
    '[1]2026 február'!G62
)</f>
        <v/>
      </c>
      <c r="R64" s="11">
        <f>'[1]2026 február'!W62</f>
        <v>0</v>
      </c>
      <c r="S64" s="11"/>
      <c r="T64" s="11"/>
      <c r="U64" s="10"/>
      <c r="V64" s="267" t="str">
        <f>IF('[1]2026 február'!S62=0,
    "",
    '[1]2026 február'!S62
)</f>
        <v/>
      </c>
      <c r="W64" s="267" t="str">
        <f>IF('[1]2026 február'!T62=0,
    "",
    '[1]2026 február'!T62
)</f>
        <v/>
      </c>
      <c r="X64" s="267" t="str">
        <f>IF('[1]2026 február'!U62=0,
    "",
    '[1]2026 február'!U62
)</f>
        <v/>
      </c>
      <c r="Y64" s="267" t="str">
        <f>IF('[1]2026 február'!V62=0,
    "",
    '[1]2026 február'!V62
)</f>
        <v/>
      </c>
      <c r="Z64" s="267" t="str">
        <f>IF('[1]2026 február'!W62=0,
    "",
    '[1]2026 február'!W62
)</f>
        <v/>
      </c>
      <c r="AA64" s="267" t="str">
        <f>IF('[1]2026 február'!X62=0,
    "",
    '[1]2026 február'!X62
)</f>
        <v/>
      </c>
      <c r="AB64" s="267" t="str">
        <f>IF('[1]2026 február'!Y62=0,
    "",
    '[1]2026 február'!Y62
)</f>
        <v/>
      </c>
      <c r="AC64" s="267" t="str">
        <f>IF('[1]2026 február'!Z62=0,
    "",
    '[1]2026 február'!Z62
)</f>
        <v/>
      </c>
      <c r="AD64" s="220" t="str">
        <f>IF('[1]2026 február'!AA62=0,
    "",
    '[1]2026 február'!AA62
)</f>
        <v/>
      </c>
      <c r="AE64" s="220" t="str">
        <f>IF('[1]2026 február'!AB$21=0,
    "",
    '[1]2026 február'!AB$21
)</f>
        <v/>
      </c>
      <c r="AF64" s="220" t="str">
        <f>IF('[1]2026 február'!AC$21=0,
    "",
    '[1]2026 február'!AC$21
)</f>
        <v/>
      </c>
      <c r="AG64" s="220" t="str">
        <f>IF('[1]2026 február'!AD$21=0,
    "",
    '[1]2026 február'!AD$21
)</f>
        <v/>
      </c>
      <c r="AH64" s="220" t="str">
        <f>IF('[1]2026 február'!AE62=0,
    "",
    '[1]2026 február'!AE62
)</f>
        <v/>
      </c>
      <c r="AI64" s="220" t="str">
        <f>IF('[1]2026 február'!AF62=0,
    "",
    '[1]2026 február'!AF62
)</f>
        <v/>
      </c>
      <c r="AJ64" s="220" t="str">
        <f>IF('[1]2026 február'!AG62=0,
    "",
    '[1]2026 február'!AG62
)</f>
        <v/>
      </c>
      <c r="AK64" s="220" t="str">
        <f>IF('[1]2026 február'!AH62=0,
    "",
    '[1]2026 február'!AH62
)</f>
        <v/>
      </c>
    </row>
    <row r="65" spans="1:37" ht="15" customHeight="1">
      <c r="A65" s="141">
        <v>46074</v>
      </c>
      <c r="B65" s="142"/>
      <c r="C65" s="142"/>
      <c r="D65" s="142"/>
      <c r="E65" s="142"/>
      <c r="F65" s="142"/>
      <c r="G65" s="142"/>
      <c r="H65" s="142"/>
      <c r="I65" s="142"/>
      <c r="J65" s="143"/>
      <c r="K65" s="146"/>
      <c r="L65" s="257"/>
      <c r="M65" s="158"/>
      <c r="N65" s="158"/>
      <c r="P65" s="267" t="str">
        <f>IF('[1]2026 február'!B$21=0,
    "",
    '[1]2026 február'!B$21
)</f>
        <v/>
      </c>
      <c r="Q65" s="267" t="str">
        <f>IF(OR('[1]2026 február'!G63=0,
       ISBLANK('[1]2026 február'!G63)),
    "",
    '[1]2026 február'!G63
)</f>
        <v/>
      </c>
      <c r="R65" s="11">
        <f>'[1]2026 február'!W63</f>
        <v>0</v>
      </c>
      <c r="S65" s="11"/>
      <c r="T65" s="11"/>
      <c r="U65" s="10"/>
      <c r="V65" s="267" t="str">
        <f>IF('[1]2026 február'!S63=0,
    "",
    '[1]2026 február'!S63
)</f>
        <v/>
      </c>
      <c r="W65" s="267" t="str">
        <f>IF('[1]2026 február'!T63=0,
    "",
    '[1]2026 február'!T63
)</f>
        <v/>
      </c>
      <c r="X65" s="267" t="str">
        <f>IF('[1]2026 február'!U63=0,
    "",
    '[1]2026 február'!U63
)</f>
        <v/>
      </c>
      <c r="Y65" s="267" t="str">
        <f>IF('[1]2026 február'!V63=0,
    "",
    '[1]2026 február'!V63
)</f>
        <v/>
      </c>
      <c r="Z65" s="267" t="str">
        <f>IF('[1]2026 február'!W63=0,
    "",
    '[1]2026 február'!W63
)</f>
        <v/>
      </c>
      <c r="AA65" s="267" t="str">
        <f>IF('[1]2026 február'!X63=0,
    "",
    '[1]2026 február'!X63
)</f>
        <v/>
      </c>
      <c r="AB65" s="267" t="str">
        <f>IF('[1]2026 február'!Y63=0,
    "",
    '[1]2026 február'!Y63
)</f>
        <v/>
      </c>
      <c r="AC65" s="267" t="str">
        <f>IF('[1]2026 február'!Z63=0,
    "",
    '[1]2026 február'!Z63
)</f>
        <v/>
      </c>
      <c r="AD65" s="220" t="str">
        <f>IF('[1]2026 február'!AA63=0,
    "",
    '[1]2026 február'!AA63
)</f>
        <v/>
      </c>
      <c r="AE65" s="220" t="str">
        <f>IF('[1]2026 február'!AB$22=0,
    "",
    '[1]2026 február'!AB$22
)</f>
        <v/>
      </c>
      <c r="AF65" s="220" t="str">
        <f>IF('[1]2026 február'!AC$22=0,
    "",
    '[1]2026 február'!AC$22
)</f>
        <v/>
      </c>
      <c r="AG65" s="220" t="str">
        <f>IF('[1]2026 február'!AD$22=0,
    "",
    '[1]2026 február'!AD$22
)</f>
        <v/>
      </c>
      <c r="AH65" s="220" t="str">
        <f>IF('[1]2026 február'!AE63=0,
    "",
    '[1]2026 február'!AE63
)</f>
        <v/>
      </c>
      <c r="AI65" s="220" t="str">
        <f>IF('[1]2026 február'!AF63=0,
    "",
    '[1]2026 február'!AF63
)</f>
        <v/>
      </c>
      <c r="AJ65" s="220" t="str">
        <f>IF('[1]2026 február'!AG63=0,
    "",
    '[1]2026 február'!AG63
)</f>
        <v/>
      </c>
      <c r="AK65" s="220" t="str">
        <f>IF('[1]2026 február'!AH63=0,
    "",
    '[1]2026 február'!AH63
)</f>
        <v/>
      </c>
    </row>
    <row r="66" spans="1:37" ht="15" customHeight="1">
      <c r="A66" s="141">
        <v>46075</v>
      </c>
      <c r="B66" s="142"/>
      <c r="C66" s="142"/>
      <c r="D66" s="142"/>
      <c r="E66" s="142"/>
      <c r="F66" s="142"/>
      <c r="G66" s="142"/>
      <c r="H66" s="142"/>
      <c r="I66" s="142"/>
      <c r="J66" s="143"/>
      <c r="K66" s="146"/>
      <c r="L66" s="257"/>
      <c r="M66" s="158"/>
      <c r="N66" s="158"/>
      <c r="P66" s="267" t="str">
        <f>IF('[1]2026 február'!B$22=0,
    "",
    '[1]2026 február'!B$22
)</f>
        <v/>
      </c>
      <c r="Q66" s="267" t="str">
        <f>IF(OR('[1]2026 február'!G64=0,
       ISBLANK('[1]2026 február'!G64)),
    "",
    '[1]2026 február'!G64
)</f>
        <v/>
      </c>
      <c r="R66" s="11">
        <f>'[1]2026 február'!W64</f>
        <v>0</v>
      </c>
      <c r="S66" s="11"/>
      <c r="T66" s="11"/>
      <c r="U66" s="10"/>
      <c r="V66" s="267" t="str">
        <f>IF('[1]2026 február'!S64=0,
    "",
    '[1]2026 február'!S64
)</f>
        <v/>
      </c>
      <c r="W66" s="267" t="str">
        <f>IF('[1]2026 február'!T64=0,
    "",
    '[1]2026 február'!T64
)</f>
        <v/>
      </c>
      <c r="X66" s="267" t="str">
        <f>IF('[1]2026 február'!U64=0,
    "",
    '[1]2026 február'!U64
)</f>
        <v/>
      </c>
      <c r="Y66" s="267" t="str">
        <f>IF('[1]2026 február'!V64=0,
    "",
    '[1]2026 február'!V64
)</f>
        <v/>
      </c>
      <c r="Z66" s="267" t="str">
        <f>IF('[1]2026 február'!W64=0,
    "",
    '[1]2026 február'!W64
)</f>
        <v/>
      </c>
      <c r="AA66" s="267" t="str">
        <f>IF('[1]2026 február'!X64=0,
    "",
    '[1]2026 február'!X64
)</f>
        <v/>
      </c>
      <c r="AB66" s="267" t="str">
        <f>IF('[1]2026 február'!Y64=0,
    "",
    '[1]2026 február'!Y64
)</f>
        <v/>
      </c>
      <c r="AC66" s="267" t="str">
        <f>IF('[1]2026 február'!Z64=0,
    "",
    '[1]2026 február'!Z64
)</f>
        <v/>
      </c>
      <c r="AD66" s="220" t="str">
        <f>IF('[1]2026 február'!AA64=0,
    "",
    '[1]2026 február'!AA64
)</f>
        <v/>
      </c>
      <c r="AE66" s="220" t="str">
        <f>IF('[1]2026 február'!AB$23=0,
    "",
    '[1]2026 február'!AB$23
)</f>
        <v/>
      </c>
      <c r="AF66" s="220" t="str">
        <f>IF('[1]2026 február'!AC$23=0,
    "",
    '[1]2026 február'!AC$23
)</f>
        <v/>
      </c>
      <c r="AG66" s="220" t="str">
        <f>IF('[1]2026 február'!AD$23=0,
    "",
    '[1]2026 február'!AD$23
)</f>
        <v/>
      </c>
      <c r="AH66" s="220" t="str">
        <f>IF('[1]2026 február'!AE64=0,
    "",
    '[1]2026 február'!AE64
)</f>
        <v/>
      </c>
      <c r="AI66" s="220" t="str">
        <f>IF('[1]2026 február'!AF64=0,
    "",
    '[1]2026 február'!AF64
)</f>
        <v/>
      </c>
      <c r="AJ66" s="220" t="str">
        <f>IF('[1]2026 február'!AG64=0,
    "",
    '[1]2026 február'!AG64
)</f>
        <v/>
      </c>
      <c r="AK66" s="220" t="str">
        <f>IF('[1]2026 február'!AH64=0,
    "",
    '[1]2026 február'!AH64
)</f>
        <v/>
      </c>
    </row>
    <row r="67" spans="1:37" ht="15" customHeight="1">
      <c r="A67" s="141">
        <v>46076</v>
      </c>
      <c r="B67" s="11">
        <v>316975</v>
      </c>
      <c r="C67" s="11">
        <v>850</v>
      </c>
      <c r="D67" s="11">
        <v>146515</v>
      </c>
      <c r="E67" s="11"/>
      <c r="F67" s="11">
        <v>155520</v>
      </c>
      <c r="G67" s="11">
        <v>14190</v>
      </c>
      <c r="H67" s="11">
        <v>288695</v>
      </c>
      <c r="I67" s="11">
        <v>288695</v>
      </c>
      <c r="J67" s="38" t="s">
        <v>189</v>
      </c>
      <c r="K67" s="72">
        <v>225559259</v>
      </c>
      <c r="L67" s="258"/>
      <c r="M67" s="9"/>
      <c r="N67" s="9"/>
      <c r="P67" s="267">
        <f>IF('[1]2026 február'!B$23=0,
    "",
    '[1]2026 február'!B$23
)</f>
        <v>302885</v>
      </c>
      <c r="Q67" s="267" t="str">
        <f>IF(OR('[1]2026 február'!G65=0,
       ISBLANK('[1]2026 február'!G65)),
    "",
    '[1]2026 február'!G65
)</f>
        <v/>
      </c>
      <c r="R67" s="11">
        <f>'[1]2026 február'!W65</f>
        <v>0</v>
      </c>
      <c r="S67" s="11"/>
      <c r="T67" s="11"/>
      <c r="U67" s="10"/>
      <c r="V67" s="267" t="str">
        <f>IF('[1]2026 február'!S65=0,
    "",
    '[1]2026 február'!S65
)</f>
        <v/>
      </c>
      <c r="W67" s="267" t="str">
        <f>IF('[1]2026 február'!T65=0,
    "",
    '[1]2026 február'!T65
)</f>
        <v/>
      </c>
      <c r="X67" s="267" t="str">
        <f>IF('[1]2026 február'!U65=0,
    "",
    '[1]2026 február'!U65
)</f>
        <v/>
      </c>
      <c r="Y67" s="267" t="str">
        <f>IF('[1]2026 február'!V65=0,
    "",
    '[1]2026 február'!V65
)</f>
        <v/>
      </c>
      <c r="Z67" s="267" t="str">
        <f>IF('[1]2026 február'!W65=0,
    "",
    '[1]2026 február'!W65
)</f>
        <v/>
      </c>
      <c r="AA67" s="267" t="str">
        <f>IF('[1]2026 február'!X65=0,
    "",
    '[1]2026 február'!X65
)</f>
        <v/>
      </c>
      <c r="AB67" s="267" t="str">
        <f>IF('[1]2026 február'!Y65=0,
    "",
    '[1]2026 február'!Y65
)</f>
        <v/>
      </c>
      <c r="AC67" s="267" t="str">
        <f>IF('[1]2026 február'!Z65=0,
    "",
    '[1]2026 február'!Z65
)</f>
        <v/>
      </c>
      <c r="AD67" s="220" t="str">
        <f>IF('[1]2026 február'!AA65=0,
    "",
    '[1]2026 február'!AA65
)</f>
        <v/>
      </c>
      <c r="AE67" s="220" t="str">
        <f>IF('[1]2026 február'!AB$24=0,
    "",
    '[1]2026 február'!AB$24
)</f>
        <v/>
      </c>
      <c r="AF67" s="220" t="str">
        <f>IF('[1]2026 február'!AC$24=0,
    "",
    '[1]2026 február'!AC$24
)</f>
        <v/>
      </c>
      <c r="AG67" s="220" t="str">
        <f>IF('[1]2026 február'!AD$24=0,
    "",
    '[1]2026 február'!AD$24
)</f>
        <v/>
      </c>
      <c r="AH67" s="220" t="str">
        <f>IF('[1]2026 február'!AE65=0,
    "",
    '[1]2026 február'!AE65
)</f>
        <v/>
      </c>
      <c r="AI67" s="220" t="str">
        <f>IF('[1]2026 február'!AF65=0,
    "",
    '[1]2026 február'!AF65
)</f>
        <v/>
      </c>
      <c r="AJ67" s="220" t="str">
        <f>IF('[1]2026 február'!AG65=0,
    "",
    '[1]2026 február'!AG65
)</f>
        <v/>
      </c>
      <c r="AK67" s="220" t="str">
        <f>IF('[1]2026 február'!AH65=0,
    "",
    '[1]2026 február'!AH65
)</f>
        <v/>
      </c>
    </row>
    <row r="68" spans="1:37" ht="15" customHeight="1">
      <c r="A68" s="141">
        <v>46077</v>
      </c>
      <c r="B68" s="11">
        <v>361495</v>
      </c>
      <c r="C68" s="11">
        <v>550</v>
      </c>
      <c r="D68" s="11">
        <v>185835</v>
      </c>
      <c r="E68" s="11"/>
      <c r="F68" s="11">
        <v>165800</v>
      </c>
      <c r="G68" s="11">
        <v>32415</v>
      </c>
      <c r="H68" s="11">
        <v>316810</v>
      </c>
      <c r="I68" s="11">
        <v>316810</v>
      </c>
      <c r="J68" s="38" t="s">
        <v>190</v>
      </c>
      <c r="K68" s="72">
        <v>225911444</v>
      </c>
      <c r="L68" s="258"/>
      <c r="M68" s="542">
        <v>2960</v>
      </c>
      <c r="N68" s="9" t="s">
        <v>162</v>
      </c>
      <c r="P68" s="267">
        <f>IF('[1]2026 február'!B$24=0,
    "",
    '[1]2026 február'!B$24
)</f>
        <v>349225</v>
      </c>
      <c r="Q68" s="267" t="str">
        <f>IF(OR('[1]2026 február'!G66=0,
       ISBLANK('[1]2026 február'!G66)),
    "",
    '[1]2026 február'!G66
)</f>
        <v/>
      </c>
      <c r="R68" s="11">
        <f>'[1]2026 február'!W66</f>
        <v>0</v>
      </c>
      <c r="S68" s="11"/>
      <c r="T68" s="11"/>
      <c r="U68" s="10"/>
      <c r="V68" s="267" t="str">
        <f>IF('[1]2026 február'!S66=0,
    "",
    '[1]2026 február'!S66
)</f>
        <v/>
      </c>
      <c r="W68" s="267" t="str">
        <f>IF('[1]2026 február'!T66=0,
    "",
    '[1]2026 február'!T66
)</f>
        <v/>
      </c>
      <c r="X68" s="267" t="str">
        <f>IF('[1]2026 február'!U66=0,
    "",
    '[1]2026 február'!U66
)</f>
        <v/>
      </c>
      <c r="Y68" s="267" t="str">
        <f>IF('[1]2026 február'!V66=0,
    "",
    '[1]2026 február'!V66
)</f>
        <v/>
      </c>
      <c r="Z68" s="267" t="str">
        <f>IF('[1]2026 február'!W66=0,
    "",
    '[1]2026 február'!W66
)</f>
        <v/>
      </c>
      <c r="AA68" s="267" t="str">
        <f>IF('[1]2026 február'!X66=0,
    "",
    '[1]2026 február'!X66
)</f>
        <v/>
      </c>
      <c r="AB68" s="267" t="str">
        <f>IF('[1]2026 február'!Y66=0,
    "",
    '[1]2026 február'!Y66
)</f>
        <v/>
      </c>
      <c r="AC68" s="267" t="str">
        <f>IF('[1]2026 február'!Z66=0,
    "",
    '[1]2026 február'!Z66
)</f>
        <v/>
      </c>
      <c r="AD68" s="220" t="str">
        <f>IF('[1]2026 február'!AA66=0,
    "",
    '[1]2026 február'!AA66
)</f>
        <v/>
      </c>
      <c r="AE68" s="220" t="str">
        <f>IF('[1]2026 február'!AB$25=0,
    "",
    '[1]2026 február'!AB$25
)</f>
        <v/>
      </c>
      <c r="AF68" s="220" t="str">
        <f>IF('[1]2026 február'!AC$25=0,
    "",
    '[1]2026 február'!AC$25
)</f>
        <v/>
      </c>
      <c r="AG68" s="220" t="str">
        <f>IF('[1]2026 február'!AD$25=0,
    "",
    '[1]2026 február'!AD$25
)</f>
        <v/>
      </c>
      <c r="AH68" s="220" t="str">
        <f>IF('[1]2026 február'!AE66=0,
    "",
    '[1]2026 február'!AE66
)</f>
        <v/>
      </c>
      <c r="AI68" s="220" t="str">
        <f>IF('[1]2026 február'!AF66=0,
    "",
    '[1]2026 február'!AF66
)</f>
        <v/>
      </c>
      <c r="AJ68" s="220" t="str">
        <f>IF('[1]2026 február'!AG66=0,
    "",
    '[1]2026 február'!AG66
)</f>
        <v/>
      </c>
      <c r="AK68" s="220" t="str">
        <f>IF('[1]2026 február'!AH66=0,
    "",
    '[1]2026 február'!AH66
)</f>
        <v/>
      </c>
    </row>
    <row r="69" spans="1:37" ht="15" customHeight="1">
      <c r="A69" s="141">
        <v>46078</v>
      </c>
      <c r="B69" s="11">
        <v>395720</v>
      </c>
      <c r="C69" s="11">
        <v>1000</v>
      </c>
      <c r="D69" s="11">
        <v>200475</v>
      </c>
      <c r="E69" s="11"/>
      <c r="F69" s="11">
        <v>174300</v>
      </c>
      <c r="G69" s="11">
        <v>20610</v>
      </c>
      <c r="H69" s="11">
        <v>355165</v>
      </c>
      <c r="I69" s="11">
        <v>355165</v>
      </c>
      <c r="J69" s="38" t="s">
        <v>191</v>
      </c>
      <c r="K69" s="72">
        <v>226287219</v>
      </c>
      <c r="L69" s="258"/>
      <c r="M69" s="9"/>
      <c r="N69" s="9"/>
      <c r="P69" s="267">
        <f>IF('[1]2026 február'!B$25=0,
    "",
    '[1]2026 február'!B$25
)</f>
        <v>375775</v>
      </c>
      <c r="Q69" s="267" t="str">
        <f>IF(OR('[1]2026 február'!G67=0,
       ISBLANK('[1]2026 február'!G67)),
    "",
    '[1]2026 február'!G67
)</f>
        <v/>
      </c>
      <c r="R69" s="11">
        <f>'[1]2026 február'!W67</f>
        <v>0</v>
      </c>
      <c r="S69" s="11"/>
      <c r="T69" s="11"/>
      <c r="U69" s="10"/>
      <c r="V69" s="267" t="str">
        <f>IF('[1]2026 február'!S67=0,
    "",
    '[1]2026 február'!S67
)</f>
        <v/>
      </c>
      <c r="W69" s="267" t="str">
        <f>IF('[1]2026 február'!T67=0,
    "",
    '[1]2026 február'!T67
)</f>
        <v/>
      </c>
      <c r="X69" s="267" t="str">
        <f>IF('[1]2026 február'!U67=0,
    "",
    '[1]2026 február'!U67
)</f>
        <v/>
      </c>
      <c r="Y69" s="267" t="str">
        <f>IF('[1]2026 február'!V67=0,
    "",
    '[1]2026 február'!V67
)</f>
        <v/>
      </c>
      <c r="Z69" s="267" t="str">
        <f>IF('[1]2026 február'!W67=0,
    "",
    '[1]2026 február'!W67
)</f>
        <v/>
      </c>
      <c r="AA69" s="267" t="str">
        <f>IF('[1]2026 február'!X67=0,
    "",
    '[1]2026 február'!X67
)</f>
        <v/>
      </c>
      <c r="AB69" s="267" t="str">
        <f>IF('[1]2026 február'!Y67=0,
    "",
    '[1]2026 február'!Y67
)</f>
        <v/>
      </c>
      <c r="AC69" s="267" t="str">
        <f>IF('[1]2026 február'!Z67=0,
    "",
    '[1]2026 február'!Z67
)</f>
        <v/>
      </c>
      <c r="AD69" s="220" t="str">
        <f>IF('[1]2026 február'!AA67=0,
    "",
    '[1]2026 február'!AA67
)</f>
        <v/>
      </c>
      <c r="AE69" s="220" t="str">
        <f>IF('[1]2026 február'!AB$26=0,
    "",
    '[1]2026 február'!AB$26
)</f>
        <v/>
      </c>
      <c r="AF69" s="220" t="str">
        <f>IF('[1]2026 február'!AC$26=0,
    "",
    '[1]2026 február'!AC$26
)</f>
        <v/>
      </c>
      <c r="AG69" s="220" t="str">
        <f>IF('[1]2026 február'!AD$26=0,
    "",
    '[1]2026 február'!AD$26
)</f>
        <v/>
      </c>
      <c r="AH69" s="220" t="str">
        <f>IF('[1]2026 február'!AE67=0,
    "",
    '[1]2026 február'!AE67
)</f>
        <v/>
      </c>
      <c r="AI69" s="220" t="str">
        <f>IF('[1]2026 február'!AF67=0,
    "",
    '[1]2026 február'!AF67
)</f>
        <v/>
      </c>
      <c r="AJ69" s="220" t="str">
        <f>IF('[1]2026 február'!AG67=0,
    "",
    '[1]2026 február'!AG67
)</f>
        <v/>
      </c>
      <c r="AK69" s="220" t="str">
        <f>IF('[1]2026 február'!AH67=0,
    "",
    '[1]2026 február'!AH67
)</f>
        <v/>
      </c>
    </row>
    <row r="70" spans="1:37" ht="15" customHeight="1">
      <c r="A70" s="141">
        <v>46079</v>
      </c>
      <c r="B70" s="11">
        <v>367580</v>
      </c>
      <c r="C70" s="11">
        <v>800</v>
      </c>
      <c r="D70" s="11">
        <v>182130</v>
      </c>
      <c r="E70" s="11"/>
      <c r="F70" s="11">
        <v>165555</v>
      </c>
      <c r="G70" s="11">
        <v>28290</v>
      </c>
      <c r="H70" s="11">
        <v>320195</v>
      </c>
      <c r="I70" s="11">
        <v>320195</v>
      </c>
      <c r="J70" s="38" t="s">
        <v>192</v>
      </c>
      <c r="K70" s="72">
        <v>226635704</v>
      </c>
      <c r="L70" s="258"/>
      <c r="M70" s="9"/>
      <c r="N70" s="9"/>
      <c r="P70" s="267">
        <f>IF('[1]2026 február'!B$26=0,
    "",
    '[1]2026 február'!B$26
)</f>
        <v>348485</v>
      </c>
      <c r="Q70" s="267" t="str">
        <f>IF(OR('[1]2026 február'!G68=0,
       ISBLANK('[1]2026 február'!G68)),
    "",
    '[1]2026 február'!G68
)</f>
        <v/>
      </c>
      <c r="R70" s="11">
        <f>'[1]2026 február'!W68</f>
        <v>0</v>
      </c>
      <c r="S70" s="11"/>
      <c r="T70" s="11"/>
      <c r="U70" s="10"/>
      <c r="V70" s="267" t="str">
        <f>IF('[1]2026 február'!S68=0,
    "",
    '[1]2026 február'!S68
)</f>
        <v/>
      </c>
      <c r="W70" s="267" t="str">
        <f>IF('[1]2026 február'!T68=0,
    "",
    '[1]2026 február'!T68
)</f>
        <v/>
      </c>
      <c r="X70" s="267" t="str">
        <f>IF('[1]2026 február'!U68=0,
    "",
    '[1]2026 február'!U68
)</f>
        <v/>
      </c>
      <c r="Y70" s="267" t="str">
        <f>IF('[1]2026 február'!V68=0,
    "",
    '[1]2026 február'!V68
)</f>
        <v/>
      </c>
      <c r="Z70" s="267" t="str">
        <f>IF('[1]2026 február'!W68=0,
    "",
    '[1]2026 február'!W68
)</f>
        <v/>
      </c>
      <c r="AA70" s="267" t="str">
        <f>IF('[1]2026 február'!X68=0,
    "",
    '[1]2026 február'!X68
)</f>
        <v/>
      </c>
      <c r="AB70" s="267" t="str">
        <f>IF('[1]2026 február'!Y68=0,
    "",
    '[1]2026 február'!Y68
)</f>
        <v/>
      </c>
      <c r="AC70" s="267" t="str">
        <f>IF('[1]2026 február'!Z68=0,
    "",
    '[1]2026 február'!Z68
)</f>
        <v/>
      </c>
      <c r="AD70" s="220" t="str">
        <f>IF('[1]2026 február'!AA68=0,
    "",
    '[1]2026 február'!AA68
)</f>
        <v/>
      </c>
      <c r="AE70" s="220" t="str">
        <f>IF('[1]2026 február'!AB$27=0,
    "",
    '[1]2026 február'!AB$27
)</f>
        <v/>
      </c>
      <c r="AF70" s="220" t="str">
        <f>IF('[1]2026 február'!AC$27=0,
    "",
    '[1]2026 február'!AC$27
)</f>
        <v/>
      </c>
      <c r="AG70" s="220" t="str">
        <f>IF('[1]2026 február'!AD$27=0,
    "",
    '[1]2026 február'!AD$27
)</f>
        <v/>
      </c>
      <c r="AH70" s="220" t="str">
        <f>IF('[1]2026 február'!AE68=0,
    "",
    '[1]2026 február'!AE68
)</f>
        <v/>
      </c>
      <c r="AI70" s="220" t="str">
        <f>IF('[1]2026 február'!AF68=0,
    "",
    '[1]2026 február'!AF68
)</f>
        <v/>
      </c>
      <c r="AJ70" s="220" t="str">
        <f>IF('[1]2026 február'!AG68=0,
    "",
    '[1]2026 február'!AG68
)</f>
        <v/>
      </c>
      <c r="AK70" s="220" t="str">
        <f>IF('[1]2026 február'!AH68=0,
    "",
    '[1]2026 február'!AH68
)</f>
        <v/>
      </c>
    </row>
    <row r="71" spans="1:37" ht="15" customHeight="1">
      <c r="A71" s="141">
        <v>46080</v>
      </c>
      <c r="B71" s="11">
        <v>319300</v>
      </c>
      <c r="C71" s="11">
        <v>800</v>
      </c>
      <c r="D71" s="11">
        <v>166845</v>
      </c>
      <c r="E71" s="11"/>
      <c r="F71" s="11">
        <v>133495</v>
      </c>
      <c r="G71" s="11">
        <v>21850</v>
      </c>
      <c r="H71" s="11">
        <v>277500</v>
      </c>
      <c r="I71" s="11">
        <v>277500</v>
      </c>
      <c r="J71" s="38" t="s">
        <v>193</v>
      </c>
      <c r="K71" s="72">
        <v>226936844</v>
      </c>
      <c r="L71" s="258"/>
      <c r="M71" s="542">
        <v>1790</v>
      </c>
      <c r="N71" s="9" t="s">
        <v>162</v>
      </c>
      <c r="P71" s="267">
        <f>IF('[1]2026 február'!B$27=0,
    "",
    '[1]2026 február'!B$27
)</f>
        <v>299350</v>
      </c>
      <c r="Q71" s="267" t="str">
        <f>IF(OR('[1]2026 február'!G69=0,
       ISBLANK('[1]2026 február'!G69)),
    "",
    '[1]2026 február'!G69
)</f>
        <v/>
      </c>
      <c r="R71" s="11">
        <f>'[1]2026 február'!W69</f>
        <v>0</v>
      </c>
      <c r="S71" s="11"/>
      <c r="T71" s="11"/>
      <c r="U71" s="10"/>
      <c r="V71" s="267" t="str">
        <f>IF('[1]2026 február'!S69=0,
    "",
    '[1]2026 február'!S69
)</f>
        <v/>
      </c>
      <c r="W71" s="267" t="str">
        <f>IF('[1]2026 február'!T69=0,
    "",
    '[1]2026 február'!T69
)</f>
        <v/>
      </c>
      <c r="X71" s="267" t="str">
        <f>IF('[1]2026 február'!U69=0,
    "",
    '[1]2026 február'!U69
)</f>
        <v/>
      </c>
      <c r="Y71" s="267" t="str">
        <f>IF('[1]2026 február'!V69=0,
    "",
    '[1]2026 február'!V69
)</f>
        <v/>
      </c>
      <c r="Z71" s="267" t="str">
        <f>IF('[1]2026 február'!W69=0,
    "",
    '[1]2026 február'!W69
)</f>
        <v/>
      </c>
      <c r="AA71" s="267" t="str">
        <f>IF('[1]2026 február'!X69=0,
    "",
    '[1]2026 február'!X69
)</f>
        <v/>
      </c>
      <c r="AB71" s="267" t="str">
        <f>IF('[1]2026 február'!Y69=0,
    "",
    '[1]2026 február'!Y69
)</f>
        <v/>
      </c>
      <c r="AC71" s="267" t="str">
        <f>IF('[1]2026 február'!Z69=0,
    "",
    '[1]2026 február'!Z69
)</f>
        <v/>
      </c>
      <c r="AD71" s="220" t="str">
        <f>IF('[1]2026 február'!AA69=0,
    "",
    '[1]2026 február'!AA69
)</f>
        <v/>
      </c>
      <c r="AE71" s="220" t="str">
        <f>IF('[1]2026 február'!AB$28=0,
    "",
    '[1]2026 február'!AB$28
)</f>
        <v/>
      </c>
      <c r="AF71" s="220" t="str">
        <f>IF('[1]2026 február'!AC$28=0,
    "",
    '[1]2026 február'!AC$28
)</f>
        <v/>
      </c>
      <c r="AG71" s="220" t="str">
        <f>IF('[1]2026 február'!AD$28=0,
    "",
    '[1]2026 február'!AD$28
)</f>
        <v/>
      </c>
      <c r="AH71" s="220" t="str">
        <f>IF('[1]2026 február'!AE69=0,
    "",
    '[1]2026 február'!AE69
)</f>
        <v/>
      </c>
      <c r="AI71" s="220" t="str">
        <f>IF('[1]2026 február'!AF69=0,
    "",
    '[1]2026 február'!AF69
)</f>
        <v/>
      </c>
      <c r="AJ71" s="220" t="str">
        <f>IF('[1]2026 február'!AG69=0,
    "",
    '[1]2026 február'!AG69
)</f>
        <v/>
      </c>
      <c r="AK71" s="220" t="str">
        <f>IF('[1]2026 február'!AH69=0,
    "",
    '[1]2026 február'!AH69
)</f>
        <v/>
      </c>
    </row>
    <row r="72" spans="1:37" ht="15" customHeight="1">
      <c r="A72" s="141">
        <v>46081</v>
      </c>
      <c r="B72" s="142"/>
      <c r="C72" s="142"/>
      <c r="D72" s="142"/>
      <c r="E72" s="142"/>
      <c r="F72" s="142"/>
      <c r="G72" s="142"/>
      <c r="H72" s="142"/>
      <c r="I72" s="142"/>
      <c r="J72" s="143"/>
      <c r="K72" s="146"/>
      <c r="L72" s="257"/>
      <c r="M72" s="158"/>
      <c r="N72" s="158"/>
      <c r="P72" s="267" t="str">
        <f>IF('[1]2026 február'!B$28=0,
    "",
    '[1]2026 február'!B$28
)</f>
        <v/>
      </c>
      <c r="Q72" s="267" t="str">
        <f>IF(OR('[1]2026 február'!G70=0,
       ISBLANK('[1]2026 február'!G70)),
    "",
    '[1]2026 február'!G70
)</f>
        <v/>
      </c>
      <c r="R72" s="11">
        <f>'[1]2026 február'!W70</f>
        <v>0</v>
      </c>
      <c r="S72" s="11"/>
      <c r="T72" s="11"/>
      <c r="U72" s="10"/>
      <c r="V72" s="267" t="str">
        <f>IF('[1]2026 február'!S70=0,
    "",
    '[1]2026 február'!S70
)</f>
        <v/>
      </c>
      <c r="W72" s="267" t="str">
        <f>IF('[1]2026 február'!T70=0,
    "",
    '[1]2026 február'!T70
)</f>
        <v/>
      </c>
      <c r="X72" s="267" t="str">
        <f>IF('[1]2026 február'!U70=0,
    "",
    '[1]2026 február'!U70
)</f>
        <v/>
      </c>
      <c r="Y72" s="267" t="str">
        <f>IF('[1]2026 február'!V70=0,
    "",
    '[1]2026 február'!V70
)</f>
        <v/>
      </c>
      <c r="Z72" s="267" t="str">
        <f>IF('[1]2026 február'!W70=0,
    "",
    '[1]2026 február'!W70
)</f>
        <v/>
      </c>
      <c r="AA72" s="267" t="str">
        <f>IF('[1]2026 február'!X70=0,
    "",
    '[1]2026 február'!X70
)</f>
        <v/>
      </c>
      <c r="AB72" s="267" t="str">
        <f>IF('[1]2026 február'!Y70=0,
    "",
    '[1]2026 február'!Y70
)</f>
        <v/>
      </c>
      <c r="AC72" s="267" t="str">
        <f>IF('[1]2026 február'!Z70=0,
    "",
    '[1]2026 február'!Z70
)</f>
        <v/>
      </c>
      <c r="AD72" s="220" t="str">
        <f>IF('[1]2026 február'!AA70=0,
    "",
    '[1]2026 február'!AA70
)</f>
        <v/>
      </c>
      <c r="AE72" s="220" t="str">
        <f>IF('[1]2026 február'!AB$29=0,
    "",
    '[1]2026 február'!AB$29
)</f>
        <v/>
      </c>
      <c r="AF72" s="220" t="str">
        <f>IF('[1]2026 február'!AC$29=0,
    "",
    '[1]2026 február'!AC$29
)</f>
        <v/>
      </c>
      <c r="AG72" s="220" t="str">
        <f>IF('[1]2026 február'!AD$29=0,
    "",
    '[1]2026 február'!AD$29
)</f>
        <v/>
      </c>
      <c r="AH72" s="220" t="str">
        <f>IF('[1]2026 február'!AE70=0,
    "",
    '[1]2026 február'!AE70
)</f>
        <v/>
      </c>
      <c r="AI72" s="220" t="str">
        <f>IF('[1]2026 február'!AF70=0,
    "",
    '[1]2026 február'!AF70
)</f>
        <v/>
      </c>
      <c r="AJ72" s="220" t="str">
        <f>IF('[1]2026 február'!AG70=0,
    "",
    '[1]2026 február'!AG70
)</f>
        <v/>
      </c>
      <c r="AK72" s="220" t="str">
        <f>IF('[1]2026 február'!AH70=0,
    "",
    '[1]2026 február'!AH70
)</f>
        <v/>
      </c>
    </row>
    <row r="73" spans="1:37" ht="15" customHeight="1">
      <c r="A73" s="5"/>
      <c r="B73" s="11"/>
      <c r="C73" s="11"/>
      <c r="D73" s="11"/>
      <c r="E73" s="11"/>
      <c r="F73" s="11"/>
      <c r="G73" s="11"/>
      <c r="H73" s="11"/>
      <c r="I73" s="11"/>
      <c r="J73" s="38"/>
      <c r="K73" s="72"/>
      <c r="L73" s="258"/>
      <c r="M73" s="9"/>
      <c r="N73" s="9"/>
      <c r="P73" s="267" t="str">
        <f>IF('[1]2026 február'!B$29=0,
    "",
    '[1]2026 február'!B$29
)</f>
        <v/>
      </c>
      <c r="Q73" s="267" t="str">
        <f>IF(OR('[1]2026 február'!G71=0,
       ISBLANK('[1]2026 február'!G71)),
    "",
    '[1]2026 február'!G71
)</f>
        <v/>
      </c>
      <c r="R73" s="11">
        <f>'[1]2026 február'!W71</f>
        <v>0</v>
      </c>
      <c r="S73" s="11"/>
      <c r="T73" s="11"/>
      <c r="U73" s="10"/>
      <c r="V73" s="267" t="str">
        <f>IF('[1]2026 február'!S71=0,
    "",
    '[1]2026 február'!S71
)</f>
        <v/>
      </c>
      <c r="W73" s="267" t="str">
        <f>IF('[1]2026 február'!T71=0,
    "",
    '[1]2026 február'!T71
)</f>
        <v/>
      </c>
      <c r="X73" s="267" t="str">
        <f>IF('[1]2026 február'!U71=0,
    "",
    '[1]2026 február'!U71
)</f>
        <v/>
      </c>
      <c r="Y73" s="267" t="str">
        <f>IF('[1]2026 február'!V71=0,
    "",
    '[1]2026 február'!V71
)</f>
        <v/>
      </c>
      <c r="Z73" s="267" t="str">
        <f>IF('[1]2026 február'!W71=0,
    "",
    '[1]2026 február'!W71
)</f>
        <v/>
      </c>
      <c r="AA73" s="267" t="str">
        <f>IF('[1]2026 február'!X71=0,
    "",
    '[1]2026 február'!X71
)</f>
        <v/>
      </c>
      <c r="AB73" s="267" t="str">
        <f>IF('[1]2026 február'!Y71=0,
    "",
    '[1]2026 február'!Y71
)</f>
        <v/>
      </c>
      <c r="AC73" s="267" t="str">
        <f>IF('[1]2026 február'!Z71=0,
    "",
    '[1]2026 február'!Z71
)</f>
        <v/>
      </c>
      <c r="AD73" s="220" t="str">
        <f>IF('[1]2026 február'!AA71=0,
    "",
    '[1]2026 február'!AA71
)</f>
        <v/>
      </c>
      <c r="AE73" s="220" t="str">
        <f>IF('[1]2026 február'!AB$30=0,
    "",
    '[1]2026 február'!AB$30
)</f>
        <v/>
      </c>
      <c r="AF73" s="220" t="str">
        <f>IF('[1]2026 február'!AC$30=0,
    "",
    '[1]2026 február'!AC$30
)</f>
        <v/>
      </c>
      <c r="AG73" s="220" t="str">
        <f>IF('[1]2026 február'!AD$30=0,
    "",
    '[1]2026 február'!AD$30
)</f>
        <v/>
      </c>
      <c r="AH73" s="220" t="str">
        <f>IF('[1]2026 február'!AE71=0,
    "",
    '[1]2026 február'!AE71
)</f>
        <v/>
      </c>
      <c r="AI73" s="220" t="str">
        <f>IF('[1]2026 február'!AF71=0,
    "",
    '[1]2026 február'!AF71
)</f>
        <v/>
      </c>
      <c r="AJ73" s="220" t="str">
        <f>IF('[1]2026 február'!AG71=0,
    "",
    '[1]2026 február'!AG71
)</f>
        <v/>
      </c>
      <c r="AK73" s="220" t="str">
        <f>IF('[1]2026 február'!AH71=0,
    "",
    '[1]2026 február'!AH71
)</f>
        <v/>
      </c>
    </row>
    <row r="74" spans="1:37" ht="15" customHeight="1">
      <c r="A74" s="5"/>
      <c r="B74" s="11"/>
      <c r="C74" s="11"/>
      <c r="D74" s="11"/>
      <c r="E74" s="11"/>
      <c r="F74" s="11"/>
      <c r="G74" s="11"/>
      <c r="H74" s="11"/>
      <c r="I74" s="11"/>
      <c r="J74" s="38"/>
      <c r="K74" s="72"/>
      <c r="L74" s="258"/>
      <c r="M74" s="9"/>
      <c r="N74" s="9"/>
      <c r="P74" s="267" t="str">
        <f>IF('[1]2026 február'!B$30=0,
    "",
    '[1]2026 február'!B$30
)</f>
        <v/>
      </c>
      <c r="Q74" s="267" t="str">
        <f>IF(OR('[1]2026 február'!G72=0,
       ISBLANK('[1]2026 február'!G72)),
    "",
    '[1]2026 február'!G72
)</f>
        <v/>
      </c>
      <c r="R74" s="11">
        <f>'[1]2026 február'!W72</f>
        <v>0</v>
      </c>
      <c r="S74" s="11"/>
      <c r="T74" s="11"/>
      <c r="U74" s="10"/>
      <c r="V74" s="267" t="str">
        <f>IF('[1]2026 február'!S72=0,
    "",
    '[1]2026 február'!S72
)</f>
        <v/>
      </c>
      <c r="W74" s="267" t="str">
        <f>IF('[1]2026 február'!T72=0,
    "",
    '[1]2026 február'!T72
)</f>
        <v/>
      </c>
      <c r="X74" s="267" t="str">
        <f>IF('[1]2026 február'!U72=0,
    "",
    '[1]2026 február'!U72
)</f>
        <v/>
      </c>
      <c r="Y74" s="267" t="str">
        <f>IF('[1]2026 február'!V72=0,
    "",
    '[1]2026 február'!V72
)</f>
        <v/>
      </c>
      <c r="Z74" s="267" t="str">
        <f>IF('[1]2026 február'!W72=0,
    "",
    '[1]2026 február'!W72
)</f>
        <v/>
      </c>
      <c r="AA74" s="267" t="str">
        <f>IF('[1]2026 február'!X72=0,
    "",
    '[1]2026 február'!X72
)</f>
        <v/>
      </c>
      <c r="AB74" s="267" t="str">
        <f>IF('[1]2026 február'!Y72=0,
    "",
    '[1]2026 február'!Y72
)</f>
        <v/>
      </c>
      <c r="AC74" s="267" t="str">
        <f>IF('[1]2026 február'!Z72=0,
    "",
    '[1]2026 február'!Z72
)</f>
        <v/>
      </c>
      <c r="AD74" s="220" t="str">
        <f>IF('[1]2026 február'!AA72=0,
    "",
    '[1]2026 február'!AA72
)</f>
        <v/>
      </c>
      <c r="AE74" s="220" t="str">
        <f>IF('[1]2026 február'!AB$31=0,
    "",
    '[1]2026 február'!AB$31
)</f>
        <v/>
      </c>
      <c r="AF74" s="220" t="str">
        <f>IF('[1]2026 február'!AC$31=0,
    "",
    '[1]2026 február'!AC$31
)</f>
        <v/>
      </c>
      <c r="AG74" s="220" t="str">
        <f>IF('[1]2026 február'!AD$31=0,
    "",
    '[1]2026 február'!AD$31
)</f>
        <v/>
      </c>
      <c r="AH74" s="220" t="str">
        <f>IF('[1]2026 február'!AE72=0,
    "",
    '[1]2026 február'!AE72
)</f>
        <v/>
      </c>
      <c r="AI74" s="220" t="str">
        <f>IF('[1]2026 február'!AF72=0,
    "",
    '[1]2026 február'!AF72
)</f>
        <v/>
      </c>
      <c r="AJ74" s="220" t="str">
        <f>IF('[1]2026 február'!AG72=0,
    "",
    '[1]2026 február'!AG72
)</f>
        <v/>
      </c>
      <c r="AK74" s="220" t="str">
        <f>IF('[1]2026 február'!AH72=0,
    "",
    '[1]2026 február'!AH72
)</f>
        <v/>
      </c>
    </row>
    <row r="75" spans="1:37" ht="15" customHeight="1">
      <c r="A75" s="141"/>
      <c r="B75" s="11"/>
      <c r="C75" s="11"/>
      <c r="D75" s="11"/>
      <c r="E75" s="11"/>
      <c r="F75" s="11"/>
      <c r="G75" s="11"/>
      <c r="H75" s="11"/>
      <c r="I75" s="11"/>
      <c r="J75" s="205"/>
      <c r="K75" s="206"/>
      <c r="L75" s="379"/>
      <c r="M75" s="380"/>
      <c r="N75" s="9"/>
      <c r="P75" s="267" t="str">
        <f>IF('[1]2026 február'!B$31=0,
    "",
    '[1]2026 február'!B$31
)</f>
        <v/>
      </c>
      <c r="Q75" s="267" t="str">
        <f>IF(OR('[1]2026 február'!G73=0,
       ISBLANK('[1]2026 február'!G73)),
    "",
    '[1]2026 február'!G73
)</f>
        <v/>
      </c>
      <c r="R75" s="11">
        <f>'[1]2026 február'!W73</f>
        <v>0</v>
      </c>
      <c r="S75" s="11"/>
      <c r="T75" s="11"/>
      <c r="U75" s="10"/>
      <c r="V75" s="267" t="str">
        <f>IF('[1]2026 február'!S73=0,
    "",
    '[1]2026 február'!S73
)</f>
        <v/>
      </c>
      <c r="W75" s="267" t="str">
        <f>IF('[1]2026 február'!T73=0,
    "",
    '[1]2026 február'!T73
)</f>
        <v/>
      </c>
      <c r="X75" s="267" t="str">
        <f>IF('[1]2026 február'!U73=0,
    "",
    '[1]2026 február'!U73
)</f>
        <v/>
      </c>
      <c r="Y75" s="267" t="str">
        <f>IF('[1]2026 február'!V73=0,
    "",
    '[1]2026 február'!V73
)</f>
        <v/>
      </c>
      <c r="Z75" s="267" t="str">
        <f>IF('[1]2026 február'!W73=0,
    "",
    '[1]2026 február'!W73
)</f>
        <v/>
      </c>
      <c r="AA75" s="267" t="str">
        <f>IF('[1]2026 február'!X73=0,
    "",
    '[1]2026 február'!X73
)</f>
        <v/>
      </c>
      <c r="AB75" s="267" t="str">
        <f>IF('[1]2026 február'!Y73=0,
    "",
    '[1]2026 február'!Y73
)</f>
        <v/>
      </c>
      <c r="AC75" s="267" t="str">
        <f>IF('[1]2026 február'!Z73=0,
    "",
    '[1]2026 február'!Z73
)</f>
        <v/>
      </c>
      <c r="AD75" s="220" t="str">
        <f>IF('[1]2026 február'!AA73=0,
    "",
    '[1]2026 február'!AA73
)</f>
        <v/>
      </c>
      <c r="AE75" s="220" t="str">
        <f>IF('[1]2026 február'!AB$32=0,
    "",
    '[1]2026 február'!AB$32
)</f>
        <v/>
      </c>
      <c r="AF75" s="220" t="str">
        <f>IF('[1]2026 február'!AC$32=0,
    "",
    '[1]2026 február'!AC$32
)</f>
        <v/>
      </c>
      <c r="AG75" s="220" t="str">
        <f>IF('[1]2026 február'!AD$32=0,
    "",
    '[1]2026 február'!AD$32
)</f>
        <v/>
      </c>
      <c r="AH75" s="220" t="str">
        <f>IF('[1]2026 február'!AE73=0,
    "",
    '[1]2026 február'!AE73
)</f>
        <v/>
      </c>
      <c r="AI75" s="220" t="str">
        <f>IF('[1]2026 február'!AF73=0,
    "",
    '[1]2026 február'!AF73
)</f>
        <v/>
      </c>
      <c r="AJ75" s="220" t="str">
        <f>IF('[1]2026 február'!AG73=0,
    "",
    '[1]2026 február'!AG73
)</f>
        <v/>
      </c>
      <c r="AK75" s="220" t="str">
        <f>IF('[1]2026 február'!AH73=0,
    "",
    '[1]2026 február'!AH73
)</f>
        <v/>
      </c>
    </row>
    <row r="76" spans="1:37" ht="15" customHeight="1">
      <c r="A76" s="18" t="s">
        <v>64</v>
      </c>
      <c r="B76" s="362"/>
      <c r="C76" s="19">
        <f>SUM(C43:C75)</f>
        <v>19240</v>
      </c>
      <c r="D76" s="19">
        <f>SUM(D43:D75)</f>
        <v>4535249</v>
      </c>
      <c r="E76" s="19">
        <f>SUM(E43:E75)</f>
        <v>3894</v>
      </c>
      <c r="F76" s="19">
        <f>SUM(F43:F75)</f>
        <v>2862164</v>
      </c>
      <c r="G76" s="20">
        <f>SUM(G43:G75)</f>
        <v>495690</v>
      </c>
      <c r="H76" s="20">
        <f>SUM(H45:H75)</f>
        <v>6920105</v>
      </c>
      <c r="I76" s="39">
        <f>SUM(I46:I72)</f>
        <v>6920105</v>
      </c>
      <c r="J76" s="32"/>
      <c r="K76" s="417">
        <v>226936844</v>
      </c>
      <c r="L76" s="417">
        <v>7420547</v>
      </c>
      <c r="M76" s="9"/>
      <c r="N76" s="184"/>
      <c r="P76" s="267" t="str">
        <f>IF('[1]2026 február'!B$32=0,
    "",
    '[1]2026 február'!B$32
)</f>
        <v/>
      </c>
      <c r="Q76" s="267" t="str">
        <f>IF(OR('[1]2026 február'!G74=0,
       ISBLANK('[1]2026 február'!G74)),
    "",
    '[1]2026 február'!G74
)</f>
        <v/>
      </c>
      <c r="R76" s="234">
        <f>'[1]2026 február'!W74</f>
        <v>0</v>
      </c>
      <c r="S76" s="10"/>
      <c r="T76" s="10"/>
      <c r="U76" s="10"/>
      <c r="V76" s="268" t="str">
        <f>IF('[1]2026 február'!S74=0,
    "",
    '[1]2026 február'!S74
)</f>
        <v/>
      </c>
      <c r="W76" s="268" t="str">
        <f>IF('[1]2026 február'!T74=0,
    "",
    '[1]2026 február'!T74
)</f>
        <v/>
      </c>
      <c r="X76" s="268" t="str">
        <f>IF('[1]2026 február'!U74=0,
    "",
    '[1]2026 február'!U74
)</f>
        <v/>
      </c>
      <c r="Y76" s="268" t="str">
        <f>IF('[1]2026 február'!V74=0,
    "",
    '[1]2026 február'!V74
)</f>
        <v/>
      </c>
      <c r="Z76" s="268" t="str">
        <f>IF('[1]2026 február'!W74=0,
    "",
    '[1]2026 február'!W74
)</f>
        <v/>
      </c>
      <c r="AA76" s="268" t="str">
        <f>IF('[1]2026 február'!X74=0,
    "",
    '[1]2026 február'!X74
)</f>
        <v/>
      </c>
      <c r="AB76" s="268" t="str">
        <f>IF('[1]2026 február'!Y74=0,
    "",
    '[1]2026 február'!Y74
)</f>
        <v/>
      </c>
      <c r="AC76" s="268" t="str">
        <f>IF('[1]2026 február'!Z74=0,
    "",
    '[1]2026 február'!Z74
)</f>
        <v/>
      </c>
      <c r="AD76" s="235" t="str">
        <f>IF('[1]2026 február'!AA74=0,
    "",
    '[1]2026 február'!AA74
)</f>
        <v/>
      </c>
      <c r="AE76" s="235" t="str">
        <f>IF('[1]2026 február'!AB$33=0,
    "",
    '[1]2026 február'!AB$33
)</f>
        <v/>
      </c>
      <c r="AF76" s="235" t="str">
        <f>IF('[1]2026 február'!AC$33=0,
    "",
    '[1]2026 február'!AC$33
)</f>
        <v/>
      </c>
      <c r="AG76" s="235" t="str">
        <f>IF('[1]2026 február'!AD$33=0,
    "",
    '[1]2026 február'!AD$33
)</f>
        <v/>
      </c>
      <c r="AH76" s="235" t="str">
        <f>IF('[1]2026 február'!AE74=0,
    "",
    '[1]2026 február'!AE74
)</f>
        <v/>
      </c>
      <c r="AI76" s="235" t="str">
        <f>IF('[1]2026 február'!AF74=0,
    "",
    '[1]2026 február'!AF74
)</f>
        <v/>
      </c>
      <c r="AJ76" s="235" t="str">
        <f>IF('[1]2026 február'!AG74=0,
    "",
    '[1]2026 február'!AG74
)</f>
        <v/>
      </c>
      <c r="AK76" s="235" t="str">
        <f>IF('[1]2026 február'!AH74=0,
    "",
    '[1]2026 február'!AH74
)</f>
        <v/>
      </c>
    </row>
    <row r="77" spans="1:37" ht="15" customHeight="1">
      <c r="A77" s="5"/>
      <c r="B77" s="11"/>
      <c r="C77" s="29">
        <f>C76+D76+E76+F76</f>
        <v>7420547</v>
      </c>
      <c r="D77" s="10"/>
      <c r="E77" s="10"/>
      <c r="F77" s="10"/>
      <c r="G77" s="47">
        <f>G76+H76</f>
        <v>7415795</v>
      </c>
      <c r="H77" s="10"/>
      <c r="I77" s="10"/>
      <c r="J77" s="33"/>
      <c r="K77" s="11"/>
      <c r="L77" s="260"/>
      <c r="M77" s="9"/>
      <c r="N77" s="184"/>
      <c r="P77" s="267">
        <f>IF('[1]2026 február'!B$33=0,
    "",
    '[1]2026 február'!B$33
)</f>
        <v>7203260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81" spans="1:77" ht="15" customHeight="1">
      <c r="A81" s="403" t="s">
        <v>177</v>
      </c>
      <c r="B81" s="404"/>
      <c r="C81" s="405"/>
      <c r="D81" s="405"/>
      <c r="E81" s="405"/>
      <c r="F81" s="406"/>
      <c r="G81" s="406"/>
      <c r="H81" s="406"/>
      <c r="I81" s="406"/>
      <c r="J81" s="407"/>
      <c r="K81" s="408"/>
    </row>
    <row r="82" spans="1:77" ht="15" customHeight="1">
      <c r="A82" s="409"/>
      <c r="B82" s="402"/>
      <c r="C82" s="402"/>
      <c r="D82" s="402"/>
      <c r="E82" s="402"/>
      <c r="F82" s="402"/>
      <c r="G82" s="396"/>
      <c r="H82" s="396"/>
      <c r="I82" s="396"/>
      <c r="J82" s="396"/>
      <c r="K82" s="410"/>
    </row>
    <row r="83" spans="1:77" ht="15" customHeight="1">
      <c r="A83" s="628"/>
      <c r="B83" s="629"/>
      <c r="C83" s="629"/>
      <c r="D83" s="629"/>
      <c r="E83" s="629"/>
      <c r="F83" s="629"/>
      <c r="G83" s="411"/>
      <c r="H83" s="411"/>
      <c r="I83" s="411"/>
      <c r="J83" s="411"/>
      <c r="K83" s="412"/>
    </row>
    <row r="85" spans="1:77" ht="15" customHeight="1">
      <c r="A85" s="66" t="s">
        <v>5</v>
      </c>
      <c r="B85" s="351"/>
      <c r="C85" s="26"/>
      <c r="D85" s="26"/>
      <c r="E85" s="26"/>
      <c r="F85" s="26"/>
      <c r="G85" s="26"/>
      <c r="H85" s="26"/>
      <c r="I85" s="26"/>
      <c r="J85" s="34"/>
      <c r="K85" s="349"/>
      <c r="L85" s="255"/>
      <c r="M85" s="157"/>
      <c r="N85" s="157"/>
      <c r="O85" s="27"/>
      <c r="P85" s="273">
        <f>'[1]2026 január'!B83</f>
        <v>0</v>
      </c>
      <c r="Q85" s="66" t="s">
        <v>5</v>
      </c>
      <c r="R85" s="351"/>
      <c r="S85" s="26"/>
      <c r="T85" s="26"/>
      <c r="U85" s="26"/>
      <c r="V85" s="26"/>
      <c r="W85" s="26"/>
      <c r="X85" s="26"/>
      <c r="Y85" s="26"/>
      <c r="Z85" s="34"/>
      <c r="AA85" s="349"/>
      <c r="AB85" s="255"/>
      <c r="AC85" s="157"/>
      <c r="AD85" s="385"/>
      <c r="AE85" s="159"/>
      <c r="AG85" s="499"/>
      <c r="AH85" s="500"/>
      <c r="AI85" s="501"/>
      <c r="AJ85" s="501"/>
      <c r="AK85" s="501"/>
      <c r="AL85" s="501"/>
      <c r="AM85" s="501"/>
      <c r="AN85" s="501"/>
      <c r="AO85" s="501"/>
      <c r="AP85" s="502"/>
      <c r="AQ85" s="503"/>
      <c r="AR85" s="504"/>
      <c r="AS85" s="159"/>
      <c r="AT85" s="159"/>
      <c r="AU85" s="159"/>
      <c r="BI85" s="499"/>
      <c r="BJ85" s="500"/>
      <c r="BK85" s="501"/>
      <c r="BL85" s="501"/>
      <c r="BM85" s="501"/>
      <c r="BN85" s="501"/>
      <c r="BO85" s="501"/>
      <c r="BP85" s="501"/>
      <c r="BQ85" s="501"/>
      <c r="BR85" s="502"/>
      <c r="BS85" s="503"/>
      <c r="BT85" s="504"/>
      <c r="BU85" s="159"/>
      <c r="BV85" s="159"/>
      <c r="BW85" s="159"/>
      <c r="BY85" s="1"/>
    </row>
    <row r="86" spans="1:77" ht="15" customHeight="1">
      <c r="A86" s="141">
        <v>46082</v>
      </c>
      <c r="B86" s="142"/>
      <c r="C86" s="142"/>
      <c r="D86" s="142"/>
      <c r="E86" s="142"/>
      <c r="F86" s="142"/>
      <c r="G86" s="142"/>
      <c r="H86" s="142"/>
      <c r="I86" s="142"/>
      <c r="J86" s="143"/>
      <c r="K86" s="144"/>
      <c r="L86" s="256"/>
      <c r="M86" s="158"/>
      <c r="N86" s="158"/>
      <c r="Q86" s="141">
        <v>46082</v>
      </c>
      <c r="R86" s="142"/>
      <c r="S86" s="142"/>
      <c r="T86" s="142"/>
      <c r="U86" s="142"/>
      <c r="V86" s="142"/>
      <c r="W86" s="142"/>
      <c r="X86" s="142"/>
      <c r="Y86" s="142"/>
      <c r="Z86" s="143"/>
      <c r="AA86" s="144"/>
      <c r="AB86" s="256"/>
      <c r="AC86" s="158"/>
      <c r="AD86" s="381"/>
      <c r="AE86" s="134"/>
      <c r="AG86" s="62"/>
      <c r="AH86" s="41"/>
      <c r="AI86" s="41"/>
      <c r="AJ86" s="41"/>
      <c r="AK86" s="41"/>
      <c r="AL86" s="41"/>
      <c r="AM86" s="41"/>
      <c r="AN86" s="41"/>
      <c r="AO86" s="41"/>
      <c r="AP86" s="35"/>
      <c r="AQ86" s="42"/>
      <c r="AR86" s="505"/>
      <c r="AU86" s="134"/>
      <c r="BI86" s="62"/>
      <c r="BJ86" s="41"/>
      <c r="BK86" s="41"/>
      <c r="BL86" s="41"/>
      <c r="BM86" s="41"/>
      <c r="BN86" s="41"/>
      <c r="BO86" s="41"/>
      <c r="BP86" s="41"/>
      <c r="BQ86" s="41"/>
      <c r="BR86" s="35"/>
      <c r="BS86" s="42"/>
      <c r="BT86" s="505"/>
      <c r="BW86" s="134"/>
      <c r="BY86" s="220"/>
    </row>
    <row r="87" spans="1:77" ht="15" customHeight="1">
      <c r="A87" s="141">
        <v>46083</v>
      </c>
      <c r="B87" s="11">
        <v>337960</v>
      </c>
      <c r="C87" s="11">
        <v>950</v>
      </c>
      <c r="D87" s="11">
        <v>200165</v>
      </c>
      <c r="E87" s="11"/>
      <c r="F87" s="11">
        <v>121635</v>
      </c>
      <c r="G87" s="11">
        <v>26670</v>
      </c>
      <c r="H87" s="11">
        <v>296080</v>
      </c>
      <c r="I87" s="11">
        <v>296080</v>
      </c>
      <c r="J87" s="38" t="s">
        <v>194</v>
      </c>
      <c r="K87" s="72">
        <v>227259594</v>
      </c>
      <c r="L87" s="72"/>
      <c r="M87" s="9"/>
      <c r="N87" s="9"/>
      <c r="P87" s="267" t="str">
        <f>IF('[1]2026 március'!B$2=0,
    "",
    '[1]2026 március'!B$2
)</f>
        <v/>
      </c>
      <c r="Q87" s="141">
        <v>46083</v>
      </c>
      <c r="R87" s="11"/>
      <c r="S87" s="11"/>
      <c r="T87" s="11"/>
      <c r="U87" s="11"/>
      <c r="V87" s="11"/>
      <c r="W87" s="11"/>
      <c r="X87" s="11"/>
      <c r="Y87" s="11"/>
      <c r="Z87" s="38"/>
      <c r="AA87" s="38"/>
      <c r="AB87" s="72"/>
      <c r="AC87" s="9"/>
      <c r="AD87" s="216"/>
      <c r="AE87" s="134"/>
      <c r="AG87" s="62"/>
      <c r="AH87" s="41"/>
      <c r="AI87" s="41"/>
      <c r="AJ87" s="41"/>
      <c r="AK87" s="41"/>
      <c r="AL87" s="41"/>
      <c r="AM87" s="41"/>
      <c r="AN87" s="41"/>
      <c r="AO87" s="41"/>
      <c r="AP87" s="35"/>
      <c r="AQ87" s="35"/>
      <c r="AR87" s="41"/>
      <c r="AU87" s="134"/>
      <c r="BI87" s="62"/>
      <c r="BJ87" s="41"/>
      <c r="BK87" s="41"/>
      <c r="BL87" s="41"/>
      <c r="BM87" s="41"/>
      <c r="BN87" s="41"/>
      <c r="BO87" s="41"/>
      <c r="BP87" s="41"/>
      <c r="BQ87" s="41"/>
      <c r="BR87" s="35"/>
      <c r="BS87" s="35"/>
      <c r="BT87" s="41"/>
      <c r="BW87" s="134"/>
      <c r="BY87" s="220"/>
    </row>
    <row r="88" spans="1:77" ht="15" customHeight="1">
      <c r="A88" s="141">
        <v>46084</v>
      </c>
      <c r="B88" s="11">
        <v>401050</v>
      </c>
      <c r="C88" s="11">
        <v>1000</v>
      </c>
      <c r="D88" s="11">
        <v>202435</v>
      </c>
      <c r="E88" s="11"/>
      <c r="F88" s="11">
        <v>182655</v>
      </c>
      <c r="G88" s="11">
        <v>33615</v>
      </c>
      <c r="H88" s="11">
        <v>352475</v>
      </c>
      <c r="I88" s="11">
        <v>352475</v>
      </c>
      <c r="J88" s="38" t="s">
        <v>195</v>
      </c>
      <c r="K88" s="72">
        <v>227645684</v>
      </c>
      <c r="L88" s="72"/>
      <c r="M88" s="9"/>
      <c r="N88" s="9"/>
      <c r="P88" s="267">
        <f>IF('[1]2026 március'!B$3=0,
    "",
    '[1]2026 március'!B$3
)</f>
        <v>322750</v>
      </c>
      <c r="Q88" s="141">
        <v>46084</v>
      </c>
      <c r="R88" s="11"/>
      <c r="S88" s="11"/>
      <c r="T88" s="11"/>
      <c r="U88" s="11"/>
      <c r="V88" s="11"/>
      <c r="W88" s="11"/>
      <c r="X88" s="11"/>
      <c r="Y88" s="11"/>
      <c r="Z88" s="38"/>
      <c r="AA88" s="38"/>
      <c r="AB88" s="72"/>
      <c r="AC88" s="9"/>
      <c r="AD88" s="216"/>
      <c r="AE88" s="134"/>
      <c r="AG88" s="62"/>
      <c r="AH88" s="41"/>
      <c r="AI88" s="41"/>
      <c r="AJ88" s="41"/>
      <c r="AK88" s="41"/>
      <c r="AL88" s="41"/>
      <c r="AM88" s="41"/>
      <c r="AN88" s="41"/>
      <c r="AO88" s="41"/>
      <c r="AP88" s="35"/>
      <c r="AQ88" s="35"/>
      <c r="AR88" s="41"/>
      <c r="AU88" s="134"/>
      <c r="BI88" s="62"/>
      <c r="BJ88" s="41"/>
      <c r="BK88" s="41"/>
      <c r="BL88" s="41"/>
      <c r="BM88" s="41"/>
      <c r="BN88" s="41"/>
      <c r="BO88" s="41"/>
      <c r="BP88" s="41"/>
      <c r="BQ88" s="41"/>
      <c r="BR88" s="35"/>
      <c r="BS88" s="35"/>
      <c r="BT88" s="41"/>
      <c r="BW88" s="134"/>
      <c r="BY88" s="220"/>
    </row>
    <row r="89" spans="1:77" ht="15" customHeight="1">
      <c r="A89" s="141">
        <v>46085</v>
      </c>
      <c r="B89" s="11">
        <v>448555</v>
      </c>
      <c r="C89" s="11">
        <v>1250</v>
      </c>
      <c r="D89" s="11">
        <v>180215</v>
      </c>
      <c r="E89" s="11"/>
      <c r="F89" s="11">
        <v>248820</v>
      </c>
      <c r="G89" s="11">
        <v>33765</v>
      </c>
      <c r="H89" s="11">
        <v>396520</v>
      </c>
      <c r="I89" s="11">
        <v>396520</v>
      </c>
      <c r="J89" s="38" t="s">
        <v>196</v>
      </c>
      <c r="K89" s="72">
        <v>228075969</v>
      </c>
      <c r="L89" s="72"/>
      <c r="M89" s="9"/>
      <c r="N89" s="9"/>
      <c r="P89" s="267">
        <f>IF('[1]2026 március'!B$4=0,
    "",
    '[1]2026 március'!B$4
)</f>
        <v>386090</v>
      </c>
      <c r="Q89" s="141">
        <v>46085</v>
      </c>
      <c r="R89" s="11"/>
      <c r="S89" s="11"/>
      <c r="T89" s="11"/>
      <c r="U89" s="11"/>
      <c r="V89" s="11"/>
      <c r="W89" s="11"/>
      <c r="X89" s="11"/>
      <c r="Y89" s="11"/>
      <c r="Z89" s="38"/>
      <c r="AA89" s="38"/>
      <c r="AB89" s="72"/>
      <c r="AC89" s="9"/>
      <c r="AD89" s="216"/>
      <c r="AE89" s="134"/>
      <c r="AG89" s="62"/>
      <c r="AH89" s="41"/>
      <c r="AI89" s="41"/>
      <c r="AJ89" s="41"/>
      <c r="AK89" s="41"/>
      <c r="AL89" s="41"/>
      <c r="AM89" s="41"/>
      <c r="AN89" s="41"/>
      <c r="AO89" s="41"/>
      <c r="AP89" s="35"/>
      <c r="AQ89" s="35"/>
      <c r="AR89" s="41"/>
      <c r="AU89" s="134"/>
      <c r="BI89" s="62"/>
      <c r="BJ89" s="41"/>
      <c r="BK89" s="41"/>
      <c r="BL89" s="41"/>
      <c r="BM89" s="41"/>
      <c r="BN89" s="41"/>
      <c r="BO89" s="41"/>
      <c r="BP89" s="41"/>
      <c r="BQ89" s="41"/>
      <c r="BR89" s="35"/>
      <c r="BS89" s="35"/>
      <c r="BT89" s="41"/>
      <c r="BW89" s="134"/>
      <c r="BY89" s="220"/>
    </row>
    <row r="90" spans="1:77" ht="15" customHeight="1">
      <c r="A90" s="141">
        <v>46086</v>
      </c>
      <c r="B90" s="11">
        <v>394770</v>
      </c>
      <c r="C90" s="11">
        <v>1200</v>
      </c>
      <c r="D90" s="11">
        <v>184270</v>
      </c>
      <c r="E90" s="11"/>
      <c r="F90" s="11">
        <v>198650</v>
      </c>
      <c r="G90" s="11">
        <v>25770</v>
      </c>
      <c r="H90" s="11">
        <v>358350</v>
      </c>
      <c r="I90" s="11">
        <v>358350</v>
      </c>
      <c r="J90" s="38" t="s">
        <v>197</v>
      </c>
      <c r="K90" s="72">
        <v>228460089</v>
      </c>
      <c r="L90" s="72"/>
      <c r="M90" s="9"/>
      <c r="N90" s="9"/>
      <c r="P90" s="267">
        <f>IF('[1]2026 március'!B$5=0,
    "",
    '[1]2026 március'!B$5
)</f>
        <v>429935</v>
      </c>
      <c r="Q90" s="141">
        <v>46086</v>
      </c>
      <c r="R90" s="11"/>
      <c r="S90" s="11"/>
      <c r="T90" s="11"/>
      <c r="U90" s="11"/>
      <c r="V90" s="11"/>
      <c r="W90" s="11"/>
      <c r="X90" s="11"/>
      <c r="Y90" s="11"/>
      <c r="Z90" s="38"/>
      <c r="AA90" s="38"/>
      <c r="AB90" s="72"/>
      <c r="AC90" s="9"/>
      <c r="AD90" s="216"/>
      <c r="AE90" s="134"/>
      <c r="AG90" s="62"/>
      <c r="AH90" s="41"/>
      <c r="AI90" s="41"/>
      <c r="AJ90" s="41"/>
      <c r="AK90" s="41"/>
      <c r="AL90" s="41"/>
      <c r="AM90" s="41"/>
      <c r="AN90" s="41"/>
      <c r="AO90" s="41"/>
      <c r="AP90" s="35"/>
      <c r="AQ90" s="35"/>
      <c r="AR90" s="41"/>
      <c r="AU90" s="134"/>
      <c r="BI90" s="62"/>
      <c r="BJ90" s="41"/>
      <c r="BK90" s="41"/>
      <c r="BL90" s="41"/>
      <c r="BM90" s="41"/>
      <c r="BN90" s="41"/>
      <c r="BO90" s="41"/>
      <c r="BP90" s="41"/>
      <c r="BQ90" s="41"/>
      <c r="BR90" s="35"/>
      <c r="BS90" s="35"/>
      <c r="BT90" s="41"/>
      <c r="BW90" s="134"/>
      <c r="BY90" s="220"/>
    </row>
    <row r="91" spans="1:77" ht="15" customHeight="1">
      <c r="A91" s="141">
        <v>46087</v>
      </c>
      <c r="B91" s="11">
        <v>303180</v>
      </c>
      <c r="C91" s="11">
        <v>700</v>
      </c>
      <c r="D91" s="11">
        <v>180770</v>
      </c>
      <c r="E91" s="11"/>
      <c r="F91" s="11">
        <v>108685</v>
      </c>
      <c r="G91" s="11">
        <v>13130</v>
      </c>
      <c r="H91" s="11">
        <v>277025</v>
      </c>
      <c r="I91" s="11">
        <v>277025</v>
      </c>
      <c r="J91" s="38" t="s">
        <v>198</v>
      </c>
      <c r="K91" s="72">
        <v>228750244</v>
      </c>
      <c r="L91" s="72"/>
      <c r="M91" s="9"/>
      <c r="N91" s="9"/>
      <c r="P91" s="267">
        <f>IF('[1]2026 március'!B$6=0,
    "",
    '[1]2026 március'!B$6
)</f>
        <v>394770</v>
      </c>
      <c r="Q91" s="141">
        <v>46087</v>
      </c>
      <c r="R91" s="11"/>
      <c r="S91" s="11"/>
      <c r="T91" s="11"/>
      <c r="U91" s="11"/>
      <c r="V91" s="11"/>
      <c r="W91" s="11"/>
      <c r="X91" s="11"/>
      <c r="Y91" s="11"/>
      <c r="Z91" s="38"/>
      <c r="AA91" s="38"/>
      <c r="AB91" s="72"/>
      <c r="AC91" s="9"/>
      <c r="AD91" s="216"/>
      <c r="AE91" s="134"/>
      <c r="AG91" s="62"/>
      <c r="AH91" s="41"/>
      <c r="AI91" s="41"/>
      <c r="AJ91" s="41"/>
      <c r="AK91" s="41"/>
      <c r="AL91" s="41"/>
      <c r="AM91" s="41"/>
      <c r="AN91" s="41"/>
      <c r="AO91" s="41"/>
      <c r="AP91" s="35"/>
      <c r="AQ91" s="35"/>
      <c r="AR91" s="41"/>
      <c r="AU91" s="134"/>
      <c r="BI91" s="62"/>
      <c r="BJ91" s="41"/>
      <c r="BK91" s="41"/>
      <c r="BL91" s="41"/>
      <c r="BM91" s="41"/>
      <c r="BN91" s="41"/>
      <c r="BO91" s="41"/>
      <c r="BP91" s="41"/>
      <c r="BQ91" s="41"/>
      <c r="BR91" s="35"/>
      <c r="BS91" s="35"/>
      <c r="BT91" s="41"/>
      <c r="BW91" s="134"/>
      <c r="BY91" s="220"/>
    </row>
    <row r="92" spans="1:77" ht="15" customHeight="1">
      <c r="A92" s="141">
        <v>46088</v>
      </c>
      <c r="B92" s="142"/>
      <c r="C92" s="142"/>
      <c r="D92" s="142"/>
      <c r="E92" s="142"/>
      <c r="F92" s="142"/>
      <c r="G92" s="142"/>
      <c r="H92" s="142"/>
      <c r="I92" s="142"/>
      <c r="J92" s="143"/>
      <c r="K92" s="146"/>
      <c r="L92" s="249"/>
      <c r="M92" s="158"/>
      <c r="N92" s="158"/>
      <c r="P92" s="267">
        <f>IF('[1]2026 március'!B$7=0,
    "",
    '[1]2026 március'!B$7
)</f>
        <v>290155</v>
      </c>
      <c r="Q92" s="141">
        <v>46088</v>
      </c>
      <c r="R92" s="142"/>
      <c r="S92" s="142"/>
      <c r="T92" s="142"/>
      <c r="U92" s="142"/>
      <c r="V92" s="142"/>
      <c r="W92" s="142"/>
      <c r="X92" s="142"/>
      <c r="Y92" s="142"/>
      <c r="Z92" s="143"/>
      <c r="AA92" s="143"/>
      <c r="AB92" s="249"/>
      <c r="AC92" s="158"/>
      <c r="AD92" s="381"/>
      <c r="AE92" s="134"/>
      <c r="AG92" s="62"/>
      <c r="AH92" s="41"/>
      <c r="AI92" s="41"/>
      <c r="AJ92" s="41"/>
      <c r="AK92" s="41"/>
      <c r="AL92" s="41"/>
      <c r="AM92" s="41"/>
      <c r="AN92" s="41"/>
      <c r="AO92" s="41"/>
      <c r="AP92" s="35"/>
      <c r="AQ92" s="35"/>
      <c r="AR92" s="253"/>
      <c r="AU92" s="134"/>
      <c r="BI92" s="62"/>
      <c r="BJ92" s="41"/>
      <c r="BK92" s="41"/>
      <c r="BL92" s="41"/>
      <c r="BM92" s="41"/>
      <c r="BN92" s="41"/>
      <c r="BO92" s="41"/>
      <c r="BP92" s="41"/>
      <c r="BQ92" s="41"/>
      <c r="BR92" s="35"/>
      <c r="BS92" s="35"/>
      <c r="BT92" s="253"/>
      <c r="BW92" s="134"/>
      <c r="BY92" s="220"/>
    </row>
    <row r="93" spans="1:77" ht="15" customHeight="1">
      <c r="A93" s="141">
        <v>46089</v>
      </c>
      <c r="B93" s="142"/>
      <c r="C93" s="142"/>
      <c r="D93" s="142"/>
      <c r="E93" s="142"/>
      <c r="F93" s="142"/>
      <c r="G93" s="142"/>
      <c r="H93" s="142"/>
      <c r="I93" s="142"/>
      <c r="J93" s="143"/>
      <c r="K93" s="146"/>
      <c r="L93" s="249"/>
      <c r="M93" s="158"/>
      <c r="N93" s="158"/>
      <c r="P93" s="267" t="str">
        <f>IF('[1]2026 március'!B$8=0,
    "",
    '[1]2026 március'!B$8
)</f>
        <v/>
      </c>
      <c r="Q93" s="141">
        <v>46089</v>
      </c>
      <c r="R93" s="142"/>
      <c r="S93" s="142"/>
      <c r="T93" s="142"/>
      <c r="U93" s="142"/>
      <c r="V93" s="142"/>
      <c r="W93" s="142"/>
      <c r="X93" s="142"/>
      <c r="Y93" s="142"/>
      <c r="Z93" s="143"/>
      <c r="AA93" s="143"/>
      <c r="AB93" s="249"/>
      <c r="AC93" s="158"/>
      <c r="AD93" s="381"/>
      <c r="AE93" s="134"/>
      <c r="AG93" s="62"/>
      <c r="AH93" s="41"/>
      <c r="AI93" s="41"/>
      <c r="AJ93" s="41"/>
      <c r="AK93" s="41"/>
      <c r="AL93" s="41"/>
      <c r="AM93" s="41"/>
      <c r="AN93" s="41"/>
      <c r="AO93" s="41"/>
      <c r="AP93" s="35"/>
      <c r="AQ93" s="35"/>
      <c r="AR93" s="253"/>
      <c r="AU93" s="134"/>
      <c r="BI93" s="62"/>
      <c r="BJ93" s="41"/>
      <c r="BK93" s="41"/>
      <c r="BL93" s="41"/>
      <c r="BM93" s="41"/>
      <c r="BN93" s="41"/>
      <c r="BO93" s="41"/>
      <c r="BP93" s="41"/>
      <c r="BQ93" s="41"/>
      <c r="BR93" s="35"/>
      <c r="BS93" s="35"/>
      <c r="BT93" s="253"/>
      <c r="BW93" s="134"/>
      <c r="BY93" s="220"/>
    </row>
    <row r="94" spans="1:77" ht="15" customHeight="1">
      <c r="A94" s="141">
        <v>46090</v>
      </c>
      <c r="B94" s="11">
        <v>368265</v>
      </c>
      <c r="C94" s="11">
        <v>1300</v>
      </c>
      <c r="D94" s="11">
        <v>168070</v>
      </c>
      <c r="E94" s="11"/>
      <c r="F94" s="11">
        <v>186655</v>
      </c>
      <c r="G94" s="11">
        <v>13390</v>
      </c>
      <c r="H94" s="11">
        <v>342635</v>
      </c>
      <c r="I94" s="11">
        <v>342635</v>
      </c>
      <c r="J94" s="38" t="s">
        <v>199</v>
      </c>
      <c r="K94" s="72">
        <v>229106269</v>
      </c>
      <c r="L94" s="72"/>
      <c r="M94" s="9"/>
      <c r="N94" s="9"/>
      <c r="P94" s="267" t="str">
        <f>IF('[1]2026 március'!B$9=0,
    "",
    '[1]2026 március'!B$9
)</f>
        <v/>
      </c>
      <c r="Q94" s="141">
        <v>46090</v>
      </c>
      <c r="R94" s="11"/>
      <c r="S94" s="11"/>
      <c r="T94" s="11"/>
      <c r="U94" s="11"/>
      <c r="V94" s="11"/>
      <c r="W94" s="11"/>
      <c r="X94" s="11"/>
      <c r="Y94" s="11"/>
      <c r="Z94" s="38"/>
      <c r="AA94" s="38"/>
      <c r="AB94" s="72"/>
      <c r="AC94" s="9"/>
      <c r="AD94" s="216"/>
      <c r="AE94" s="134"/>
      <c r="AG94" s="62"/>
      <c r="AH94" s="41"/>
      <c r="AI94" s="41"/>
      <c r="AJ94" s="41"/>
      <c r="AK94" s="41"/>
      <c r="AL94" s="41"/>
      <c r="AM94" s="41"/>
      <c r="AN94" s="41"/>
      <c r="AO94" s="41"/>
      <c r="AP94" s="35"/>
      <c r="AQ94" s="35"/>
      <c r="AR94" s="41"/>
      <c r="AU94" s="134"/>
      <c r="BI94" s="62"/>
      <c r="BJ94" s="41"/>
      <c r="BK94" s="41"/>
      <c r="BL94" s="41"/>
      <c r="BM94" s="41"/>
      <c r="BN94" s="41"/>
      <c r="BO94" s="41"/>
      <c r="BP94" s="41"/>
      <c r="BQ94" s="41"/>
      <c r="BR94" s="35"/>
      <c r="BS94" s="35"/>
      <c r="BT94" s="41"/>
      <c r="BW94" s="134"/>
      <c r="BY94" s="220"/>
    </row>
    <row r="95" spans="1:77" ht="15" customHeight="1">
      <c r="A95" s="141">
        <v>46091</v>
      </c>
      <c r="B95" s="11">
        <v>387530</v>
      </c>
      <c r="C95" s="11">
        <v>1300</v>
      </c>
      <c r="D95" s="11">
        <v>191340</v>
      </c>
      <c r="E95" s="11"/>
      <c r="F95" s="11">
        <v>179700</v>
      </c>
      <c r="G95" s="11">
        <v>26530</v>
      </c>
      <c r="H95" s="11">
        <v>345810</v>
      </c>
      <c r="I95" s="11">
        <v>353495</v>
      </c>
      <c r="J95" s="38" t="s">
        <v>200</v>
      </c>
      <c r="K95" s="72">
        <v>229486294</v>
      </c>
      <c r="L95" s="72"/>
      <c r="M95" s="9"/>
      <c r="N95" s="9"/>
      <c r="P95" s="267">
        <f>IF('[1]2026 március'!B$10=0,
    "",
    '[1]2026 március'!B$10
)</f>
        <v>356025</v>
      </c>
      <c r="Q95" s="141">
        <v>46091</v>
      </c>
      <c r="R95" s="11"/>
      <c r="S95" s="11"/>
      <c r="T95" s="11"/>
      <c r="U95" s="11"/>
      <c r="V95" s="11"/>
      <c r="W95" s="11"/>
      <c r="X95" s="11"/>
      <c r="Y95" s="11"/>
      <c r="Z95" s="38"/>
      <c r="AA95" s="38"/>
      <c r="AB95" s="72"/>
      <c r="AC95" s="9"/>
      <c r="AD95" s="216"/>
      <c r="AE95" s="134"/>
      <c r="AG95" s="62"/>
      <c r="AH95" s="41"/>
      <c r="AI95" s="41"/>
      <c r="AJ95" s="41"/>
      <c r="AK95" s="41"/>
      <c r="AL95" s="41"/>
      <c r="AM95" s="41"/>
      <c r="AN95" s="41"/>
      <c r="AO95" s="41"/>
      <c r="AP95" s="35"/>
      <c r="AQ95" s="35"/>
      <c r="AR95" s="41"/>
      <c r="AU95" s="134"/>
      <c r="BI95" s="62"/>
      <c r="BJ95" s="41"/>
      <c r="BK95" s="41"/>
      <c r="BL95" s="41"/>
      <c r="BM95" s="41"/>
      <c r="BN95" s="41"/>
      <c r="BO95" s="41"/>
      <c r="BP95" s="41"/>
      <c r="BQ95" s="41"/>
      <c r="BR95" s="35"/>
      <c r="BS95" s="35"/>
      <c r="BT95" s="41"/>
      <c r="BW95" s="134"/>
      <c r="BY95" s="220"/>
    </row>
    <row r="96" spans="1:77" ht="15" customHeight="1">
      <c r="A96" s="141"/>
      <c r="B96" s="11"/>
      <c r="C96" s="11"/>
      <c r="D96" s="11">
        <v>7685</v>
      </c>
      <c r="E96" s="11"/>
      <c r="F96" s="11"/>
      <c r="G96" s="11"/>
      <c r="H96" s="11">
        <v>7685</v>
      </c>
      <c r="I96" s="11"/>
      <c r="J96" s="38" t="s">
        <v>201</v>
      </c>
      <c r="K96" s="72">
        <v>229486294</v>
      </c>
      <c r="L96" s="72"/>
      <c r="M96" s="9"/>
      <c r="N96" s="9"/>
      <c r="P96" s="267"/>
      <c r="Q96" s="141"/>
      <c r="R96" s="11"/>
      <c r="S96" s="11"/>
      <c r="T96" s="11"/>
      <c r="U96" s="11"/>
      <c r="V96" s="11"/>
      <c r="W96" s="11"/>
      <c r="X96" s="11"/>
      <c r="Y96" s="11"/>
      <c r="Z96" s="38"/>
      <c r="AA96" s="38"/>
      <c r="AB96" s="72"/>
      <c r="AC96" s="9"/>
      <c r="AD96" s="216"/>
      <c r="AE96" s="134"/>
      <c r="AG96" s="62"/>
      <c r="AH96" s="41"/>
      <c r="AI96" s="41"/>
      <c r="AJ96" s="41"/>
      <c r="AK96" s="41"/>
      <c r="AL96" s="41"/>
      <c r="AM96" s="41"/>
      <c r="AN96" s="41"/>
      <c r="AO96" s="41"/>
      <c r="AP96" s="35"/>
      <c r="AQ96" s="35"/>
      <c r="AR96" s="41"/>
      <c r="AU96" s="134"/>
      <c r="BI96" s="62"/>
      <c r="BJ96" s="41"/>
      <c r="BK96" s="41"/>
      <c r="BL96" s="41"/>
      <c r="BM96" s="41"/>
      <c r="BN96" s="41"/>
      <c r="BO96" s="41"/>
      <c r="BP96" s="41"/>
      <c r="BQ96" s="41"/>
      <c r="BR96" s="35"/>
      <c r="BS96" s="35"/>
      <c r="BT96" s="41"/>
      <c r="BW96" s="134"/>
      <c r="BY96" s="220"/>
    </row>
    <row r="97" spans="1:96" ht="15" customHeight="1">
      <c r="A97" s="141">
        <v>46092</v>
      </c>
      <c r="B97" s="11">
        <v>401995</v>
      </c>
      <c r="C97" s="11">
        <v>1000</v>
      </c>
      <c r="D97" s="11">
        <v>218035</v>
      </c>
      <c r="E97" s="11"/>
      <c r="F97" s="11">
        <v>211365</v>
      </c>
      <c r="G97" s="11">
        <v>20100</v>
      </c>
      <c r="H97" s="11">
        <v>410300</v>
      </c>
      <c r="I97" s="11">
        <v>410300</v>
      </c>
      <c r="J97" s="38" t="s">
        <v>202</v>
      </c>
      <c r="K97" s="72">
        <v>229916694</v>
      </c>
      <c r="L97" s="72"/>
      <c r="M97" s="9"/>
      <c r="N97" s="9"/>
      <c r="P97" s="267">
        <f>IF('[1]2026 március'!B$11=0,
    "",
    '[1]2026 március'!B$11
)</f>
        <v>380025</v>
      </c>
      <c r="Q97" s="141">
        <v>46092</v>
      </c>
      <c r="R97" s="11"/>
      <c r="S97" s="11"/>
      <c r="T97" s="11"/>
      <c r="U97" s="11"/>
      <c r="V97" s="11"/>
      <c r="W97" s="11"/>
      <c r="X97" s="11"/>
      <c r="Y97" s="11"/>
      <c r="Z97" s="38"/>
      <c r="AA97" s="38"/>
      <c r="AB97" s="72"/>
      <c r="AC97" s="9"/>
      <c r="AD97" s="216"/>
      <c r="AE97" s="134"/>
      <c r="AG97" s="62"/>
      <c r="AH97" s="41"/>
      <c r="AI97" s="41"/>
      <c r="AJ97" s="41"/>
      <c r="AK97" s="41"/>
      <c r="AL97" s="41"/>
      <c r="AM97" s="41"/>
      <c r="AN97" s="41"/>
      <c r="AO97" s="41"/>
      <c r="AP97" s="35"/>
      <c r="AQ97" s="35"/>
      <c r="AR97" s="41"/>
      <c r="AU97" s="134"/>
      <c r="BI97" s="62"/>
      <c r="BJ97" s="41"/>
      <c r="BK97" s="41"/>
      <c r="BL97" s="41"/>
      <c r="BM97" s="41"/>
      <c r="BN97" s="41"/>
      <c r="BO97" s="41"/>
      <c r="BP97" s="41"/>
      <c r="BQ97" s="41"/>
      <c r="BR97" s="35"/>
      <c r="BS97" s="35"/>
      <c r="BT97" s="41"/>
      <c r="BW97" s="134"/>
      <c r="BY97" s="220"/>
    </row>
    <row r="98" spans="1:96" ht="15" customHeight="1">
      <c r="A98" s="141">
        <v>46093</v>
      </c>
      <c r="B98" s="11">
        <v>461160</v>
      </c>
      <c r="C98" s="11">
        <v>1350</v>
      </c>
      <c r="D98" s="11">
        <v>195780</v>
      </c>
      <c r="E98" s="11"/>
      <c r="F98" s="11">
        <v>253675</v>
      </c>
      <c r="G98" s="11">
        <v>27455</v>
      </c>
      <c r="H98" s="11">
        <v>423350</v>
      </c>
      <c r="I98" s="11">
        <v>423350</v>
      </c>
      <c r="J98" s="38" t="s">
        <v>203</v>
      </c>
      <c r="K98" s="72">
        <v>230367499</v>
      </c>
      <c r="L98" s="72"/>
      <c r="M98" s="378"/>
      <c r="N98" s="9"/>
      <c r="P98" s="267">
        <f>IF('[1]2026 március'!B$12=0,
    "",
    '[1]2026 március'!B$12
)</f>
        <v>390400</v>
      </c>
      <c r="Q98" s="141">
        <v>46093</v>
      </c>
      <c r="R98" s="11"/>
      <c r="S98" s="11"/>
      <c r="T98" s="11"/>
      <c r="U98" s="11"/>
      <c r="V98" s="11"/>
      <c r="W98" s="11"/>
      <c r="X98" s="11"/>
      <c r="Y98" s="11"/>
      <c r="Z98" s="38"/>
      <c r="AA98" s="38"/>
      <c r="AB98" s="72"/>
      <c r="AC98" s="378"/>
      <c r="AD98" s="216"/>
      <c r="AE98" s="134"/>
      <c r="AG98" s="62"/>
      <c r="AH98" s="41"/>
      <c r="AI98" s="41"/>
      <c r="AJ98" s="41"/>
      <c r="AK98" s="41"/>
      <c r="AL98" s="41"/>
      <c r="AM98" s="41"/>
      <c r="AN98" s="41"/>
      <c r="AO98" s="41"/>
      <c r="AP98" s="35"/>
      <c r="AQ98" s="35"/>
      <c r="AR98" s="41"/>
      <c r="AS98" s="50"/>
      <c r="AU98" s="134"/>
      <c r="BI98" s="62"/>
      <c r="BJ98" s="41"/>
      <c r="BK98" s="41"/>
      <c r="BL98" s="41"/>
      <c r="BM98" s="41"/>
      <c r="BN98" s="41"/>
      <c r="BO98" s="41"/>
      <c r="BP98" s="41"/>
      <c r="BQ98" s="41"/>
      <c r="BR98" s="35"/>
      <c r="BS98" s="35"/>
      <c r="BT98" s="41"/>
      <c r="BU98" s="50"/>
      <c r="BW98" s="134"/>
      <c r="BY98" s="220"/>
    </row>
    <row r="99" spans="1:96" ht="15" customHeight="1">
      <c r="A99" s="141">
        <v>46094</v>
      </c>
      <c r="B99" s="11">
        <v>310605</v>
      </c>
      <c r="C99" s="11">
        <v>800</v>
      </c>
      <c r="D99" s="11">
        <v>251950</v>
      </c>
      <c r="E99" s="11"/>
      <c r="F99" s="11">
        <v>81265</v>
      </c>
      <c r="G99" s="11">
        <v>4550</v>
      </c>
      <c r="H99" s="11">
        <v>329465</v>
      </c>
      <c r="I99" s="11">
        <v>329465</v>
      </c>
      <c r="J99" s="38" t="s">
        <v>204</v>
      </c>
      <c r="K99" s="72">
        <v>230701514</v>
      </c>
      <c r="L99" s="72"/>
      <c r="M99" s="9"/>
      <c r="N99" s="9"/>
      <c r="P99" s="267">
        <f>IF('[1]2026 március'!B$13=0,
    "",
    '[1]2026 március'!B$13
)</f>
        <v>420805</v>
      </c>
      <c r="Q99" s="141">
        <v>46094</v>
      </c>
      <c r="R99" s="11"/>
      <c r="S99" s="11"/>
      <c r="T99" s="11"/>
      <c r="U99" s="11"/>
      <c r="V99" s="11"/>
      <c r="W99" s="11"/>
      <c r="X99" s="11"/>
      <c r="Y99" s="11"/>
      <c r="Z99" s="38"/>
      <c r="AA99" s="38"/>
      <c r="AB99" s="72"/>
      <c r="AC99" s="9"/>
      <c r="AD99" s="216"/>
      <c r="AE99" s="134"/>
      <c r="AG99" s="62"/>
      <c r="AH99" s="41"/>
      <c r="AI99" s="41"/>
      <c r="AJ99" s="41"/>
      <c r="AK99" s="41"/>
      <c r="AL99" s="41"/>
      <c r="AM99" s="41"/>
      <c r="AN99" s="41"/>
      <c r="AO99" s="41"/>
      <c r="AP99" s="35"/>
      <c r="AQ99" s="35"/>
      <c r="AR99" s="41"/>
      <c r="AU99" s="134"/>
      <c r="BI99" s="62"/>
      <c r="BJ99" s="41"/>
      <c r="BK99" s="41"/>
      <c r="BL99" s="41"/>
      <c r="BM99" s="41"/>
      <c r="BN99" s="41"/>
      <c r="BO99" s="41"/>
      <c r="BP99" s="41"/>
      <c r="BQ99" s="41"/>
      <c r="BR99" s="35"/>
      <c r="BS99" s="35"/>
      <c r="BT99" s="41"/>
      <c r="BW99" s="134"/>
      <c r="BY99" s="220"/>
    </row>
    <row r="100" spans="1:96" ht="15" customHeight="1">
      <c r="A100" s="141">
        <v>46095</v>
      </c>
      <c r="B100" s="142"/>
      <c r="C100" s="142"/>
      <c r="D100" s="142"/>
      <c r="E100" s="142"/>
      <c r="F100" s="142"/>
      <c r="G100" s="142"/>
      <c r="H100" s="142"/>
      <c r="I100" s="142"/>
      <c r="J100" s="143"/>
      <c r="K100" s="146"/>
      <c r="L100" s="146"/>
      <c r="M100" s="158"/>
      <c r="N100" s="158"/>
      <c r="P100" s="267">
        <f>IF('[1]2026 március'!B$14=0,
    "",
    '[1]2026 március'!B$14
)</f>
        <v>304015</v>
      </c>
      <c r="Q100" s="141">
        <v>46095</v>
      </c>
      <c r="R100" s="142"/>
      <c r="S100" s="142"/>
      <c r="T100" s="142"/>
      <c r="U100" s="142"/>
      <c r="V100" s="142"/>
      <c r="W100" s="142"/>
      <c r="X100" s="142"/>
      <c r="Y100" s="142"/>
      <c r="Z100" s="143"/>
      <c r="AA100" s="143"/>
      <c r="AB100" s="146"/>
      <c r="AC100" s="158"/>
      <c r="AD100" s="381"/>
      <c r="AE100" s="134"/>
      <c r="AG100" s="62"/>
      <c r="AH100" s="41"/>
      <c r="AI100" s="41"/>
      <c r="AJ100" s="41"/>
      <c r="AK100" s="41"/>
      <c r="AL100" s="41"/>
      <c r="AM100" s="41"/>
      <c r="AN100" s="41"/>
      <c r="AO100" s="41"/>
      <c r="AP100" s="35"/>
      <c r="AQ100" s="35"/>
      <c r="AR100" s="41"/>
      <c r="AU100" s="134"/>
      <c r="BI100" s="62"/>
      <c r="BJ100" s="41"/>
      <c r="BK100" s="41"/>
      <c r="BL100" s="41"/>
      <c r="BM100" s="41"/>
      <c r="BN100" s="41"/>
      <c r="BO100" s="41"/>
      <c r="BP100" s="41"/>
      <c r="BQ100" s="41"/>
      <c r="BR100" s="35"/>
      <c r="BS100" s="35"/>
      <c r="BT100" s="41"/>
      <c r="BW100" s="134"/>
      <c r="BY100" s="220"/>
      <c r="CR100" t="s">
        <v>205</v>
      </c>
    </row>
    <row r="101" spans="1:96" ht="15" customHeight="1">
      <c r="A101" s="141">
        <v>46096</v>
      </c>
      <c r="B101" s="142"/>
      <c r="C101" s="142"/>
      <c r="D101" s="142"/>
      <c r="E101" s="142"/>
      <c r="F101" s="142"/>
      <c r="G101" s="142"/>
      <c r="H101" s="142"/>
      <c r="I101" s="142"/>
      <c r="J101" s="143"/>
      <c r="K101" s="146"/>
      <c r="L101" s="146"/>
      <c r="M101" s="158"/>
      <c r="N101" s="158"/>
      <c r="P101" s="267" t="str">
        <f>IF('[1]2026 március'!B$15=0,
    "",
    '[1]2026 március'!B$15
)</f>
        <v/>
      </c>
      <c r="Q101" s="141">
        <v>46096</v>
      </c>
      <c r="R101" s="142"/>
      <c r="S101" s="142"/>
      <c r="T101" s="142"/>
      <c r="U101" s="142"/>
      <c r="V101" s="142"/>
      <c r="W101" s="142"/>
      <c r="X101" s="142"/>
      <c r="Y101" s="142"/>
      <c r="Z101" s="143"/>
      <c r="AA101" s="143"/>
      <c r="AB101" s="146"/>
      <c r="AC101" s="158"/>
      <c r="AD101" s="381"/>
      <c r="AE101" s="134"/>
      <c r="AG101" s="62"/>
      <c r="AH101" s="41"/>
      <c r="AI101" s="41"/>
      <c r="AJ101" s="41"/>
      <c r="AK101" s="41"/>
      <c r="AL101" s="41"/>
      <c r="AM101" s="41"/>
      <c r="AN101" s="41"/>
      <c r="AO101" s="41"/>
      <c r="AP101" s="35"/>
      <c r="AQ101" s="35"/>
      <c r="AR101" s="41"/>
      <c r="AU101" s="134"/>
      <c r="BI101" s="62"/>
      <c r="BJ101" s="41"/>
      <c r="BK101" s="41"/>
      <c r="BL101" s="41"/>
      <c r="BM101" s="41"/>
      <c r="BN101" s="41"/>
      <c r="BO101" s="41"/>
      <c r="BP101" s="41"/>
      <c r="BQ101" s="41"/>
      <c r="BR101" s="35"/>
      <c r="BS101" s="35"/>
      <c r="BT101" s="41"/>
      <c r="BW101" s="134"/>
      <c r="BY101" s="220"/>
    </row>
    <row r="102" spans="1:96" ht="15" customHeight="1">
      <c r="A102" s="141">
        <v>46097</v>
      </c>
      <c r="B102" s="11">
        <v>378750</v>
      </c>
      <c r="C102" s="11">
        <v>1400</v>
      </c>
      <c r="D102" s="11">
        <v>274035</v>
      </c>
      <c r="E102" s="11"/>
      <c r="F102" s="11">
        <v>136830</v>
      </c>
      <c r="G102" s="11">
        <v>22540</v>
      </c>
      <c r="H102" s="11">
        <v>389725</v>
      </c>
      <c r="I102" s="11">
        <v>389725</v>
      </c>
      <c r="J102" s="38" t="s">
        <v>206</v>
      </c>
      <c r="K102" s="72">
        <v>231113779</v>
      </c>
      <c r="L102" s="72"/>
      <c r="M102" s="9"/>
      <c r="N102" s="9"/>
      <c r="P102" s="267" t="str">
        <f>IF('[1]2026 március'!B$16=0,
    "",
    '[1]2026 március'!B$16
)</f>
        <v/>
      </c>
      <c r="Q102" s="141">
        <v>46097</v>
      </c>
      <c r="R102" s="11"/>
      <c r="S102" s="11"/>
      <c r="T102" s="11"/>
      <c r="U102" s="11"/>
      <c r="V102" s="11"/>
      <c r="W102" s="11"/>
      <c r="X102" s="11"/>
      <c r="Y102" s="11"/>
      <c r="Z102" s="38"/>
      <c r="AA102" s="38"/>
      <c r="AB102" s="72"/>
      <c r="AC102" s="9"/>
      <c r="AD102" s="216"/>
      <c r="AE102" s="134"/>
      <c r="AG102" s="62"/>
      <c r="AH102" s="41"/>
      <c r="AI102" s="41"/>
      <c r="AJ102" s="41"/>
      <c r="AK102" s="41"/>
      <c r="AL102" s="41"/>
      <c r="AM102" s="41"/>
      <c r="AN102" s="41"/>
      <c r="AO102" s="41"/>
      <c r="AP102" s="35"/>
      <c r="AQ102" s="35"/>
      <c r="AR102" s="41"/>
      <c r="AU102" s="134"/>
      <c r="BI102" s="62"/>
      <c r="BJ102" s="41"/>
      <c r="BK102" s="41"/>
      <c r="BL102" s="41"/>
      <c r="BM102" s="41"/>
      <c r="BN102" s="41"/>
      <c r="BO102" s="41"/>
      <c r="BP102" s="41"/>
      <c r="BQ102" s="41"/>
      <c r="BR102" s="35"/>
      <c r="BS102" s="35"/>
      <c r="BT102" s="41"/>
      <c r="BW102" s="134"/>
      <c r="BY102" s="220"/>
    </row>
    <row r="103" spans="1:96" ht="15" customHeight="1">
      <c r="A103" s="141">
        <v>46098</v>
      </c>
      <c r="B103" s="11">
        <v>349160</v>
      </c>
      <c r="C103" s="11">
        <v>1000</v>
      </c>
      <c r="D103" s="11">
        <v>177435</v>
      </c>
      <c r="E103" s="11"/>
      <c r="F103" s="11">
        <v>211375</v>
      </c>
      <c r="G103" s="11">
        <v>18885</v>
      </c>
      <c r="H103" s="11">
        <v>370925</v>
      </c>
      <c r="I103" s="11">
        <v>370925</v>
      </c>
      <c r="J103" s="38" t="s">
        <v>207</v>
      </c>
      <c r="K103" s="72">
        <v>231503589</v>
      </c>
      <c r="L103" s="72"/>
      <c r="M103" s="9"/>
      <c r="N103" s="9"/>
      <c r="P103" s="267">
        <f>IF('[1]2026 március'!B$17=0,
    "",
    '[1]2026 március'!B$17
)</f>
        <v>367265</v>
      </c>
      <c r="Q103" s="141">
        <v>46098</v>
      </c>
      <c r="R103" s="11"/>
      <c r="S103" s="11"/>
      <c r="T103" s="11"/>
      <c r="U103" s="11"/>
      <c r="V103" s="11"/>
      <c r="W103" s="11"/>
      <c r="X103" s="11"/>
      <c r="Y103" s="11"/>
      <c r="Z103" s="38"/>
      <c r="AA103" s="38"/>
      <c r="AB103" s="72"/>
      <c r="AC103" s="9"/>
      <c r="AD103" s="216"/>
      <c r="AE103" s="134"/>
      <c r="AG103" s="62"/>
      <c r="AH103" s="41"/>
      <c r="AI103" s="41"/>
      <c r="AJ103" s="41"/>
      <c r="AK103" s="41"/>
      <c r="AL103" s="41"/>
      <c r="AM103" s="41"/>
      <c r="AN103" s="41"/>
      <c r="AO103" s="41"/>
      <c r="AP103" s="35"/>
      <c r="AQ103" s="35"/>
      <c r="AR103" s="41"/>
      <c r="AU103" s="134"/>
      <c r="BI103" s="62"/>
      <c r="BJ103" s="41"/>
      <c r="BK103" s="41"/>
      <c r="BL103" s="41"/>
      <c r="BM103" s="41"/>
      <c r="BN103" s="41"/>
      <c r="BO103" s="41"/>
      <c r="BP103" s="41"/>
      <c r="BQ103" s="41"/>
      <c r="BR103" s="35"/>
      <c r="BS103" s="35"/>
      <c r="BT103" s="41"/>
      <c r="BW103" s="134"/>
      <c r="BY103" s="220"/>
    </row>
    <row r="104" spans="1:96" ht="15" customHeight="1">
      <c r="A104" s="141">
        <v>46099</v>
      </c>
      <c r="B104" s="11">
        <v>373565</v>
      </c>
      <c r="C104" s="11">
        <v>1150</v>
      </c>
      <c r="D104" s="11">
        <v>193565</v>
      </c>
      <c r="E104" s="11"/>
      <c r="F104" s="11">
        <v>156510</v>
      </c>
      <c r="G104" s="11">
        <v>17520</v>
      </c>
      <c r="H104" s="11">
        <v>333705</v>
      </c>
      <c r="I104" s="11">
        <v>333705</v>
      </c>
      <c r="J104" s="38" t="s">
        <v>208</v>
      </c>
      <c r="K104" s="72">
        <v>231854814</v>
      </c>
      <c r="L104" s="72"/>
      <c r="M104" s="9"/>
      <c r="N104" s="9"/>
      <c r="P104" s="267">
        <f>IF('[1]2026 március'!B$18=0,
    "",
    '[1]2026 március'!B$18
)</f>
        <v>339810</v>
      </c>
      <c r="Q104" s="141">
        <v>46099</v>
      </c>
      <c r="R104" s="11"/>
      <c r="S104" s="11"/>
      <c r="T104" s="11"/>
      <c r="U104" s="11"/>
      <c r="V104" s="11"/>
      <c r="W104" s="11"/>
      <c r="X104" s="11"/>
      <c r="Y104" s="11"/>
      <c r="Z104" s="38"/>
      <c r="AA104" s="38"/>
      <c r="AB104" s="72"/>
      <c r="AC104" s="9"/>
      <c r="AD104" s="216"/>
      <c r="AE104" s="134"/>
      <c r="AG104" s="62"/>
      <c r="AH104" s="41"/>
      <c r="AI104" s="41"/>
      <c r="AJ104" s="41"/>
      <c r="AK104" s="41"/>
      <c r="AL104" s="41"/>
      <c r="AM104" s="41"/>
      <c r="AN104" s="41"/>
      <c r="AO104" s="41"/>
      <c r="AP104" s="35"/>
      <c r="AQ104" s="35"/>
      <c r="AR104" s="41"/>
      <c r="AU104" s="134"/>
      <c r="BI104" s="62"/>
      <c r="BJ104" s="41"/>
      <c r="BK104" s="41"/>
      <c r="BL104" s="41"/>
      <c r="BM104" s="41"/>
      <c r="BN104" s="41"/>
      <c r="BO104" s="41"/>
      <c r="BP104" s="41"/>
      <c r="BQ104" s="41"/>
      <c r="BR104" s="35"/>
      <c r="BS104" s="35"/>
      <c r="BT104" s="41"/>
      <c r="BW104" s="134"/>
      <c r="BY104" s="220"/>
    </row>
    <row r="105" spans="1:96" ht="15" customHeight="1">
      <c r="A105" s="141">
        <v>46100</v>
      </c>
      <c r="B105" s="11">
        <v>430040</v>
      </c>
      <c r="C105" s="11">
        <v>1150</v>
      </c>
      <c r="D105" s="11">
        <v>158580</v>
      </c>
      <c r="E105" s="11"/>
      <c r="F105" s="11">
        <v>263690</v>
      </c>
      <c r="G105" s="11">
        <v>34900</v>
      </c>
      <c r="H105" s="11">
        <v>386680</v>
      </c>
      <c r="I105" s="11">
        <v>386680</v>
      </c>
      <c r="J105" s="38" t="s">
        <v>209</v>
      </c>
      <c r="K105" s="72">
        <v>232278234</v>
      </c>
      <c r="L105" s="72"/>
      <c r="M105" s="587">
        <v>1840</v>
      </c>
      <c r="N105" s="9" t="s">
        <v>210</v>
      </c>
      <c r="P105" s="267">
        <f>IF('[1]2026 március'!B$19=0,
    "",
    '[1]2026 március'!B$19
)</f>
        <v>352275</v>
      </c>
      <c r="Q105" s="141">
        <v>46100</v>
      </c>
      <c r="R105" s="11"/>
      <c r="S105" s="11"/>
      <c r="T105" s="11"/>
      <c r="U105" s="11"/>
      <c r="V105" s="11"/>
      <c r="W105" s="11"/>
      <c r="X105" s="11"/>
      <c r="Y105" s="11"/>
      <c r="Z105" s="38"/>
      <c r="AA105" s="38"/>
      <c r="AB105" s="72"/>
      <c r="AC105" s="9"/>
      <c r="AD105" s="216"/>
      <c r="AE105" s="134"/>
      <c r="AG105" s="62"/>
      <c r="AH105" s="41"/>
      <c r="AI105" s="41"/>
      <c r="AJ105" s="41"/>
      <c r="AK105" s="41"/>
      <c r="AL105" s="41"/>
      <c r="AM105" s="41"/>
      <c r="AN105" s="41"/>
      <c r="AO105" s="41"/>
      <c r="AP105" s="35"/>
      <c r="AQ105" s="35"/>
      <c r="AR105" s="41"/>
      <c r="AU105" s="134"/>
      <c r="BI105" s="62"/>
      <c r="BJ105" s="41"/>
      <c r="BK105" s="41"/>
      <c r="BL105" s="41"/>
      <c r="BM105" s="41"/>
      <c r="BN105" s="41"/>
      <c r="BO105" s="41"/>
      <c r="BP105" s="41"/>
      <c r="BQ105" s="41"/>
      <c r="BR105" s="35"/>
      <c r="BS105" s="35"/>
      <c r="BT105" s="41"/>
      <c r="BW105" s="134"/>
      <c r="BY105" s="220"/>
    </row>
    <row r="106" spans="1:96" ht="15" customHeight="1">
      <c r="A106" s="141">
        <v>46101</v>
      </c>
      <c r="B106" s="11">
        <v>282235</v>
      </c>
      <c r="C106" s="11">
        <v>950</v>
      </c>
      <c r="D106" s="11">
        <v>139870</v>
      </c>
      <c r="E106" s="11"/>
      <c r="F106" s="11">
        <v>124355</v>
      </c>
      <c r="G106" s="11">
        <v>18100</v>
      </c>
      <c r="H106" s="11">
        <v>247075</v>
      </c>
      <c r="I106" s="11">
        <v>247075</v>
      </c>
      <c r="J106" s="38" t="s">
        <v>211</v>
      </c>
      <c r="K106" s="72">
        <v>232543409</v>
      </c>
      <c r="L106" s="72"/>
      <c r="M106" s="9"/>
      <c r="N106" s="9"/>
      <c r="P106" s="267">
        <f>IF('[1]2026 március'!B$20=0,
    "",
    '[1]2026 március'!B$20
)</f>
        <v>415440</v>
      </c>
      <c r="Q106" s="141">
        <v>46101</v>
      </c>
      <c r="R106" s="11"/>
      <c r="S106" s="11"/>
      <c r="T106" s="11"/>
      <c r="U106" s="11"/>
      <c r="V106" s="11"/>
      <c r="W106" s="11"/>
      <c r="X106" s="11"/>
      <c r="Y106" s="11"/>
      <c r="Z106" s="38"/>
      <c r="AA106" s="38"/>
      <c r="AB106" s="72"/>
      <c r="AC106" s="9"/>
      <c r="AD106" s="216"/>
      <c r="AE106" s="134"/>
      <c r="AG106" s="62"/>
      <c r="AH106" s="41"/>
      <c r="AI106" s="41"/>
      <c r="AJ106" s="41"/>
      <c r="AK106" s="41"/>
      <c r="AL106" s="41"/>
      <c r="AM106" s="41"/>
      <c r="AN106" s="41"/>
      <c r="AO106" s="41"/>
      <c r="AP106" s="35"/>
      <c r="AQ106" s="35"/>
      <c r="AR106" s="41"/>
      <c r="AU106" s="134"/>
      <c r="BI106" s="62"/>
      <c r="BJ106" s="41"/>
      <c r="BK106" s="41"/>
      <c r="BL106" s="41"/>
      <c r="BM106" s="41"/>
      <c r="BN106" s="41"/>
      <c r="BO106" s="41"/>
      <c r="BP106" s="41"/>
      <c r="BQ106" s="41"/>
      <c r="BR106" s="35"/>
      <c r="BS106" s="35"/>
      <c r="BT106" s="41"/>
      <c r="BW106" s="134"/>
      <c r="BY106" s="220"/>
    </row>
    <row r="107" spans="1:96" ht="15" customHeight="1">
      <c r="A107" s="141">
        <v>46102</v>
      </c>
      <c r="B107" s="142"/>
      <c r="C107" s="142"/>
      <c r="D107" s="142"/>
      <c r="E107" s="142"/>
      <c r="F107" s="142"/>
      <c r="G107" s="142"/>
      <c r="H107" s="142"/>
      <c r="I107" s="142"/>
      <c r="J107" s="143"/>
      <c r="K107" s="146"/>
      <c r="L107" s="146"/>
      <c r="M107" s="158"/>
      <c r="N107" s="158"/>
      <c r="P107" s="267">
        <f>IF('[1]2026 március'!B$21=0,
    "",
    '[1]2026 március'!B$21
)</f>
        <v>265175</v>
      </c>
      <c r="Q107" s="141">
        <v>46102</v>
      </c>
      <c r="R107" s="142"/>
      <c r="S107" s="142"/>
      <c r="T107" s="142"/>
      <c r="U107" s="142"/>
      <c r="V107" s="142"/>
      <c r="W107" s="142"/>
      <c r="X107" s="142"/>
      <c r="Y107" s="142"/>
      <c r="Z107" s="143"/>
      <c r="AA107" s="143"/>
      <c r="AB107" s="146"/>
      <c r="AC107" s="158"/>
      <c r="AD107" s="381"/>
      <c r="AE107" s="134"/>
      <c r="AG107" s="62"/>
      <c r="AH107" s="41"/>
      <c r="AI107" s="41"/>
      <c r="AJ107" s="41"/>
      <c r="AK107" s="41"/>
      <c r="AL107" s="41"/>
      <c r="AM107" s="41"/>
      <c r="AN107" s="41"/>
      <c r="AO107" s="41"/>
      <c r="AP107" s="35"/>
      <c r="AQ107" s="35"/>
      <c r="AR107" s="41"/>
      <c r="AU107" s="134"/>
      <c r="BI107" s="62"/>
      <c r="BJ107" s="41"/>
      <c r="BK107" s="41"/>
      <c r="BL107" s="41"/>
      <c r="BM107" s="41"/>
      <c r="BN107" s="41"/>
      <c r="BO107" s="41"/>
      <c r="BP107" s="41"/>
      <c r="BQ107" s="41"/>
      <c r="BR107" s="35"/>
      <c r="BS107" s="35"/>
      <c r="BT107" s="41"/>
      <c r="BW107" s="134"/>
      <c r="BY107" s="220"/>
    </row>
    <row r="108" spans="1:96" ht="15" customHeight="1">
      <c r="A108" s="141">
        <v>46103</v>
      </c>
      <c r="B108" s="142"/>
      <c r="C108" s="142"/>
      <c r="D108" s="142"/>
      <c r="E108" s="142"/>
      <c r="F108" s="142"/>
      <c r="G108" s="142"/>
      <c r="H108" s="142"/>
      <c r="I108" s="142"/>
      <c r="J108" s="143"/>
      <c r="K108" s="146"/>
      <c r="L108" s="146"/>
      <c r="M108" s="158"/>
      <c r="N108" s="158"/>
      <c r="P108" s="267" t="str">
        <f>IF('[1]2026 március'!B$22=0,
    "",
    '[1]2026 március'!B$22
)</f>
        <v/>
      </c>
      <c r="Q108" s="141">
        <v>46103</v>
      </c>
      <c r="R108" s="142"/>
      <c r="S108" s="142"/>
      <c r="T108" s="142"/>
      <c r="U108" s="142"/>
      <c r="V108" s="142"/>
      <c r="W108" s="142"/>
      <c r="X108" s="142"/>
      <c r="Y108" s="142"/>
      <c r="Z108" s="143"/>
      <c r="AA108" s="143"/>
      <c r="AB108" s="146"/>
      <c r="AC108" s="158"/>
      <c r="AD108" s="381"/>
      <c r="AE108" s="134"/>
      <c r="AG108" s="62"/>
      <c r="AH108" s="41"/>
      <c r="AI108" s="41"/>
      <c r="AJ108" s="41"/>
      <c r="AK108" s="41"/>
      <c r="AL108" s="41"/>
      <c r="AM108" s="41"/>
      <c r="AN108" s="41"/>
      <c r="AO108" s="41"/>
      <c r="AP108" s="35"/>
      <c r="AQ108" s="35"/>
      <c r="AR108" s="41"/>
      <c r="AU108" s="134"/>
      <c r="BI108" s="62"/>
      <c r="BJ108" s="41"/>
      <c r="BK108" s="41"/>
      <c r="BL108" s="41"/>
      <c r="BM108" s="41"/>
      <c r="BN108" s="41"/>
      <c r="BO108" s="41"/>
      <c r="BP108" s="41"/>
      <c r="BQ108" s="41"/>
      <c r="BR108" s="35"/>
      <c r="BS108" s="35"/>
      <c r="BT108" s="41"/>
      <c r="BW108" s="134"/>
      <c r="BY108" s="220"/>
    </row>
    <row r="109" spans="1:96" ht="15" customHeight="1">
      <c r="A109" s="141">
        <v>46104</v>
      </c>
      <c r="B109" s="11">
        <v>340370</v>
      </c>
      <c r="C109" s="11">
        <v>1250</v>
      </c>
      <c r="D109" s="11">
        <v>201620</v>
      </c>
      <c r="E109" s="11"/>
      <c r="F109" s="11">
        <v>124380</v>
      </c>
      <c r="G109" s="11">
        <v>23640</v>
      </c>
      <c r="H109" s="11">
        <v>303610</v>
      </c>
      <c r="I109" s="11">
        <v>303610</v>
      </c>
      <c r="J109" s="38" t="s">
        <v>212</v>
      </c>
      <c r="K109" s="72">
        <v>232870659</v>
      </c>
      <c r="L109" s="72"/>
      <c r="M109" s="9"/>
      <c r="N109" s="9"/>
      <c r="P109" s="267" t="str">
        <f>IF('[1]2026 március'!B$23=0,
    "",
    '[1]2026 március'!B$23
)</f>
        <v/>
      </c>
      <c r="Q109" s="141">
        <v>46104</v>
      </c>
      <c r="R109" s="11"/>
      <c r="S109" s="11"/>
      <c r="T109" s="11"/>
      <c r="U109" s="11"/>
      <c r="V109" s="11"/>
      <c r="W109" s="11"/>
      <c r="X109" s="11"/>
      <c r="Y109" s="11"/>
      <c r="Z109" s="38"/>
      <c r="AA109" s="38"/>
      <c r="AB109" s="72"/>
      <c r="AC109" s="9"/>
      <c r="AD109" s="216"/>
      <c r="AE109" s="134"/>
      <c r="AG109" s="62"/>
      <c r="AH109" s="41"/>
      <c r="AI109" s="41"/>
      <c r="AJ109" s="41"/>
      <c r="AK109" s="41"/>
      <c r="AL109" s="41"/>
      <c r="AM109" s="41"/>
      <c r="AN109" s="41"/>
      <c r="AO109" s="41"/>
      <c r="AP109" s="35"/>
      <c r="AQ109" s="35"/>
      <c r="AR109" s="41"/>
      <c r="AU109" s="134"/>
      <c r="BI109" s="62"/>
      <c r="BJ109" s="41"/>
      <c r="BK109" s="41"/>
      <c r="BL109" s="41"/>
      <c r="BM109" s="41"/>
      <c r="BN109" s="41"/>
      <c r="BO109" s="41"/>
      <c r="BP109" s="41"/>
      <c r="BQ109" s="41"/>
      <c r="BR109" s="35"/>
      <c r="BS109" s="35"/>
      <c r="BT109" s="41"/>
      <c r="BW109" s="134"/>
      <c r="BY109" s="220"/>
    </row>
    <row r="110" spans="1:96" ht="15" customHeight="1">
      <c r="A110" s="141">
        <v>46105</v>
      </c>
      <c r="B110" s="11">
        <v>432485</v>
      </c>
      <c r="C110" s="11">
        <v>1150</v>
      </c>
      <c r="D110" s="11">
        <v>217555</v>
      </c>
      <c r="E110" s="11"/>
      <c r="F110" s="11">
        <v>189875</v>
      </c>
      <c r="G110" s="11">
        <v>24390</v>
      </c>
      <c r="H110" s="11">
        <v>384190</v>
      </c>
      <c r="I110" s="11">
        <v>384190</v>
      </c>
      <c r="J110" s="38" t="s">
        <v>213</v>
      </c>
      <c r="K110" s="72">
        <v>233279239</v>
      </c>
      <c r="L110" s="72"/>
      <c r="M110" s="9"/>
      <c r="N110" s="9"/>
      <c r="P110" s="267">
        <f>IF('[1]2026 március'!B$24=0,
    "",
    '[1]2026 március'!B$24
)</f>
        <v>327250</v>
      </c>
      <c r="Q110" s="141">
        <v>46105</v>
      </c>
      <c r="R110" s="11"/>
      <c r="S110" s="11"/>
      <c r="T110" s="11"/>
      <c r="U110" s="11"/>
      <c r="V110" s="11"/>
      <c r="W110" s="11"/>
      <c r="X110" s="11"/>
      <c r="Y110" s="11"/>
      <c r="Z110" s="38"/>
      <c r="AA110" s="38"/>
      <c r="AB110" s="72"/>
      <c r="AC110" s="9"/>
      <c r="AD110" s="216"/>
      <c r="AE110" s="134"/>
      <c r="AG110" s="62"/>
      <c r="AH110" s="41"/>
      <c r="AI110" s="41"/>
      <c r="AJ110" s="41"/>
      <c r="AK110" s="41"/>
      <c r="AL110" s="41"/>
      <c r="AM110" s="41"/>
      <c r="AN110" s="41"/>
      <c r="AO110" s="41"/>
      <c r="AP110" s="35"/>
      <c r="AQ110" s="35"/>
      <c r="AR110" s="41"/>
      <c r="AU110" s="134"/>
      <c r="BI110" s="62"/>
      <c r="BJ110" s="41"/>
      <c r="BK110" s="41"/>
      <c r="BL110" s="41"/>
      <c r="BM110" s="41"/>
      <c r="BN110" s="41"/>
      <c r="BO110" s="41"/>
      <c r="BP110" s="41"/>
      <c r="BQ110" s="41"/>
      <c r="BR110" s="35"/>
      <c r="BS110" s="35"/>
      <c r="BT110" s="41"/>
      <c r="BW110" s="134"/>
      <c r="BY110" s="220"/>
    </row>
    <row r="111" spans="1:96" ht="15" customHeight="1">
      <c r="A111" s="141">
        <v>46106</v>
      </c>
      <c r="B111" s="11">
        <v>361005</v>
      </c>
      <c r="C111" s="11">
        <v>850</v>
      </c>
      <c r="D111" s="11">
        <v>194425</v>
      </c>
      <c r="E111" s="11"/>
      <c r="F111" s="11">
        <v>156060</v>
      </c>
      <c r="G111" s="11">
        <v>37815</v>
      </c>
      <c r="H111" s="11">
        <v>313520</v>
      </c>
      <c r="I111" s="11">
        <v>313520</v>
      </c>
      <c r="J111" s="38" t="s">
        <v>214</v>
      </c>
      <c r="K111" s="72">
        <v>233630574</v>
      </c>
      <c r="L111" s="72"/>
      <c r="M111" s="9"/>
      <c r="N111" s="9"/>
      <c r="P111" s="267">
        <f>IF('[1]2026 március'!B$25=0,
    "",
    '[1]2026 március'!B$25
)</f>
        <v>408580</v>
      </c>
      <c r="Q111" s="141">
        <v>46106</v>
      </c>
      <c r="R111" s="11"/>
      <c r="S111" s="11"/>
      <c r="T111" s="11"/>
      <c r="U111" s="11"/>
      <c r="V111" s="11"/>
      <c r="W111" s="11"/>
      <c r="X111" s="11"/>
      <c r="Y111" s="11"/>
      <c r="Z111" s="38"/>
      <c r="AA111" s="38"/>
      <c r="AB111" s="72"/>
      <c r="AC111" s="9"/>
      <c r="AD111" s="216"/>
      <c r="AE111" s="134"/>
      <c r="AG111" s="62"/>
      <c r="AH111" s="41"/>
      <c r="AI111" s="41"/>
      <c r="AJ111" s="41"/>
      <c r="AK111" s="41"/>
      <c r="AL111" s="41"/>
      <c r="AM111" s="41"/>
      <c r="AN111" s="41"/>
      <c r="AO111" s="41"/>
      <c r="AP111" s="35"/>
      <c r="AQ111" s="35"/>
      <c r="AR111" s="41"/>
      <c r="AU111" s="134"/>
      <c r="BI111" s="62"/>
      <c r="BJ111" s="41"/>
      <c r="BK111" s="41"/>
      <c r="BL111" s="41"/>
      <c r="BM111" s="41"/>
      <c r="BN111" s="41"/>
      <c r="BO111" s="41"/>
      <c r="BP111" s="41"/>
      <c r="BQ111" s="41"/>
      <c r="BR111" s="35"/>
      <c r="BS111" s="35"/>
      <c r="BT111" s="41"/>
      <c r="BW111" s="134"/>
      <c r="BY111" s="220"/>
    </row>
    <row r="112" spans="1:96" ht="15" customHeight="1">
      <c r="A112" s="141">
        <v>46107</v>
      </c>
      <c r="B112" s="11">
        <v>437695</v>
      </c>
      <c r="C112" s="11">
        <v>950</v>
      </c>
      <c r="D112" s="11">
        <v>173110</v>
      </c>
      <c r="E112" s="11"/>
      <c r="F112" s="11">
        <v>248625</v>
      </c>
      <c r="G112" s="11">
        <v>33505</v>
      </c>
      <c r="H112" s="11">
        <v>389180</v>
      </c>
      <c r="I112" s="11">
        <v>389180</v>
      </c>
      <c r="J112" s="38" t="s">
        <v>215</v>
      </c>
      <c r="K112" s="72">
        <v>234053259</v>
      </c>
      <c r="L112" s="72"/>
      <c r="M112" s="9"/>
      <c r="N112" s="9"/>
      <c r="P112" s="267">
        <f>IF('[1]2026 március'!B$26=0,
    "",
    '[1]2026 március'!B$26
)</f>
        <v>351335</v>
      </c>
      <c r="Q112" s="141">
        <v>46107</v>
      </c>
      <c r="R112" s="11"/>
      <c r="S112" s="11"/>
      <c r="T112" s="11"/>
      <c r="U112" s="11"/>
      <c r="V112" s="11"/>
      <c r="W112" s="11"/>
      <c r="X112" s="11"/>
      <c r="Y112" s="11"/>
      <c r="Z112" s="38"/>
      <c r="AA112" s="38"/>
      <c r="AB112" s="72"/>
      <c r="AC112" s="9"/>
      <c r="AD112" s="216"/>
      <c r="AE112" s="134"/>
      <c r="AG112" s="62"/>
      <c r="AH112" s="41"/>
      <c r="AI112" s="41"/>
      <c r="AJ112" s="41"/>
      <c r="AK112" s="41"/>
      <c r="AL112" s="41"/>
      <c r="AM112" s="41"/>
      <c r="AN112" s="41"/>
      <c r="AO112" s="41"/>
      <c r="AP112" s="35"/>
      <c r="AQ112" s="35"/>
      <c r="AR112" s="41"/>
      <c r="AU112" s="134"/>
      <c r="BI112" s="62"/>
      <c r="BJ112" s="41"/>
      <c r="BK112" s="41"/>
      <c r="BL112" s="41"/>
      <c r="BM112" s="41"/>
      <c r="BN112" s="41"/>
      <c r="BO112" s="41"/>
      <c r="BP112" s="41"/>
      <c r="BQ112" s="41"/>
      <c r="BR112" s="35"/>
      <c r="BS112" s="35"/>
      <c r="BT112" s="41"/>
      <c r="BW112" s="134"/>
      <c r="BY112" s="220"/>
    </row>
    <row r="113" spans="1:77" ht="15" customHeight="1">
      <c r="A113" s="141">
        <v>46108</v>
      </c>
      <c r="B113" s="11">
        <v>320185</v>
      </c>
      <c r="C113" s="11">
        <v>1000</v>
      </c>
      <c r="D113" s="11">
        <v>159185</v>
      </c>
      <c r="E113" s="11"/>
      <c r="F113" s="11">
        <v>156320</v>
      </c>
      <c r="G113" s="11">
        <v>15970</v>
      </c>
      <c r="H113" s="11">
        <v>300535</v>
      </c>
      <c r="I113" s="11">
        <v>300535</v>
      </c>
      <c r="J113" s="38" t="s">
        <v>216</v>
      </c>
      <c r="K113" s="72">
        <v>234369764</v>
      </c>
      <c r="L113" s="72"/>
      <c r="M113" s="9"/>
      <c r="N113" s="9"/>
      <c r="P113" s="267">
        <f>IF('[1]2026 március'!B$27=0,
    "",
    '[1]2026 március'!B$27
)</f>
        <v>422685</v>
      </c>
      <c r="Q113" s="141">
        <v>46108</v>
      </c>
      <c r="R113" s="11"/>
      <c r="S113" s="11"/>
      <c r="T113" s="11"/>
      <c r="U113" s="11"/>
      <c r="V113" s="11"/>
      <c r="W113" s="11"/>
      <c r="X113" s="11"/>
      <c r="Y113" s="11"/>
      <c r="Z113" s="38"/>
      <c r="AA113" s="38"/>
      <c r="AB113" s="72"/>
      <c r="AC113" s="9"/>
      <c r="AD113" s="216"/>
      <c r="AE113" s="134"/>
      <c r="AG113" s="62"/>
      <c r="AH113" s="41"/>
      <c r="AI113" s="41"/>
      <c r="AJ113" s="41"/>
      <c r="AK113" s="41"/>
      <c r="AL113" s="41"/>
      <c r="AM113" s="41"/>
      <c r="AN113" s="41"/>
      <c r="AO113" s="41"/>
      <c r="AP113" s="35"/>
      <c r="AQ113" s="35"/>
      <c r="AR113" s="41"/>
      <c r="AU113" s="134"/>
      <c r="BI113" s="62"/>
      <c r="BJ113" s="41"/>
      <c r="BK113" s="41"/>
      <c r="BL113" s="41"/>
      <c r="BM113" s="41"/>
      <c r="BN113" s="41"/>
      <c r="BO113" s="41"/>
      <c r="BP113" s="41"/>
      <c r="BQ113" s="41"/>
      <c r="BR113" s="35"/>
      <c r="BS113" s="35"/>
      <c r="BT113" s="41"/>
      <c r="BW113" s="134"/>
      <c r="BY113" s="220"/>
    </row>
    <row r="114" spans="1:77" ht="15" customHeight="1">
      <c r="A114" s="141">
        <v>46109</v>
      </c>
      <c r="B114" s="142"/>
      <c r="C114" s="142"/>
      <c r="D114" s="142"/>
      <c r="E114" s="142"/>
      <c r="F114" s="142"/>
      <c r="G114" s="142"/>
      <c r="H114" s="142"/>
      <c r="I114" s="142"/>
      <c r="J114" s="143"/>
      <c r="K114" s="146"/>
      <c r="L114" s="146"/>
      <c r="M114" s="158"/>
      <c r="N114" s="158"/>
      <c r="P114" s="267">
        <f>IF('[1]2026 március'!B$28=0,
    "",
    '[1]2026 március'!B$28
)</f>
        <v>306505</v>
      </c>
      <c r="Q114" s="141">
        <v>46109</v>
      </c>
      <c r="R114" s="11"/>
      <c r="S114" s="11"/>
      <c r="T114" s="11"/>
      <c r="U114" s="11"/>
      <c r="V114" s="11"/>
      <c r="W114" s="11"/>
      <c r="X114" s="11"/>
      <c r="Y114" s="11"/>
      <c r="Z114" s="38"/>
      <c r="AA114" s="38"/>
      <c r="AB114" s="72"/>
      <c r="AC114" s="9"/>
      <c r="AD114" s="216"/>
      <c r="AE114" s="134"/>
      <c r="AG114" s="62"/>
      <c r="AH114" s="41"/>
      <c r="AI114" s="41"/>
      <c r="AJ114" s="41"/>
      <c r="AK114" s="41"/>
      <c r="AL114" s="41"/>
      <c r="AM114" s="41"/>
      <c r="AN114" s="41"/>
      <c r="AO114" s="41"/>
      <c r="AP114" s="35"/>
      <c r="AQ114" s="35"/>
      <c r="AR114" s="41"/>
      <c r="AU114" s="134"/>
      <c r="BI114" s="62"/>
      <c r="BJ114" s="41"/>
      <c r="BK114" s="41"/>
      <c r="BL114" s="41"/>
      <c r="BM114" s="41"/>
      <c r="BN114" s="41"/>
      <c r="BO114" s="41"/>
      <c r="BP114" s="41"/>
      <c r="BQ114" s="41"/>
      <c r="BR114" s="35"/>
      <c r="BS114" s="35"/>
      <c r="BT114" s="41"/>
      <c r="BW114" s="134"/>
      <c r="BY114" s="220"/>
    </row>
    <row r="115" spans="1:77" ht="15" customHeight="1">
      <c r="A115" s="141">
        <v>46110</v>
      </c>
      <c r="B115" s="142"/>
      <c r="C115" s="142"/>
      <c r="D115" s="142"/>
      <c r="E115" s="142"/>
      <c r="F115" s="142"/>
      <c r="G115" s="142"/>
      <c r="H115" s="142"/>
      <c r="I115" s="142"/>
      <c r="J115" s="143"/>
      <c r="K115" s="146"/>
      <c r="L115" s="146"/>
      <c r="M115" s="158"/>
      <c r="N115" s="158"/>
      <c r="P115" s="267" t="str">
        <f>IF('[1]2026 március'!B$29=0,
    "",
    '[1]2026 március'!B$29
)</f>
        <v/>
      </c>
      <c r="Q115" s="141">
        <v>46110</v>
      </c>
      <c r="R115" s="142"/>
      <c r="S115" s="142"/>
      <c r="T115" s="142"/>
      <c r="U115" s="142"/>
      <c r="V115" s="142"/>
      <c r="W115" s="142"/>
      <c r="X115" s="142"/>
      <c r="Y115" s="142"/>
      <c r="Z115" s="143"/>
      <c r="AA115" s="143"/>
      <c r="AB115" s="146"/>
      <c r="AC115" s="158"/>
      <c r="AD115" s="381"/>
      <c r="AE115" s="134"/>
      <c r="AG115" s="62"/>
      <c r="AH115" s="41"/>
      <c r="AI115" s="41"/>
      <c r="AJ115" s="41"/>
      <c r="AK115" s="41"/>
      <c r="AL115" s="41"/>
      <c r="AM115" s="41"/>
      <c r="AN115" s="41"/>
      <c r="AO115" s="41"/>
      <c r="AP115" s="35"/>
      <c r="AQ115" s="35"/>
      <c r="AR115" s="41"/>
      <c r="AU115" s="134"/>
      <c r="BI115" s="62"/>
      <c r="BJ115" s="41"/>
      <c r="BK115" s="41"/>
      <c r="BL115" s="41"/>
      <c r="BM115" s="41"/>
      <c r="BN115" s="41"/>
      <c r="BO115" s="41"/>
      <c r="BP115" s="41"/>
      <c r="BQ115" s="41"/>
      <c r="BR115" s="35"/>
      <c r="BS115" s="35"/>
      <c r="BT115" s="41"/>
      <c r="BW115" s="134"/>
      <c r="BY115" s="220"/>
    </row>
    <row r="116" spans="1:77" ht="15" customHeight="1">
      <c r="A116" s="141">
        <v>46111</v>
      </c>
      <c r="B116" s="11">
        <v>354575</v>
      </c>
      <c r="C116" s="11">
        <v>950</v>
      </c>
      <c r="D116" s="11">
        <v>160060</v>
      </c>
      <c r="E116" s="11"/>
      <c r="F116" s="11">
        <v>176810</v>
      </c>
      <c r="G116" s="11">
        <v>26010</v>
      </c>
      <c r="H116" s="11">
        <v>311810</v>
      </c>
      <c r="I116" s="11">
        <v>311810</v>
      </c>
      <c r="J116" s="38" t="s">
        <v>217</v>
      </c>
      <c r="K116" s="72">
        <v>234707584</v>
      </c>
      <c r="L116" s="72"/>
      <c r="M116" s="9"/>
      <c r="N116" s="9"/>
      <c r="P116" s="267" t="str">
        <f>IF('[1]2026 március'!B$30=0,
    "",
    '[1]2026 március'!B$30
)</f>
        <v/>
      </c>
      <c r="Q116" s="141">
        <v>46111</v>
      </c>
      <c r="R116" s="11"/>
      <c r="S116" s="11"/>
      <c r="T116" s="11"/>
      <c r="U116" s="11"/>
      <c r="V116" s="11"/>
      <c r="W116" s="11"/>
      <c r="X116" s="11"/>
      <c r="Y116" s="11"/>
      <c r="Z116" s="38"/>
      <c r="AA116" s="38"/>
      <c r="AB116" s="72"/>
      <c r="AC116" s="9"/>
      <c r="AD116" s="216"/>
      <c r="AE116" s="134"/>
      <c r="AG116" s="62"/>
      <c r="AH116" s="41"/>
      <c r="AI116" s="41"/>
      <c r="AJ116" s="41"/>
      <c r="AK116" s="41"/>
      <c r="AL116" s="41"/>
      <c r="AM116" s="41"/>
      <c r="AN116" s="41"/>
      <c r="AO116" s="41"/>
      <c r="AP116" s="35"/>
      <c r="AQ116" s="35"/>
      <c r="AR116" s="41"/>
      <c r="AU116" s="134"/>
      <c r="BI116" s="62"/>
      <c r="BJ116" s="41"/>
      <c r="BK116" s="41"/>
      <c r="BL116" s="41"/>
      <c r="BM116" s="41"/>
      <c r="BN116" s="41"/>
      <c r="BO116" s="41"/>
      <c r="BP116" s="41"/>
      <c r="BQ116" s="41"/>
      <c r="BR116" s="35"/>
      <c r="BS116" s="35"/>
      <c r="BT116" s="41"/>
      <c r="BW116" s="134"/>
      <c r="BY116" s="220"/>
    </row>
    <row r="117" spans="1:77" ht="15" customHeight="1">
      <c r="A117" s="141">
        <v>46112</v>
      </c>
      <c r="B117" s="11">
        <v>476335</v>
      </c>
      <c r="C117" s="11">
        <v>1150</v>
      </c>
      <c r="D117" s="11">
        <v>169685</v>
      </c>
      <c r="E117" s="11"/>
      <c r="F117" s="11">
        <v>278800</v>
      </c>
      <c r="G117" s="11">
        <v>33160</v>
      </c>
      <c r="H117" s="11">
        <v>416475</v>
      </c>
      <c r="I117" s="11">
        <v>416475</v>
      </c>
      <c r="J117" s="38" t="s">
        <v>218</v>
      </c>
      <c r="K117" s="72">
        <v>235157219</v>
      </c>
      <c r="L117" s="72"/>
      <c r="M117" s="9"/>
      <c r="N117" s="9"/>
      <c r="P117" s="267">
        <f>IF('[1]2026 március'!B$31=0,
    "",
    '[1]2026 március'!B$31
)</f>
        <v>337820</v>
      </c>
      <c r="Q117" s="141">
        <v>46112</v>
      </c>
      <c r="R117" s="11"/>
      <c r="S117" s="11"/>
      <c r="T117" s="11"/>
      <c r="U117" s="11"/>
      <c r="V117" s="11"/>
      <c r="W117" s="11"/>
      <c r="X117" s="11"/>
      <c r="Y117" s="11"/>
      <c r="Z117" s="38"/>
      <c r="AA117" s="38"/>
      <c r="AB117" s="72"/>
      <c r="AC117" s="9"/>
      <c r="AD117" s="216"/>
      <c r="AE117" s="134"/>
      <c r="AG117" s="62"/>
      <c r="AH117" s="41"/>
      <c r="AI117" s="41"/>
      <c r="AJ117" s="41"/>
      <c r="AK117" s="41"/>
      <c r="AL117" s="41"/>
      <c r="AM117" s="41"/>
      <c r="AN117" s="41"/>
      <c r="AO117" s="41"/>
      <c r="AP117" s="35"/>
      <c r="AQ117" s="35"/>
      <c r="AR117" s="41"/>
      <c r="AU117" s="134"/>
      <c r="BI117" s="62"/>
      <c r="BJ117" s="41"/>
      <c r="BK117" s="41"/>
      <c r="BL117" s="41"/>
      <c r="BM117" s="41"/>
      <c r="BN117" s="41"/>
      <c r="BO117" s="41"/>
      <c r="BP117" s="41"/>
      <c r="BQ117" s="41"/>
      <c r="BR117" s="35"/>
      <c r="BS117" s="35"/>
      <c r="BT117" s="41"/>
      <c r="BW117" s="134"/>
      <c r="BY117" s="220"/>
    </row>
    <row r="118" spans="1:77" ht="15" customHeight="1">
      <c r="A118" s="141"/>
      <c r="B118" s="11"/>
      <c r="C118" s="11"/>
      <c r="D118" s="11"/>
      <c r="E118" s="11"/>
      <c r="F118" s="11"/>
      <c r="G118" s="11"/>
      <c r="H118" s="11"/>
      <c r="I118" s="11"/>
      <c r="J118" s="205"/>
      <c r="K118" s="206"/>
      <c r="L118" s="206"/>
      <c r="M118" s="380"/>
      <c r="N118" s="184"/>
      <c r="P118" s="267">
        <f>IF('[1]2026 március'!B$32=0,
    "",
    '[1]2026 március'!B$32
)</f>
        <v>449635</v>
      </c>
      <c r="Q118" s="141"/>
      <c r="R118" s="11"/>
      <c r="S118" s="11"/>
      <c r="T118" s="11"/>
      <c r="U118" s="11"/>
      <c r="V118" s="11"/>
      <c r="W118" s="11"/>
      <c r="X118" s="11"/>
      <c r="Y118" s="11"/>
      <c r="Z118" s="205"/>
      <c r="AA118" s="205"/>
      <c r="AB118" s="206"/>
      <c r="AC118" s="380"/>
      <c r="AD118" s="216"/>
      <c r="AE118" s="134"/>
      <c r="AG118" s="62"/>
      <c r="AH118" s="41"/>
      <c r="AI118" s="41"/>
      <c r="AJ118" s="41"/>
      <c r="AK118" s="41"/>
      <c r="AL118" s="41"/>
      <c r="AM118" s="41"/>
      <c r="AN118" s="41"/>
      <c r="AO118" s="41"/>
      <c r="AP118" s="35"/>
      <c r="AQ118" s="35"/>
      <c r="AR118" s="41"/>
      <c r="AU118" s="134"/>
      <c r="BI118" s="62"/>
      <c r="BJ118" s="41"/>
      <c r="BK118" s="41"/>
      <c r="BL118" s="41"/>
      <c r="BM118" s="41"/>
      <c r="BN118" s="41"/>
      <c r="BO118" s="41"/>
      <c r="BP118" s="41"/>
      <c r="BQ118" s="41"/>
      <c r="BR118" s="35"/>
      <c r="BS118" s="35"/>
      <c r="BT118" s="41"/>
      <c r="BW118" s="134"/>
      <c r="BY118" s="220"/>
    </row>
    <row r="119" spans="1:77" ht="15" customHeight="1">
      <c r="A119" s="18" t="s">
        <v>64</v>
      </c>
      <c r="B119" s="362"/>
      <c r="C119" s="19">
        <f>SUM(C86:C118)</f>
        <v>23800</v>
      </c>
      <c r="D119" s="19">
        <f>SUM(D86:D118)</f>
        <v>4199840</v>
      </c>
      <c r="E119" s="19">
        <f>SUM(E86:E118)</f>
        <v>0</v>
      </c>
      <c r="F119" s="19">
        <f>SUM(F86:F118)</f>
        <v>3996735</v>
      </c>
      <c r="G119" s="20">
        <f>SUM(G86:G118)</f>
        <v>531410</v>
      </c>
      <c r="H119" s="20">
        <f>SUM(H86:H118)</f>
        <v>7687125</v>
      </c>
      <c r="I119" s="39">
        <f>SUM(I86:I118)</f>
        <v>7687125</v>
      </c>
      <c r="J119" s="32"/>
      <c r="K119" s="12">
        <v>235157219</v>
      </c>
      <c r="L119" s="12">
        <v>8220375</v>
      </c>
      <c r="M119" s="9"/>
      <c r="N119" s="184"/>
      <c r="P119" s="267">
        <f>IF('[1]2026 március'!B$33=0,
    "",
    '[1]2026 március'!B$33
)</f>
        <v>8018745</v>
      </c>
      <c r="Q119" s="18" t="s">
        <v>64</v>
      </c>
      <c r="R119" s="362"/>
      <c r="S119" s="19">
        <f>SUM(S86:S118)</f>
        <v>0</v>
      </c>
      <c r="T119" s="19">
        <f>SUM(T86:T118)</f>
        <v>0</v>
      </c>
      <c r="U119" s="19">
        <f>SUM(U86:U118)</f>
        <v>0</v>
      </c>
      <c r="V119" s="19">
        <f>SUM(V86:V118)</f>
        <v>0</v>
      </c>
      <c r="W119" s="20">
        <f>SUM(W86:W118)</f>
        <v>0</v>
      </c>
      <c r="X119" s="20">
        <f>SUM(X86:X118)</f>
        <v>0</v>
      </c>
      <c r="Y119" s="39">
        <f>SUM(Y86:Y118)</f>
        <v>0</v>
      </c>
      <c r="Z119" s="32"/>
      <c r="AA119" s="373"/>
      <c r="AB119" s="252"/>
      <c r="AC119" s="9"/>
      <c r="AD119" s="382"/>
      <c r="AE119" s="134"/>
      <c r="AG119" s="506"/>
      <c r="AH119" s="63"/>
      <c r="AI119" s="63"/>
      <c r="AJ119" s="63"/>
      <c r="AK119" s="63"/>
      <c r="AL119" s="63"/>
      <c r="AM119" s="63"/>
      <c r="AN119" s="63"/>
      <c r="AO119" s="63"/>
      <c r="AP119" s="507"/>
      <c r="AQ119" s="508"/>
      <c r="AR119" s="509"/>
      <c r="AU119" s="134"/>
      <c r="BI119" s="506"/>
      <c r="BJ119" s="63"/>
      <c r="BK119" s="63"/>
      <c r="BL119" s="63"/>
      <c r="BM119" s="63"/>
      <c r="BN119" s="63"/>
      <c r="BO119" s="63"/>
      <c r="BP119" s="63"/>
      <c r="BQ119" s="63"/>
      <c r="BR119" s="507"/>
      <c r="BS119" s="508"/>
      <c r="BT119" s="509"/>
      <c r="BW119" s="134"/>
      <c r="BY119" s="220"/>
    </row>
    <row r="120" spans="1:77" ht="15" customHeight="1">
      <c r="A120" s="5"/>
      <c r="B120" s="11"/>
      <c r="C120" s="29">
        <f>C119+D119+E119+F119</f>
        <v>8220375</v>
      </c>
      <c r="D120" s="10"/>
      <c r="E120" s="10"/>
      <c r="F120" s="10"/>
      <c r="G120" s="47">
        <f>G119+H119</f>
        <v>8218535</v>
      </c>
      <c r="H120" s="10"/>
      <c r="I120" s="10"/>
      <c r="J120" s="33"/>
      <c r="K120" s="33"/>
      <c r="L120" s="414"/>
      <c r="M120" s="9"/>
      <c r="N120" s="382"/>
      <c r="O120" s="214"/>
      <c r="P120" s="134"/>
      <c r="Q120" s="5"/>
      <c r="R120" s="11"/>
      <c r="S120" s="29">
        <f>S119+T119+U119+V119</f>
        <v>0</v>
      </c>
      <c r="T120" s="10"/>
      <c r="U120" s="10"/>
      <c r="V120" s="10"/>
      <c r="W120" s="47">
        <f>W119+X119</f>
        <v>0</v>
      </c>
      <c r="X120" s="10"/>
      <c r="Y120" s="10"/>
      <c r="Z120" s="33"/>
      <c r="AA120" s="33"/>
      <c r="AB120" s="414"/>
      <c r="AC120" s="9"/>
      <c r="AD120" s="382"/>
      <c r="AE120" s="134"/>
      <c r="AG120" s="62"/>
      <c r="AH120" s="41"/>
      <c r="AI120" s="42"/>
      <c r="AJ120" s="4"/>
      <c r="AK120" s="4"/>
      <c r="AL120" s="4"/>
      <c r="AM120" s="42"/>
      <c r="AN120" s="4"/>
      <c r="AO120" s="4"/>
      <c r="AP120" s="35"/>
      <c r="AQ120" s="35"/>
      <c r="AR120" s="253"/>
      <c r="AU120" s="134"/>
      <c r="BI120" s="62"/>
      <c r="BJ120" s="41"/>
      <c r="BK120" s="42"/>
      <c r="BL120" s="4"/>
      <c r="BM120" s="4"/>
      <c r="BN120" s="4"/>
      <c r="BO120" s="42"/>
      <c r="BP120" s="4"/>
      <c r="BQ120" s="4"/>
      <c r="BR120" s="35"/>
      <c r="BS120" s="35"/>
      <c r="BT120" s="253"/>
      <c r="BW120" s="134"/>
      <c r="BY120" s="220"/>
    </row>
    <row r="121" spans="1:77" ht="15" customHeight="1">
      <c r="A121" s="67"/>
      <c r="C121"/>
      <c r="D121"/>
      <c r="E121"/>
      <c r="F121"/>
      <c r="G121"/>
      <c r="H121"/>
      <c r="I121"/>
      <c r="J121"/>
      <c r="K121"/>
      <c r="M121" s="261"/>
      <c r="N121" s="136"/>
      <c r="O121" s="134"/>
      <c r="P121" s="134"/>
      <c r="Q121" s="67"/>
      <c r="R121" s="356"/>
      <c r="AB121" s="261"/>
      <c r="AC121" s="261"/>
      <c r="AD121" s="136"/>
      <c r="AE121" s="134"/>
      <c r="AG121" s="67"/>
      <c r="AH121" s="356"/>
      <c r="AR121" s="261"/>
      <c r="AS121" s="261"/>
      <c r="AT121" s="136"/>
      <c r="AU121" s="134"/>
      <c r="BI121" s="67"/>
      <c r="BJ121" s="356"/>
      <c r="BT121" s="261"/>
      <c r="BU121" s="261"/>
      <c r="BV121" s="136"/>
      <c r="BW121" s="134"/>
    </row>
    <row r="122" spans="1:77" ht="15" customHeight="1">
      <c r="A122" s="403" t="s">
        <v>177</v>
      </c>
      <c r="B122" s="404"/>
      <c r="C122" s="405"/>
      <c r="D122" s="405"/>
      <c r="E122" s="405"/>
      <c r="F122" s="406"/>
      <c r="G122" s="406"/>
      <c r="H122" s="406"/>
      <c r="I122" s="406"/>
      <c r="J122" s="407"/>
      <c r="K122" s="408"/>
      <c r="M122" s="261"/>
      <c r="N122" s="136"/>
      <c r="O122" s="134"/>
      <c r="P122" s="134"/>
      <c r="Q122" s="403" t="s">
        <v>177</v>
      </c>
      <c r="R122" s="404"/>
      <c r="S122" s="405"/>
      <c r="T122" s="405"/>
      <c r="U122" s="405"/>
      <c r="V122" s="406"/>
      <c r="W122" s="406"/>
      <c r="X122" s="406"/>
      <c r="Y122" s="406"/>
      <c r="Z122" s="407"/>
      <c r="AA122" s="408"/>
      <c r="AB122" s="261"/>
      <c r="AC122" s="261"/>
      <c r="AD122" s="136"/>
      <c r="AE122" s="134"/>
      <c r="AG122" s="510"/>
      <c r="AH122" s="511"/>
      <c r="AI122" s="396"/>
      <c r="AJ122" s="396"/>
      <c r="AK122" s="396"/>
      <c r="AL122" s="512"/>
      <c r="AM122" s="512"/>
      <c r="AN122" s="512"/>
      <c r="AO122" s="512"/>
      <c r="AP122" s="513"/>
      <c r="AQ122" s="514"/>
      <c r="AR122" s="261"/>
      <c r="AS122" s="261"/>
      <c r="AT122" s="136"/>
      <c r="AU122" s="134"/>
      <c r="BI122" s="510"/>
      <c r="BJ122" s="511"/>
      <c r="BK122" s="396"/>
      <c r="BL122" s="396"/>
      <c r="BM122" s="396"/>
      <c r="BN122" s="512"/>
      <c r="BO122" s="512"/>
      <c r="BP122" s="512"/>
      <c r="BQ122" s="512"/>
      <c r="BR122" s="513"/>
      <c r="BS122" s="514"/>
      <c r="BT122" s="261"/>
      <c r="BU122" s="261"/>
      <c r="BV122" s="136"/>
      <c r="BW122" s="134"/>
    </row>
    <row r="123" spans="1:77" ht="15" customHeight="1">
      <c r="A123" s="409"/>
      <c r="B123" s="402"/>
      <c r="C123" s="402"/>
      <c r="D123" s="402"/>
      <c r="E123" s="402"/>
      <c r="F123" s="402"/>
      <c r="G123" s="396"/>
      <c r="H123" s="396"/>
      <c r="I123" s="396"/>
      <c r="J123" s="396"/>
      <c r="K123" s="410"/>
      <c r="M123" s="261"/>
      <c r="N123" s="136"/>
      <c r="O123" s="134"/>
      <c r="P123" s="134"/>
      <c r="Q123" s="409"/>
      <c r="R123" s="402"/>
      <c r="S123" s="402"/>
      <c r="T123" s="402"/>
      <c r="U123" s="402"/>
      <c r="V123" s="402"/>
      <c r="W123" s="396"/>
      <c r="X123" s="396"/>
      <c r="Y123" s="396"/>
      <c r="Z123" s="396"/>
      <c r="AA123" s="410"/>
      <c r="AB123" s="261"/>
      <c r="AC123" s="261"/>
      <c r="AD123" s="136"/>
      <c r="AE123" s="134"/>
      <c r="AG123" s="402"/>
      <c r="AH123" s="402"/>
      <c r="AI123" s="402"/>
      <c r="AJ123" s="402"/>
      <c r="AK123" s="402"/>
      <c r="AL123" s="402"/>
      <c r="AM123" s="396"/>
      <c r="AN123" s="396"/>
      <c r="AO123" s="396"/>
      <c r="AP123" s="396"/>
      <c r="AQ123" s="396"/>
      <c r="AR123" s="261"/>
      <c r="AS123" s="261"/>
      <c r="AT123" s="136"/>
      <c r="AU123" s="134"/>
      <c r="BI123" s="402"/>
      <c r="BJ123" s="402"/>
      <c r="BK123" s="402"/>
      <c r="BL123" s="402"/>
      <c r="BM123" s="402"/>
      <c r="BN123" s="402"/>
      <c r="BO123" s="396"/>
      <c r="BP123" s="396"/>
      <c r="BQ123" s="396"/>
      <c r="BR123" s="396"/>
      <c r="BS123" s="396"/>
      <c r="BT123" s="261"/>
      <c r="BU123" s="261"/>
      <c r="BV123" s="136"/>
      <c r="BW123" s="134"/>
    </row>
    <row r="124" spans="1:77" ht="15" customHeight="1">
      <c r="A124" s="628"/>
      <c r="B124" s="629"/>
      <c r="C124" s="629"/>
      <c r="D124" s="629"/>
      <c r="E124" s="629"/>
      <c r="F124" s="629"/>
      <c r="G124" s="411"/>
      <c r="H124" s="411"/>
      <c r="I124" s="411"/>
      <c r="J124" s="411"/>
      <c r="K124" s="412"/>
      <c r="M124" s="261"/>
      <c r="N124" s="136"/>
      <c r="O124" s="134"/>
      <c r="P124" s="134"/>
      <c r="Q124" s="628"/>
      <c r="R124" s="629"/>
      <c r="S124" s="629"/>
      <c r="T124" s="629"/>
      <c r="U124" s="629"/>
      <c r="V124" s="629"/>
      <c r="W124" s="411"/>
      <c r="X124" s="411"/>
      <c r="Y124" s="411"/>
      <c r="Z124" s="411"/>
      <c r="AA124" s="412"/>
      <c r="AB124" s="261"/>
      <c r="AC124" s="261"/>
      <c r="AD124" s="136"/>
      <c r="AE124" s="134"/>
      <c r="AG124" s="630"/>
      <c r="AH124" s="630"/>
      <c r="AI124" s="630"/>
      <c r="AJ124" s="630"/>
      <c r="AK124" s="630"/>
      <c r="AL124" s="630"/>
      <c r="AM124" s="396"/>
      <c r="AN124" s="396"/>
      <c r="AO124" s="396"/>
      <c r="AP124" s="396"/>
      <c r="AQ124" s="396"/>
      <c r="AR124" s="261"/>
      <c r="AS124" s="261"/>
      <c r="AT124" s="136"/>
      <c r="AU124" s="134"/>
      <c r="BI124" s="630"/>
      <c r="BJ124" s="630"/>
      <c r="BK124" s="630"/>
      <c r="BL124" s="630"/>
      <c r="BM124" s="630"/>
      <c r="BN124" s="630"/>
      <c r="BO124" s="396"/>
      <c r="BP124" s="396"/>
      <c r="BQ124" s="396"/>
      <c r="BR124" s="396"/>
      <c r="BS124" s="396"/>
      <c r="BT124" s="261"/>
      <c r="BU124" s="261"/>
      <c r="BV124" s="136"/>
      <c r="BW124" s="134"/>
    </row>
    <row r="126" spans="1:77" ht="15" customHeight="1">
      <c r="A126" s="66" t="s">
        <v>6</v>
      </c>
      <c r="B126" s="351"/>
      <c r="C126" s="26"/>
      <c r="D126" s="26"/>
      <c r="E126" s="26"/>
      <c r="F126" s="26"/>
      <c r="G126" s="26"/>
      <c r="H126" s="26"/>
      <c r="I126" s="26"/>
      <c r="J126" s="34"/>
      <c r="K126" s="349"/>
      <c r="L126" s="255"/>
      <c r="M126" s="157"/>
      <c r="N126" s="157"/>
      <c r="O126" s="27"/>
      <c r="P126" s="273">
        <f>'[1]2026 január'!B123</f>
        <v>0</v>
      </c>
      <c r="Q126" s="66" t="s">
        <v>5</v>
      </c>
      <c r="R126" s="351"/>
      <c r="S126" s="26"/>
      <c r="T126" s="26"/>
      <c r="U126" s="26"/>
      <c r="V126" s="26"/>
      <c r="W126" s="26"/>
      <c r="X126" s="26"/>
      <c r="Y126" s="26"/>
      <c r="Z126" s="34"/>
      <c r="AA126" s="349"/>
      <c r="AB126" s="255"/>
      <c r="AC126" s="157"/>
      <c r="AD126" s="385"/>
      <c r="AE126" s="159"/>
      <c r="AG126" s="499"/>
      <c r="AH126" s="500"/>
      <c r="AI126" s="501"/>
      <c r="AJ126" s="501"/>
      <c r="AK126" s="501"/>
      <c r="AL126" s="501"/>
      <c r="AM126" s="501"/>
      <c r="AN126" s="501"/>
      <c r="AO126" s="501"/>
      <c r="AP126" s="502"/>
      <c r="AQ126" s="503"/>
      <c r="AR126" s="504"/>
      <c r="AS126" s="159"/>
      <c r="AT126" s="159"/>
      <c r="AU126" s="159"/>
      <c r="BI126" s="499"/>
      <c r="BJ126" s="500"/>
      <c r="BK126" s="501"/>
      <c r="BL126" s="501"/>
      <c r="BM126" s="501"/>
      <c r="BN126" s="501"/>
      <c r="BO126" s="501"/>
      <c r="BP126" s="501"/>
      <c r="BQ126" s="501"/>
      <c r="BR126" s="502"/>
      <c r="BS126" s="503"/>
      <c r="BT126" s="504"/>
      <c r="BU126" s="159"/>
      <c r="BV126" s="159"/>
      <c r="BW126" s="159"/>
      <c r="BY126" s="1"/>
    </row>
    <row r="127" spans="1:77" ht="15" customHeight="1">
      <c r="A127" s="141">
        <v>46113</v>
      </c>
      <c r="B127" s="11">
        <v>384565</v>
      </c>
      <c r="C127" s="11">
        <v>1100</v>
      </c>
      <c r="D127" s="11">
        <v>207600</v>
      </c>
      <c r="E127" s="11"/>
      <c r="F127" s="11">
        <v>201485</v>
      </c>
      <c r="G127" s="11">
        <v>18975</v>
      </c>
      <c r="H127" s="11">
        <v>391210</v>
      </c>
      <c r="I127" s="11">
        <v>391210</v>
      </c>
      <c r="J127" s="38" t="s">
        <v>219</v>
      </c>
      <c r="K127" s="448">
        <v>235567404</v>
      </c>
      <c r="L127" s="377"/>
      <c r="M127" s="9"/>
      <c r="N127" s="9"/>
      <c r="Q127" s="141">
        <v>46082</v>
      </c>
      <c r="R127" s="142"/>
      <c r="S127" s="142"/>
      <c r="T127" s="142"/>
      <c r="U127" s="142"/>
      <c r="V127" s="142"/>
      <c r="W127" s="142"/>
      <c r="X127" s="142"/>
      <c r="Y127" s="142"/>
      <c r="Z127" s="143"/>
      <c r="AA127" s="144"/>
      <c r="AB127" s="256"/>
      <c r="AC127" s="158"/>
      <c r="AD127" s="381"/>
      <c r="AE127" s="134"/>
      <c r="AG127" s="62"/>
      <c r="AH127" s="41"/>
      <c r="AI127" s="41"/>
      <c r="AJ127" s="41"/>
      <c r="AK127" s="41"/>
      <c r="AL127" s="41"/>
      <c r="AM127" s="41"/>
      <c r="AN127" s="41"/>
      <c r="AO127" s="41"/>
      <c r="AP127" s="35"/>
      <c r="AQ127" s="42"/>
      <c r="AR127" s="505"/>
      <c r="AU127" s="134"/>
      <c r="BI127" s="62"/>
      <c r="BJ127" s="41"/>
      <c r="BK127" s="41"/>
      <c r="BL127" s="41"/>
      <c r="BM127" s="41"/>
      <c r="BN127" s="41"/>
      <c r="BO127" s="41"/>
      <c r="BP127" s="41"/>
      <c r="BQ127" s="41"/>
      <c r="BR127" s="35"/>
      <c r="BS127" s="42"/>
      <c r="BT127" s="505"/>
      <c r="BW127" s="134"/>
      <c r="BY127" s="220"/>
    </row>
    <row r="128" spans="1:77" ht="15" customHeight="1">
      <c r="A128" s="141">
        <v>46114</v>
      </c>
      <c r="B128" s="11"/>
      <c r="C128" s="11"/>
      <c r="D128" s="11"/>
      <c r="E128" s="11"/>
      <c r="F128" s="11"/>
      <c r="G128" s="11"/>
      <c r="H128" s="11"/>
      <c r="I128" s="11"/>
      <c r="J128" s="38"/>
      <c r="K128" s="72"/>
      <c r="L128" s="72"/>
      <c r="M128" s="9"/>
      <c r="N128" s="9"/>
      <c r="P128" s="267" t="str">
        <f>IF('[1]2026 március'!B$2=0,
    "",
    '[1]2026 március'!B$2
)</f>
        <v/>
      </c>
      <c r="Q128" s="141">
        <v>46083</v>
      </c>
      <c r="R128" s="11"/>
      <c r="S128" s="11"/>
      <c r="T128" s="11"/>
      <c r="U128" s="11"/>
      <c r="V128" s="11"/>
      <c r="W128" s="11"/>
      <c r="X128" s="11"/>
      <c r="Y128" s="11"/>
      <c r="Z128" s="38"/>
      <c r="AA128" s="38"/>
      <c r="AB128" s="72"/>
      <c r="AC128" s="9"/>
      <c r="AD128" s="216"/>
      <c r="AE128" s="134"/>
      <c r="AG128" s="62"/>
      <c r="AH128" s="41"/>
      <c r="AI128" s="41"/>
      <c r="AJ128" s="41"/>
      <c r="AK128" s="41"/>
      <c r="AL128" s="41"/>
      <c r="AM128" s="41"/>
      <c r="AN128" s="41"/>
      <c r="AO128" s="41"/>
      <c r="AP128" s="35"/>
      <c r="AQ128" s="35"/>
      <c r="AR128" s="41"/>
      <c r="AU128" s="134"/>
      <c r="BI128" s="62"/>
      <c r="BJ128" s="41"/>
      <c r="BK128" s="41"/>
      <c r="BL128" s="41"/>
      <c r="BM128" s="41"/>
      <c r="BN128" s="41"/>
      <c r="BO128" s="41"/>
      <c r="BP128" s="41"/>
      <c r="BQ128" s="41"/>
      <c r="BR128" s="35"/>
      <c r="BS128" s="35"/>
      <c r="BT128" s="41"/>
      <c r="BW128" s="134"/>
      <c r="BY128" s="220"/>
    </row>
    <row r="129" spans="1:96" ht="15" customHeight="1">
      <c r="A129" s="141">
        <v>46115</v>
      </c>
      <c r="B129" s="142"/>
      <c r="C129" s="142"/>
      <c r="D129" s="142"/>
      <c r="E129" s="142"/>
      <c r="F129" s="142"/>
      <c r="G129" s="142"/>
      <c r="H129" s="142"/>
      <c r="I129" s="142"/>
      <c r="J129" s="143"/>
      <c r="K129" s="146"/>
      <c r="L129" s="146"/>
      <c r="M129" s="158"/>
      <c r="N129" s="158"/>
      <c r="P129" s="267">
        <f>IF('[1]2026 március'!B$3=0,
    "",
    '[1]2026 március'!B$3
)</f>
        <v>322750</v>
      </c>
      <c r="Q129" s="141">
        <v>46084</v>
      </c>
      <c r="R129" s="11"/>
      <c r="S129" s="11"/>
      <c r="T129" s="11"/>
      <c r="U129" s="11"/>
      <c r="V129" s="11"/>
      <c r="W129" s="11"/>
      <c r="X129" s="11"/>
      <c r="Y129" s="11"/>
      <c r="Z129" s="38"/>
      <c r="AA129" s="38"/>
      <c r="AB129" s="72"/>
      <c r="AC129" s="9"/>
      <c r="AD129" s="216"/>
      <c r="AE129" s="134"/>
      <c r="AG129" s="62"/>
      <c r="AH129" s="41"/>
      <c r="AI129" s="41"/>
      <c r="AJ129" s="41"/>
      <c r="AK129" s="41"/>
      <c r="AL129" s="41"/>
      <c r="AM129" s="41"/>
      <c r="AN129" s="41"/>
      <c r="AO129" s="41"/>
      <c r="AP129" s="35"/>
      <c r="AQ129" s="35"/>
      <c r="AR129" s="41"/>
      <c r="AU129" s="134"/>
      <c r="BI129" s="62"/>
      <c r="BJ129" s="41"/>
      <c r="BK129" s="41"/>
      <c r="BL129" s="41"/>
      <c r="BM129" s="41"/>
      <c r="BN129" s="41"/>
      <c r="BO129" s="41"/>
      <c r="BP129" s="41"/>
      <c r="BQ129" s="41"/>
      <c r="BR129" s="35"/>
      <c r="BS129" s="35"/>
      <c r="BT129" s="41"/>
      <c r="BW129" s="134"/>
      <c r="BY129" s="220"/>
    </row>
    <row r="130" spans="1:96" ht="15" customHeight="1">
      <c r="A130" s="141">
        <v>46116</v>
      </c>
      <c r="B130" s="142"/>
      <c r="C130" s="142"/>
      <c r="D130" s="142"/>
      <c r="E130" s="142"/>
      <c r="F130" s="142"/>
      <c r="G130" s="142"/>
      <c r="H130" s="142"/>
      <c r="I130" s="142"/>
      <c r="J130" s="143"/>
      <c r="K130" s="146"/>
      <c r="L130" s="146"/>
      <c r="M130" s="158"/>
      <c r="N130" s="158"/>
      <c r="P130" s="267">
        <f>IF('[1]2026 március'!B$4=0,
    "",
    '[1]2026 március'!B$4
)</f>
        <v>386090</v>
      </c>
      <c r="Q130" s="141">
        <v>46085</v>
      </c>
      <c r="R130" s="11"/>
      <c r="S130" s="11"/>
      <c r="T130" s="11"/>
      <c r="U130" s="11"/>
      <c r="V130" s="11"/>
      <c r="W130" s="11"/>
      <c r="X130" s="11"/>
      <c r="Y130" s="11"/>
      <c r="Z130" s="38"/>
      <c r="AA130" s="38"/>
      <c r="AB130" s="72"/>
      <c r="AC130" s="9"/>
      <c r="AD130" s="216"/>
      <c r="AE130" s="134"/>
      <c r="AG130" s="62"/>
      <c r="AH130" s="41"/>
      <c r="AI130" s="41"/>
      <c r="AJ130" s="41"/>
      <c r="AK130" s="41"/>
      <c r="AL130" s="41"/>
      <c r="AM130" s="41"/>
      <c r="AN130" s="41"/>
      <c r="AO130" s="41"/>
      <c r="AP130" s="35"/>
      <c r="AQ130" s="35"/>
      <c r="AR130" s="41"/>
      <c r="AU130" s="134"/>
      <c r="BI130" s="62"/>
      <c r="BJ130" s="41"/>
      <c r="BK130" s="41"/>
      <c r="BL130" s="41"/>
      <c r="BM130" s="41"/>
      <c r="BN130" s="41"/>
      <c r="BO130" s="41"/>
      <c r="BP130" s="41"/>
      <c r="BQ130" s="41"/>
      <c r="BR130" s="35"/>
      <c r="BS130" s="35"/>
      <c r="BT130" s="41"/>
      <c r="BW130" s="134"/>
      <c r="BY130" s="220"/>
    </row>
    <row r="131" spans="1:96" ht="15" customHeight="1">
      <c r="A131" s="141">
        <v>46117</v>
      </c>
      <c r="B131" s="142"/>
      <c r="C131" s="142"/>
      <c r="D131" s="142"/>
      <c r="E131" s="142"/>
      <c r="F131" s="142"/>
      <c r="G131" s="142"/>
      <c r="H131" s="142"/>
      <c r="I131" s="142"/>
      <c r="J131" s="143"/>
      <c r="K131" s="146"/>
      <c r="L131" s="146"/>
      <c r="M131" s="158"/>
      <c r="N131" s="158"/>
      <c r="P131" s="267">
        <f>IF('[1]2026 március'!B$5=0,
    "",
    '[1]2026 március'!B$5
)</f>
        <v>429935</v>
      </c>
      <c r="Q131" s="141">
        <v>46086</v>
      </c>
      <c r="R131" s="11"/>
      <c r="S131" s="11"/>
      <c r="T131" s="11"/>
      <c r="U131" s="11"/>
      <c r="V131" s="11"/>
      <c r="W131" s="11"/>
      <c r="X131" s="11"/>
      <c r="Y131" s="11"/>
      <c r="Z131" s="38"/>
      <c r="AA131" s="38"/>
      <c r="AB131" s="72"/>
      <c r="AC131" s="9"/>
      <c r="AD131" s="216"/>
      <c r="AE131" s="134"/>
      <c r="AG131" s="62"/>
      <c r="AH131" s="41"/>
      <c r="AI131" s="41"/>
      <c r="AJ131" s="41"/>
      <c r="AK131" s="41"/>
      <c r="AL131" s="41"/>
      <c r="AM131" s="41"/>
      <c r="AN131" s="41"/>
      <c r="AO131" s="41"/>
      <c r="AP131" s="35"/>
      <c r="AQ131" s="35"/>
      <c r="AR131" s="41"/>
      <c r="AU131" s="134"/>
      <c r="BI131" s="62"/>
      <c r="BJ131" s="41"/>
      <c r="BK131" s="41"/>
      <c r="BL131" s="41"/>
      <c r="BM131" s="41"/>
      <c r="BN131" s="41"/>
      <c r="BO131" s="41"/>
      <c r="BP131" s="41"/>
      <c r="BQ131" s="41"/>
      <c r="BR131" s="35"/>
      <c r="BS131" s="35"/>
      <c r="BT131" s="41"/>
      <c r="BW131" s="134"/>
      <c r="BY131" s="220"/>
    </row>
    <row r="132" spans="1:96" ht="15" customHeight="1">
      <c r="A132" s="141">
        <v>46118</v>
      </c>
      <c r="B132" s="142"/>
      <c r="C132" s="142"/>
      <c r="D132" s="142"/>
      <c r="E132" s="142"/>
      <c r="F132" s="142"/>
      <c r="G132" s="142"/>
      <c r="H132" s="142"/>
      <c r="I132" s="142"/>
      <c r="J132" s="143"/>
      <c r="K132" s="146"/>
      <c r="L132" s="146"/>
      <c r="M132" s="158"/>
      <c r="N132" s="158"/>
      <c r="P132" s="267">
        <f>IF('[1]2026 március'!B$6=0,
    "",
    '[1]2026 március'!B$6
)</f>
        <v>394770</v>
      </c>
      <c r="Q132" s="141">
        <v>46087</v>
      </c>
      <c r="R132" s="11"/>
      <c r="S132" s="11"/>
      <c r="T132" s="11"/>
      <c r="U132" s="11"/>
      <c r="V132" s="11"/>
      <c r="W132" s="11"/>
      <c r="X132" s="11"/>
      <c r="Y132" s="11"/>
      <c r="Z132" s="38"/>
      <c r="AA132" s="38"/>
      <c r="AB132" s="72"/>
      <c r="AC132" s="9"/>
      <c r="AD132" s="216"/>
      <c r="AE132" s="134"/>
      <c r="AG132" s="62"/>
      <c r="AH132" s="41"/>
      <c r="AI132" s="41"/>
      <c r="AJ132" s="41"/>
      <c r="AK132" s="41"/>
      <c r="AL132" s="41"/>
      <c r="AM132" s="41"/>
      <c r="AN132" s="41"/>
      <c r="AO132" s="41"/>
      <c r="AP132" s="35"/>
      <c r="AQ132" s="35"/>
      <c r="AR132" s="41"/>
      <c r="AU132" s="134"/>
      <c r="BI132" s="62"/>
      <c r="BJ132" s="41"/>
      <c r="BK132" s="41"/>
      <c r="BL132" s="41"/>
      <c r="BM132" s="41"/>
      <c r="BN132" s="41"/>
      <c r="BO132" s="41"/>
      <c r="BP132" s="41"/>
      <c r="BQ132" s="41"/>
      <c r="BR132" s="35"/>
      <c r="BS132" s="35"/>
      <c r="BT132" s="41"/>
      <c r="BW132" s="134"/>
      <c r="BY132" s="220"/>
    </row>
    <row r="133" spans="1:96" ht="15" customHeight="1">
      <c r="A133" s="141">
        <v>46119</v>
      </c>
      <c r="B133" s="11"/>
      <c r="C133" s="11"/>
      <c r="D133" s="11"/>
      <c r="E133" s="11"/>
      <c r="F133" s="11"/>
      <c r="G133" s="11"/>
      <c r="H133" s="11"/>
      <c r="I133" s="11"/>
      <c r="J133" s="38"/>
      <c r="K133" s="72"/>
      <c r="L133" s="250"/>
      <c r="M133" s="9"/>
      <c r="N133" s="9"/>
      <c r="P133" s="267">
        <f>IF('[1]2026 március'!B$7=0,
    "",
    '[1]2026 március'!B$7
)</f>
        <v>290155</v>
      </c>
      <c r="Q133" s="141">
        <v>46088</v>
      </c>
      <c r="R133" s="142"/>
      <c r="S133" s="142"/>
      <c r="T133" s="142"/>
      <c r="U133" s="142"/>
      <c r="V133" s="142"/>
      <c r="W133" s="142"/>
      <c r="X133" s="142"/>
      <c r="Y133" s="142"/>
      <c r="Z133" s="143"/>
      <c r="AA133" s="143"/>
      <c r="AB133" s="249"/>
      <c r="AC133" s="158"/>
      <c r="AD133" s="381"/>
      <c r="AE133" s="134"/>
      <c r="AG133" s="62"/>
      <c r="AH133" s="41"/>
      <c r="AI133" s="41"/>
      <c r="AJ133" s="41"/>
      <c r="AK133" s="41"/>
      <c r="AL133" s="41"/>
      <c r="AM133" s="41"/>
      <c r="AN133" s="41"/>
      <c r="AO133" s="41"/>
      <c r="AP133" s="35"/>
      <c r="AQ133" s="35"/>
      <c r="AR133" s="253"/>
      <c r="AU133" s="134"/>
      <c r="BI133" s="62"/>
      <c r="BJ133" s="41"/>
      <c r="BK133" s="41"/>
      <c r="BL133" s="41"/>
      <c r="BM133" s="41"/>
      <c r="BN133" s="41"/>
      <c r="BO133" s="41"/>
      <c r="BP133" s="41"/>
      <c r="BQ133" s="41"/>
      <c r="BR133" s="35"/>
      <c r="BS133" s="35"/>
      <c r="BT133" s="253"/>
      <c r="BW133" s="134"/>
      <c r="BY133" s="220"/>
    </row>
    <row r="134" spans="1:96" ht="15" customHeight="1">
      <c r="A134" s="141">
        <v>46120</v>
      </c>
      <c r="B134" s="11"/>
      <c r="C134" s="11"/>
      <c r="D134" s="11"/>
      <c r="E134" s="11"/>
      <c r="F134" s="11"/>
      <c r="G134" s="11"/>
      <c r="H134" s="11"/>
      <c r="I134" s="11"/>
      <c r="J134" s="38"/>
      <c r="K134" s="72"/>
      <c r="L134" s="250"/>
      <c r="M134" s="9"/>
      <c r="N134" s="9"/>
      <c r="P134" s="267" t="str">
        <f>IF('[1]2026 március'!B$8=0,
    "",
    '[1]2026 március'!B$8
)</f>
        <v/>
      </c>
      <c r="Q134" s="141">
        <v>46089</v>
      </c>
      <c r="R134" s="142"/>
      <c r="S134" s="142"/>
      <c r="T134" s="142"/>
      <c r="U134" s="142"/>
      <c r="V134" s="142"/>
      <c r="W134" s="142"/>
      <c r="X134" s="142"/>
      <c r="Y134" s="142"/>
      <c r="Z134" s="143"/>
      <c r="AA134" s="143"/>
      <c r="AB134" s="249"/>
      <c r="AC134" s="158"/>
      <c r="AD134" s="381"/>
      <c r="AE134" s="134"/>
      <c r="AG134" s="62"/>
      <c r="AH134" s="41"/>
      <c r="AI134" s="41"/>
      <c r="AJ134" s="41"/>
      <c r="AK134" s="41"/>
      <c r="AL134" s="41"/>
      <c r="AM134" s="41"/>
      <c r="AN134" s="41"/>
      <c r="AO134" s="41"/>
      <c r="AP134" s="35"/>
      <c r="AQ134" s="35"/>
      <c r="AR134" s="253"/>
      <c r="AU134" s="134"/>
      <c r="BI134" s="62"/>
      <c r="BJ134" s="41"/>
      <c r="BK134" s="41"/>
      <c r="BL134" s="41"/>
      <c r="BM134" s="41"/>
      <c r="BN134" s="41"/>
      <c r="BO134" s="41"/>
      <c r="BP134" s="41"/>
      <c r="BQ134" s="41"/>
      <c r="BR134" s="35"/>
      <c r="BS134" s="35"/>
      <c r="BT134" s="253"/>
      <c r="BW134" s="134"/>
      <c r="BY134" s="220"/>
    </row>
    <row r="135" spans="1:96" ht="15" customHeight="1">
      <c r="A135" s="141">
        <v>46121</v>
      </c>
      <c r="B135" s="11"/>
      <c r="C135" s="11"/>
      <c r="D135" s="11"/>
      <c r="E135" s="11"/>
      <c r="F135" s="11"/>
      <c r="G135" s="11"/>
      <c r="H135" s="11"/>
      <c r="I135" s="11"/>
      <c r="J135" s="38"/>
      <c r="K135" s="72"/>
      <c r="L135" s="72"/>
      <c r="M135" s="9"/>
      <c r="N135" s="9"/>
      <c r="P135" s="267" t="str">
        <f>IF('[1]2026 március'!B$9=0,
    "",
    '[1]2026 március'!B$9
)</f>
        <v/>
      </c>
      <c r="Q135" s="141">
        <v>46090</v>
      </c>
      <c r="R135" s="11"/>
      <c r="S135" s="11"/>
      <c r="T135" s="11"/>
      <c r="U135" s="11"/>
      <c r="V135" s="11"/>
      <c r="W135" s="11"/>
      <c r="X135" s="11"/>
      <c r="Y135" s="11"/>
      <c r="Z135" s="38"/>
      <c r="AA135" s="38"/>
      <c r="AB135" s="72"/>
      <c r="AC135" s="9"/>
      <c r="AD135" s="216"/>
      <c r="AE135" s="134"/>
      <c r="AG135" s="62"/>
      <c r="AH135" s="41"/>
      <c r="AI135" s="41"/>
      <c r="AJ135" s="41"/>
      <c r="AK135" s="41"/>
      <c r="AL135" s="41"/>
      <c r="AM135" s="41"/>
      <c r="AN135" s="41"/>
      <c r="AO135" s="41"/>
      <c r="AP135" s="35"/>
      <c r="AQ135" s="35"/>
      <c r="AR135" s="41"/>
      <c r="AU135" s="134"/>
      <c r="BI135" s="62"/>
      <c r="BJ135" s="41"/>
      <c r="BK135" s="41"/>
      <c r="BL135" s="41"/>
      <c r="BM135" s="41"/>
      <c r="BN135" s="41"/>
      <c r="BO135" s="41"/>
      <c r="BP135" s="41"/>
      <c r="BQ135" s="41"/>
      <c r="BR135" s="35"/>
      <c r="BS135" s="35"/>
      <c r="BT135" s="41"/>
      <c r="BW135" s="134"/>
      <c r="BY135" s="220"/>
    </row>
    <row r="136" spans="1:96" ht="15" customHeight="1">
      <c r="A136" s="141">
        <v>46122</v>
      </c>
      <c r="B136" s="11"/>
      <c r="C136" s="11"/>
      <c r="D136" s="11"/>
      <c r="E136" s="11"/>
      <c r="F136" s="11"/>
      <c r="G136" s="11"/>
      <c r="H136" s="11"/>
      <c r="I136" s="11"/>
      <c r="J136" s="38"/>
      <c r="K136" s="72"/>
      <c r="L136" s="72"/>
      <c r="M136" s="9"/>
      <c r="N136" s="9"/>
      <c r="P136" s="267">
        <f>IF('[1]2026 március'!B$10=0,
    "",
    '[1]2026 március'!B$10
)</f>
        <v>356025</v>
      </c>
      <c r="Q136" s="141">
        <v>46091</v>
      </c>
      <c r="R136" s="11"/>
      <c r="S136" s="11"/>
      <c r="T136" s="11"/>
      <c r="U136" s="11"/>
      <c r="V136" s="11"/>
      <c r="W136" s="11"/>
      <c r="X136" s="11"/>
      <c r="Y136" s="11"/>
      <c r="Z136" s="38"/>
      <c r="AA136" s="38"/>
      <c r="AB136" s="72"/>
      <c r="AC136" s="9"/>
      <c r="AD136" s="216"/>
      <c r="AE136" s="134"/>
      <c r="AG136" s="62"/>
      <c r="AH136" s="41"/>
      <c r="AI136" s="41"/>
      <c r="AJ136" s="41"/>
      <c r="AK136" s="41"/>
      <c r="AL136" s="41"/>
      <c r="AM136" s="41"/>
      <c r="AN136" s="41"/>
      <c r="AO136" s="41"/>
      <c r="AP136" s="35"/>
      <c r="AQ136" s="35"/>
      <c r="AR136" s="41"/>
      <c r="AU136" s="134"/>
      <c r="BI136" s="62"/>
      <c r="BJ136" s="41"/>
      <c r="BK136" s="41"/>
      <c r="BL136" s="41"/>
      <c r="BM136" s="41"/>
      <c r="BN136" s="41"/>
      <c r="BO136" s="41"/>
      <c r="BP136" s="41"/>
      <c r="BQ136" s="41"/>
      <c r="BR136" s="35"/>
      <c r="BS136" s="35"/>
      <c r="BT136" s="41"/>
      <c r="BW136" s="134"/>
      <c r="BY136" s="220"/>
    </row>
    <row r="137" spans="1:96" ht="15" customHeight="1">
      <c r="A137" s="141">
        <v>46123</v>
      </c>
      <c r="B137" s="142"/>
      <c r="C137" s="142"/>
      <c r="D137" s="142"/>
      <c r="E137" s="142"/>
      <c r="F137" s="142"/>
      <c r="G137" s="142"/>
      <c r="H137" s="142"/>
      <c r="I137" s="142"/>
      <c r="J137" s="143"/>
      <c r="K137" s="146"/>
      <c r="L137" s="146"/>
      <c r="M137" s="158"/>
      <c r="N137" s="158"/>
      <c r="P137" s="267">
        <f>IF('[1]2026 március'!B$11=0,
    "",
    '[1]2026 március'!B$11
)</f>
        <v>380025</v>
      </c>
      <c r="Q137" s="141">
        <v>46092</v>
      </c>
      <c r="R137" s="11"/>
      <c r="S137" s="11"/>
      <c r="T137" s="11"/>
      <c r="U137" s="11"/>
      <c r="V137" s="11"/>
      <c r="W137" s="11"/>
      <c r="X137" s="11"/>
      <c r="Y137" s="11"/>
      <c r="Z137" s="38"/>
      <c r="AA137" s="38"/>
      <c r="AB137" s="72"/>
      <c r="AC137" s="9"/>
      <c r="AD137" s="216"/>
      <c r="AE137" s="134"/>
      <c r="AG137" s="62"/>
      <c r="AH137" s="41"/>
      <c r="AI137" s="41"/>
      <c r="AJ137" s="41"/>
      <c r="AK137" s="41"/>
      <c r="AL137" s="41"/>
      <c r="AM137" s="41"/>
      <c r="AN137" s="41"/>
      <c r="AO137" s="41"/>
      <c r="AP137" s="35"/>
      <c r="AQ137" s="35"/>
      <c r="AR137" s="41"/>
      <c r="AU137" s="134"/>
      <c r="BI137" s="62"/>
      <c r="BJ137" s="41"/>
      <c r="BK137" s="41"/>
      <c r="BL137" s="41"/>
      <c r="BM137" s="41"/>
      <c r="BN137" s="41"/>
      <c r="BO137" s="41"/>
      <c r="BP137" s="41"/>
      <c r="BQ137" s="41"/>
      <c r="BR137" s="35"/>
      <c r="BS137" s="35"/>
      <c r="BT137" s="41"/>
      <c r="BW137" s="134"/>
      <c r="BY137" s="220"/>
    </row>
    <row r="138" spans="1:96" ht="15" customHeight="1">
      <c r="A138" s="141">
        <v>46124</v>
      </c>
      <c r="B138" s="142"/>
      <c r="C138" s="142"/>
      <c r="D138" s="142"/>
      <c r="E138" s="142"/>
      <c r="F138" s="142"/>
      <c r="G138" s="142"/>
      <c r="H138" s="142"/>
      <c r="I138" s="142"/>
      <c r="J138" s="143"/>
      <c r="K138" s="146"/>
      <c r="L138" s="146"/>
      <c r="M138" s="547"/>
      <c r="N138" s="158"/>
      <c r="P138" s="267">
        <f>IF('[1]2026 március'!B$12=0,
    "",
    '[1]2026 március'!B$12
)</f>
        <v>390400</v>
      </c>
      <c r="Q138" s="141">
        <v>46093</v>
      </c>
      <c r="R138" s="11"/>
      <c r="S138" s="11"/>
      <c r="T138" s="11"/>
      <c r="U138" s="11"/>
      <c r="V138" s="11"/>
      <c r="W138" s="11"/>
      <c r="X138" s="11"/>
      <c r="Y138" s="11"/>
      <c r="Z138" s="38"/>
      <c r="AA138" s="38"/>
      <c r="AB138" s="72"/>
      <c r="AC138" s="378"/>
      <c r="AD138" s="216"/>
      <c r="AE138" s="134"/>
      <c r="AG138" s="62"/>
      <c r="AH138" s="41"/>
      <c r="AI138" s="41"/>
      <c r="AJ138" s="41"/>
      <c r="AK138" s="41"/>
      <c r="AL138" s="41"/>
      <c r="AM138" s="41"/>
      <c r="AN138" s="41"/>
      <c r="AO138" s="41"/>
      <c r="AP138" s="35"/>
      <c r="AQ138" s="35"/>
      <c r="AR138" s="41"/>
      <c r="AS138" s="50"/>
      <c r="AU138" s="134"/>
      <c r="BI138" s="62"/>
      <c r="BJ138" s="41"/>
      <c r="BK138" s="41"/>
      <c r="BL138" s="41"/>
      <c r="BM138" s="41"/>
      <c r="BN138" s="41"/>
      <c r="BO138" s="41"/>
      <c r="BP138" s="41"/>
      <c r="BQ138" s="41"/>
      <c r="BR138" s="35"/>
      <c r="BS138" s="35"/>
      <c r="BT138" s="41"/>
      <c r="BU138" s="50"/>
      <c r="BW138" s="134"/>
      <c r="BY138" s="220"/>
    </row>
    <row r="139" spans="1:96" ht="15" customHeight="1">
      <c r="A139" s="141">
        <v>46125</v>
      </c>
      <c r="B139" s="11"/>
      <c r="C139" s="11"/>
      <c r="D139" s="11"/>
      <c r="E139" s="11"/>
      <c r="F139" s="11"/>
      <c r="G139" s="11"/>
      <c r="H139" s="11"/>
      <c r="I139" s="11"/>
      <c r="J139" s="38"/>
      <c r="K139" s="72"/>
      <c r="L139" s="72"/>
      <c r="M139" s="9"/>
      <c r="N139" s="9"/>
      <c r="P139" s="267">
        <f>IF('[1]2026 március'!B$13=0,
    "",
    '[1]2026 március'!B$13
)</f>
        <v>420805</v>
      </c>
      <c r="Q139" s="141">
        <v>46094</v>
      </c>
      <c r="R139" s="11"/>
      <c r="S139" s="11"/>
      <c r="T139" s="11"/>
      <c r="U139" s="11"/>
      <c r="V139" s="11"/>
      <c r="W139" s="11"/>
      <c r="X139" s="11"/>
      <c r="Y139" s="11"/>
      <c r="Z139" s="38"/>
      <c r="AA139" s="38"/>
      <c r="AB139" s="72"/>
      <c r="AC139" s="9"/>
      <c r="AD139" s="216"/>
      <c r="AE139" s="134"/>
      <c r="AG139" s="62"/>
      <c r="AH139" s="41"/>
      <c r="AI139" s="41"/>
      <c r="AJ139" s="41"/>
      <c r="AK139" s="41"/>
      <c r="AL139" s="41"/>
      <c r="AM139" s="41"/>
      <c r="AN139" s="41"/>
      <c r="AO139" s="41"/>
      <c r="AP139" s="35"/>
      <c r="AQ139" s="35"/>
      <c r="AR139" s="41"/>
      <c r="AU139" s="134"/>
      <c r="BI139" s="62"/>
      <c r="BJ139" s="41"/>
      <c r="BK139" s="41"/>
      <c r="BL139" s="41"/>
      <c r="BM139" s="41"/>
      <c r="BN139" s="41"/>
      <c r="BO139" s="41"/>
      <c r="BP139" s="41"/>
      <c r="BQ139" s="41"/>
      <c r="BR139" s="35"/>
      <c r="BS139" s="35"/>
      <c r="BT139" s="41"/>
      <c r="BW139" s="134"/>
      <c r="BY139" s="220"/>
    </row>
    <row r="140" spans="1:96" ht="15" customHeight="1">
      <c r="A140" s="141">
        <v>46126</v>
      </c>
      <c r="B140" s="11"/>
      <c r="C140" s="11"/>
      <c r="D140" s="11"/>
      <c r="E140" s="11"/>
      <c r="F140" s="11"/>
      <c r="G140" s="11"/>
      <c r="H140" s="11"/>
      <c r="I140" s="11"/>
      <c r="J140" s="38"/>
      <c r="K140" s="72"/>
      <c r="L140" s="72"/>
      <c r="M140" s="9"/>
      <c r="N140" s="9"/>
      <c r="P140" s="267">
        <f>IF('[1]2026 március'!B$14=0,
    "",
    '[1]2026 március'!B$14
)</f>
        <v>304015</v>
      </c>
      <c r="Q140" s="141">
        <v>46095</v>
      </c>
      <c r="R140" s="142"/>
      <c r="S140" s="142"/>
      <c r="T140" s="142"/>
      <c r="U140" s="142"/>
      <c r="V140" s="142"/>
      <c r="W140" s="142"/>
      <c r="X140" s="142"/>
      <c r="Y140" s="142"/>
      <c r="Z140" s="143"/>
      <c r="AA140" s="143"/>
      <c r="AB140" s="146"/>
      <c r="AC140" s="158"/>
      <c r="AD140" s="381"/>
      <c r="AE140" s="134"/>
      <c r="AG140" s="62"/>
      <c r="AH140" s="41"/>
      <c r="AI140" s="41"/>
      <c r="AJ140" s="41"/>
      <c r="AK140" s="41"/>
      <c r="AL140" s="41"/>
      <c r="AM140" s="41"/>
      <c r="AN140" s="41"/>
      <c r="AO140" s="41"/>
      <c r="AP140" s="35"/>
      <c r="AQ140" s="35"/>
      <c r="AR140" s="41"/>
      <c r="AU140" s="134"/>
      <c r="BI140" s="62"/>
      <c r="BJ140" s="41"/>
      <c r="BK140" s="41"/>
      <c r="BL140" s="41"/>
      <c r="BM140" s="41"/>
      <c r="BN140" s="41"/>
      <c r="BO140" s="41"/>
      <c r="BP140" s="41"/>
      <c r="BQ140" s="41"/>
      <c r="BR140" s="35"/>
      <c r="BS140" s="35"/>
      <c r="BT140" s="41"/>
      <c r="BW140" s="134"/>
      <c r="BY140" s="220"/>
      <c r="CR140" t="s">
        <v>205</v>
      </c>
    </row>
    <row r="141" spans="1:96" ht="15" customHeight="1">
      <c r="A141" s="141">
        <v>46127</v>
      </c>
      <c r="B141" s="11"/>
      <c r="C141" s="11"/>
      <c r="D141" s="11"/>
      <c r="E141" s="11"/>
      <c r="F141" s="11"/>
      <c r="G141" s="11"/>
      <c r="H141" s="11"/>
      <c r="I141" s="11"/>
      <c r="J141" s="38"/>
      <c r="K141" s="72"/>
      <c r="L141" s="72"/>
      <c r="M141" s="9"/>
      <c r="N141" s="9"/>
      <c r="P141" s="267" t="str">
        <f>IF('[1]2026 március'!B$15=0,
    "",
    '[1]2026 március'!B$15
)</f>
        <v/>
      </c>
      <c r="Q141" s="141">
        <v>46096</v>
      </c>
      <c r="R141" s="142"/>
      <c r="S141" s="142"/>
      <c r="T141" s="142"/>
      <c r="U141" s="142"/>
      <c r="V141" s="142"/>
      <c r="W141" s="142"/>
      <c r="X141" s="142"/>
      <c r="Y141" s="142"/>
      <c r="Z141" s="143"/>
      <c r="AA141" s="143"/>
      <c r="AB141" s="146"/>
      <c r="AC141" s="158"/>
      <c r="AD141" s="381"/>
      <c r="AE141" s="134"/>
      <c r="AG141" s="62"/>
      <c r="AH141" s="41"/>
      <c r="AI141" s="41"/>
      <c r="AJ141" s="41"/>
      <c r="AK141" s="41"/>
      <c r="AL141" s="41"/>
      <c r="AM141" s="41"/>
      <c r="AN141" s="41"/>
      <c r="AO141" s="41"/>
      <c r="AP141" s="35"/>
      <c r="AQ141" s="35"/>
      <c r="AR141" s="41"/>
      <c r="AU141" s="134"/>
      <c r="BI141" s="62"/>
      <c r="BJ141" s="41"/>
      <c r="BK141" s="41"/>
      <c r="BL141" s="41"/>
      <c r="BM141" s="41"/>
      <c r="BN141" s="41"/>
      <c r="BO141" s="41"/>
      <c r="BP141" s="41"/>
      <c r="BQ141" s="41"/>
      <c r="BR141" s="35"/>
      <c r="BS141" s="35"/>
      <c r="BT141" s="41"/>
      <c r="BW141" s="134"/>
      <c r="BY141" s="220"/>
    </row>
    <row r="142" spans="1:96" ht="15" customHeight="1">
      <c r="A142" s="141">
        <v>46128</v>
      </c>
      <c r="B142" s="11"/>
      <c r="C142" s="11"/>
      <c r="D142" s="11"/>
      <c r="E142" s="11"/>
      <c r="F142" s="11"/>
      <c r="G142" s="11"/>
      <c r="H142" s="11"/>
      <c r="I142" s="11"/>
      <c r="J142" s="38"/>
      <c r="K142" s="72"/>
      <c r="L142" s="72"/>
      <c r="M142" s="9"/>
      <c r="N142" s="9"/>
      <c r="P142" s="267" t="str">
        <f>IF('[1]2026 március'!B$16=0,
    "",
    '[1]2026 március'!B$16
)</f>
        <v/>
      </c>
      <c r="Q142" s="141">
        <v>46097</v>
      </c>
      <c r="R142" s="11"/>
      <c r="S142" s="11"/>
      <c r="T142" s="11"/>
      <c r="U142" s="11"/>
      <c r="V142" s="11"/>
      <c r="W142" s="11"/>
      <c r="X142" s="11"/>
      <c r="Y142" s="11"/>
      <c r="Z142" s="38"/>
      <c r="AA142" s="38"/>
      <c r="AB142" s="72"/>
      <c r="AC142" s="9"/>
      <c r="AD142" s="216"/>
      <c r="AE142" s="134"/>
      <c r="AG142" s="62"/>
      <c r="AH142" s="41"/>
      <c r="AI142" s="41"/>
      <c r="AJ142" s="41"/>
      <c r="AK142" s="41"/>
      <c r="AL142" s="41"/>
      <c r="AM142" s="41"/>
      <c r="AN142" s="41"/>
      <c r="AO142" s="41"/>
      <c r="AP142" s="35"/>
      <c r="AQ142" s="35"/>
      <c r="AR142" s="41"/>
      <c r="AU142" s="134"/>
      <c r="BI142" s="62"/>
      <c r="BJ142" s="41"/>
      <c r="BK142" s="41"/>
      <c r="BL142" s="41"/>
      <c r="BM142" s="41"/>
      <c r="BN142" s="41"/>
      <c r="BO142" s="41"/>
      <c r="BP142" s="41"/>
      <c r="BQ142" s="41"/>
      <c r="BR142" s="35"/>
      <c r="BS142" s="35"/>
      <c r="BT142" s="41"/>
      <c r="BW142" s="134"/>
      <c r="BY142" s="220"/>
    </row>
    <row r="143" spans="1:96" ht="15" customHeight="1">
      <c r="A143" s="141">
        <v>46129</v>
      </c>
      <c r="B143" s="11"/>
      <c r="C143" s="11"/>
      <c r="D143" s="11"/>
      <c r="E143" s="11"/>
      <c r="F143" s="11"/>
      <c r="G143" s="11"/>
      <c r="H143" s="11"/>
      <c r="I143" s="11"/>
      <c r="J143" s="38"/>
      <c r="K143" s="72"/>
      <c r="L143" s="72"/>
      <c r="M143" s="9"/>
      <c r="N143" s="9"/>
      <c r="P143" s="267">
        <f>IF('[1]2026 március'!B$17=0,
    "",
    '[1]2026 március'!B$17
)</f>
        <v>367265</v>
      </c>
      <c r="Q143" s="141">
        <v>46098</v>
      </c>
      <c r="R143" s="11"/>
      <c r="S143" s="11"/>
      <c r="T143" s="11"/>
      <c r="U143" s="11"/>
      <c r="V143" s="11"/>
      <c r="W143" s="11"/>
      <c r="X143" s="11"/>
      <c r="Y143" s="11"/>
      <c r="Z143" s="38"/>
      <c r="AA143" s="38"/>
      <c r="AB143" s="72"/>
      <c r="AC143" s="9"/>
      <c r="AD143" s="216"/>
      <c r="AE143" s="134"/>
      <c r="AG143" s="62"/>
      <c r="AH143" s="41"/>
      <c r="AI143" s="41"/>
      <c r="AJ143" s="41"/>
      <c r="AK143" s="41"/>
      <c r="AL143" s="41"/>
      <c r="AM143" s="41"/>
      <c r="AN143" s="41"/>
      <c r="AO143" s="41"/>
      <c r="AP143" s="35"/>
      <c r="AQ143" s="35"/>
      <c r="AR143" s="41"/>
      <c r="AU143" s="134"/>
      <c r="BI143" s="62"/>
      <c r="BJ143" s="41"/>
      <c r="BK143" s="41"/>
      <c r="BL143" s="41"/>
      <c r="BM143" s="41"/>
      <c r="BN143" s="41"/>
      <c r="BO143" s="41"/>
      <c r="BP143" s="41"/>
      <c r="BQ143" s="41"/>
      <c r="BR143" s="35"/>
      <c r="BS143" s="35"/>
      <c r="BT143" s="41"/>
      <c r="BW143" s="134"/>
      <c r="BY143" s="220"/>
    </row>
    <row r="144" spans="1:96" ht="15" customHeight="1">
      <c r="A144" s="141">
        <v>46130</v>
      </c>
      <c r="B144" s="142"/>
      <c r="C144" s="142"/>
      <c r="D144" s="142"/>
      <c r="E144" s="142"/>
      <c r="F144" s="142"/>
      <c r="G144" s="142"/>
      <c r="H144" s="142"/>
      <c r="I144" s="142"/>
      <c r="J144" s="143"/>
      <c r="K144" s="146"/>
      <c r="L144" s="146"/>
      <c r="M144" s="158"/>
      <c r="N144" s="158"/>
      <c r="P144" s="267">
        <f>IF('[1]2026 március'!B$18=0,
    "",
    '[1]2026 március'!B$18
)</f>
        <v>339810</v>
      </c>
      <c r="Q144" s="141">
        <v>46099</v>
      </c>
      <c r="R144" s="11"/>
      <c r="S144" s="11"/>
      <c r="T144" s="11"/>
      <c r="U144" s="11"/>
      <c r="V144" s="11"/>
      <c r="W144" s="11"/>
      <c r="X144" s="11"/>
      <c r="Y144" s="11"/>
      <c r="Z144" s="38"/>
      <c r="AA144" s="38"/>
      <c r="AB144" s="72"/>
      <c r="AC144" s="9"/>
      <c r="AD144" s="216"/>
      <c r="AE144" s="134"/>
      <c r="AG144" s="62"/>
      <c r="AH144" s="41"/>
      <c r="AI144" s="41"/>
      <c r="AJ144" s="41"/>
      <c r="AK144" s="41"/>
      <c r="AL144" s="41"/>
      <c r="AM144" s="41"/>
      <c r="AN144" s="41"/>
      <c r="AO144" s="41"/>
      <c r="AP144" s="35"/>
      <c r="AQ144" s="35"/>
      <c r="AR144" s="41"/>
      <c r="AU144" s="134"/>
      <c r="BI144" s="62"/>
      <c r="BJ144" s="41"/>
      <c r="BK144" s="41"/>
      <c r="BL144" s="41"/>
      <c r="BM144" s="41"/>
      <c r="BN144" s="41"/>
      <c r="BO144" s="41"/>
      <c r="BP144" s="41"/>
      <c r="BQ144" s="41"/>
      <c r="BR144" s="35"/>
      <c r="BS144" s="35"/>
      <c r="BT144" s="41"/>
      <c r="BW144" s="134"/>
      <c r="BY144" s="220"/>
    </row>
    <row r="145" spans="1:77" ht="15" customHeight="1">
      <c r="A145" s="141">
        <v>46131</v>
      </c>
      <c r="B145" s="142"/>
      <c r="C145" s="142"/>
      <c r="D145" s="142"/>
      <c r="E145" s="142"/>
      <c r="F145" s="142"/>
      <c r="G145" s="142"/>
      <c r="H145" s="142"/>
      <c r="I145" s="142"/>
      <c r="J145" s="143"/>
      <c r="K145" s="146"/>
      <c r="L145" s="146"/>
      <c r="M145" s="158"/>
      <c r="N145" s="158"/>
      <c r="P145" s="267">
        <f>IF('[1]2026 március'!B$19=0,
    "",
    '[1]2026 március'!B$19
)</f>
        <v>352275</v>
      </c>
      <c r="Q145" s="141">
        <v>46100</v>
      </c>
      <c r="R145" s="11"/>
      <c r="S145" s="11"/>
      <c r="T145" s="11"/>
      <c r="U145" s="11"/>
      <c r="V145" s="11"/>
      <c r="W145" s="11"/>
      <c r="X145" s="11"/>
      <c r="Y145" s="11"/>
      <c r="Z145" s="38"/>
      <c r="AA145" s="38"/>
      <c r="AB145" s="72"/>
      <c r="AC145" s="9"/>
      <c r="AD145" s="216"/>
      <c r="AE145" s="134"/>
      <c r="AG145" s="62"/>
      <c r="AH145" s="41"/>
      <c r="AI145" s="41"/>
      <c r="AJ145" s="41"/>
      <c r="AK145" s="41"/>
      <c r="AL145" s="41"/>
      <c r="AM145" s="41"/>
      <c r="AN145" s="41"/>
      <c r="AO145" s="41"/>
      <c r="AP145" s="35"/>
      <c r="AQ145" s="35"/>
      <c r="AR145" s="41"/>
      <c r="AU145" s="134"/>
      <c r="BI145" s="62"/>
      <c r="BJ145" s="41"/>
      <c r="BK145" s="41"/>
      <c r="BL145" s="41"/>
      <c r="BM145" s="41"/>
      <c r="BN145" s="41"/>
      <c r="BO145" s="41"/>
      <c r="BP145" s="41"/>
      <c r="BQ145" s="41"/>
      <c r="BR145" s="35"/>
      <c r="BS145" s="35"/>
      <c r="BT145" s="41"/>
      <c r="BW145" s="134"/>
      <c r="BY145" s="220"/>
    </row>
    <row r="146" spans="1:77" ht="15" customHeight="1">
      <c r="A146" s="141">
        <v>46132</v>
      </c>
      <c r="B146" s="11"/>
      <c r="C146" s="11"/>
      <c r="D146" s="11"/>
      <c r="E146" s="11"/>
      <c r="F146" s="11"/>
      <c r="G146" s="11"/>
      <c r="H146" s="11"/>
      <c r="I146" s="11"/>
      <c r="J146" s="38"/>
      <c r="K146" s="72"/>
      <c r="L146" s="72"/>
      <c r="M146" s="9"/>
      <c r="N146" s="9"/>
      <c r="P146" s="267">
        <f>IF('[1]2026 március'!B$20=0,
    "",
    '[1]2026 március'!B$20
)</f>
        <v>415440</v>
      </c>
      <c r="Q146" s="141">
        <v>46101</v>
      </c>
      <c r="R146" s="11"/>
      <c r="S146" s="11"/>
      <c r="T146" s="11"/>
      <c r="U146" s="11"/>
      <c r="V146" s="11"/>
      <c r="W146" s="11"/>
      <c r="X146" s="11"/>
      <c r="Y146" s="11"/>
      <c r="Z146" s="38"/>
      <c r="AA146" s="38"/>
      <c r="AB146" s="72"/>
      <c r="AC146" s="9"/>
      <c r="AD146" s="216"/>
      <c r="AE146" s="134"/>
      <c r="AG146" s="62"/>
      <c r="AH146" s="41"/>
      <c r="AI146" s="41"/>
      <c r="AJ146" s="41"/>
      <c r="AK146" s="41"/>
      <c r="AL146" s="41"/>
      <c r="AM146" s="41"/>
      <c r="AN146" s="41"/>
      <c r="AO146" s="41"/>
      <c r="AP146" s="35"/>
      <c r="AQ146" s="35"/>
      <c r="AR146" s="41"/>
      <c r="AU146" s="134"/>
      <c r="BI146" s="62"/>
      <c r="BJ146" s="41"/>
      <c r="BK146" s="41"/>
      <c r="BL146" s="41"/>
      <c r="BM146" s="41"/>
      <c r="BN146" s="41"/>
      <c r="BO146" s="41"/>
      <c r="BP146" s="41"/>
      <c r="BQ146" s="41"/>
      <c r="BR146" s="35"/>
      <c r="BS146" s="35"/>
      <c r="BT146" s="41"/>
      <c r="BW146" s="134"/>
      <c r="BY146" s="220"/>
    </row>
    <row r="147" spans="1:77" ht="15" customHeight="1">
      <c r="A147" s="141">
        <v>46133</v>
      </c>
      <c r="B147" s="11"/>
      <c r="C147" s="11"/>
      <c r="D147" s="11"/>
      <c r="E147" s="11"/>
      <c r="F147" s="11"/>
      <c r="G147" s="11"/>
      <c r="H147" s="11"/>
      <c r="I147" s="11"/>
      <c r="J147" s="38"/>
      <c r="K147" s="72"/>
      <c r="L147" s="72"/>
      <c r="M147" s="9"/>
      <c r="N147" s="9"/>
      <c r="P147" s="267">
        <f>IF('[1]2026 március'!B$21=0,
    "",
    '[1]2026 március'!B$21
)</f>
        <v>265175</v>
      </c>
      <c r="Q147" s="141">
        <v>46102</v>
      </c>
      <c r="R147" s="142"/>
      <c r="S147" s="142"/>
      <c r="T147" s="142"/>
      <c r="U147" s="142"/>
      <c r="V147" s="142"/>
      <c r="W147" s="142"/>
      <c r="X147" s="142"/>
      <c r="Y147" s="142"/>
      <c r="Z147" s="143"/>
      <c r="AA147" s="143"/>
      <c r="AB147" s="146"/>
      <c r="AC147" s="158"/>
      <c r="AD147" s="381"/>
      <c r="AE147" s="134"/>
      <c r="AG147" s="62"/>
      <c r="AH147" s="41"/>
      <c r="AI147" s="41"/>
      <c r="AJ147" s="41"/>
      <c r="AK147" s="41"/>
      <c r="AL147" s="41"/>
      <c r="AM147" s="41"/>
      <c r="AN147" s="41"/>
      <c r="AO147" s="41"/>
      <c r="AP147" s="35"/>
      <c r="AQ147" s="35"/>
      <c r="AR147" s="41"/>
      <c r="AU147" s="134"/>
      <c r="BI147" s="62"/>
      <c r="BJ147" s="41"/>
      <c r="BK147" s="41"/>
      <c r="BL147" s="41"/>
      <c r="BM147" s="41"/>
      <c r="BN147" s="41"/>
      <c r="BO147" s="41"/>
      <c r="BP147" s="41"/>
      <c r="BQ147" s="41"/>
      <c r="BR147" s="35"/>
      <c r="BS147" s="35"/>
      <c r="BT147" s="41"/>
      <c r="BW147" s="134"/>
      <c r="BY147" s="220"/>
    </row>
    <row r="148" spans="1:77" ht="15" customHeight="1">
      <c r="A148" s="141">
        <v>46134</v>
      </c>
      <c r="B148" s="11"/>
      <c r="C148" s="11"/>
      <c r="D148" s="11"/>
      <c r="E148" s="11"/>
      <c r="F148" s="11"/>
      <c r="G148" s="11"/>
      <c r="H148" s="11"/>
      <c r="I148" s="11"/>
      <c r="J148" s="38"/>
      <c r="K148" s="72"/>
      <c r="L148" s="72"/>
      <c r="M148" s="9"/>
      <c r="N148" s="9"/>
      <c r="P148" s="267" t="str">
        <f>IF('[1]2026 március'!B$22=0,
    "",
    '[1]2026 március'!B$22
)</f>
        <v/>
      </c>
      <c r="Q148" s="141">
        <v>46103</v>
      </c>
      <c r="R148" s="142"/>
      <c r="S148" s="142"/>
      <c r="T148" s="142"/>
      <c r="U148" s="142"/>
      <c r="V148" s="142"/>
      <c r="W148" s="142"/>
      <c r="X148" s="142"/>
      <c r="Y148" s="142"/>
      <c r="Z148" s="143"/>
      <c r="AA148" s="143"/>
      <c r="AB148" s="146"/>
      <c r="AC148" s="158"/>
      <c r="AD148" s="381"/>
      <c r="AE148" s="134"/>
      <c r="AG148" s="62"/>
      <c r="AH148" s="41"/>
      <c r="AI148" s="41"/>
      <c r="AJ148" s="41"/>
      <c r="AK148" s="41"/>
      <c r="AL148" s="41"/>
      <c r="AM148" s="41"/>
      <c r="AN148" s="41"/>
      <c r="AO148" s="41"/>
      <c r="AP148" s="35"/>
      <c r="AQ148" s="35"/>
      <c r="AR148" s="41"/>
      <c r="AU148" s="134"/>
      <c r="BI148" s="62"/>
      <c r="BJ148" s="41"/>
      <c r="BK148" s="41"/>
      <c r="BL148" s="41"/>
      <c r="BM148" s="41"/>
      <c r="BN148" s="41"/>
      <c r="BO148" s="41"/>
      <c r="BP148" s="41"/>
      <c r="BQ148" s="41"/>
      <c r="BR148" s="35"/>
      <c r="BS148" s="35"/>
      <c r="BT148" s="41"/>
      <c r="BW148" s="134"/>
      <c r="BY148" s="220"/>
    </row>
    <row r="149" spans="1:77" ht="15" customHeight="1">
      <c r="A149" s="141">
        <v>46135</v>
      </c>
      <c r="B149" s="11"/>
      <c r="C149" s="11"/>
      <c r="D149" s="11"/>
      <c r="E149" s="11"/>
      <c r="F149" s="11"/>
      <c r="G149" s="11"/>
      <c r="H149" s="11"/>
      <c r="I149" s="11"/>
      <c r="J149" s="38"/>
      <c r="K149" s="72"/>
      <c r="L149" s="72"/>
      <c r="M149" s="9"/>
      <c r="N149" s="9"/>
      <c r="P149" s="267" t="str">
        <f>IF('[1]2026 március'!B$23=0,
    "",
    '[1]2026 március'!B$23
)</f>
        <v/>
      </c>
      <c r="Q149" s="141">
        <v>46104</v>
      </c>
      <c r="R149" s="11"/>
      <c r="S149" s="11"/>
      <c r="T149" s="11"/>
      <c r="U149" s="11"/>
      <c r="V149" s="11"/>
      <c r="W149" s="11"/>
      <c r="X149" s="11"/>
      <c r="Y149" s="11"/>
      <c r="Z149" s="38"/>
      <c r="AA149" s="38"/>
      <c r="AB149" s="72"/>
      <c r="AC149" s="9"/>
      <c r="AD149" s="216"/>
      <c r="AE149" s="134"/>
      <c r="AG149" s="62"/>
      <c r="AH149" s="41"/>
      <c r="AI149" s="41"/>
      <c r="AJ149" s="41"/>
      <c r="AK149" s="41"/>
      <c r="AL149" s="41"/>
      <c r="AM149" s="41"/>
      <c r="AN149" s="41"/>
      <c r="AO149" s="41"/>
      <c r="AP149" s="35"/>
      <c r="AQ149" s="35"/>
      <c r="AR149" s="41"/>
      <c r="AU149" s="134"/>
      <c r="BI149" s="62"/>
      <c r="BJ149" s="41"/>
      <c r="BK149" s="41"/>
      <c r="BL149" s="41"/>
      <c r="BM149" s="41"/>
      <c r="BN149" s="41"/>
      <c r="BO149" s="41"/>
      <c r="BP149" s="41"/>
      <c r="BQ149" s="41"/>
      <c r="BR149" s="35"/>
      <c r="BS149" s="35"/>
      <c r="BT149" s="41"/>
      <c r="BW149" s="134"/>
      <c r="BY149" s="220"/>
    </row>
    <row r="150" spans="1:77" ht="15" customHeight="1">
      <c r="A150" s="141">
        <v>46136</v>
      </c>
      <c r="B150" s="11"/>
      <c r="C150" s="11"/>
      <c r="D150" s="11"/>
      <c r="E150" s="11"/>
      <c r="F150" s="11"/>
      <c r="G150" s="11"/>
      <c r="H150" s="11"/>
      <c r="I150" s="11"/>
      <c r="J150" s="38"/>
      <c r="K150" s="72"/>
      <c r="L150" s="72"/>
      <c r="M150" s="9"/>
      <c r="N150" s="9"/>
      <c r="P150" s="267">
        <f>IF('[1]2026 március'!B$24=0,
    "",
    '[1]2026 március'!B$24
)</f>
        <v>327250</v>
      </c>
      <c r="Q150" s="141">
        <v>46105</v>
      </c>
      <c r="R150" s="11"/>
      <c r="S150" s="11"/>
      <c r="T150" s="11"/>
      <c r="U150" s="11"/>
      <c r="V150" s="11"/>
      <c r="W150" s="11"/>
      <c r="X150" s="11"/>
      <c r="Y150" s="11"/>
      <c r="Z150" s="38"/>
      <c r="AA150" s="38"/>
      <c r="AB150" s="72"/>
      <c r="AC150" s="9"/>
      <c r="AD150" s="216"/>
      <c r="AE150" s="134"/>
      <c r="AG150" s="62"/>
      <c r="AH150" s="41"/>
      <c r="AI150" s="41"/>
      <c r="AJ150" s="41"/>
      <c r="AK150" s="41"/>
      <c r="AL150" s="41"/>
      <c r="AM150" s="41"/>
      <c r="AN150" s="41"/>
      <c r="AO150" s="41"/>
      <c r="AP150" s="35"/>
      <c r="AQ150" s="35"/>
      <c r="AR150" s="41"/>
      <c r="AU150" s="134"/>
      <c r="BI150" s="62"/>
      <c r="BJ150" s="41"/>
      <c r="BK150" s="41"/>
      <c r="BL150" s="41"/>
      <c r="BM150" s="41"/>
      <c r="BN150" s="41"/>
      <c r="BO150" s="41"/>
      <c r="BP150" s="41"/>
      <c r="BQ150" s="41"/>
      <c r="BR150" s="35"/>
      <c r="BS150" s="35"/>
      <c r="BT150" s="41"/>
      <c r="BW150" s="134"/>
      <c r="BY150" s="220"/>
    </row>
    <row r="151" spans="1:77" ht="15" customHeight="1">
      <c r="A151" s="141">
        <v>46137</v>
      </c>
      <c r="B151" s="142"/>
      <c r="C151" s="142"/>
      <c r="D151" s="142"/>
      <c r="E151" s="142"/>
      <c r="F151" s="142"/>
      <c r="G151" s="142"/>
      <c r="H151" s="142"/>
      <c r="I151" s="142"/>
      <c r="J151" s="143"/>
      <c r="K151" s="146"/>
      <c r="L151" s="146"/>
      <c r="M151" s="158"/>
      <c r="N151" s="158"/>
      <c r="P151" s="267">
        <f>IF('[1]2026 március'!B$25=0,
    "",
    '[1]2026 március'!B$25
)</f>
        <v>408580</v>
      </c>
      <c r="Q151" s="141">
        <v>46106</v>
      </c>
      <c r="R151" s="11"/>
      <c r="S151" s="11"/>
      <c r="T151" s="11"/>
      <c r="U151" s="11"/>
      <c r="V151" s="11"/>
      <c r="W151" s="11"/>
      <c r="X151" s="11"/>
      <c r="Y151" s="11"/>
      <c r="Z151" s="38"/>
      <c r="AA151" s="38"/>
      <c r="AB151" s="72"/>
      <c r="AC151" s="9"/>
      <c r="AD151" s="216"/>
      <c r="AE151" s="134"/>
      <c r="AG151" s="62"/>
      <c r="AH151" s="41"/>
      <c r="AI151" s="41"/>
      <c r="AJ151" s="41"/>
      <c r="AK151" s="41"/>
      <c r="AL151" s="41"/>
      <c r="AM151" s="41"/>
      <c r="AN151" s="41"/>
      <c r="AO151" s="41"/>
      <c r="AP151" s="35"/>
      <c r="AQ151" s="35"/>
      <c r="AR151" s="41"/>
      <c r="AU151" s="134"/>
      <c r="BI151" s="62"/>
      <c r="BJ151" s="41"/>
      <c r="BK151" s="41"/>
      <c r="BL151" s="41"/>
      <c r="BM151" s="41"/>
      <c r="BN151" s="41"/>
      <c r="BO151" s="41"/>
      <c r="BP151" s="41"/>
      <c r="BQ151" s="41"/>
      <c r="BR151" s="35"/>
      <c r="BS151" s="35"/>
      <c r="BT151" s="41"/>
      <c r="BW151" s="134"/>
      <c r="BY151" s="220"/>
    </row>
    <row r="152" spans="1:77" ht="15" customHeight="1">
      <c r="A152" s="141">
        <v>46138</v>
      </c>
      <c r="B152" s="142"/>
      <c r="C152" s="142"/>
      <c r="D152" s="142"/>
      <c r="E152" s="142"/>
      <c r="F152" s="142"/>
      <c r="G152" s="142"/>
      <c r="H152" s="142"/>
      <c r="I152" s="142"/>
      <c r="J152" s="143"/>
      <c r="K152" s="146"/>
      <c r="L152" s="146"/>
      <c r="M152" s="158"/>
      <c r="N152" s="158"/>
      <c r="P152" s="267">
        <f>IF('[1]2026 március'!B$26=0,
    "",
    '[1]2026 március'!B$26
)</f>
        <v>351335</v>
      </c>
      <c r="Q152" s="141">
        <v>46107</v>
      </c>
      <c r="R152" s="11"/>
      <c r="S152" s="11"/>
      <c r="T152" s="11"/>
      <c r="U152" s="11"/>
      <c r="V152" s="11"/>
      <c r="W152" s="11"/>
      <c r="X152" s="11"/>
      <c r="Y152" s="11"/>
      <c r="Z152" s="38"/>
      <c r="AA152" s="38"/>
      <c r="AB152" s="72"/>
      <c r="AC152" s="9"/>
      <c r="AD152" s="216"/>
      <c r="AE152" s="134"/>
      <c r="AG152" s="62"/>
      <c r="AH152" s="41"/>
      <c r="AI152" s="41"/>
      <c r="AJ152" s="41"/>
      <c r="AK152" s="41"/>
      <c r="AL152" s="41"/>
      <c r="AM152" s="41"/>
      <c r="AN152" s="41"/>
      <c r="AO152" s="41"/>
      <c r="AP152" s="35"/>
      <c r="AQ152" s="35"/>
      <c r="AR152" s="41"/>
      <c r="AU152" s="134"/>
      <c r="BI152" s="62"/>
      <c r="BJ152" s="41"/>
      <c r="BK152" s="41"/>
      <c r="BL152" s="41"/>
      <c r="BM152" s="41"/>
      <c r="BN152" s="41"/>
      <c r="BO152" s="41"/>
      <c r="BP152" s="41"/>
      <c r="BQ152" s="41"/>
      <c r="BR152" s="35"/>
      <c r="BS152" s="35"/>
      <c r="BT152" s="41"/>
      <c r="BW152" s="134"/>
      <c r="BY152" s="220"/>
    </row>
    <row r="153" spans="1:77" ht="15" customHeight="1">
      <c r="A153" s="141">
        <v>46139</v>
      </c>
      <c r="B153" s="11"/>
      <c r="C153" s="11"/>
      <c r="D153" s="11"/>
      <c r="E153" s="11"/>
      <c r="F153" s="11"/>
      <c r="G153" s="11"/>
      <c r="H153" s="11"/>
      <c r="I153" s="11"/>
      <c r="J153" s="38"/>
      <c r="K153" s="72"/>
      <c r="L153" s="72"/>
      <c r="M153" s="9"/>
      <c r="N153" s="9"/>
      <c r="P153" s="267">
        <f>IF('[1]2026 március'!B$27=0,
    "",
    '[1]2026 március'!B$27
)</f>
        <v>422685</v>
      </c>
      <c r="Q153" s="141">
        <v>46108</v>
      </c>
      <c r="R153" s="11"/>
      <c r="S153" s="11"/>
      <c r="T153" s="11"/>
      <c r="U153" s="11"/>
      <c r="V153" s="11"/>
      <c r="W153" s="11"/>
      <c r="X153" s="11"/>
      <c r="Y153" s="11"/>
      <c r="Z153" s="38"/>
      <c r="AA153" s="38"/>
      <c r="AB153" s="72"/>
      <c r="AC153" s="9"/>
      <c r="AD153" s="216"/>
      <c r="AE153" s="134"/>
      <c r="AG153" s="62"/>
      <c r="AH153" s="41"/>
      <c r="AI153" s="41"/>
      <c r="AJ153" s="41"/>
      <c r="AK153" s="41"/>
      <c r="AL153" s="41"/>
      <c r="AM153" s="41"/>
      <c r="AN153" s="41"/>
      <c r="AO153" s="41"/>
      <c r="AP153" s="35"/>
      <c r="AQ153" s="35"/>
      <c r="AR153" s="41"/>
      <c r="AU153" s="134"/>
      <c r="BI153" s="62"/>
      <c r="BJ153" s="41"/>
      <c r="BK153" s="41"/>
      <c r="BL153" s="41"/>
      <c r="BM153" s="41"/>
      <c r="BN153" s="41"/>
      <c r="BO153" s="41"/>
      <c r="BP153" s="41"/>
      <c r="BQ153" s="41"/>
      <c r="BR153" s="35"/>
      <c r="BS153" s="35"/>
      <c r="BT153" s="41"/>
      <c r="BW153" s="134"/>
      <c r="BY153" s="220"/>
    </row>
    <row r="154" spans="1:77" ht="15" customHeight="1">
      <c r="A154" s="141">
        <v>46140</v>
      </c>
      <c r="B154" s="11"/>
      <c r="C154" s="11"/>
      <c r="D154" s="11"/>
      <c r="E154" s="11"/>
      <c r="F154" s="11"/>
      <c r="G154" s="11"/>
      <c r="H154" s="11"/>
      <c r="I154" s="11"/>
      <c r="J154" s="38"/>
      <c r="K154" s="72"/>
      <c r="L154" s="72"/>
      <c r="M154" s="9"/>
      <c r="N154" s="9"/>
      <c r="P154" s="267">
        <f>IF('[1]2026 március'!B$28=0,
    "",
    '[1]2026 március'!B$28
)</f>
        <v>306505</v>
      </c>
      <c r="Q154" s="141">
        <v>46109</v>
      </c>
      <c r="R154" s="11"/>
      <c r="S154" s="11"/>
      <c r="T154" s="11"/>
      <c r="U154" s="11"/>
      <c r="V154" s="11"/>
      <c r="W154" s="11"/>
      <c r="X154" s="11"/>
      <c r="Y154" s="11"/>
      <c r="Z154" s="38"/>
      <c r="AA154" s="38"/>
      <c r="AB154" s="72"/>
      <c r="AC154" s="9"/>
      <c r="AD154" s="216"/>
      <c r="AE154" s="134"/>
      <c r="AG154" s="62"/>
      <c r="AH154" s="41"/>
      <c r="AI154" s="41"/>
      <c r="AJ154" s="41"/>
      <c r="AK154" s="41"/>
      <c r="AL154" s="41"/>
      <c r="AM154" s="41"/>
      <c r="AN154" s="41"/>
      <c r="AO154" s="41"/>
      <c r="AP154" s="35"/>
      <c r="AQ154" s="35"/>
      <c r="AR154" s="41"/>
      <c r="AU154" s="134"/>
      <c r="BI154" s="62"/>
      <c r="BJ154" s="41"/>
      <c r="BK154" s="41"/>
      <c r="BL154" s="41"/>
      <c r="BM154" s="41"/>
      <c r="BN154" s="41"/>
      <c r="BO154" s="41"/>
      <c r="BP154" s="41"/>
      <c r="BQ154" s="41"/>
      <c r="BR154" s="35"/>
      <c r="BS154" s="35"/>
      <c r="BT154" s="41"/>
      <c r="BW154" s="134"/>
      <c r="BY154" s="220"/>
    </row>
    <row r="155" spans="1:77" ht="15" customHeight="1">
      <c r="A155" s="141">
        <v>46141</v>
      </c>
      <c r="B155" s="11"/>
      <c r="C155" s="11"/>
      <c r="D155" s="11"/>
      <c r="E155" s="11"/>
      <c r="F155" s="11"/>
      <c r="G155" s="11"/>
      <c r="H155" s="11"/>
      <c r="I155" s="11"/>
      <c r="J155" s="38"/>
      <c r="K155" s="72"/>
      <c r="L155" s="72"/>
      <c r="M155" s="9"/>
      <c r="N155" s="9"/>
      <c r="P155" s="267" t="str">
        <f>IF('[1]2026 március'!B$29=0,
    "",
    '[1]2026 március'!B$29
)</f>
        <v/>
      </c>
      <c r="Q155" s="141">
        <v>46110</v>
      </c>
      <c r="R155" s="142"/>
      <c r="S155" s="142"/>
      <c r="T155" s="142"/>
      <c r="U155" s="142"/>
      <c r="V155" s="142"/>
      <c r="W155" s="142"/>
      <c r="X155" s="142"/>
      <c r="Y155" s="142"/>
      <c r="Z155" s="143"/>
      <c r="AA155" s="143"/>
      <c r="AB155" s="146"/>
      <c r="AC155" s="158"/>
      <c r="AD155" s="381"/>
      <c r="AE155" s="134"/>
      <c r="AG155" s="62"/>
      <c r="AH155" s="41"/>
      <c r="AI155" s="41"/>
      <c r="AJ155" s="41"/>
      <c r="AK155" s="41"/>
      <c r="AL155" s="41"/>
      <c r="AM155" s="41"/>
      <c r="AN155" s="41"/>
      <c r="AO155" s="41"/>
      <c r="AP155" s="35"/>
      <c r="AQ155" s="35"/>
      <c r="AR155" s="41"/>
      <c r="AU155" s="134"/>
      <c r="BI155" s="62"/>
      <c r="BJ155" s="41"/>
      <c r="BK155" s="41"/>
      <c r="BL155" s="41"/>
      <c r="BM155" s="41"/>
      <c r="BN155" s="41"/>
      <c r="BO155" s="41"/>
      <c r="BP155" s="41"/>
      <c r="BQ155" s="41"/>
      <c r="BR155" s="35"/>
      <c r="BS155" s="35"/>
      <c r="BT155" s="41"/>
      <c r="BW155" s="134"/>
      <c r="BY155" s="220"/>
    </row>
    <row r="156" spans="1:77" ht="15" customHeight="1">
      <c r="A156" s="141">
        <v>46142</v>
      </c>
      <c r="B156" s="11"/>
      <c r="C156" s="11"/>
      <c r="D156" s="11"/>
      <c r="E156" s="11"/>
      <c r="F156" s="11"/>
      <c r="G156" s="11"/>
      <c r="H156" s="11"/>
      <c r="I156" s="11"/>
      <c r="J156" s="38"/>
      <c r="K156" s="72"/>
      <c r="L156" s="72"/>
      <c r="M156" s="9"/>
      <c r="N156" s="9"/>
      <c r="P156" s="267" t="str">
        <f>IF('[1]2026 március'!B$30=0,
    "",
    '[1]2026 március'!B$30
)</f>
        <v/>
      </c>
      <c r="Q156" s="141">
        <v>46111</v>
      </c>
      <c r="R156" s="11"/>
      <c r="S156" s="11"/>
      <c r="T156" s="11"/>
      <c r="U156" s="11"/>
      <c r="V156" s="11"/>
      <c r="W156" s="11"/>
      <c r="X156" s="11"/>
      <c r="Y156" s="11"/>
      <c r="Z156" s="38"/>
      <c r="AA156" s="38"/>
      <c r="AB156" s="72"/>
      <c r="AC156" s="9"/>
      <c r="AD156" s="216"/>
      <c r="AE156" s="134"/>
      <c r="AG156" s="62"/>
      <c r="AH156" s="41"/>
      <c r="AI156" s="41"/>
      <c r="AJ156" s="41"/>
      <c r="AK156" s="41"/>
      <c r="AL156" s="41"/>
      <c r="AM156" s="41"/>
      <c r="AN156" s="41"/>
      <c r="AO156" s="41"/>
      <c r="AP156" s="35"/>
      <c r="AQ156" s="35"/>
      <c r="AR156" s="41"/>
      <c r="AU156" s="134"/>
      <c r="BI156" s="62"/>
      <c r="BJ156" s="41"/>
      <c r="BK156" s="41"/>
      <c r="BL156" s="41"/>
      <c r="BM156" s="41"/>
      <c r="BN156" s="41"/>
      <c r="BO156" s="41"/>
      <c r="BP156" s="41"/>
      <c r="BQ156" s="41"/>
      <c r="BR156" s="35"/>
      <c r="BS156" s="35"/>
      <c r="BT156" s="41"/>
      <c r="BW156" s="134"/>
      <c r="BY156" s="220"/>
    </row>
    <row r="157" spans="1:77" ht="15" customHeight="1">
      <c r="A157" s="141"/>
      <c r="B157" s="11"/>
      <c r="C157" s="11"/>
      <c r="D157" s="11"/>
      <c r="E157" s="11"/>
      <c r="F157" s="11"/>
      <c r="G157" s="11"/>
      <c r="H157" s="11"/>
      <c r="I157" s="11"/>
      <c r="J157" s="38"/>
      <c r="K157" s="72"/>
      <c r="L157" s="72"/>
      <c r="M157" s="9"/>
      <c r="N157" s="9"/>
      <c r="P157" s="267">
        <f>IF('[1]2026 március'!B$31=0,
    "",
    '[1]2026 március'!B$31
)</f>
        <v>337820</v>
      </c>
      <c r="Q157" s="141">
        <v>46112</v>
      </c>
      <c r="R157" s="11"/>
      <c r="S157" s="11"/>
      <c r="T157" s="11"/>
      <c r="U157" s="11"/>
      <c r="V157" s="11"/>
      <c r="W157" s="11"/>
      <c r="X157" s="11"/>
      <c r="Y157" s="11"/>
      <c r="Z157" s="38"/>
      <c r="AA157" s="38"/>
      <c r="AB157" s="72"/>
      <c r="AC157" s="9"/>
      <c r="AD157" s="216"/>
      <c r="AE157" s="134"/>
      <c r="AG157" s="62"/>
      <c r="AH157" s="41"/>
      <c r="AI157" s="41"/>
      <c r="AJ157" s="41"/>
      <c r="AK157" s="41"/>
      <c r="AL157" s="41"/>
      <c r="AM157" s="41"/>
      <c r="AN157" s="41"/>
      <c r="AO157" s="41"/>
      <c r="AP157" s="35"/>
      <c r="AQ157" s="35"/>
      <c r="AR157" s="41"/>
      <c r="AU157" s="134"/>
      <c r="BI157" s="62"/>
      <c r="BJ157" s="41"/>
      <c r="BK157" s="41"/>
      <c r="BL157" s="41"/>
      <c r="BM157" s="41"/>
      <c r="BN157" s="41"/>
      <c r="BO157" s="41"/>
      <c r="BP157" s="41"/>
      <c r="BQ157" s="41"/>
      <c r="BR157" s="35"/>
      <c r="BS157" s="35"/>
      <c r="BT157" s="41"/>
      <c r="BW157" s="134"/>
      <c r="BY157" s="220"/>
    </row>
    <row r="158" spans="1:77" ht="15" customHeight="1">
      <c r="A158" s="141"/>
      <c r="B158" s="11"/>
      <c r="C158" s="11"/>
      <c r="D158" s="11"/>
      <c r="E158" s="11"/>
      <c r="F158" s="11"/>
      <c r="G158" s="11"/>
      <c r="H158" s="11"/>
      <c r="I158" s="11"/>
      <c r="J158" s="205"/>
      <c r="K158" s="206"/>
      <c r="L158" s="206"/>
      <c r="M158" s="380"/>
      <c r="N158" s="184"/>
      <c r="P158" s="267"/>
      <c r="Q158" s="141"/>
      <c r="R158" s="11"/>
      <c r="S158" s="11"/>
      <c r="T158" s="11"/>
      <c r="U158" s="11"/>
      <c r="V158" s="11"/>
      <c r="W158" s="11"/>
      <c r="X158" s="11"/>
      <c r="Y158" s="11"/>
      <c r="Z158" s="205"/>
      <c r="AA158" s="205"/>
      <c r="AB158" s="206"/>
      <c r="AC158" s="380"/>
      <c r="AD158" s="216"/>
      <c r="AE158" s="134"/>
      <c r="AG158" s="62"/>
      <c r="AH158" s="41"/>
      <c r="AI158" s="41"/>
      <c r="AJ158" s="41"/>
      <c r="AK158" s="41"/>
      <c r="AL158" s="41"/>
      <c r="AM158" s="41"/>
      <c r="AN158" s="41"/>
      <c r="AO158" s="41"/>
      <c r="AP158" s="35"/>
      <c r="AQ158" s="35"/>
      <c r="AR158" s="41"/>
      <c r="AU158" s="134"/>
      <c r="BI158" s="62"/>
      <c r="BJ158" s="41"/>
      <c r="BK158" s="41"/>
      <c r="BL158" s="41"/>
      <c r="BM158" s="41"/>
      <c r="BN158" s="41"/>
      <c r="BO158" s="41"/>
      <c r="BP158" s="41"/>
      <c r="BQ158" s="41"/>
      <c r="BR158" s="35"/>
      <c r="BS158" s="35"/>
      <c r="BT158" s="41"/>
      <c r="BW158" s="134"/>
      <c r="BY158" s="220"/>
    </row>
    <row r="159" spans="1:77" ht="15" customHeight="1">
      <c r="A159" s="141"/>
      <c r="B159" s="11"/>
      <c r="C159" s="11"/>
      <c r="D159" s="11"/>
      <c r="E159" s="11"/>
      <c r="F159" s="11"/>
      <c r="G159" s="11"/>
      <c r="H159" s="11"/>
      <c r="I159" s="11"/>
      <c r="J159" s="205"/>
      <c r="K159" s="206"/>
      <c r="L159" s="206"/>
      <c r="M159" s="380"/>
      <c r="N159" s="184"/>
      <c r="P159" s="267">
        <f>IF('[1]2026 március'!B$32=0,
    "",
    '[1]2026 március'!B$32
)</f>
        <v>449635</v>
      </c>
      <c r="Q159" s="141"/>
      <c r="R159" s="11"/>
      <c r="S159" s="11"/>
      <c r="T159" s="11"/>
      <c r="U159" s="11"/>
      <c r="V159" s="11"/>
      <c r="W159" s="11"/>
      <c r="X159" s="11"/>
      <c r="Y159" s="11"/>
      <c r="Z159" s="205"/>
      <c r="AA159" s="205"/>
      <c r="AB159" s="206"/>
      <c r="AC159" s="380"/>
      <c r="AD159" s="216"/>
      <c r="AE159" s="134"/>
      <c r="AG159" s="62"/>
      <c r="AH159" s="41"/>
      <c r="AI159" s="41"/>
      <c r="AJ159" s="41"/>
      <c r="AK159" s="41"/>
      <c r="AL159" s="41"/>
      <c r="AM159" s="41"/>
      <c r="AN159" s="41"/>
      <c r="AO159" s="41"/>
      <c r="AP159" s="35"/>
      <c r="AQ159" s="35"/>
      <c r="AR159" s="41"/>
      <c r="AU159" s="134"/>
      <c r="BI159" s="62"/>
      <c r="BJ159" s="41"/>
      <c r="BK159" s="41"/>
      <c r="BL159" s="41"/>
      <c r="BM159" s="41"/>
      <c r="BN159" s="41"/>
      <c r="BO159" s="41"/>
      <c r="BP159" s="41"/>
      <c r="BQ159" s="41"/>
      <c r="BR159" s="35"/>
      <c r="BS159" s="35"/>
      <c r="BT159" s="41"/>
      <c r="BW159" s="134"/>
      <c r="BY159" s="220"/>
    </row>
    <row r="160" spans="1:77" ht="15" customHeight="1">
      <c r="A160" s="18" t="s">
        <v>64</v>
      </c>
      <c r="B160" s="362"/>
      <c r="C160" s="19">
        <f>SUM(C127:C159)</f>
        <v>1100</v>
      </c>
      <c r="D160" s="19">
        <f>SUM(D127:D159)</f>
        <v>207600</v>
      </c>
      <c r="E160" s="19">
        <f>SUM(E127:E159)</f>
        <v>0</v>
      </c>
      <c r="F160" s="19">
        <f>SUM(F127:F159)</f>
        <v>201485</v>
      </c>
      <c r="G160" s="20">
        <f>SUM(G127:G159)</f>
        <v>18975</v>
      </c>
      <c r="H160" s="20">
        <f>SUM(H127:H159)</f>
        <v>391210</v>
      </c>
      <c r="I160" s="39">
        <f>SUM(I127:I159)</f>
        <v>391210</v>
      </c>
      <c r="J160" s="32"/>
      <c r="K160" s="17"/>
      <c r="L160" s="252"/>
      <c r="M160" s="9"/>
      <c r="N160" s="184"/>
      <c r="P160" s="267">
        <f>IF('[1]2026 március'!B$33=0,
    "",
    '[1]2026 március'!B$33
)</f>
        <v>8018745</v>
      </c>
      <c r="Q160" s="18" t="s">
        <v>64</v>
      </c>
      <c r="R160" s="362"/>
      <c r="S160" s="19">
        <f>SUM(S127:S159)</f>
        <v>0</v>
      </c>
      <c r="T160" s="19">
        <f>SUM(T127:T159)</f>
        <v>0</v>
      </c>
      <c r="U160" s="19">
        <f>SUM(U127:U159)</f>
        <v>0</v>
      </c>
      <c r="V160" s="19">
        <f>SUM(V127:V159)</f>
        <v>0</v>
      </c>
      <c r="W160" s="20">
        <f>SUM(W127:W159)</f>
        <v>0</v>
      </c>
      <c r="X160" s="20">
        <f>SUM(X127:X159)</f>
        <v>0</v>
      </c>
      <c r="Y160" s="39">
        <f>SUM(Y127:Y159)</f>
        <v>0</v>
      </c>
      <c r="Z160" s="32"/>
      <c r="AA160" s="373"/>
      <c r="AB160" s="252"/>
      <c r="AC160" s="9"/>
      <c r="AD160" s="382"/>
      <c r="AE160" s="134"/>
      <c r="AG160" s="506"/>
      <c r="AH160" s="63"/>
      <c r="AI160" s="63"/>
      <c r="AJ160" s="63"/>
      <c r="AK160" s="63"/>
      <c r="AL160" s="63"/>
      <c r="AM160" s="63"/>
      <c r="AN160" s="63"/>
      <c r="AO160" s="63"/>
      <c r="AP160" s="507"/>
      <c r="AQ160" s="508"/>
      <c r="AR160" s="509"/>
      <c r="AU160" s="134"/>
      <c r="BI160" s="506"/>
      <c r="BJ160" s="63"/>
      <c r="BK160" s="63"/>
      <c r="BL160" s="63"/>
      <c r="BM160" s="63"/>
      <c r="BN160" s="63"/>
      <c r="BO160" s="63"/>
      <c r="BP160" s="63"/>
      <c r="BQ160" s="63"/>
      <c r="BR160" s="507"/>
      <c r="BS160" s="508"/>
      <c r="BT160" s="509"/>
      <c r="BW160" s="134"/>
      <c r="BY160" s="220"/>
    </row>
    <row r="161" spans="1:77" ht="15" customHeight="1">
      <c r="A161" s="5"/>
      <c r="B161" s="11"/>
      <c r="C161" s="29">
        <f>C160+D160+E160+F160</f>
        <v>410185</v>
      </c>
      <c r="D161" s="10"/>
      <c r="E161" s="10"/>
      <c r="F161" s="10"/>
      <c r="G161" s="47">
        <f>G160+H160</f>
        <v>410185</v>
      </c>
      <c r="H161" s="10"/>
      <c r="I161" s="10"/>
      <c r="J161" s="33"/>
      <c r="K161" s="33"/>
      <c r="L161" s="414"/>
      <c r="M161" s="9"/>
      <c r="N161" s="382"/>
      <c r="O161" s="214"/>
      <c r="P161" s="134"/>
      <c r="Q161" s="5"/>
      <c r="R161" s="11"/>
      <c r="S161" s="29">
        <f>S160+T160+U160+V160</f>
        <v>0</v>
      </c>
      <c r="T161" s="10"/>
      <c r="U161" s="10"/>
      <c r="V161" s="10"/>
      <c r="W161" s="47">
        <f>W160+X160</f>
        <v>0</v>
      </c>
      <c r="X161" s="10"/>
      <c r="Y161" s="10"/>
      <c r="Z161" s="33"/>
      <c r="AA161" s="33"/>
      <c r="AB161" s="414"/>
      <c r="AC161" s="9"/>
      <c r="AD161" s="382"/>
      <c r="AE161" s="134"/>
      <c r="AG161" s="62"/>
      <c r="AH161" s="41"/>
      <c r="AI161" s="42"/>
      <c r="AJ161" s="4"/>
      <c r="AK161" s="4"/>
      <c r="AL161" s="4"/>
      <c r="AM161" s="42"/>
      <c r="AN161" s="4"/>
      <c r="AO161" s="4"/>
      <c r="AP161" s="35"/>
      <c r="AQ161" s="35"/>
      <c r="AR161" s="253"/>
      <c r="AU161" s="134"/>
      <c r="BI161" s="62"/>
      <c r="BJ161" s="41"/>
      <c r="BK161" s="42"/>
      <c r="BL161" s="4"/>
      <c r="BM161" s="4"/>
      <c r="BN161" s="4"/>
      <c r="BO161" s="42"/>
      <c r="BP161" s="4"/>
      <c r="BQ161" s="4"/>
      <c r="BR161" s="35"/>
      <c r="BS161" s="35"/>
      <c r="BT161" s="253"/>
      <c r="BW161" s="134"/>
      <c r="BY161" s="220"/>
    </row>
    <row r="162" spans="1:77" ht="15" customHeight="1">
      <c r="A162" s="67"/>
      <c r="C162"/>
      <c r="D162"/>
      <c r="E162"/>
      <c r="F162"/>
      <c r="G162"/>
      <c r="H162"/>
      <c r="I162"/>
      <c r="J162"/>
      <c r="K162"/>
      <c r="M162" s="261"/>
      <c r="N162" s="136"/>
      <c r="O162" s="134"/>
      <c r="P162" s="134"/>
      <c r="Q162" s="67"/>
      <c r="R162" s="356"/>
      <c r="AB162" s="261"/>
      <c r="AC162" s="261"/>
      <c r="AD162" s="136"/>
      <c r="AE162" s="134"/>
      <c r="AG162" s="67"/>
      <c r="AH162" s="356"/>
      <c r="AR162" s="261"/>
      <c r="AS162" s="261"/>
      <c r="AT162" s="136"/>
      <c r="AU162" s="134"/>
      <c r="BI162" s="67"/>
      <c r="BJ162" s="356"/>
      <c r="BT162" s="261"/>
      <c r="BU162" s="261"/>
      <c r="BV162" s="136"/>
      <c r="BW162" s="134"/>
    </row>
    <row r="163" spans="1:77" ht="15" customHeight="1">
      <c r="A163" s="403" t="s">
        <v>177</v>
      </c>
      <c r="B163" s="404"/>
      <c r="C163" s="405"/>
      <c r="D163" s="405"/>
      <c r="E163" s="405"/>
      <c r="F163" s="406"/>
      <c r="G163" s="406"/>
      <c r="H163" s="406"/>
      <c r="I163" s="406"/>
      <c r="J163" s="407"/>
      <c r="K163" s="408"/>
      <c r="M163" s="261"/>
      <c r="N163" s="136"/>
      <c r="O163" s="134"/>
      <c r="P163" s="134"/>
      <c r="Q163" s="403" t="s">
        <v>177</v>
      </c>
      <c r="R163" s="404"/>
      <c r="S163" s="405"/>
      <c r="T163" s="405"/>
      <c r="U163" s="405"/>
      <c r="V163" s="406"/>
      <c r="W163" s="406"/>
      <c r="X163" s="406"/>
      <c r="Y163" s="406"/>
      <c r="Z163" s="407"/>
      <c r="AA163" s="408"/>
      <c r="AB163" s="261"/>
      <c r="AC163" s="261"/>
      <c r="AD163" s="136"/>
      <c r="AE163" s="134"/>
      <c r="AG163" s="510"/>
      <c r="AH163" s="511"/>
      <c r="AI163" s="396"/>
      <c r="AJ163" s="396"/>
      <c r="AK163" s="396"/>
      <c r="AL163" s="512"/>
      <c r="AM163" s="512"/>
      <c r="AN163" s="512"/>
      <c r="AO163" s="512"/>
      <c r="AP163" s="513"/>
      <c r="AQ163" s="514"/>
      <c r="AR163" s="261"/>
      <c r="AS163" s="261"/>
      <c r="AT163" s="136"/>
      <c r="AU163" s="134"/>
      <c r="BI163" s="510"/>
      <c r="BJ163" s="511"/>
      <c r="BK163" s="396"/>
      <c r="BL163" s="396"/>
      <c r="BM163" s="396"/>
      <c r="BN163" s="512"/>
      <c r="BO163" s="512"/>
      <c r="BP163" s="512"/>
      <c r="BQ163" s="512"/>
      <c r="BR163" s="513"/>
      <c r="BS163" s="514"/>
      <c r="BT163" s="261"/>
      <c r="BU163" s="261"/>
      <c r="BV163" s="136"/>
      <c r="BW163" s="134"/>
    </row>
    <row r="164" spans="1:77" ht="15" customHeight="1">
      <c r="A164" s="409"/>
      <c r="B164" s="402"/>
      <c r="C164" s="402"/>
      <c r="D164" s="402"/>
      <c r="E164" s="402"/>
      <c r="F164" s="402"/>
      <c r="G164" s="396"/>
      <c r="H164" s="396"/>
      <c r="I164" s="396"/>
      <c r="J164" s="396"/>
      <c r="K164" s="410"/>
      <c r="M164" s="261"/>
      <c r="N164" s="136"/>
      <c r="O164" s="134"/>
      <c r="P164" s="134"/>
      <c r="Q164" s="409"/>
      <c r="R164" s="402"/>
      <c r="S164" s="402"/>
      <c r="T164" s="402"/>
      <c r="U164" s="402"/>
      <c r="V164" s="402"/>
      <c r="W164" s="396"/>
      <c r="X164" s="396"/>
      <c r="Y164" s="396"/>
      <c r="Z164" s="396"/>
      <c r="AA164" s="410"/>
      <c r="AB164" s="261"/>
      <c r="AC164" s="261"/>
      <c r="AD164" s="136"/>
      <c r="AE164" s="134"/>
      <c r="AG164" s="402"/>
      <c r="AH164" s="402"/>
      <c r="AI164" s="402"/>
      <c r="AJ164" s="402"/>
      <c r="AK164" s="402"/>
      <c r="AL164" s="402"/>
      <c r="AM164" s="396"/>
      <c r="AN164" s="396"/>
      <c r="AO164" s="396"/>
      <c r="AP164" s="396"/>
      <c r="AQ164" s="396"/>
      <c r="AR164" s="261"/>
      <c r="AS164" s="261"/>
      <c r="AT164" s="136"/>
      <c r="AU164" s="134"/>
      <c r="BI164" s="402"/>
      <c r="BJ164" s="402"/>
      <c r="BK164" s="402"/>
      <c r="BL164" s="402"/>
      <c r="BM164" s="402"/>
      <c r="BN164" s="402"/>
      <c r="BO164" s="396"/>
      <c r="BP164" s="396"/>
      <c r="BQ164" s="396"/>
      <c r="BR164" s="396"/>
      <c r="BS164" s="396"/>
      <c r="BT164" s="261"/>
      <c r="BU164" s="261"/>
      <c r="BV164" s="136"/>
      <c r="BW164" s="134"/>
    </row>
    <row r="165" spans="1:77" ht="15" customHeight="1">
      <c r="A165" s="628"/>
      <c r="B165" s="629"/>
      <c r="C165" s="629"/>
      <c r="D165" s="629"/>
      <c r="E165" s="629"/>
      <c r="F165" s="629"/>
      <c r="G165" s="411"/>
      <c r="H165" s="411"/>
      <c r="I165" s="411"/>
      <c r="J165" s="411"/>
      <c r="K165" s="412"/>
      <c r="M165" s="261"/>
      <c r="N165" s="136"/>
      <c r="O165" s="134"/>
      <c r="P165" s="134"/>
      <c r="Q165" s="628"/>
      <c r="R165" s="629"/>
      <c r="S165" s="629"/>
      <c r="T165" s="629"/>
      <c r="U165" s="629"/>
      <c r="V165" s="629"/>
      <c r="W165" s="411"/>
      <c r="X165" s="411"/>
      <c r="Y165" s="411"/>
      <c r="Z165" s="411"/>
      <c r="AA165" s="412"/>
      <c r="AB165" s="261"/>
      <c r="AC165" s="261"/>
      <c r="AD165" s="136"/>
      <c r="AE165" s="134"/>
      <c r="AG165" s="630"/>
      <c r="AH165" s="630"/>
      <c r="AI165" s="630"/>
      <c r="AJ165" s="630"/>
      <c r="AK165" s="630"/>
      <c r="AL165" s="630"/>
      <c r="AM165" s="396"/>
      <c r="AN165" s="396"/>
      <c r="AO165" s="396"/>
      <c r="AP165" s="396"/>
      <c r="AQ165" s="396"/>
      <c r="AR165" s="261"/>
      <c r="AS165" s="261"/>
      <c r="AT165" s="136"/>
      <c r="AU165" s="134"/>
      <c r="BI165" s="630"/>
      <c r="BJ165" s="630"/>
      <c r="BK165" s="630"/>
      <c r="BL165" s="630"/>
      <c r="BM165" s="630"/>
      <c r="BN165" s="630"/>
      <c r="BO165" s="396"/>
      <c r="BP165" s="396"/>
      <c r="BQ165" s="396"/>
      <c r="BR165" s="396"/>
      <c r="BS165" s="396"/>
      <c r="BT165" s="261"/>
      <c r="BU165" s="261"/>
      <c r="BV165" s="136"/>
      <c r="BW165" s="134"/>
    </row>
  </sheetData>
  <sheetProtection formatCells="0" formatColumns="0" formatRows="0"/>
  <protectedRanges>
    <protectedRange sqref="A1 J1:K1 O1 C1:H1 Q1:IA1" name="Range2"/>
    <protectedRange sqref="I1" name="Range2_1"/>
    <protectedRange sqref="T2:AK2 T44:AK44" name="Range1_2_1_2"/>
    <protectedRange sqref="B37:B39 B43 B84 B78:B80 B125 B166:B504" name="Range1"/>
    <protectedRange sqref="B1" name="Range1_1"/>
    <protectedRange sqref="A121 N121:O124 C121:M121 BX85:BX120 BZ120:CF120 BZ85:CI119 L122:M124 BH85:BH124 AV85:BG120 P120:P124 O120 AF85:AF124 Q121 AD121:AE124 S121:AC121 AB122:AC124 AE86:AE120 AG121 AT121:BG124 AI121:AS121 AR122:AS124 AU86:AU120 BI121 BV121:CF124 BK121:BU121 BT122:BU124 BW86:BW120 A162 N162:O165 C162:M162 BX126:BX161 BZ161:CF161 BZ126:CI160 L163:M165 BH126:BH165 AV126:BG161 P161:P165 O161 AF126:AF165 Q162 AD162:AE165 S162:AC162 AB163:AC165 AE127:AE161 AG162 AT162:BG165 AI162:AS162 AR163:AS165 AU127:AU161 BI162 BV162:CF165 BK162:BU162 BT163:BU165 BW127:BW161" name="Range1_2"/>
    <protectedRange sqref="B121 R121 AH121 BJ121 B162 R162 AH162 BJ162" name="Range1_1_1"/>
  </protectedRanges>
  <mergeCells count="10">
    <mergeCell ref="A165:F165"/>
    <mergeCell ref="Q165:V165"/>
    <mergeCell ref="AG165:AL165"/>
    <mergeCell ref="BI165:BN165"/>
    <mergeCell ref="BI124:BN124"/>
    <mergeCell ref="A42:F42"/>
    <mergeCell ref="A83:F83"/>
    <mergeCell ref="A124:F124"/>
    <mergeCell ref="Q124:V124"/>
    <mergeCell ref="AG124:AL124"/>
  </mergeCells>
  <conditionalFormatting sqref="L40:AN42 O1 F40:K40 A1:A39 AL2:AN35 C2:O35 C1:L1 C43:AN43 Q1:AN1 C84:AN84 AL44:AN83 A84 L81:AK83 C44:O76 C77:AK80 A43:A80 C36:AN39 F81:K81 A125 C125:AN125 C166:AN19560 A166:A19560">
    <cfRule type="containsText" dxfId="1211" priority="183" stopIfTrue="1" operator="containsText" text="ELTÉRÉS!">
      <formula>NOT(ISERROR(SEARCH("ELTÉRÉS!",A1)))</formula>
    </cfRule>
    <cfRule type="containsText" dxfId="1210" priority="184" stopIfTrue="1" operator="containsText" text="STIMMEL!">
      <formula>NOT(ISERROR(SEARCH("STIMMEL!",A1)))</formula>
    </cfRule>
  </conditionalFormatting>
  <conditionalFormatting sqref="L40:AN42 O1 F40:K40 A1:A39 AL2:AN35 C2:O35 C1:L1 C43:AN43 Q1:AN1 C84:AN84 AL44:AN83 A84 L81:AK83 C44:O76 C77:AK80 A43:A80 C36:AN39 F81:K81 A125 C125:AN125 C166:AN560 A166:A560">
    <cfRule type="cellIs" dxfId="1209" priority="182" operator="equal">
      <formula>0.01</formula>
    </cfRule>
  </conditionalFormatting>
  <conditionalFormatting sqref="A40">
    <cfRule type="containsText" dxfId="1208" priority="179" stopIfTrue="1" operator="containsText" text="ELTÉRÉS!">
      <formula>NOT(ISERROR(SEARCH("ELTÉRÉS!",A40)))</formula>
    </cfRule>
    <cfRule type="containsText" dxfId="1207" priority="180" stopIfTrue="1" operator="containsText" text="STIMMEL!">
      <formula>NOT(ISERROR(SEARCH("STIMMEL!",A40)))</formula>
    </cfRule>
  </conditionalFormatting>
  <conditionalFormatting sqref="A40">
    <cfRule type="cellIs" dxfId="1206" priority="178" operator="equal">
      <formula>0.01</formula>
    </cfRule>
  </conditionalFormatting>
  <conditionalFormatting sqref="B2:B34">
    <cfRule type="containsText" dxfId="1205" priority="176" stopIfTrue="1" operator="containsText" text="ELTÉRÉS!">
      <formula>NOT(ISERROR(SEARCH("ELTÉRÉS!",B2)))</formula>
    </cfRule>
    <cfRule type="containsText" dxfId="1204" priority="177" stopIfTrue="1" operator="containsText" text="STIMMEL!">
      <formula>NOT(ISERROR(SEARCH("STIMMEL!",B2)))</formula>
    </cfRule>
  </conditionalFormatting>
  <conditionalFormatting sqref="B2:B34">
    <cfRule type="cellIs" dxfId="1203" priority="175" operator="equal">
      <formula>0.01</formula>
    </cfRule>
  </conditionalFormatting>
  <conditionalFormatting sqref="B40">
    <cfRule type="containsText" dxfId="1202" priority="173" stopIfTrue="1" operator="containsText" text="ELTÉRÉS!">
      <formula>NOT(ISERROR(SEARCH("ELTÉRÉS!",B40)))</formula>
    </cfRule>
    <cfRule type="containsText" dxfId="1201" priority="174" stopIfTrue="1" operator="containsText" text="STIMMEL!">
      <formula>NOT(ISERROR(SEARCH("STIMMEL!",B40)))</formula>
    </cfRule>
  </conditionalFormatting>
  <conditionalFormatting sqref="B40">
    <cfRule type="cellIs" dxfId="1200" priority="172" operator="equal">
      <formula>0.01</formula>
    </cfRule>
  </conditionalFormatting>
  <conditionalFormatting sqref="B44:B75">
    <cfRule type="containsText" dxfId="1199" priority="167" stopIfTrue="1" operator="containsText" text="ELTÉRÉS!">
      <formula>NOT(ISERROR(SEARCH("ELTÉRÉS!",B44)))</formula>
    </cfRule>
    <cfRule type="containsText" dxfId="1198" priority="168" stopIfTrue="1" operator="containsText" text="STIMMEL!">
      <formula>NOT(ISERROR(SEARCH("STIMMEL!",B44)))</formula>
    </cfRule>
  </conditionalFormatting>
  <conditionalFormatting sqref="B44:B75">
    <cfRule type="cellIs" dxfId="1197" priority="166" operator="equal">
      <formula>0.01</formula>
    </cfRule>
  </conditionalFormatting>
  <conditionalFormatting sqref="A81">
    <cfRule type="containsText" dxfId="1196" priority="161" stopIfTrue="1" operator="containsText" text="ELTÉRÉS!">
      <formula>NOT(ISERROR(SEARCH("ELTÉRÉS!",A81)))</formula>
    </cfRule>
    <cfRule type="containsText" dxfId="1195" priority="162" stopIfTrue="1" operator="containsText" text="STIMMEL!">
      <formula>NOT(ISERROR(SEARCH("STIMMEL!",A81)))</formula>
    </cfRule>
  </conditionalFormatting>
  <conditionalFormatting sqref="A81">
    <cfRule type="cellIs" dxfId="1194" priority="160" operator="equal">
      <formula>0.01</formula>
    </cfRule>
  </conditionalFormatting>
  <conditionalFormatting sqref="B81">
    <cfRule type="containsText" dxfId="1193" priority="158" stopIfTrue="1" operator="containsText" text="ELTÉRÉS!">
      <formula>NOT(ISERROR(SEARCH("ELTÉRÉS!",B81)))</formula>
    </cfRule>
    <cfRule type="containsText" dxfId="1192" priority="159" stopIfTrue="1" operator="containsText" text="STIMMEL!">
      <formula>NOT(ISERROR(SEARCH("STIMMEL!",B81)))</formula>
    </cfRule>
  </conditionalFormatting>
  <conditionalFormatting sqref="B81">
    <cfRule type="cellIs" dxfId="1191" priority="157" operator="equal">
      <formula>0.01</formula>
    </cfRule>
  </conditionalFormatting>
  <conditionalFormatting sqref="B85:B118 A85:A120 C120:N120 C85:M119">
    <cfRule type="containsText" dxfId="1190" priority="155" stopIfTrue="1" operator="containsText" text="ELTÉRÉS!">
      <formula>NOT(ISERROR(SEARCH("ELTÉRÉS!",A85)))</formula>
    </cfRule>
    <cfRule type="containsText" dxfId="1189" priority="156" stopIfTrue="1" operator="containsText" text="STIMMEL!">
      <formula>NOT(ISERROR(SEARCH("STIMMEL!",A85)))</formula>
    </cfRule>
  </conditionalFormatting>
  <conditionalFormatting sqref="B85:B118 A85:A120 C120:N120 C85:M119">
    <cfRule type="cellIs" dxfId="1188" priority="154" operator="equal">
      <formula>0.01</formula>
    </cfRule>
  </conditionalFormatting>
  <conditionalFormatting sqref="S85:AD85 Q85">
    <cfRule type="containsText" dxfId="1187" priority="152" stopIfTrue="1" operator="containsText" text="ELTÉRÉS!">
      <formula>NOT(ISERROR(SEARCH("ELTÉRÉS!",Q85)))</formula>
    </cfRule>
    <cfRule type="containsText" dxfId="1186" priority="153" stopIfTrue="1" operator="containsText" text="STIMMEL!">
      <formula>NOT(ISERROR(SEARCH("STIMMEL!",Q85)))</formula>
    </cfRule>
  </conditionalFormatting>
  <conditionalFormatting sqref="S85:AD85 Q85">
    <cfRule type="cellIs" dxfId="1185" priority="151" operator="equal">
      <formula>0.01</formula>
    </cfRule>
  </conditionalFormatting>
  <conditionalFormatting sqref="R85">
    <cfRule type="containsText" dxfId="1184" priority="149" stopIfTrue="1" operator="containsText" text="ELTÉRÉS!">
      <formula>NOT(ISERROR(SEARCH("ELTÉRÉS!",R85)))</formula>
    </cfRule>
    <cfRule type="containsText" dxfId="1183" priority="150" stopIfTrue="1" operator="containsText" text="STIMMEL!">
      <formula>NOT(ISERROR(SEARCH("STIMMEL!",R85)))</formula>
    </cfRule>
  </conditionalFormatting>
  <conditionalFormatting sqref="R85">
    <cfRule type="cellIs" dxfId="1182" priority="148" operator="equal">
      <formula>0.01</formula>
    </cfRule>
  </conditionalFormatting>
  <conditionalFormatting sqref="AE85">
    <cfRule type="containsText" dxfId="1181" priority="146" stopIfTrue="1" operator="containsText" text="ELTÉRÉS!">
      <formula>NOT(ISERROR(SEARCH("ELTÉRÉS!",AE85)))</formula>
    </cfRule>
    <cfRule type="containsText" dxfId="1180" priority="147" stopIfTrue="1" operator="containsText" text="STIMMEL!">
      <formula>NOT(ISERROR(SEARCH("STIMMEL!",AE85)))</formula>
    </cfRule>
  </conditionalFormatting>
  <conditionalFormatting sqref="AE85">
    <cfRule type="cellIs" dxfId="1179" priority="145" operator="equal">
      <formula>0.01</formula>
    </cfRule>
  </conditionalFormatting>
  <conditionalFormatting sqref="F122:K122">
    <cfRule type="containsText" dxfId="1178" priority="143" stopIfTrue="1" operator="containsText" text="ELTÉRÉS!">
      <formula>NOT(ISERROR(SEARCH("ELTÉRÉS!",F122)))</formula>
    </cfRule>
    <cfRule type="containsText" dxfId="1177" priority="144" stopIfTrue="1" operator="containsText" text="STIMMEL!">
      <formula>NOT(ISERROR(SEARCH("STIMMEL!",F122)))</formula>
    </cfRule>
  </conditionalFormatting>
  <conditionalFormatting sqref="F122:K122">
    <cfRule type="cellIs" dxfId="1176" priority="142" operator="equal">
      <formula>0.01</formula>
    </cfRule>
  </conditionalFormatting>
  <conditionalFormatting sqref="A122">
    <cfRule type="containsText" dxfId="1175" priority="140" stopIfTrue="1" operator="containsText" text="ELTÉRÉS!">
      <formula>NOT(ISERROR(SEARCH("ELTÉRÉS!",A122)))</formula>
    </cfRule>
    <cfRule type="containsText" dxfId="1174" priority="141" stopIfTrue="1" operator="containsText" text="STIMMEL!">
      <formula>NOT(ISERROR(SEARCH("STIMMEL!",A122)))</formula>
    </cfRule>
  </conditionalFormatting>
  <conditionalFormatting sqref="A122">
    <cfRule type="cellIs" dxfId="1173" priority="139" operator="equal">
      <formula>0.01</formula>
    </cfRule>
  </conditionalFormatting>
  <conditionalFormatting sqref="B122">
    <cfRule type="containsText" dxfId="1172" priority="137" stopIfTrue="1" operator="containsText" text="ELTÉRÉS!">
      <formula>NOT(ISERROR(SEARCH("ELTÉRÉS!",B122)))</formula>
    </cfRule>
    <cfRule type="containsText" dxfId="1171" priority="138" stopIfTrue="1" operator="containsText" text="STIMMEL!">
      <formula>NOT(ISERROR(SEARCH("STIMMEL!",B122)))</formula>
    </cfRule>
  </conditionalFormatting>
  <conditionalFormatting sqref="B122">
    <cfRule type="cellIs" dxfId="1170" priority="136" operator="equal">
      <formula>0.01</formula>
    </cfRule>
  </conditionalFormatting>
  <conditionalFormatting sqref="R86:R118 Q86:Q120 S86:AD120">
    <cfRule type="containsText" dxfId="1169" priority="134" stopIfTrue="1" operator="containsText" text="ELTÉRÉS!">
      <formula>NOT(ISERROR(SEARCH("ELTÉRÉS!",Q86)))</formula>
    </cfRule>
    <cfRule type="containsText" dxfId="1168" priority="135" stopIfTrue="1" operator="containsText" text="STIMMEL!">
      <formula>NOT(ISERROR(SEARCH("STIMMEL!",Q86)))</formula>
    </cfRule>
  </conditionalFormatting>
  <conditionalFormatting sqref="R86:R118 Q86:Q120 S86:AD120">
    <cfRule type="cellIs" dxfId="1167" priority="133" operator="equal">
      <formula>0.01</formula>
    </cfRule>
  </conditionalFormatting>
  <conditionalFormatting sqref="V122:AA122">
    <cfRule type="containsText" dxfId="1166" priority="131" stopIfTrue="1" operator="containsText" text="ELTÉRÉS!">
      <formula>NOT(ISERROR(SEARCH("ELTÉRÉS!",V122)))</formula>
    </cfRule>
    <cfRule type="containsText" dxfId="1165" priority="132" stopIfTrue="1" operator="containsText" text="STIMMEL!">
      <formula>NOT(ISERROR(SEARCH("STIMMEL!",V122)))</formula>
    </cfRule>
  </conditionalFormatting>
  <conditionalFormatting sqref="V122:AA122">
    <cfRule type="cellIs" dxfId="1164" priority="130" operator="equal">
      <formula>0.01</formula>
    </cfRule>
  </conditionalFormatting>
  <conditionalFormatting sqref="Q122">
    <cfRule type="containsText" dxfId="1163" priority="128" stopIfTrue="1" operator="containsText" text="ELTÉRÉS!">
      <formula>NOT(ISERROR(SEARCH("ELTÉRÉS!",Q122)))</formula>
    </cfRule>
    <cfRule type="containsText" dxfId="1162" priority="129" stopIfTrue="1" operator="containsText" text="STIMMEL!">
      <formula>NOT(ISERROR(SEARCH("STIMMEL!",Q122)))</formula>
    </cfRule>
  </conditionalFormatting>
  <conditionalFormatting sqref="Q122">
    <cfRule type="cellIs" dxfId="1161" priority="127" operator="equal">
      <formula>0.01</formula>
    </cfRule>
  </conditionalFormatting>
  <conditionalFormatting sqref="R122">
    <cfRule type="containsText" dxfId="1160" priority="125" stopIfTrue="1" operator="containsText" text="ELTÉRÉS!">
      <formula>NOT(ISERROR(SEARCH("ELTÉRÉS!",R122)))</formula>
    </cfRule>
    <cfRule type="containsText" dxfId="1159" priority="126" stopIfTrue="1" operator="containsText" text="STIMMEL!">
      <formula>NOT(ISERROR(SEARCH("STIMMEL!",R122)))</formula>
    </cfRule>
  </conditionalFormatting>
  <conditionalFormatting sqref="R122">
    <cfRule type="cellIs" dxfId="1158" priority="124" operator="equal">
      <formula>0.01</formula>
    </cfRule>
  </conditionalFormatting>
  <conditionalFormatting sqref="AI85:AT85 AG85">
    <cfRule type="containsText" dxfId="1157" priority="122" stopIfTrue="1" operator="containsText" text="ELTÉRÉS!">
      <formula>NOT(ISERROR(SEARCH("ELTÉRÉS!",AG85)))</formula>
    </cfRule>
    <cfRule type="containsText" dxfId="1156" priority="123" stopIfTrue="1" operator="containsText" text="STIMMEL!">
      <formula>NOT(ISERROR(SEARCH("STIMMEL!",AG85)))</formula>
    </cfRule>
  </conditionalFormatting>
  <conditionalFormatting sqref="AI85:AT85 AG85">
    <cfRule type="cellIs" dxfId="1155" priority="121" operator="equal">
      <formula>0.01</formula>
    </cfRule>
  </conditionalFormatting>
  <conditionalFormatting sqref="AH85">
    <cfRule type="containsText" dxfId="1154" priority="119" stopIfTrue="1" operator="containsText" text="ELTÉRÉS!">
      <formula>NOT(ISERROR(SEARCH("ELTÉRÉS!",AH85)))</formula>
    </cfRule>
    <cfRule type="containsText" dxfId="1153" priority="120" stopIfTrue="1" operator="containsText" text="STIMMEL!">
      <formula>NOT(ISERROR(SEARCH("STIMMEL!",AH85)))</formula>
    </cfRule>
  </conditionalFormatting>
  <conditionalFormatting sqref="AH85">
    <cfRule type="cellIs" dxfId="1152" priority="118" operator="equal">
      <formula>0.01</formula>
    </cfRule>
  </conditionalFormatting>
  <conditionalFormatting sqref="AU85">
    <cfRule type="containsText" dxfId="1151" priority="116" stopIfTrue="1" operator="containsText" text="ELTÉRÉS!">
      <formula>NOT(ISERROR(SEARCH("ELTÉRÉS!",AU85)))</formula>
    </cfRule>
    <cfRule type="containsText" dxfId="1150" priority="117" stopIfTrue="1" operator="containsText" text="STIMMEL!">
      <formula>NOT(ISERROR(SEARCH("STIMMEL!",AU85)))</formula>
    </cfRule>
  </conditionalFormatting>
  <conditionalFormatting sqref="AU85">
    <cfRule type="cellIs" dxfId="1149" priority="115" operator="equal">
      <formula>0.01</formula>
    </cfRule>
  </conditionalFormatting>
  <conditionalFormatting sqref="AH86:AH118 AG86:AG120 AI86:AT120">
    <cfRule type="containsText" dxfId="1148" priority="113" stopIfTrue="1" operator="containsText" text="ELTÉRÉS!">
      <formula>NOT(ISERROR(SEARCH("ELTÉRÉS!",AG86)))</formula>
    </cfRule>
    <cfRule type="containsText" dxfId="1147" priority="114" stopIfTrue="1" operator="containsText" text="STIMMEL!">
      <formula>NOT(ISERROR(SEARCH("STIMMEL!",AG86)))</formula>
    </cfRule>
  </conditionalFormatting>
  <conditionalFormatting sqref="AH86:AH118 AG86:AG120 AI86:AT120">
    <cfRule type="cellIs" dxfId="1146" priority="112" operator="equal">
      <formula>0.01</formula>
    </cfRule>
  </conditionalFormatting>
  <conditionalFormatting sqref="AL122:AQ122">
    <cfRule type="containsText" dxfId="1145" priority="110" stopIfTrue="1" operator="containsText" text="ELTÉRÉS!">
      <formula>NOT(ISERROR(SEARCH("ELTÉRÉS!",AL122)))</formula>
    </cfRule>
    <cfRule type="containsText" dxfId="1144" priority="111" stopIfTrue="1" operator="containsText" text="STIMMEL!">
      <formula>NOT(ISERROR(SEARCH("STIMMEL!",AL122)))</formula>
    </cfRule>
  </conditionalFormatting>
  <conditionalFormatting sqref="AL122:AQ122">
    <cfRule type="cellIs" dxfId="1143" priority="109" operator="equal">
      <formula>0.01</formula>
    </cfRule>
  </conditionalFormatting>
  <conditionalFormatting sqref="AG122">
    <cfRule type="containsText" dxfId="1142" priority="107" stopIfTrue="1" operator="containsText" text="ELTÉRÉS!">
      <formula>NOT(ISERROR(SEARCH("ELTÉRÉS!",AG122)))</formula>
    </cfRule>
    <cfRule type="containsText" dxfId="1141" priority="108" stopIfTrue="1" operator="containsText" text="STIMMEL!">
      <formula>NOT(ISERROR(SEARCH("STIMMEL!",AG122)))</formula>
    </cfRule>
  </conditionalFormatting>
  <conditionalFormatting sqref="AG122">
    <cfRule type="cellIs" dxfId="1140" priority="106" operator="equal">
      <formula>0.01</formula>
    </cfRule>
  </conditionalFormatting>
  <conditionalFormatting sqref="AH122">
    <cfRule type="containsText" dxfId="1139" priority="104" stopIfTrue="1" operator="containsText" text="ELTÉRÉS!">
      <formula>NOT(ISERROR(SEARCH("ELTÉRÉS!",AH122)))</formula>
    </cfRule>
    <cfRule type="containsText" dxfId="1138" priority="105" stopIfTrue="1" operator="containsText" text="STIMMEL!">
      <formula>NOT(ISERROR(SEARCH("STIMMEL!",AH122)))</formula>
    </cfRule>
  </conditionalFormatting>
  <conditionalFormatting sqref="AH122">
    <cfRule type="cellIs" dxfId="1137" priority="103" operator="equal">
      <formula>0.01</formula>
    </cfRule>
  </conditionalFormatting>
  <conditionalFormatting sqref="BK85:BV85 BI85">
    <cfRule type="containsText" dxfId="1136" priority="101" stopIfTrue="1" operator="containsText" text="ELTÉRÉS!">
      <formula>NOT(ISERROR(SEARCH("ELTÉRÉS!",BI85)))</formula>
    </cfRule>
    <cfRule type="containsText" dxfId="1135" priority="102" stopIfTrue="1" operator="containsText" text="STIMMEL!">
      <formula>NOT(ISERROR(SEARCH("STIMMEL!",BI85)))</formula>
    </cfRule>
  </conditionalFormatting>
  <conditionalFormatting sqref="BK85:BV85 BI85">
    <cfRule type="cellIs" dxfId="1134" priority="100" operator="equal">
      <formula>0.01</formula>
    </cfRule>
  </conditionalFormatting>
  <conditionalFormatting sqref="BJ85">
    <cfRule type="containsText" dxfId="1133" priority="98" stopIfTrue="1" operator="containsText" text="ELTÉRÉS!">
      <formula>NOT(ISERROR(SEARCH("ELTÉRÉS!",BJ85)))</formula>
    </cfRule>
    <cfRule type="containsText" dxfId="1132" priority="99" stopIfTrue="1" operator="containsText" text="STIMMEL!">
      <formula>NOT(ISERROR(SEARCH("STIMMEL!",BJ85)))</formula>
    </cfRule>
  </conditionalFormatting>
  <conditionalFormatting sqref="BJ85">
    <cfRule type="cellIs" dxfId="1131" priority="97" operator="equal">
      <formula>0.01</formula>
    </cfRule>
  </conditionalFormatting>
  <conditionalFormatting sqref="BW85">
    <cfRule type="containsText" dxfId="1130" priority="95" stopIfTrue="1" operator="containsText" text="ELTÉRÉS!">
      <formula>NOT(ISERROR(SEARCH("ELTÉRÉS!",BW85)))</formula>
    </cfRule>
    <cfRule type="containsText" dxfId="1129" priority="96" stopIfTrue="1" operator="containsText" text="STIMMEL!">
      <formula>NOT(ISERROR(SEARCH("STIMMEL!",BW85)))</formula>
    </cfRule>
  </conditionalFormatting>
  <conditionalFormatting sqref="BW85">
    <cfRule type="cellIs" dxfId="1128" priority="94" operator="equal">
      <formula>0.01</formula>
    </cfRule>
  </conditionalFormatting>
  <conditionalFormatting sqref="BJ86:BJ118 BI86:BI120 BK86:BV120">
    <cfRule type="containsText" dxfId="1127" priority="92" stopIfTrue="1" operator="containsText" text="ELTÉRÉS!">
      <formula>NOT(ISERROR(SEARCH("ELTÉRÉS!",BI86)))</formula>
    </cfRule>
    <cfRule type="containsText" dxfId="1126" priority="93" stopIfTrue="1" operator="containsText" text="STIMMEL!">
      <formula>NOT(ISERROR(SEARCH("STIMMEL!",BI86)))</formula>
    </cfRule>
  </conditionalFormatting>
  <conditionalFormatting sqref="BJ86:BJ118 BI86:BI120 BK86:BV120">
    <cfRule type="cellIs" dxfId="1125" priority="91" operator="equal">
      <formula>0.01</formula>
    </cfRule>
  </conditionalFormatting>
  <conditionalFormatting sqref="BN122:BS122">
    <cfRule type="containsText" dxfId="1124" priority="89" stopIfTrue="1" operator="containsText" text="ELTÉRÉS!">
      <formula>NOT(ISERROR(SEARCH("ELTÉRÉS!",BN122)))</formula>
    </cfRule>
    <cfRule type="containsText" dxfId="1123" priority="90" stopIfTrue="1" operator="containsText" text="STIMMEL!">
      <formula>NOT(ISERROR(SEARCH("STIMMEL!",BN122)))</formula>
    </cfRule>
  </conditionalFormatting>
  <conditionalFormatting sqref="BN122:BS122">
    <cfRule type="cellIs" dxfId="1122" priority="88" operator="equal">
      <formula>0.01</formula>
    </cfRule>
  </conditionalFormatting>
  <conditionalFormatting sqref="BI122">
    <cfRule type="containsText" dxfId="1121" priority="86" stopIfTrue="1" operator="containsText" text="ELTÉRÉS!">
      <formula>NOT(ISERROR(SEARCH("ELTÉRÉS!",BI122)))</formula>
    </cfRule>
    <cfRule type="containsText" dxfId="1120" priority="87" stopIfTrue="1" operator="containsText" text="STIMMEL!">
      <formula>NOT(ISERROR(SEARCH("STIMMEL!",BI122)))</formula>
    </cfRule>
  </conditionalFormatting>
  <conditionalFormatting sqref="BI122">
    <cfRule type="cellIs" dxfId="1119" priority="85" operator="equal">
      <formula>0.01</formula>
    </cfRule>
  </conditionalFormatting>
  <conditionalFormatting sqref="BJ122">
    <cfRule type="containsText" dxfId="1118" priority="83" stopIfTrue="1" operator="containsText" text="ELTÉRÉS!">
      <formula>NOT(ISERROR(SEARCH("ELTÉRÉS!",BJ122)))</formula>
    </cfRule>
    <cfRule type="containsText" dxfId="1117" priority="84" stopIfTrue="1" operator="containsText" text="STIMMEL!">
      <formula>NOT(ISERROR(SEARCH("STIMMEL!",BJ122)))</formula>
    </cfRule>
  </conditionalFormatting>
  <conditionalFormatting sqref="BJ122">
    <cfRule type="cellIs" dxfId="1116" priority="82" operator="equal">
      <formula>0.01</formula>
    </cfRule>
  </conditionalFormatting>
  <conditionalFormatting sqref="N85:O118 N119:P119">
    <cfRule type="containsText" dxfId="1115" priority="80" stopIfTrue="1" operator="containsText" text="ELTÉRÉS!">
      <formula>NOT(ISERROR(SEARCH("ELTÉRÉS!",N85)))</formula>
    </cfRule>
    <cfRule type="containsText" dxfId="1114" priority="81" stopIfTrue="1" operator="containsText" text="STIMMEL!">
      <formula>NOT(ISERROR(SEARCH("STIMMEL!",N85)))</formula>
    </cfRule>
  </conditionalFormatting>
  <conditionalFormatting sqref="N85:O118 N119:P119">
    <cfRule type="cellIs" dxfId="1113" priority="79" operator="equal">
      <formula>0.01</formula>
    </cfRule>
  </conditionalFormatting>
  <conditionalFormatting sqref="B126:B159 C161:N161 C126:M160 A126:A161">
    <cfRule type="containsText" dxfId="1112" priority="77" stopIfTrue="1" operator="containsText" text="ELTÉRÉS!">
      <formula>NOT(ISERROR(SEARCH("ELTÉRÉS!",A126)))</formula>
    </cfRule>
    <cfRule type="containsText" dxfId="1111" priority="78" stopIfTrue="1" operator="containsText" text="STIMMEL!">
      <formula>NOT(ISERROR(SEARCH("STIMMEL!",A126)))</formula>
    </cfRule>
  </conditionalFormatting>
  <conditionalFormatting sqref="B126:B159 C161:N161 C126:M160 A126:A161">
    <cfRule type="cellIs" dxfId="1110" priority="76" operator="equal">
      <formula>0.01</formula>
    </cfRule>
  </conditionalFormatting>
  <conditionalFormatting sqref="S126:AD126 Q126">
    <cfRule type="containsText" dxfId="1109" priority="74" stopIfTrue="1" operator="containsText" text="ELTÉRÉS!">
      <formula>NOT(ISERROR(SEARCH("ELTÉRÉS!",Q126)))</formula>
    </cfRule>
    <cfRule type="containsText" dxfId="1108" priority="75" stopIfTrue="1" operator="containsText" text="STIMMEL!">
      <formula>NOT(ISERROR(SEARCH("STIMMEL!",Q126)))</formula>
    </cfRule>
  </conditionalFormatting>
  <conditionalFormatting sqref="S126:AD126 Q126">
    <cfRule type="cellIs" dxfId="1107" priority="73" operator="equal">
      <formula>0.01</formula>
    </cfRule>
  </conditionalFormatting>
  <conditionalFormatting sqref="R126">
    <cfRule type="containsText" dxfId="1106" priority="71" stopIfTrue="1" operator="containsText" text="ELTÉRÉS!">
      <formula>NOT(ISERROR(SEARCH("ELTÉRÉS!",R126)))</formula>
    </cfRule>
    <cfRule type="containsText" dxfId="1105" priority="72" stopIfTrue="1" operator="containsText" text="STIMMEL!">
      <formula>NOT(ISERROR(SEARCH("STIMMEL!",R126)))</formula>
    </cfRule>
  </conditionalFormatting>
  <conditionalFormatting sqref="R126">
    <cfRule type="cellIs" dxfId="1104" priority="70" operator="equal">
      <formula>0.01</formula>
    </cfRule>
  </conditionalFormatting>
  <conditionalFormatting sqref="AE126">
    <cfRule type="containsText" dxfId="1103" priority="68" stopIfTrue="1" operator="containsText" text="ELTÉRÉS!">
      <formula>NOT(ISERROR(SEARCH("ELTÉRÉS!",AE126)))</formula>
    </cfRule>
    <cfRule type="containsText" dxfId="1102" priority="69" stopIfTrue="1" operator="containsText" text="STIMMEL!">
      <formula>NOT(ISERROR(SEARCH("STIMMEL!",AE126)))</formula>
    </cfRule>
  </conditionalFormatting>
  <conditionalFormatting sqref="AE126">
    <cfRule type="cellIs" dxfId="1101" priority="67" operator="equal">
      <formula>0.01</formula>
    </cfRule>
  </conditionalFormatting>
  <conditionalFormatting sqref="F163:K163">
    <cfRule type="containsText" dxfId="1100" priority="65" stopIfTrue="1" operator="containsText" text="ELTÉRÉS!">
      <formula>NOT(ISERROR(SEARCH("ELTÉRÉS!",F163)))</formula>
    </cfRule>
    <cfRule type="containsText" dxfId="1099" priority="66" stopIfTrue="1" operator="containsText" text="STIMMEL!">
      <formula>NOT(ISERROR(SEARCH("STIMMEL!",F163)))</formula>
    </cfRule>
  </conditionalFormatting>
  <conditionalFormatting sqref="F163:K163">
    <cfRule type="cellIs" dxfId="1098" priority="64" operator="equal">
      <formula>0.01</formula>
    </cfRule>
  </conditionalFormatting>
  <conditionalFormatting sqref="A163">
    <cfRule type="containsText" dxfId="1097" priority="62" stopIfTrue="1" operator="containsText" text="ELTÉRÉS!">
      <formula>NOT(ISERROR(SEARCH("ELTÉRÉS!",A163)))</formula>
    </cfRule>
    <cfRule type="containsText" dxfId="1096" priority="63" stopIfTrue="1" operator="containsText" text="STIMMEL!">
      <formula>NOT(ISERROR(SEARCH("STIMMEL!",A163)))</formula>
    </cfRule>
  </conditionalFormatting>
  <conditionalFormatting sqref="A163">
    <cfRule type="cellIs" dxfId="1095" priority="61" operator="equal">
      <formula>0.01</formula>
    </cfRule>
  </conditionalFormatting>
  <conditionalFormatting sqref="B163">
    <cfRule type="containsText" dxfId="1094" priority="59" stopIfTrue="1" operator="containsText" text="ELTÉRÉS!">
      <formula>NOT(ISERROR(SEARCH("ELTÉRÉS!",B163)))</formula>
    </cfRule>
    <cfRule type="containsText" dxfId="1093" priority="60" stopIfTrue="1" operator="containsText" text="STIMMEL!">
      <formula>NOT(ISERROR(SEARCH("STIMMEL!",B163)))</formula>
    </cfRule>
  </conditionalFormatting>
  <conditionalFormatting sqref="B163">
    <cfRule type="cellIs" dxfId="1092" priority="58" operator="equal">
      <formula>0.01</formula>
    </cfRule>
  </conditionalFormatting>
  <conditionalFormatting sqref="R127:R159 Q127:Q161 S127:AD161">
    <cfRule type="containsText" dxfId="1091" priority="56" stopIfTrue="1" operator="containsText" text="ELTÉRÉS!">
      <formula>NOT(ISERROR(SEARCH("ELTÉRÉS!",Q127)))</formula>
    </cfRule>
    <cfRule type="containsText" dxfId="1090" priority="57" stopIfTrue="1" operator="containsText" text="STIMMEL!">
      <formula>NOT(ISERROR(SEARCH("STIMMEL!",Q127)))</formula>
    </cfRule>
  </conditionalFormatting>
  <conditionalFormatting sqref="R127:R159 Q127:Q161 S127:AD161">
    <cfRule type="cellIs" dxfId="1089" priority="55" operator="equal">
      <formula>0.01</formula>
    </cfRule>
  </conditionalFormatting>
  <conditionalFormatting sqref="V163:AA163">
    <cfRule type="containsText" dxfId="1088" priority="53" stopIfTrue="1" operator="containsText" text="ELTÉRÉS!">
      <formula>NOT(ISERROR(SEARCH("ELTÉRÉS!",V163)))</formula>
    </cfRule>
    <cfRule type="containsText" dxfId="1087" priority="54" stopIfTrue="1" operator="containsText" text="STIMMEL!">
      <formula>NOT(ISERROR(SEARCH("STIMMEL!",V163)))</formula>
    </cfRule>
  </conditionalFormatting>
  <conditionalFormatting sqref="V163:AA163">
    <cfRule type="cellIs" dxfId="1086" priority="52" operator="equal">
      <formula>0.01</formula>
    </cfRule>
  </conditionalFormatting>
  <conditionalFormatting sqref="Q163">
    <cfRule type="containsText" dxfId="1085" priority="50" stopIfTrue="1" operator="containsText" text="ELTÉRÉS!">
      <formula>NOT(ISERROR(SEARCH("ELTÉRÉS!",Q163)))</formula>
    </cfRule>
    <cfRule type="containsText" dxfId="1084" priority="51" stopIfTrue="1" operator="containsText" text="STIMMEL!">
      <formula>NOT(ISERROR(SEARCH("STIMMEL!",Q163)))</formula>
    </cfRule>
  </conditionalFormatting>
  <conditionalFormatting sqref="Q163">
    <cfRule type="cellIs" dxfId="1083" priority="49" operator="equal">
      <formula>0.01</formula>
    </cfRule>
  </conditionalFormatting>
  <conditionalFormatting sqref="R163">
    <cfRule type="containsText" dxfId="1082" priority="47" stopIfTrue="1" operator="containsText" text="ELTÉRÉS!">
      <formula>NOT(ISERROR(SEARCH("ELTÉRÉS!",R163)))</formula>
    </cfRule>
    <cfRule type="containsText" dxfId="1081" priority="48" stopIfTrue="1" operator="containsText" text="STIMMEL!">
      <formula>NOT(ISERROR(SEARCH("STIMMEL!",R163)))</formula>
    </cfRule>
  </conditionalFormatting>
  <conditionalFormatting sqref="R163">
    <cfRule type="cellIs" dxfId="1080" priority="46" operator="equal">
      <formula>0.01</formula>
    </cfRule>
  </conditionalFormatting>
  <conditionalFormatting sqref="AI126:AT126 AG126">
    <cfRule type="containsText" dxfId="1079" priority="44" stopIfTrue="1" operator="containsText" text="ELTÉRÉS!">
      <formula>NOT(ISERROR(SEARCH("ELTÉRÉS!",AG126)))</formula>
    </cfRule>
    <cfRule type="containsText" dxfId="1078" priority="45" stopIfTrue="1" operator="containsText" text="STIMMEL!">
      <formula>NOT(ISERROR(SEARCH("STIMMEL!",AG126)))</formula>
    </cfRule>
  </conditionalFormatting>
  <conditionalFormatting sqref="AI126:AT126 AG126">
    <cfRule type="cellIs" dxfId="1077" priority="43" operator="equal">
      <formula>0.01</formula>
    </cfRule>
  </conditionalFormatting>
  <conditionalFormatting sqref="AH126">
    <cfRule type="containsText" dxfId="1076" priority="41" stopIfTrue="1" operator="containsText" text="ELTÉRÉS!">
      <formula>NOT(ISERROR(SEARCH("ELTÉRÉS!",AH126)))</formula>
    </cfRule>
    <cfRule type="containsText" dxfId="1075" priority="42" stopIfTrue="1" operator="containsText" text="STIMMEL!">
      <formula>NOT(ISERROR(SEARCH("STIMMEL!",AH126)))</formula>
    </cfRule>
  </conditionalFormatting>
  <conditionalFormatting sqref="AH126">
    <cfRule type="cellIs" dxfId="1074" priority="40" operator="equal">
      <formula>0.01</formula>
    </cfRule>
  </conditionalFormatting>
  <conditionalFormatting sqref="AU126">
    <cfRule type="containsText" dxfId="1073" priority="38" stopIfTrue="1" operator="containsText" text="ELTÉRÉS!">
      <formula>NOT(ISERROR(SEARCH("ELTÉRÉS!",AU126)))</formula>
    </cfRule>
    <cfRule type="containsText" dxfId="1072" priority="39" stopIfTrue="1" operator="containsText" text="STIMMEL!">
      <formula>NOT(ISERROR(SEARCH("STIMMEL!",AU126)))</formula>
    </cfRule>
  </conditionalFormatting>
  <conditionalFormatting sqref="AU126">
    <cfRule type="cellIs" dxfId="1071" priority="37" operator="equal">
      <formula>0.01</formula>
    </cfRule>
  </conditionalFormatting>
  <conditionalFormatting sqref="AH127:AH159 AG127:AG161 AI127:AT161">
    <cfRule type="containsText" dxfId="1070" priority="35" stopIfTrue="1" operator="containsText" text="ELTÉRÉS!">
      <formula>NOT(ISERROR(SEARCH("ELTÉRÉS!",AG127)))</formula>
    </cfRule>
    <cfRule type="containsText" dxfId="1069" priority="36" stopIfTrue="1" operator="containsText" text="STIMMEL!">
      <formula>NOT(ISERROR(SEARCH("STIMMEL!",AG127)))</formula>
    </cfRule>
  </conditionalFormatting>
  <conditionalFormatting sqref="AH127:AH159 AG127:AG161 AI127:AT161">
    <cfRule type="cellIs" dxfId="1068" priority="34" operator="equal">
      <formula>0.01</formula>
    </cfRule>
  </conditionalFormatting>
  <conditionalFormatting sqref="AL163:AQ163">
    <cfRule type="containsText" dxfId="1067" priority="32" stopIfTrue="1" operator="containsText" text="ELTÉRÉS!">
      <formula>NOT(ISERROR(SEARCH("ELTÉRÉS!",AL163)))</formula>
    </cfRule>
    <cfRule type="containsText" dxfId="1066" priority="33" stopIfTrue="1" operator="containsText" text="STIMMEL!">
      <formula>NOT(ISERROR(SEARCH("STIMMEL!",AL163)))</formula>
    </cfRule>
  </conditionalFormatting>
  <conditionalFormatting sqref="AL163:AQ163">
    <cfRule type="cellIs" dxfId="1065" priority="31" operator="equal">
      <formula>0.01</formula>
    </cfRule>
  </conditionalFormatting>
  <conditionalFormatting sqref="AG163">
    <cfRule type="containsText" dxfId="1064" priority="29" stopIfTrue="1" operator="containsText" text="ELTÉRÉS!">
      <formula>NOT(ISERROR(SEARCH("ELTÉRÉS!",AG163)))</formula>
    </cfRule>
    <cfRule type="containsText" dxfId="1063" priority="30" stopIfTrue="1" operator="containsText" text="STIMMEL!">
      <formula>NOT(ISERROR(SEARCH("STIMMEL!",AG163)))</formula>
    </cfRule>
  </conditionalFormatting>
  <conditionalFormatting sqref="AG163">
    <cfRule type="cellIs" dxfId="1062" priority="28" operator="equal">
      <formula>0.01</formula>
    </cfRule>
  </conditionalFormatting>
  <conditionalFormatting sqref="AH163">
    <cfRule type="containsText" dxfId="1061" priority="26" stopIfTrue="1" operator="containsText" text="ELTÉRÉS!">
      <formula>NOT(ISERROR(SEARCH("ELTÉRÉS!",AH163)))</formula>
    </cfRule>
    <cfRule type="containsText" dxfId="1060" priority="27" stopIfTrue="1" operator="containsText" text="STIMMEL!">
      <formula>NOT(ISERROR(SEARCH("STIMMEL!",AH163)))</formula>
    </cfRule>
  </conditionalFormatting>
  <conditionalFormatting sqref="AH163">
    <cfRule type="cellIs" dxfId="1059" priority="25" operator="equal">
      <formula>0.01</formula>
    </cfRule>
  </conditionalFormatting>
  <conditionalFormatting sqref="BK126:BV126 BI126">
    <cfRule type="containsText" dxfId="1058" priority="23" stopIfTrue="1" operator="containsText" text="ELTÉRÉS!">
      <formula>NOT(ISERROR(SEARCH("ELTÉRÉS!",BI126)))</formula>
    </cfRule>
    <cfRule type="containsText" dxfId="1057" priority="24" stopIfTrue="1" operator="containsText" text="STIMMEL!">
      <formula>NOT(ISERROR(SEARCH("STIMMEL!",BI126)))</formula>
    </cfRule>
  </conditionalFormatting>
  <conditionalFormatting sqref="BK126:BV126 BI126">
    <cfRule type="cellIs" dxfId="1056" priority="22" operator="equal">
      <formula>0.01</formula>
    </cfRule>
  </conditionalFormatting>
  <conditionalFormatting sqref="BJ126">
    <cfRule type="containsText" dxfId="1055" priority="20" stopIfTrue="1" operator="containsText" text="ELTÉRÉS!">
      <formula>NOT(ISERROR(SEARCH("ELTÉRÉS!",BJ126)))</formula>
    </cfRule>
    <cfRule type="containsText" dxfId="1054" priority="21" stopIfTrue="1" operator="containsText" text="STIMMEL!">
      <formula>NOT(ISERROR(SEARCH("STIMMEL!",BJ126)))</formula>
    </cfRule>
  </conditionalFormatting>
  <conditionalFormatting sqref="BJ126">
    <cfRule type="cellIs" dxfId="1053" priority="19" operator="equal">
      <formula>0.01</formula>
    </cfRule>
  </conditionalFormatting>
  <conditionalFormatting sqref="BW126">
    <cfRule type="containsText" dxfId="1052" priority="17" stopIfTrue="1" operator="containsText" text="ELTÉRÉS!">
      <formula>NOT(ISERROR(SEARCH("ELTÉRÉS!",BW126)))</formula>
    </cfRule>
    <cfRule type="containsText" dxfId="1051" priority="18" stopIfTrue="1" operator="containsText" text="STIMMEL!">
      <formula>NOT(ISERROR(SEARCH("STIMMEL!",BW126)))</formula>
    </cfRule>
  </conditionalFormatting>
  <conditionalFormatting sqref="BW126">
    <cfRule type="cellIs" dxfId="1050" priority="16" operator="equal">
      <formula>0.01</formula>
    </cfRule>
  </conditionalFormatting>
  <conditionalFormatting sqref="BJ127:BJ159 BI127:BI161 BK127:BV161">
    <cfRule type="containsText" dxfId="1049" priority="14" stopIfTrue="1" operator="containsText" text="ELTÉRÉS!">
      <formula>NOT(ISERROR(SEARCH("ELTÉRÉS!",BI127)))</formula>
    </cfRule>
    <cfRule type="containsText" dxfId="1048" priority="15" stopIfTrue="1" operator="containsText" text="STIMMEL!">
      <formula>NOT(ISERROR(SEARCH("STIMMEL!",BI127)))</formula>
    </cfRule>
  </conditionalFormatting>
  <conditionalFormatting sqref="BJ127:BJ159 BI127:BI161 BK127:BV161">
    <cfRule type="cellIs" dxfId="1047" priority="13" operator="equal">
      <formula>0.01</formula>
    </cfRule>
  </conditionalFormatting>
  <conditionalFormatting sqref="BN163:BS163">
    <cfRule type="containsText" dxfId="1046" priority="11" stopIfTrue="1" operator="containsText" text="ELTÉRÉS!">
      <formula>NOT(ISERROR(SEARCH("ELTÉRÉS!",BN163)))</formula>
    </cfRule>
    <cfRule type="containsText" dxfId="1045" priority="12" stopIfTrue="1" operator="containsText" text="STIMMEL!">
      <formula>NOT(ISERROR(SEARCH("STIMMEL!",BN163)))</formula>
    </cfRule>
  </conditionalFormatting>
  <conditionalFormatting sqref="BN163:BS163">
    <cfRule type="cellIs" dxfId="1044" priority="10" operator="equal">
      <formula>0.01</formula>
    </cfRule>
  </conditionalFormatting>
  <conditionalFormatting sqref="BI163">
    <cfRule type="containsText" dxfId="1043" priority="8" stopIfTrue="1" operator="containsText" text="ELTÉRÉS!">
      <formula>NOT(ISERROR(SEARCH("ELTÉRÉS!",BI163)))</formula>
    </cfRule>
    <cfRule type="containsText" dxfId="1042" priority="9" stopIfTrue="1" operator="containsText" text="STIMMEL!">
      <formula>NOT(ISERROR(SEARCH("STIMMEL!",BI163)))</formula>
    </cfRule>
  </conditionalFormatting>
  <conditionalFormatting sqref="BI163">
    <cfRule type="cellIs" dxfId="1041" priority="7" operator="equal">
      <formula>0.01</formula>
    </cfRule>
  </conditionalFormatting>
  <conditionalFormatting sqref="BJ163">
    <cfRule type="containsText" dxfId="1040" priority="5" stopIfTrue="1" operator="containsText" text="ELTÉRÉS!">
      <formula>NOT(ISERROR(SEARCH("ELTÉRÉS!",BJ163)))</formula>
    </cfRule>
    <cfRule type="containsText" dxfId="1039" priority="6" stopIfTrue="1" operator="containsText" text="STIMMEL!">
      <formula>NOT(ISERROR(SEARCH("STIMMEL!",BJ163)))</formula>
    </cfRule>
  </conditionalFormatting>
  <conditionalFormatting sqref="BJ163">
    <cfRule type="cellIs" dxfId="1038" priority="4" operator="equal">
      <formula>0.01</formula>
    </cfRule>
  </conditionalFormatting>
  <conditionalFormatting sqref="N126:O159 N160:P160">
    <cfRule type="containsText" dxfId="1037" priority="2" stopIfTrue="1" operator="containsText" text="ELTÉRÉS!">
      <formula>NOT(ISERROR(SEARCH("ELTÉRÉS!",N126)))</formula>
    </cfRule>
    <cfRule type="containsText" dxfId="1036" priority="3" stopIfTrue="1" operator="containsText" text="STIMMEL!">
      <formula>NOT(ISERROR(SEARCH("STIMMEL!",N126)))</formula>
    </cfRule>
  </conditionalFormatting>
  <conditionalFormatting sqref="N126:O159 N160:P160">
    <cfRule type="cellIs" dxfId="1035" priority="1" operator="equal">
      <formula>0.01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82AA-7EF3-47A7-A56C-BD11F8D87960}">
  <dimension ref="A1:CT463"/>
  <sheetViews>
    <sheetView workbookViewId="0">
      <pane ySplit="1" topLeftCell="AQ113" activePane="bottomLeft" state="frozen"/>
      <selection pane="bottomLeft" activeCell="BJ130" sqref="BJ130"/>
    </sheetView>
  </sheetViews>
  <sheetFormatPr defaultRowHeight="15" customHeight="1"/>
  <cols>
    <col min="1" max="1" width="14.140625" style="67" customWidth="1"/>
    <col min="2" max="2" width="16" style="356" customWidth="1"/>
    <col min="3" max="3" width="12" customWidth="1"/>
    <col min="4" max="4" width="13" customWidth="1"/>
    <col min="5" max="5" width="11.140625" customWidth="1"/>
    <col min="6" max="6" width="11" customWidth="1"/>
    <col min="7" max="7" width="12" customWidth="1"/>
    <col min="8" max="8" width="12.85546875" bestFit="1" customWidth="1"/>
    <col min="9" max="10" width="12.85546875" customWidth="1"/>
    <col min="11" max="11" width="11.85546875" customWidth="1"/>
    <col min="12" max="12" width="20.28515625" style="261" customWidth="1"/>
    <col min="13" max="13" width="16" style="261" customWidth="1"/>
    <col min="14" max="14" width="9.28515625" style="136" customWidth="1"/>
    <col min="15" max="15" width="16.5703125" style="134" customWidth="1"/>
    <col min="16" max="16" width="6.28515625" style="134" customWidth="1"/>
    <col min="17" max="17" width="14.28515625" style="4" customWidth="1"/>
    <col min="18" max="18" width="16" style="356" customWidth="1"/>
    <col min="19" max="19" width="12.140625" style="4" customWidth="1"/>
    <col min="20" max="20" width="12.85546875" style="4" bestFit="1" customWidth="1"/>
    <col min="21" max="21" width="10.7109375" style="4" bestFit="1" customWidth="1"/>
    <col min="22" max="22" width="10.85546875" style="4" customWidth="1"/>
    <col min="23" max="23" width="12.28515625" style="4" customWidth="1"/>
    <col min="24" max="24" width="15.42578125" style="4" customWidth="1"/>
    <col min="25" max="26" width="12.85546875" style="4" customWidth="1"/>
    <col min="27" max="27" width="10" style="4" customWidth="1"/>
    <col min="28" max="28" width="18" style="4" customWidth="1"/>
    <col min="29" max="29" width="15" style="4" customWidth="1"/>
    <col min="30" max="30" width="9" customWidth="1"/>
    <col min="31" max="31" width="15.42578125" customWidth="1"/>
    <col min="32" max="32" width="11" customWidth="1"/>
    <col min="33" max="34" width="14" style="4" customWidth="1"/>
    <col min="35" max="35" width="13.5703125" style="4" customWidth="1"/>
    <col min="36" max="36" width="12.85546875" style="4" bestFit="1" customWidth="1"/>
    <col min="37" max="37" width="11.85546875" style="4" customWidth="1"/>
    <col min="38" max="38" width="11.7109375" style="4" customWidth="1"/>
    <col min="39" max="39" width="12.42578125" style="4" customWidth="1"/>
    <col min="40" max="40" width="17.140625" style="4" bestFit="1" customWidth="1"/>
    <col min="41" max="42" width="12.85546875" style="4" customWidth="1"/>
    <col min="43" max="43" width="12.140625" style="4" customWidth="1"/>
    <col min="44" max="44" width="18.5703125" style="4" customWidth="1"/>
    <col min="45" max="45" width="14.5703125" customWidth="1"/>
    <col min="46" max="46" width="9.42578125" customWidth="1"/>
    <col min="47" max="47" width="16.28515625" hidden="1" customWidth="1"/>
    <col min="48" max="48" width="12.140625" hidden="1" customWidth="1"/>
    <col min="49" max="49" width="13.140625" hidden="1" customWidth="1"/>
    <col min="50" max="50" width="14.85546875" hidden="1" customWidth="1"/>
    <col min="51" max="51" width="12.5703125" hidden="1" customWidth="1"/>
    <col min="52" max="52" width="11.42578125" hidden="1" customWidth="1"/>
    <col min="53" max="53" width="13.42578125" hidden="1" customWidth="1"/>
    <col min="54" max="54" width="10.28515625" hidden="1" customWidth="1"/>
    <col min="55" max="55" width="12" hidden="1" customWidth="1"/>
    <col min="56" max="56" width="16.5703125" hidden="1" customWidth="1"/>
    <col min="57" max="57" width="16" hidden="1" customWidth="1"/>
    <col min="58" max="58" width="0" hidden="1" customWidth="1"/>
    <col min="59" max="59" width="18.42578125" customWidth="1"/>
    <col min="61" max="61" width="17.7109375" customWidth="1"/>
    <col min="62" max="62" width="16" style="356" customWidth="1"/>
    <col min="63" max="63" width="12.42578125" customWidth="1"/>
    <col min="64" max="64" width="15.85546875" customWidth="1"/>
    <col min="65" max="65" width="10.7109375" customWidth="1"/>
    <col min="66" max="66" width="17.140625" customWidth="1"/>
    <col min="67" max="67" width="13.140625" customWidth="1"/>
    <col min="68" max="68" width="13.28515625" customWidth="1"/>
    <col min="69" max="69" width="15" customWidth="1"/>
    <col min="70" max="70" width="12.85546875" style="4" customWidth="1"/>
    <col min="72" max="72" width="18.140625" customWidth="1"/>
    <col min="73" max="73" width="14.28515625" customWidth="1"/>
    <col min="74" max="74" width="9.28515625" customWidth="1"/>
    <col min="75" max="75" width="15.5703125" customWidth="1"/>
    <col min="77" max="77" width="16" customWidth="1"/>
    <col min="78" max="78" width="15.42578125" hidden="1" customWidth="1"/>
    <col min="79" max="79" width="13.140625" hidden="1" customWidth="1"/>
    <col min="80" max="80" width="10.28515625" hidden="1" customWidth="1"/>
    <col min="81" max="82" width="0" hidden="1" customWidth="1"/>
    <col min="83" max="83" width="11.28515625" hidden="1" customWidth="1"/>
    <col min="84" max="84" width="17.28515625" hidden="1" customWidth="1"/>
    <col min="85" max="85" width="14.28515625" hidden="1" customWidth="1"/>
    <col min="86" max="89" width="0" hidden="1" customWidth="1"/>
    <col min="90" max="90" width="12.85546875" hidden="1" customWidth="1"/>
    <col min="91" max="93" width="0" hidden="1" customWidth="1"/>
    <col min="94" max="94" width="13.5703125" hidden="1" customWidth="1"/>
  </cols>
  <sheetData>
    <row r="1" spans="1:98" ht="31.5" customHeight="1">
      <c r="A1" s="68" t="s">
        <v>220</v>
      </c>
      <c r="B1" s="350" t="s">
        <v>147</v>
      </c>
      <c r="C1" s="3">
        <v>0</v>
      </c>
      <c r="D1" s="3">
        <v>0.05</v>
      </c>
      <c r="E1" s="3">
        <v>0.18</v>
      </c>
      <c r="F1" s="3">
        <v>0.27</v>
      </c>
      <c r="G1" s="2" t="s">
        <v>148</v>
      </c>
      <c r="H1" s="2" t="s">
        <v>149</v>
      </c>
      <c r="I1" s="40" t="s">
        <v>150</v>
      </c>
      <c r="J1" s="127" t="s">
        <v>221</v>
      </c>
      <c r="K1" s="2" t="s">
        <v>222</v>
      </c>
      <c r="L1" s="246" t="s">
        <v>152</v>
      </c>
      <c r="M1" s="254" t="s">
        <v>153</v>
      </c>
      <c r="N1" s="211" t="s">
        <v>154</v>
      </c>
      <c r="O1" s="213" t="s">
        <v>223</v>
      </c>
      <c r="P1" s="132"/>
      <c r="Q1" s="128" t="s">
        <v>224</v>
      </c>
      <c r="R1" s="350" t="s">
        <v>147</v>
      </c>
      <c r="S1" s="3">
        <v>0</v>
      </c>
      <c r="T1" s="3">
        <v>0.05</v>
      </c>
      <c r="U1" s="3">
        <v>0.18</v>
      </c>
      <c r="V1" s="3">
        <v>0.27</v>
      </c>
      <c r="W1" s="2" t="s">
        <v>148</v>
      </c>
      <c r="X1" s="2" t="s">
        <v>149</v>
      </c>
      <c r="Y1" s="40" t="s">
        <v>150</v>
      </c>
      <c r="Z1" s="131" t="s">
        <v>221</v>
      </c>
      <c r="AA1" s="2" t="s">
        <v>222</v>
      </c>
      <c r="AB1" s="2" t="s">
        <v>152</v>
      </c>
      <c r="AC1" s="60" t="s">
        <v>153</v>
      </c>
      <c r="AD1" s="210" t="s">
        <v>154</v>
      </c>
      <c r="AE1" s="182" t="s">
        <v>223</v>
      </c>
      <c r="AF1" s="1"/>
      <c r="AG1" s="278" t="s">
        <v>225</v>
      </c>
      <c r="AH1" s="350" t="s">
        <v>147</v>
      </c>
      <c r="AI1" s="279">
        <v>0</v>
      </c>
      <c r="AJ1" s="279">
        <v>0.05</v>
      </c>
      <c r="AK1" s="279">
        <v>0.18</v>
      </c>
      <c r="AL1" s="279">
        <v>0.27</v>
      </c>
      <c r="AM1" s="278" t="s">
        <v>148</v>
      </c>
      <c r="AN1" s="278" t="s">
        <v>149</v>
      </c>
      <c r="AO1" s="280" t="s">
        <v>150</v>
      </c>
      <c r="AP1" s="281" t="s">
        <v>221</v>
      </c>
      <c r="AQ1" s="282" t="s">
        <v>222</v>
      </c>
      <c r="AR1" s="278" t="s">
        <v>152</v>
      </c>
      <c r="AS1" s="283" t="s">
        <v>153</v>
      </c>
      <c r="AT1" s="284" t="s">
        <v>154</v>
      </c>
      <c r="AU1" s="285" t="s">
        <v>226</v>
      </c>
      <c r="AV1" s="286">
        <v>0</v>
      </c>
      <c r="AW1" s="286">
        <v>0</v>
      </c>
      <c r="AX1" s="286">
        <v>0</v>
      </c>
      <c r="AY1" s="286">
        <v>0</v>
      </c>
      <c r="AZ1" s="287">
        <v>0</v>
      </c>
      <c r="BA1" s="287">
        <v>0</v>
      </c>
      <c r="BB1" s="288" t="s">
        <v>150</v>
      </c>
      <c r="BC1" s="287">
        <v>0</v>
      </c>
      <c r="BD1" s="287">
        <v>0</v>
      </c>
      <c r="BE1" s="289" t="s">
        <v>153</v>
      </c>
      <c r="BF1" s="290"/>
      <c r="BG1" s="287" t="s">
        <v>223</v>
      </c>
      <c r="BH1" s="291"/>
      <c r="BI1" s="278" t="s">
        <v>29</v>
      </c>
      <c r="BJ1" s="350" t="s">
        <v>147</v>
      </c>
      <c r="BK1" s="279">
        <v>0</v>
      </c>
      <c r="BL1" s="279">
        <v>0.05</v>
      </c>
      <c r="BM1" s="279">
        <v>0.18</v>
      </c>
      <c r="BN1" s="279">
        <v>0.27</v>
      </c>
      <c r="BO1" s="278" t="s">
        <v>148</v>
      </c>
      <c r="BP1" s="278" t="s">
        <v>149</v>
      </c>
      <c r="BQ1" s="280" t="s">
        <v>150</v>
      </c>
      <c r="BR1" s="281" t="s">
        <v>221</v>
      </c>
      <c r="BS1" s="282" t="s">
        <v>227</v>
      </c>
      <c r="BT1" s="292" t="s">
        <v>228</v>
      </c>
      <c r="BU1" s="293" t="s">
        <v>153</v>
      </c>
      <c r="BV1" s="287" t="s">
        <v>154</v>
      </c>
      <c r="BW1" s="287" t="s">
        <v>155</v>
      </c>
      <c r="BY1" s="273" t="str">
        <f>'[2]2026 január'!B$1</f>
        <v>Novohost</v>
      </c>
    </row>
    <row r="2" spans="1:98" s="27" customFormat="1" ht="21">
      <c r="A2" s="66" t="s">
        <v>3</v>
      </c>
      <c r="B2" s="351"/>
      <c r="C2" s="26"/>
      <c r="D2" s="26"/>
      <c r="E2" s="26"/>
      <c r="F2" s="26"/>
      <c r="G2" s="26"/>
      <c r="H2" s="26"/>
      <c r="I2" s="26"/>
      <c r="J2" s="26"/>
      <c r="K2" s="34"/>
      <c r="L2" s="247"/>
      <c r="M2" s="255"/>
      <c r="N2" s="212"/>
      <c r="O2" s="133"/>
      <c r="P2" s="133"/>
      <c r="Q2" s="66" t="s">
        <v>3</v>
      </c>
      <c r="R2" s="351"/>
      <c r="S2" s="26"/>
      <c r="T2" s="26"/>
      <c r="U2" s="26"/>
      <c r="V2" s="26"/>
      <c r="W2" s="26"/>
      <c r="X2" s="26"/>
      <c r="Y2" s="26"/>
      <c r="Z2" s="26"/>
      <c r="AA2" s="34"/>
      <c r="AB2" s="26"/>
      <c r="AG2" s="294" t="s">
        <v>3</v>
      </c>
      <c r="AH2" s="351"/>
      <c r="AI2" s="295"/>
      <c r="AJ2" s="295"/>
      <c r="AK2" s="295"/>
      <c r="AL2" s="295"/>
      <c r="AM2" s="295"/>
      <c r="AN2" s="295"/>
      <c r="AO2" s="295"/>
      <c r="AP2" s="295"/>
      <c r="AQ2" s="296"/>
      <c r="AR2" s="295"/>
      <c r="AS2" s="297"/>
      <c r="AT2" s="297"/>
      <c r="AU2" s="294" t="s">
        <v>3</v>
      </c>
      <c r="AV2" s="297"/>
      <c r="AW2" s="297"/>
      <c r="AX2" s="297"/>
      <c r="AY2" s="297"/>
      <c r="AZ2" s="297"/>
      <c r="BA2" s="297"/>
      <c r="BB2" s="297"/>
      <c r="BC2" s="297"/>
      <c r="BD2" s="296"/>
      <c r="BE2" s="297"/>
      <c r="BF2" s="297"/>
      <c r="BG2" s="297"/>
      <c r="BH2" s="297"/>
      <c r="BI2" s="298" t="s">
        <v>3</v>
      </c>
      <c r="BJ2" s="351"/>
      <c r="BK2" s="297"/>
      <c r="BL2" s="297"/>
      <c r="BM2" s="297"/>
      <c r="BN2" s="297"/>
      <c r="BO2" s="297"/>
      <c r="BP2" s="297"/>
      <c r="BQ2" s="297"/>
      <c r="BR2" s="295"/>
      <c r="BS2" s="297"/>
      <c r="BT2" s="297"/>
      <c r="BU2" s="297"/>
      <c r="BV2" s="297"/>
      <c r="BW2" s="297"/>
      <c r="BY2" s="273" t="str">
        <f>'[2]2026 január'!B$1</f>
        <v>Novohost</v>
      </c>
      <c r="BZ2" s="273" t="str">
        <f>'[2]2026 január'!G1</f>
        <v>Tartalék Kiadás</v>
      </c>
      <c r="CA2" s="273" t="str">
        <f>'[2]2026 január'!W1</f>
        <v>Kivét</v>
      </c>
      <c r="CB2" s="273" t="s">
        <v>156</v>
      </c>
      <c r="CC2" s="274"/>
      <c r="CD2" s="275"/>
      <c r="CE2" s="273" t="str">
        <f>'[2]2026 január'!S1</f>
        <v>Pénztár nyitó</v>
      </c>
      <c r="CF2" s="273" t="str">
        <f>'[2]2026 január'!T1</f>
        <v>Pénztár kp bevétel</v>
      </c>
      <c r="CG2" s="273" t="str">
        <f>'[2]2026 január'!U1</f>
        <v>Egyéb bevétel</v>
      </c>
      <c r="CH2" s="273" t="str">
        <f>'[2]2026 január'!V1</f>
        <v>Költött</v>
      </c>
      <c r="CI2" s="273" t="str">
        <f>'[2]2026 január'!W1</f>
        <v>Kivét</v>
      </c>
      <c r="CJ2" s="273" t="str">
        <f>'[2]2026 január'!X1</f>
        <v>Eltérés</v>
      </c>
      <c r="CK2" s="273" t="str">
        <f>'[2]2026 január'!Y1</f>
        <v>Záró</v>
      </c>
      <c r="CL2" s="276" t="str">
        <f>'[2]2026 január'!Z1</f>
        <v>Megjegyzések</v>
      </c>
      <c r="CM2" s="273">
        <f>'[2]2026 január'!AA1</f>
        <v>0</v>
      </c>
      <c r="CN2" s="273">
        <f>'[2]2026 január'!AB1</f>
        <v>0</v>
      </c>
      <c r="CO2" s="273">
        <f>'[2]2026 január'!AC1</f>
        <v>0</v>
      </c>
      <c r="CP2" s="273" t="str">
        <f>'[2]2026 január'!AD1</f>
        <v>Egyéb kiadás</v>
      </c>
    </row>
    <row r="3" spans="1:98" ht="14.25" customHeight="1">
      <c r="A3" s="141">
        <v>46023</v>
      </c>
      <c r="B3" s="352"/>
      <c r="C3" s="142"/>
      <c r="D3" s="142"/>
      <c r="E3" s="142"/>
      <c r="F3" s="142"/>
      <c r="G3" s="142"/>
      <c r="H3" s="142"/>
      <c r="I3" s="142"/>
      <c r="J3" s="193"/>
      <c r="K3" s="185"/>
      <c r="L3" s="264"/>
      <c r="M3" s="265"/>
      <c r="N3" s="153"/>
      <c r="O3" s="217"/>
      <c r="Q3" s="141">
        <v>46023</v>
      </c>
      <c r="R3" s="352"/>
      <c r="S3" s="142"/>
      <c r="T3" s="142"/>
      <c r="U3" s="142"/>
      <c r="V3" s="142"/>
      <c r="W3" s="142"/>
      <c r="X3" s="142"/>
      <c r="Y3" s="142"/>
      <c r="Z3" s="142"/>
      <c r="AA3" s="143"/>
      <c r="AB3" s="144"/>
      <c r="AC3" s="150"/>
      <c r="AD3" s="153"/>
      <c r="AE3" s="158"/>
      <c r="AG3" s="299">
        <v>46023</v>
      </c>
      <c r="AH3" s="352"/>
      <c r="AI3" s="300"/>
      <c r="AJ3" s="300"/>
      <c r="AK3" s="300"/>
      <c r="AL3" s="300"/>
      <c r="AM3" s="300"/>
      <c r="AN3" s="300"/>
      <c r="AO3" s="300"/>
      <c r="AP3" s="300"/>
      <c r="AQ3" s="301"/>
      <c r="AR3" s="302"/>
      <c r="AS3" s="303"/>
      <c r="AT3" s="304"/>
      <c r="AU3" s="305">
        <v>45658</v>
      </c>
      <c r="AV3" s="306"/>
      <c r="AW3" s="306"/>
      <c r="AX3" s="306"/>
      <c r="AY3" s="306"/>
      <c r="AZ3" s="306"/>
      <c r="BA3" s="306"/>
      <c r="BB3" s="306"/>
      <c r="BC3" s="307"/>
      <c r="BD3" s="308"/>
      <c r="BE3" s="308"/>
      <c r="BF3" s="309"/>
      <c r="BG3" s="310"/>
      <c r="BH3" s="291"/>
      <c r="BI3" s="299">
        <v>46023</v>
      </c>
      <c r="BJ3" s="352"/>
      <c r="BK3" s="300"/>
      <c r="BL3" s="300"/>
      <c r="BM3" s="300"/>
      <c r="BN3" s="300"/>
      <c r="BO3" s="300"/>
      <c r="BP3" s="300"/>
      <c r="BQ3" s="300"/>
      <c r="BR3" s="300"/>
      <c r="BS3" s="301"/>
      <c r="BT3" s="302"/>
      <c r="BU3" s="303"/>
      <c r="BV3" s="311"/>
      <c r="BW3" s="310"/>
      <c r="BY3" s="267" t="str">
        <f>IF('[2]2026 január'!B$2=0,
    "",
    '[2]2026 január'!B$2
)</f>
        <v/>
      </c>
      <c r="BZ3" s="267" t="str">
        <f>IF(OR('[2]2026 január'!G2=0,
       ISBLANK('[2]2026 január'!G2)),
    "",
    '[2]2026 január'!G2
)</f>
        <v/>
      </c>
      <c r="CA3" s="11">
        <f>'[2]2026 január'!W2</f>
        <v>0</v>
      </c>
      <c r="CB3" s="11">
        <f>P3-Q3-S3-G3-H3</f>
        <v>-46023</v>
      </c>
      <c r="CC3" s="11"/>
      <c r="CD3" s="10"/>
      <c r="CE3" s="267" t="str">
        <f>IF('[2]2026 január'!S2=0,
    "",
    '[2]2026 január'!S2
)</f>
        <v/>
      </c>
      <c r="CF3" s="267" t="str">
        <f>IF('[2]2026 január'!T2=0,
    "",
    '[2]2026 január'!T2
)</f>
        <v/>
      </c>
      <c r="CG3" s="267" t="str">
        <f>IF('[2]2026 január'!U2=0,
    "",
    '[2]2026 január'!U2
)</f>
        <v/>
      </c>
      <c r="CH3" s="267" t="str">
        <f>IF('[2]2026 január'!V2=0,
    "",
    '[2]2026 január'!V2
)</f>
        <v/>
      </c>
      <c r="CI3" s="267" t="str">
        <f>IF('[2]2026 január'!W2=0,
    "",
    '[2]2026 január'!W2
)</f>
        <v/>
      </c>
      <c r="CJ3" s="267" t="str">
        <f>IF('[2]2026 január'!X2=0,
    "",
    '[2]2026 január'!X2
)</f>
        <v/>
      </c>
      <c r="CK3" s="267" t="str">
        <f>IF('[2]2026 január'!Y2=0,
    "",
    '[2]2026 január'!Y2
)</f>
        <v/>
      </c>
      <c r="CL3" s="270" t="str">
        <f>IF('[2]2026 január'!Z2=0,
    "",
    '[2]2026 január'!Z2
)</f>
        <v/>
      </c>
      <c r="CM3" s="267" t="str">
        <f>IF('[2]2026 január'!AA2=0,
    "",
    '[2]2026 január'!AA2
)</f>
        <v/>
      </c>
      <c r="CN3" s="267" t="str">
        <f>IF('[2]2026 január'!AB2=0,
    "",
    '[2]2026 január'!AB2
)</f>
        <v/>
      </c>
      <c r="CO3" s="267" t="str">
        <f>IF('[2]2026 január'!AC2=0,
    "",
    '[2]2026 január'!AC2
)</f>
        <v/>
      </c>
      <c r="CP3" s="267" t="str">
        <f>IF('[2]2026 január'!AD2=0,
    "",
    '[2]2026 január'!AD2
)</f>
        <v/>
      </c>
      <c r="CQ3" s="220" t="str">
        <f>IF('[2]2026 január'!AE$2=0,
    "",
    '[2]2026 január'!AE$2
)</f>
        <v/>
      </c>
      <c r="CR3" s="220" t="str">
        <f>IF('[2]2026 január'!AF2=0,
    "",
    '[2]2026 január'!AF2
)</f>
        <v/>
      </c>
      <c r="CS3" s="220" t="str">
        <f>IF('[2]2026 január'!AG2=0,
    "",
    '[2]2026 január'!AG2
)</f>
        <v/>
      </c>
      <c r="CT3" s="220" t="str">
        <f>IF('[2]2026 január'!AH2=0,
    "",
    '[2]2026 január'!AH2
)</f>
        <v/>
      </c>
    </row>
    <row r="4" spans="1:98" ht="14.25" customHeight="1">
      <c r="A4" s="141">
        <v>46024</v>
      </c>
      <c r="B4" s="352"/>
      <c r="C4" s="142"/>
      <c r="D4" s="142"/>
      <c r="E4" s="142"/>
      <c r="F4" s="142"/>
      <c r="G4" s="142"/>
      <c r="H4" s="142"/>
      <c r="I4" s="146"/>
      <c r="J4" s="142"/>
      <c r="K4" s="198"/>
      <c r="L4" s="248"/>
      <c r="M4" s="265"/>
      <c r="N4" s="153"/>
      <c r="O4" s="217"/>
      <c r="Q4" s="141">
        <v>46024</v>
      </c>
      <c r="R4" s="352"/>
      <c r="S4" s="142"/>
      <c r="T4" s="142"/>
      <c r="U4" s="142"/>
      <c r="V4" s="142"/>
      <c r="W4" s="142"/>
      <c r="X4" s="142"/>
      <c r="Y4" s="142"/>
      <c r="Z4" s="142"/>
      <c r="AA4" s="143"/>
      <c r="AB4" s="144"/>
      <c r="AC4" s="150"/>
      <c r="AD4" s="153"/>
      <c r="AE4" s="158"/>
      <c r="AG4" s="299">
        <v>46024</v>
      </c>
      <c r="AH4" s="352"/>
      <c r="AI4" s="300"/>
      <c r="AJ4" s="300"/>
      <c r="AK4" s="300"/>
      <c r="AL4" s="300"/>
      <c r="AM4" s="300"/>
      <c r="AN4" s="300"/>
      <c r="AO4" s="300"/>
      <c r="AP4" s="300"/>
      <c r="AQ4" s="301"/>
      <c r="AR4" s="302"/>
      <c r="AS4" s="303"/>
      <c r="AT4" s="304"/>
      <c r="AU4" s="305">
        <v>45659</v>
      </c>
      <c r="AV4" s="306">
        <v>500</v>
      </c>
      <c r="AW4" s="306">
        <v>108085</v>
      </c>
      <c r="AX4" s="306"/>
      <c r="AY4" s="306"/>
      <c r="AZ4" s="306"/>
      <c r="BA4" s="306">
        <v>108585</v>
      </c>
      <c r="BB4" s="306">
        <v>108585</v>
      </c>
      <c r="BC4" s="307">
        <v>751</v>
      </c>
      <c r="BD4" s="306">
        <v>252809421</v>
      </c>
      <c r="BE4" s="306"/>
      <c r="BF4" s="309"/>
      <c r="BG4" s="310"/>
      <c r="BH4" s="291"/>
      <c r="BI4" s="299">
        <v>46024</v>
      </c>
      <c r="BJ4" s="352"/>
      <c r="BK4" s="300"/>
      <c r="BL4" s="300"/>
      <c r="BM4" s="300"/>
      <c r="BN4" s="300"/>
      <c r="BO4" s="300"/>
      <c r="BP4" s="300"/>
      <c r="BQ4" s="300"/>
      <c r="BR4" s="300"/>
      <c r="BS4" s="301"/>
      <c r="BT4" s="302"/>
      <c r="BU4" s="303"/>
      <c r="BV4" s="311"/>
      <c r="BW4" s="310"/>
      <c r="BY4" s="267" t="str">
        <f>IF('[2]2026 január'!B$3=0,
    "",
    '[2]2026 január'!B$3
)</f>
        <v/>
      </c>
      <c r="BZ4" s="267" t="str">
        <f>IF(OR('[2]2026 január'!G3=0,
       ISBLANK('[2]2026 január'!G3)),
    "",
    '[2]2026 január'!G3
)</f>
        <v/>
      </c>
      <c r="CA4" s="11">
        <f>'[2]2026 január'!W3</f>
        <v>0</v>
      </c>
      <c r="CB4" s="11"/>
      <c r="CC4" s="11"/>
      <c r="CD4" s="10"/>
      <c r="CE4" s="267" t="str">
        <f>IF('[2]2026 január'!S3=0,
    "",
    '[2]2026 január'!S3
)</f>
        <v/>
      </c>
      <c r="CF4" s="267" t="str">
        <f>IF('[2]2026 január'!T3=0,
    "",
    '[2]2026 január'!T3
)</f>
        <v/>
      </c>
      <c r="CG4" s="267" t="str">
        <f>IF('[2]2026 január'!U3=0,
    "",
    '[2]2026 január'!U3
)</f>
        <v/>
      </c>
      <c r="CH4" s="267" t="str">
        <f>IF('[2]2026 január'!V3=0,
    "",
    '[2]2026 január'!V3
)</f>
        <v/>
      </c>
      <c r="CI4" s="267" t="str">
        <f>IF('[2]2026 január'!W3=0,
    "",
    '[2]2026 január'!W3
)</f>
        <v/>
      </c>
      <c r="CJ4" s="267" t="str">
        <f>IF('[2]2026 január'!X3=0,
    "",
    '[2]2026 január'!X3
)</f>
        <v/>
      </c>
      <c r="CK4" s="267" t="str">
        <f>IF('[2]2026 január'!Y3=0,
    "",
    '[2]2026 január'!Y3
)</f>
        <v/>
      </c>
      <c r="CL4" s="270" t="str">
        <f>IF('[2]2026 január'!Z3=0,
    "",
    '[2]2026 január'!Z3
)</f>
        <v/>
      </c>
      <c r="CM4" s="267" t="str">
        <f>IF('[2]2026 január'!AA3=0,
    "",
    '[2]2026 január'!AA3
)</f>
        <v/>
      </c>
      <c r="CN4" s="267" t="str">
        <f>IF('[2]2026 január'!AB3=0,
    "",
    '[2]2026 január'!AB3
)</f>
        <v/>
      </c>
      <c r="CO4" s="267" t="str">
        <f>IF('[2]2026 január'!AC3=0,
    "",
    '[2]2026 január'!AC3
)</f>
        <v/>
      </c>
      <c r="CP4" s="267" t="str">
        <f>IF('[2]2026 január'!AD3=0,
    "",
    '[2]2026 január'!AD3
)</f>
        <v/>
      </c>
      <c r="CQ4" s="220" t="str">
        <f>IF('[2]2026 január'!AE$3=0,
    "",
    '[2]2026 január'!AE$3
)</f>
        <v/>
      </c>
      <c r="CR4" s="220" t="str">
        <f>IF('[2]2026 január'!AF3=0,
    "",
    '[2]2026 január'!AF3
)</f>
        <v/>
      </c>
      <c r="CS4" s="220" t="str">
        <f>IF('[2]2026 január'!AG3=0,
    "",
    '[2]2026 január'!AG3
)</f>
        <v/>
      </c>
      <c r="CT4" s="220" t="str">
        <f>IF('[2]2026 január'!AH3=0,
    "",
    '[2]2026 január'!AH3
)</f>
        <v/>
      </c>
    </row>
    <row r="5" spans="1:98" ht="14.25" customHeight="1">
      <c r="A5" s="141">
        <v>46025</v>
      </c>
      <c r="B5" s="352"/>
      <c r="C5" s="142"/>
      <c r="D5" s="142"/>
      <c r="E5" s="142"/>
      <c r="F5" s="142"/>
      <c r="G5" s="142"/>
      <c r="H5" s="142"/>
      <c r="I5" s="146"/>
      <c r="J5" s="142"/>
      <c r="K5" s="198"/>
      <c r="L5" s="249"/>
      <c r="M5" s="266"/>
      <c r="N5" s="153"/>
      <c r="O5" s="217"/>
      <c r="Q5" s="141">
        <v>46025</v>
      </c>
      <c r="R5" s="352"/>
      <c r="S5" s="142"/>
      <c r="T5" s="142"/>
      <c r="U5" s="142"/>
      <c r="V5" s="142"/>
      <c r="W5" s="142"/>
      <c r="X5" s="142"/>
      <c r="Y5" s="142"/>
      <c r="Z5" s="142"/>
      <c r="AA5" s="143"/>
      <c r="AB5" s="146"/>
      <c r="AC5" s="151"/>
      <c r="AD5" s="153"/>
      <c r="AE5" s="158"/>
      <c r="AG5" s="299">
        <v>46025</v>
      </c>
      <c r="AH5" s="352"/>
      <c r="AI5" s="300"/>
      <c r="AJ5" s="300"/>
      <c r="AK5" s="300"/>
      <c r="AL5" s="300"/>
      <c r="AM5" s="300"/>
      <c r="AN5" s="300"/>
      <c r="AO5" s="300"/>
      <c r="AP5" s="300"/>
      <c r="AQ5" s="301"/>
      <c r="AR5" s="312"/>
      <c r="AS5" s="313"/>
      <c r="AT5" s="304"/>
      <c r="AU5" s="305">
        <v>45660</v>
      </c>
      <c r="AV5" s="306">
        <v>850</v>
      </c>
      <c r="AW5" s="306">
        <v>133854</v>
      </c>
      <c r="AX5" s="306"/>
      <c r="AY5" s="306">
        <v>3050</v>
      </c>
      <c r="AZ5" s="306"/>
      <c r="BA5" s="306">
        <v>137754</v>
      </c>
      <c r="BB5" s="306">
        <v>137754</v>
      </c>
      <c r="BC5" s="307">
        <v>752</v>
      </c>
      <c r="BD5" s="306">
        <v>252947175</v>
      </c>
      <c r="BE5" s="306"/>
      <c r="BF5" s="309"/>
      <c r="BG5" s="310"/>
      <c r="BH5" s="291"/>
      <c r="BI5" s="299">
        <v>46025</v>
      </c>
      <c r="BJ5" s="352"/>
      <c r="BK5" s="300"/>
      <c r="BL5" s="300"/>
      <c r="BM5" s="300"/>
      <c r="BN5" s="300"/>
      <c r="BO5" s="300"/>
      <c r="BP5" s="300"/>
      <c r="BQ5" s="300"/>
      <c r="BR5" s="300"/>
      <c r="BS5" s="301"/>
      <c r="BT5" s="312"/>
      <c r="BU5" s="313"/>
      <c r="BV5" s="311"/>
      <c r="BW5" s="310"/>
      <c r="BY5" s="267" t="str">
        <f>IF('[2]2026 január'!B$4=0,
    "",
    '[2]2026 január'!B$4
)</f>
        <v/>
      </c>
      <c r="BZ5" s="267" t="str">
        <f>IF(OR('[2]2026 január'!G4=0,
       ISBLANK('[2]2026 január'!G4)),
    "",
    '[2]2026 január'!G4
)</f>
        <v/>
      </c>
      <c r="CA5" s="11">
        <f>'[2]2026 január'!W4</f>
        <v>0</v>
      </c>
      <c r="CB5" s="11"/>
      <c r="CC5" s="11"/>
      <c r="CD5" s="10"/>
      <c r="CE5" s="267">
        <f>IF('[2]2026 január'!S4=0,
    "",
    '[2]2026 január'!S4
)</f>
        <v>143114</v>
      </c>
      <c r="CF5" s="267" t="str">
        <f>IF('[2]2026 január'!T4=0,
    "",
    '[2]2026 január'!T4
)</f>
        <v/>
      </c>
      <c r="CG5" s="267" t="str">
        <f>IF('[2]2026 január'!U4=0,
    "",
    '[2]2026 január'!U4
)</f>
        <v/>
      </c>
      <c r="CH5" s="267">
        <f>IF('[2]2026 január'!V4=0,
    "",
    '[2]2026 január'!V4
)</f>
        <v>40000</v>
      </c>
      <c r="CI5" s="267" t="str">
        <f>IF('[2]2026 január'!W4=0,
    "",
    '[2]2026 január'!W4
)</f>
        <v/>
      </c>
      <c r="CJ5" s="267" t="str">
        <f>IF('[2]2026 január'!X4=0,
    "",
    '[2]2026 január'!X4
)</f>
        <v/>
      </c>
      <c r="CK5" s="267">
        <f>IF('[2]2026 január'!Y4=0,
    "",
    '[2]2026 január'!Y4
)</f>
        <v>103114</v>
      </c>
      <c r="CL5" s="270" t="str">
        <f>IF('[2]2026 január'!Z4=0,
    "",
    '[2]2026 január'!Z4
)</f>
        <v/>
      </c>
      <c r="CM5" s="267" t="str">
        <f>IF('[2]2026 január'!AA4=0,
    "",
    '[2]2026 január'!AA4
)</f>
        <v/>
      </c>
      <c r="CN5" s="267" t="str">
        <f>IF('[2]2026 január'!AB4=0,
    "",
    '[2]2026 január'!AB4
)</f>
        <v/>
      </c>
      <c r="CO5" s="267" t="str">
        <f>IF('[2]2026 január'!AC4=0,
    "",
    '[2]2026 január'!AC4
)</f>
        <v/>
      </c>
      <c r="CP5" s="267" t="str">
        <f>IF('[2]2026 január'!AD4=0,
    "",
    '[2]2026 január'!AD4
)</f>
        <v/>
      </c>
      <c r="CQ5" s="220" t="str">
        <f>IF('[2]2026 január'!AE$4=0,
    "",
    '[2]2026 január'!AE$4
)</f>
        <v/>
      </c>
      <c r="CR5" s="220" t="str">
        <f>IF('[2]2026 január'!AF4=0,
    "",
    '[2]2026 január'!AF4
)</f>
        <v/>
      </c>
      <c r="CS5" s="220" t="str">
        <f>IF('[2]2026 január'!AG4=0,
    "",
    '[2]2026 január'!AG4
)</f>
        <v/>
      </c>
      <c r="CT5" s="220" t="str">
        <f>IF('[2]2026 január'!AH4=0,
    "",
    '[2]2026 január'!AH4
)</f>
        <v/>
      </c>
    </row>
    <row r="6" spans="1:98" ht="14.25" customHeight="1">
      <c r="A6" s="141">
        <v>46026</v>
      </c>
      <c r="B6" s="352"/>
      <c r="C6" s="142"/>
      <c r="D6" s="142"/>
      <c r="E6" s="142"/>
      <c r="F6" s="142"/>
      <c r="G6" s="142"/>
      <c r="H6" s="142"/>
      <c r="I6" s="146"/>
      <c r="J6" s="142"/>
      <c r="K6" s="198"/>
      <c r="L6" s="249"/>
      <c r="M6" s="266"/>
      <c r="N6" s="153"/>
      <c r="O6" s="217"/>
      <c r="Q6" s="141">
        <v>46026</v>
      </c>
      <c r="R6" s="352"/>
      <c r="S6" s="142"/>
      <c r="T6" s="142"/>
      <c r="U6" s="142"/>
      <c r="V6" s="142"/>
      <c r="W6" s="142"/>
      <c r="X6" s="142"/>
      <c r="Y6" s="142"/>
      <c r="Z6" s="142"/>
      <c r="AA6" s="143"/>
      <c r="AB6" s="146"/>
      <c r="AC6" s="151"/>
      <c r="AD6" s="153"/>
      <c r="AE6" s="158"/>
      <c r="AG6" s="299">
        <v>46026</v>
      </c>
      <c r="AH6" s="352"/>
      <c r="AI6" s="300"/>
      <c r="AJ6" s="300"/>
      <c r="AK6" s="300"/>
      <c r="AL6" s="300"/>
      <c r="AM6" s="300"/>
      <c r="AN6" s="300"/>
      <c r="AO6" s="300"/>
      <c r="AP6" s="300"/>
      <c r="AQ6" s="301"/>
      <c r="AR6" s="312"/>
      <c r="AS6" s="313"/>
      <c r="AT6" s="304"/>
      <c r="AU6" s="305">
        <v>45661</v>
      </c>
      <c r="AV6" s="306">
        <v>700</v>
      </c>
      <c r="AW6" s="306">
        <v>123630</v>
      </c>
      <c r="AX6" s="306"/>
      <c r="AY6" s="306">
        <v>2435</v>
      </c>
      <c r="AZ6" s="306"/>
      <c r="BA6" s="306"/>
      <c r="BB6" s="306"/>
      <c r="BC6" s="307">
        <v>753</v>
      </c>
      <c r="BD6" s="314">
        <v>253073940</v>
      </c>
      <c r="BE6" s="314">
        <v>373104</v>
      </c>
      <c r="BF6" s="309"/>
      <c r="BG6" s="310"/>
      <c r="BH6" s="291"/>
      <c r="BI6" s="299">
        <v>46026</v>
      </c>
      <c r="BJ6" s="352"/>
      <c r="BK6" s="300"/>
      <c r="BL6" s="300"/>
      <c r="BM6" s="300"/>
      <c r="BN6" s="300"/>
      <c r="BO6" s="300"/>
      <c r="BP6" s="300"/>
      <c r="BQ6" s="300"/>
      <c r="BR6" s="300"/>
      <c r="BS6" s="301"/>
      <c r="BT6" s="312"/>
      <c r="BU6" s="313"/>
      <c r="BV6" s="311"/>
      <c r="BW6" s="310"/>
      <c r="BY6" s="267" t="str">
        <f>IF('[2]2026 január'!B$5=0,
    "",
    '[2]2026 január'!B$5
)</f>
        <v/>
      </c>
      <c r="BZ6" s="267" t="str">
        <f>IF(OR('[2]2026 január'!G5=0,
       ISBLANK('[2]2026 január'!G5)),
    "",
    '[2]2026 január'!G5
)</f>
        <v/>
      </c>
      <c r="CA6" s="11">
        <f>'[2]2026 január'!W5</f>
        <v>0</v>
      </c>
      <c r="CB6" s="11"/>
      <c r="CC6" s="11"/>
      <c r="CD6" s="10"/>
      <c r="CE6" s="267" t="str">
        <f>IF('[2]2026 január'!S5=0,
    "",
    '[2]2026 január'!S5
)</f>
        <v/>
      </c>
      <c r="CF6" s="267" t="str">
        <f>IF('[2]2026 január'!T5=0,
    "",
    '[2]2026 január'!T5
)</f>
        <v/>
      </c>
      <c r="CG6" s="267" t="str">
        <f>IF('[2]2026 január'!U5=0,
    "",
    '[2]2026 január'!U5
)</f>
        <v/>
      </c>
      <c r="CH6" s="267" t="str">
        <f>IF('[2]2026 január'!V5=0,
    "",
    '[2]2026 január'!V5
)</f>
        <v/>
      </c>
      <c r="CI6" s="267" t="str">
        <f>IF('[2]2026 január'!W5=0,
    "",
    '[2]2026 január'!W5
)</f>
        <v/>
      </c>
      <c r="CJ6" s="267" t="str">
        <f>IF('[2]2026 január'!X5=0,
    "",
    '[2]2026 január'!X5
)</f>
        <v/>
      </c>
      <c r="CK6" s="267" t="str">
        <f>IF('[2]2026 január'!Y5=0,
    "",
    '[2]2026 január'!Y5
)</f>
        <v/>
      </c>
      <c r="CL6" s="270" t="str">
        <f>IF('[2]2026 január'!Z5=0,
    "",
    '[2]2026 január'!Z5
)</f>
        <v/>
      </c>
      <c r="CM6" s="267" t="str">
        <f>IF('[2]2026 január'!AA5=0,
    "",
    '[2]2026 január'!AA5
)</f>
        <v/>
      </c>
      <c r="CN6" s="267" t="str">
        <f>IF('[2]2026 január'!AB5=0,
    "",
    '[2]2026 január'!AB5
)</f>
        <v/>
      </c>
      <c r="CO6" s="267" t="str">
        <f>IF('[2]2026 január'!AC5=0,
    "",
    '[2]2026 január'!AC5
)</f>
        <v/>
      </c>
      <c r="CP6" s="267" t="str">
        <f>IF('[2]2026 január'!AD5=0,
    "",
    '[2]2026 január'!AD5
)</f>
        <v/>
      </c>
      <c r="CQ6" s="220" t="str">
        <f>IF('[2]2026 január'!AE$5=0,
    "",
    '[2]2026 január'!AE$5
)</f>
        <v/>
      </c>
      <c r="CR6" s="220" t="str">
        <f>IF('[2]2026 január'!AF5=0,
    "",
    '[2]2026 január'!AF5
)</f>
        <v/>
      </c>
      <c r="CS6" s="220" t="str">
        <f>IF('[2]2026 január'!AG5=0,
    "",
    '[2]2026 január'!AG5
)</f>
        <v/>
      </c>
      <c r="CT6" s="220" t="str">
        <f>IF('[2]2026 január'!AH5=0,
    "",
    '[2]2026 január'!AH5
)</f>
        <v/>
      </c>
    </row>
    <row r="7" spans="1:98" ht="14.25" customHeight="1">
      <c r="A7" s="5">
        <v>46027</v>
      </c>
      <c r="B7" s="353">
        <v>301355</v>
      </c>
      <c r="C7" s="11">
        <v>1200</v>
      </c>
      <c r="D7" s="11">
        <v>276328</v>
      </c>
      <c r="E7" s="11">
        <v>50</v>
      </c>
      <c r="F7" s="11"/>
      <c r="G7" s="11"/>
      <c r="H7" s="11">
        <v>277578</v>
      </c>
      <c r="I7" s="72">
        <v>277578</v>
      </c>
      <c r="J7" s="11">
        <v>1648</v>
      </c>
      <c r="K7" s="33" t="s">
        <v>133</v>
      </c>
      <c r="L7" s="72">
        <v>125380688</v>
      </c>
      <c r="M7" s="260"/>
      <c r="N7" s="148"/>
      <c r="O7" s="214"/>
      <c r="Q7" s="5">
        <v>46027</v>
      </c>
      <c r="R7" s="353">
        <v>432480</v>
      </c>
      <c r="S7" s="11">
        <v>1550</v>
      </c>
      <c r="T7" s="11">
        <v>401645</v>
      </c>
      <c r="U7" s="11">
        <v>0</v>
      </c>
      <c r="V7" s="11">
        <v>0</v>
      </c>
      <c r="W7" s="11">
        <v>4225</v>
      </c>
      <c r="X7" s="11">
        <v>398970</v>
      </c>
      <c r="Y7" s="11">
        <v>398970</v>
      </c>
      <c r="Z7" s="11">
        <v>-110</v>
      </c>
      <c r="AA7" s="38" t="s">
        <v>135</v>
      </c>
      <c r="AB7" s="72">
        <v>153394877</v>
      </c>
      <c r="AC7" s="152"/>
      <c r="AD7" s="148"/>
      <c r="AE7" s="9"/>
      <c r="AG7" s="305">
        <v>46027</v>
      </c>
      <c r="AH7" s="353">
        <v>433425</v>
      </c>
      <c r="AI7" s="306">
        <v>2800</v>
      </c>
      <c r="AJ7" s="306">
        <v>396078</v>
      </c>
      <c r="AK7" s="306"/>
      <c r="AL7" s="306"/>
      <c r="AM7" s="306"/>
      <c r="AN7" s="306">
        <v>398878</v>
      </c>
      <c r="AO7" s="306">
        <v>398878</v>
      </c>
      <c r="AP7" s="306">
        <v>-1557</v>
      </c>
      <c r="AQ7" s="315" t="s">
        <v>229</v>
      </c>
      <c r="AR7" s="316">
        <v>296884456</v>
      </c>
      <c r="AS7" s="317"/>
      <c r="AT7" s="318"/>
      <c r="AU7" s="305">
        <v>45662</v>
      </c>
      <c r="AV7" s="306"/>
      <c r="AW7" s="306"/>
      <c r="AX7" s="306"/>
      <c r="AY7" s="306"/>
      <c r="AZ7" s="306"/>
      <c r="BA7" s="306"/>
      <c r="BB7" s="306"/>
      <c r="BC7" s="307"/>
      <c r="BD7" s="306"/>
      <c r="BE7" s="306"/>
      <c r="BF7" s="309"/>
      <c r="BG7" s="309"/>
      <c r="BH7" s="291"/>
      <c r="BI7" s="305">
        <v>46027</v>
      </c>
      <c r="BJ7" s="353">
        <v>174765</v>
      </c>
      <c r="BK7" s="306">
        <v>850</v>
      </c>
      <c r="BL7" s="306">
        <v>160925</v>
      </c>
      <c r="BM7" s="306"/>
      <c r="BN7" s="306"/>
      <c r="BO7" s="306"/>
      <c r="BP7" s="306">
        <v>161775</v>
      </c>
      <c r="BQ7" s="306">
        <v>161775</v>
      </c>
      <c r="BR7" s="306">
        <v>1850</v>
      </c>
      <c r="BS7" s="315" t="s">
        <v>137</v>
      </c>
      <c r="BT7" s="316">
        <v>166202988</v>
      </c>
      <c r="BU7" s="317"/>
      <c r="BV7" s="319"/>
      <c r="BW7" s="309"/>
      <c r="BY7" s="267">
        <f>IF('[2]2026 január'!B$6=0,
    "",
    '[2]2026 január'!B$6
)</f>
        <v>1342025</v>
      </c>
      <c r="BZ7" s="267" t="str">
        <f>IF(OR('[2]2026 január'!G6=0,
       ISBLANK('[2]2026 január'!G6)),
    "",
    '[2]2026 január'!G6
)</f>
        <v/>
      </c>
      <c r="CA7" s="11">
        <f>'[2]2026 január'!W6</f>
        <v>0</v>
      </c>
      <c r="CB7" s="11"/>
      <c r="CC7" s="11"/>
      <c r="CD7" s="10"/>
      <c r="CE7" s="267">
        <f>IF('[2]2026 január'!S6=0,
    "",
    '[2]2026 január'!S6
)</f>
        <v>103114</v>
      </c>
      <c r="CF7" s="267">
        <f>IF('[2]2026 január'!T6=0,
    "",
    '[2]2026 január'!T6
)</f>
        <v>104824</v>
      </c>
      <c r="CG7" s="267" t="str">
        <f>IF('[2]2026 január'!U6=0,
    "",
    '[2]2026 január'!U6
)</f>
        <v/>
      </c>
      <c r="CH7" s="267">
        <f>IF('[2]2026 január'!V6=0,
    "",
    '[2]2026 január'!V6
)</f>
        <v>14500</v>
      </c>
      <c r="CI7" s="267" t="str">
        <f>IF('[2]2026 január'!W6=0,
    "",
    '[2]2026 január'!W6
)</f>
        <v/>
      </c>
      <c r="CJ7" s="267" t="str">
        <f>IF('[2]2026 január'!X6=0,
    "",
    '[2]2026 január'!X6
)</f>
        <v/>
      </c>
      <c r="CK7" s="267">
        <f>IF('[2]2026 január'!Y6=0,
    "",
    '[2]2026 január'!Y6
)</f>
        <v>193438</v>
      </c>
      <c r="CL7" s="270" t="str">
        <f>IF('[2]2026 január'!Z6=0,
    "",
    '[2]2026 január'!Z6
)</f>
        <v/>
      </c>
      <c r="CM7" s="267" t="str">
        <f>IF('[2]2026 január'!AA6=0,
    "",
    '[2]2026 január'!AA6
)</f>
        <v/>
      </c>
      <c r="CN7" s="267" t="str">
        <f>IF('[2]2026 január'!AB6=0,
    "",
    '[2]2026 január'!AB6
)</f>
        <v/>
      </c>
      <c r="CO7" s="267" t="str">
        <f>IF('[2]2026 január'!AC6=0,
    "",
    '[2]2026 január'!AC6
)</f>
        <v/>
      </c>
      <c r="CP7" s="267" t="str">
        <f>IF('[2]2026 január'!AD6=0,
    "",
    '[2]2026 január'!AD6
)</f>
        <v/>
      </c>
      <c r="CQ7" s="220" t="str">
        <f>IF('[2]2026 január'!AE$6=0,
    "",
    '[2]2026 január'!AE$6
)</f>
        <v/>
      </c>
      <c r="CR7" s="220" t="str">
        <f>IF('[2]2026 január'!AF6=0,
    "",
    '[2]2026 január'!AF6
)</f>
        <v/>
      </c>
      <c r="CS7" s="220" t="str">
        <f>IF('[2]2026 január'!AG6=0,
    "",
    '[2]2026 január'!AG6
)</f>
        <v/>
      </c>
      <c r="CT7" s="220" t="str">
        <f>IF('[2]2026 január'!AH6=0,
    "",
    '[2]2026 január'!AH6
)</f>
        <v/>
      </c>
    </row>
    <row r="8" spans="1:98" ht="14.25" customHeight="1">
      <c r="A8" s="5">
        <v>46028</v>
      </c>
      <c r="B8" s="353">
        <v>426795</v>
      </c>
      <c r="C8" s="11">
        <v>700</v>
      </c>
      <c r="D8" s="11">
        <v>388405</v>
      </c>
      <c r="E8" s="11"/>
      <c r="F8" s="11"/>
      <c r="G8" s="11"/>
      <c r="H8" s="11">
        <v>389105</v>
      </c>
      <c r="I8" s="72">
        <v>389105</v>
      </c>
      <c r="J8" s="11">
        <v>1810</v>
      </c>
      <c r="K8" s="33" t="s">
        <v>230</v>
      </c>
      <c r="L8" s="72">
        <v>125769793</v>
      </c>
      <c r="M8" s="260"/>
      <c r="N8" s="148"/>
      <c r="O8" s="214"/>
      <c r="Q8" s="5">
        <v>46028</v>
      </c>
      <c r="R8" s="353">
        <v>466820</v>
      </c>
      <c r="S8" s="11">
        <v>2600</v>
      </c>
      <c r="T8" s="11">
        <v>431856</v>
      </c>
      <c r="U8" s="11"/>
      <c r="V8" s="11"/>
      <c r="W8" s="11"/>
      <c r="X8" s="11">
        <v>434456</v>
      </c>
      <c r="Y8" s="11">
        <v>434456</v>
      </c>
      <c r="Z8" s="11">
        <v>1006</v>
      </c>
      <c r="AA8" s="38" t="s">
        <v>231</v>
      </c>
      <c r="AB8" s="72">
        <v>153829333</v>
      </c>
      <c r="AC8" s="152"/>
      <c r="AD8" s="148"/>
      <c r="AE8" s="9"/>
      <c r="AG8" s="305">
        <v>46028</v>
      </c>
      <c r="AH8" s="353">
        <v>325960</v>
      </c>
      <c r="AI8" s="306">
        <v>1600</v>
      </c>
      <c r="AJ8" s="306">
        <v>302295</v>
      </c>
      <c r="AK8" s="306"/>
      <c r="AL8" s="306"/>
      <c r="AM8" s="306"/>
      <c r="AN8" s="306">
        <v>303895</v>
      </c>
      <c r="AO8" s="306">
        <v>303895</v>
      </c>
      <c r="AP8" s="306">
        <v>995</v>
      </c>
      <c r="AQ8" s="315" t="s">
        <v>232</v>
      </c>
      <c r="AR8" s="316">
        <v>297188351</v>
      </c>
      <c r="AS8" s="317"/>
      <c r="AT8" s="318"/>
      <c r="AU8" s="305">
        <v>45663</v>
      </c>
      <c r="AV8" s="306"/>
      <c r="AW8" s="306"/>
      <c r="AX8" s="306"/>
      <c r="AY8" s="306"/>
      <c r="AZ8" s="306"/>
      <c r="BA8" s="306"/>
      <c r="BB8" s="306">
        <v>334480</v>
      </c>
      <c r="BC8" s="307"/>
      <c r="BD8" s="306"/>
      <c r="BE8" s="306"/>
      <c r="BF8" s="309"/>
      <c r="BG8" s="309"/>
      <c r="BH8" s="291"/>
      <c r="BI8" s="305">
        <v>46028</v>
      </c>
      <c r="BJ8" s="353">
        <v>237295</v>
      </c>
      <c r="BK8" s="306">
        <v>600</v>
      </c>
      <c r="BL8" s="306">
        <v>221531</v>
      </c>
      <c r="BM8" s="306"/>
      <c r="BN8" s="306"/>
      <c r="BO8" s="306"/>
      <c r="BP8" s="314">
        <v>222131</v>
      </c>
      <c r="BQ8" s="314">
        <v>221011</v>
      </c>
      <c r="BR8" s="306">
        <v>-1584</v>
      </c>
      <c r="BS8" s="315" t="s">
        <v>233</v>
      </c>
      <c r="BT8" s="316">
        <v>166425119</v>
      </c>
      <c r="BU8" s="317"/>
      <c r="BV8" s="319"/>
      <c r="BW8" s="454" t="s">
        <v>162</v>
      </c>
      <c r="BY8" s="267">
        <f>IF('[2]2026 január'!B$7=0,
    "",
    '[2]2026 január'!B$7
)</f>
        <v>1456870</v>
      </c>
      <c r="BZ8" s="267" t="str">
        <f>IF(OR('[2]2026 január'!G7=0,
       ISBLANK('[2]2026 január'!G7)),
    "",
    '[2]2026 január'!G7
)</f>
        <v/>
      </c>
      <c r="CA8" s="11">
        <f>'[2]2026 január'!W7</f>
        <v>0</v>
      </c>
      <c r="CB8" s="11"/>
      <c r="CC8" s="11"/>
      <c r="CD8" s="10"/>
      <c r="CE8" s="267">
        <f>IF('[2]2026 január'!S7=0,
    "",
    '[2]2026 január'!S7
)</f>
        <v>193438</v>
      </c>
      <c r="CF8" s="267">
        <f>IF('[2]2026 január'!T7=0,
    "",
    '[2]2026 január'!T7
)</f>
        <v>108403</v>
      </c>
      <c r="CG8" s="267" t="str">
        <f>IF('[2]2026 január'!U7=0,
    "",
    '[2]2026 január'!U7
)</f>
        <v/>
      </c>
      <c r="CH8" s="267">
        <f>IF('[2]2026 január'!V7=0,
    "",
    '[2]2026 január'!V7
)</f>
        <v>34500</v>
      </c>
      <c r="CI8" s="267" t="str">
        <f>IF('[2]2026 január'!W7=0,
    "",
    '[2]2026 január'!W7
)</f>
        <v/>
      </c>
      <c r="CJ8" s="267" t="str">
        <f>IF('[2]2026 január'!X7=0,
    "",
    '[2]2026 január'!X7
)</f>
        <v/>
      </c>
      <c r="CK8" s="267">
        <f>IF('[2]2026 január'!Y7=0,
    "",
    '[2]2026 január'!Y7
)</f>
        <v>267341</v>
      </c>
      <c r="CL8" s="270" t="str">
        <f>IF('[2]2026 január'!Z7=0,
    "",
    '[2]2026 január'!Z7
)</f>
        <v/>
      </c>
      <c r="CM8" s="267" t="str">
        <f>IF('[2]2026 január'!AA7=0,
    "",
    '[2]2026 január'!AA7
)</f>
        <v/>
      </c>
      <c r="CN8" s="267" t="str">
        <f>IF('[2]2026 január'!AB7=0,
    "",
    '[2]2026 január'!AB7
)</f>
        <v/>
      </c>
      <c r="CO8" s="267" t="str">
        <f>IF('[2]2026 január'!AC7=0,
    "",
    '[2]2026 január'!AC7
)</f>
        <v/>
      </c>
      <c r="CP8" s="267" t="str">
        <f>IF('[2]2026 január'!AD7=0,
    "",
    '[2]2026 január'!AD7
)</f>
        <v/>
      </c>
      <c r="CQ8" s="220" t="str">
        <f>IF('[2]2026 január'!AE$7=0,
    "",
    '[2]2026 január'!AE$7
)</f>
        <v/>
      </c>
      <c r="CR8" s="220" t="str">
        <f>IF('[2]2026 január'!AF7=0,
    "",
    '[2]2026 január'!AF7
)</f>
        <v/>
      </c>
      <c r="CS8" s="220" t="str">
        <f>IF('[2]2026 január'!AG7=0,
    "",
    '[2]2026 január'!AG7
)</f>
        <v/>
      </c>
      <c r="CT8" s="220" t="str">
        <f>IF('[2]2026 január'!AH7=0,
    "",
    '[2]2026 január'!AH7
)</f>
        <v/>
      </c>
    </row>
    <row r="9" spans="1:98" ht="14.25" customHeight="1">
      <c r="A9" s="5">
        <v>46029</v>
      </c>
      <c r="B9" s="353">
        <v>362685</v>
      </c>
      <c r="C9" s="11">
        <v>550</v>
      </c>
      <c r="D9" s="11">
        <v>353505</v>
      </c>
      <c r="E9" s="11"/>
      <c r="F9" s="11"/>
      <c r="G9" s="11"/>
      <c r="H9" s="11">
        <v>354055</v>
      </c>
      <c r="I9" s="72">
        <v>354055</v>
      </c>
      <c r="J9" s="11">
        <v>1465</v>
      </c>
      <c r="K9" s="33" t="s">
        <v>234</v>
      </c>
      <c r="L9" s="72">
        <v>126123848</v>
      </c>
      <c r="M9" s="260"/>
      <c r="N9" s="149"/>
      <c r="O9" s="215"/>
      <c r="P9" s="135"/>
      <c r="Q9" s="5">
        <v>46029</v>
      </c>
      <c r="R9" s="353">
        <v>619580</v>
      </c>
      <c r="S9" s="11">
        <v>3200</v>
      </c>
      <c r="T9" s="11">
        <v>564410</v>
      </c>
      <c r="U9" s="11"/>
      <c r="V9" s="11"/>
      <c r="W9" s="11"/>
      <c r="X9" s="75">
        <v>567610</v>
      </c>
      <c r="Y9" s="75">
        <v>564310</v>
      </c>
      <c r="Z9" s="11">
        <v>-125</v>
      </c>
      <c r="AA9" s="38" t="s">
        <v>235</v>
      </c>
      <c r="AB9" s="72">
        <v>154396943</v>
      </c>
      <c r="AC9" s="152"/>
      <c r="AD9" s="149"/>
      <c r="AE9" s="455" t="s">
        <v>162</v>
      </c>
      <c r="AG9" s="305">
        <v>46029</v>
      </c>
      <c r="AH9" s="353">
        <v>401285</v>
      </c>
      <c r="AI9" s="306">
        <v>1740</v>
      </c>
      <c r="AJ9" s="306">
        <v>381785</v>
      </c>
      <c r="AK9" s="306"/>
      <c r="AL9" s="306"/>
      <c r="AM9" s="306"/>
      <c r="AN9" s="306">
        <v>383525</v>
      </c>
      <c r="AO9" s="306">
        <v>383525</v>
      </c>
      <c r="AP9" s="306">
        <v>0</v>
      </c>
      <c r="AQ9" s="315" t="s">
        <v>236</v>
      </c>
      <c r="AR9" s="316">
        <v>297571876</v>
      </c>
      <c r="AS9" s="317"/>
      <c r="AT9" s="320"/>
      <c r="AU9" s="309"/>
      <c r="AV9" s="309"/>
      <c r="AW9" s="309"/>
      <c r="AX9" s="309"/>
      <c r="AY9" s="309"/>
      <c r="AZ9" s="309"/>
      <c r="BA9" s="309"/>
      <c r="BB9" s="309"/>
      <c r="BC9" s="309"/>
      <c r="BD9" s="309"/>
      <c r="BE9" s="309"/>
      <c r="BF9" s="309"/>
      <c r="BG9" s="309"/>
      <c r="BH9" s="291"/>
      <c r="BI9" s="305">
        <v>46029</v>
      </c>
      <c r="BJ9" s="353">
        <v>167730</v>
      </c>
      <c r="BK9" s="306">
        <v>500</v>
      </c>
      <c r="BL9" s="306">
        <v>165375</v>
      </c>
      <c r="BM9" s="306"/>
      <c r="BN9" s="306"/>
      <c r="BO9" s="306"/>
      <c r="BP9" s="306">
        <v>165875</v>
      </c>
      <c r="BQ9" s="306">
        <v>165875</v>
      </c>
      <c r="BR9" s="306">
        <v>-200</v>
      </c>
      <c r="BS9" s="315" t="s">
        <v>237</v>
      </c>
      <c r="BT9" s="316">
        <v>166590994</v>
      </c>
      <c r="BU9" s="317"/>
      <c r="BV9" s="321"/>
      <c r="BW9" s="309"/>
      <c r="BY9" s="267">
        <f>IF('[2]2026 január'!B$8=0,
    "",
    '[2]2026 január'!B$8
)</f>
        <v>1551280</v>
      </c>
      <c r="BZ9" s="267" t="str">
        <f>IF(OR('[2]2026 január'!G8=0,
       ISBLANK('[2]2026 január'!G8)),
    "",
    '[2]2026 január'!G8
)</f>
        <v/>
      </c>
      <c r="CA9" s="11">
        <f>'[2]2026 január'!W8</f>
        <v>0</v>
      </c>
      <c r="CB9" s="11"/>
      <c r="CC9" s="11"/>
      <c r="CD9" s="10"/>
      <c r="CE9" s="267">
        <f>IF('[2]2026 január'!S8=0,
    "",
    '[2]2026 január'!S8
)</f>
        <v>267341</v>
      </c>
      <c r="CF9" s="267">
        <f>IF('[2]2026 január'!T8=0,
    "",
    '[2]2026 január'!T8
)</f>
        <v>83515</v>
      </c>
      <c r="CG9" s="267" t="str">
        <f>IF('[2]2026 január'!U8=0,
    "",
    '[2]2026 január'!U8
)</f>
        <v/>
      </c>
      <c r="CH9" s="267">
        <f>IF('[2]2026 január'!V8=0,
    "",
    '[2]2026 január'!V8
)</f>
        <v>167500</v>
      </c>
      <c r="CI9" s="267" t="str">
        <f>IF('[2]2026 január'!W8=0,
    "",
    '[2]2026 január'!W8
)</f>
        <v/>
      </c>
      <c r="CJ9" s="267" t="str">
        <f>IF('[2]2026 január'!X8=0,
    "",
    '[2]2026 január'!X8
)</f>
        <v/>
      </c>
      <c r="CK9" s="267">
        <f>IF('[2]2026 január'!Y8=0,
    "",
    '[2]2026 január'!Y8
)</f>
        <v>183356</v>
      </c>
      <c r="CL9" s="270" t="str">
        <f>IF('[2]2026 január'!Z8=0,
    "",
    '[2]2026 január'!Z8
)</f>
        <v/>
      </c>
      <c r="CM9" s="267" t="str">
        <f>IF('[2]2026 január'!AA8=0,
    "",
    '[2]2026 január'!AA8
)</f>
        <v/>
      </c>
      <c r="CN9" s="267" t="str">
        <f>IF('[2]2026 január'!AB8=0,
    "",
    '[2]2026 január'!AB8
)</f>
        <v/>
      </c>
      <c r="CO9" s="267" t="str">
        <f>IF('[2]2026 január'!AC8=0,
    "",
    '[2]2026 január'!AC8
)</f>
        <v/>
      </c>
      <c r="CP9" s="267" t="str">
        <f>IF('[2]2026 január'!AD8=0,
    "",
    '[2]2026 január'!AD8
)</f>
        <v/>
      </c>
      <c r="CQ9" s="220" t="str">
        <f>IF('[2]2026 január'!AE$8=0,
    "",
    '[2]2026 január'!AE$8
)</f>
        <v/>
      </c>
      <c r="CR9" s="220" t="str">
        <f>IF('[2]2026 január'!AF8=0,
    "",
    '[2]2026 január'!AF8
)</f>
        <v/>
      </c>
      <c r="CS9" s="220" t="str">
        <f>IF('[2]2026 január'!AG8=0,
    "",
    '[2]2026 január'!AG8
)</f>
        <v/>
      </c>
      <c r="CT9" s="220" t="str">
        <f>IF('[2]2026 január'!AH8=0,
    "",
    '[2]2026 január'!AH8
)</f>
        <v/>
      </c>
    </row>
    <row r="10" spans="1:98" ht="14.25" customHeight="1">
      <c r="A10" s="5">
        <v>46030</v>
      </c>
      <c r="B10" s="353">
        <v>449045</v>
      </c>
      <c r="C10" s="11">
        <v>1000</v>
      </c>
      <c r="D10" s="11">
        <v>418293</v>
      </c>
      <c r="E10" s="11"/>
      <c r="F10" s="11"/>
      <c r="G10" s="11"/>
      <c r="H10" s="11">
        <v>419293</v>
      </c>
      <c r="I10" s="72">
        <v>419293</v>
      </c>
      <c r="J10" s="11">
        <v>1548</v>
      </c>
      <c r="K10" s="33" t="s">
        <v>238</v>
      </c>
      <c r="L10" s="72">
        <v>126543141</v>
      </c>
      <c r="M10" s="260"/>
      <c r="N10" s="148"/>
      <c r="O10" s="214"/>
      <c r="Q10" s="5">
        <v>46030</v>
      </c>
      <c r="R10" s="353">
        <v>599650</v>
      </c>
      <c r="S10" s="11">
        <v>2550</v>
      </c>
      <c r="T10" s="11">
        <v>556930</v>
      </c>
      <c r="U10" s="11"/>
      <c r="V10" s="11"/>
      <c r="W10" s="11"/>
      <c r="X10" s="11">
        <v>559480</v>
      </c>
      <c r="Y10" s="11">
        <v>559480</v>
      </c>
      <c r="Z10" s="11">
        <v>140</v>
      </c>
      <c r="AA10" s="38" t="s">
        <v>239</v>
      </c>
      <c r="AB10" s="72">
        <v>154956423</v>
      </c>
      <c r="AC10" s="152"/>
      <c r="AD10" s="148"/>
      <c r="AE10" s="9"/>
      <c r="AG10" s="305">
        <v>46030</v>
      </c>
      <c r="AH10" s="353">
        <v>339615</v>
      </c>
      <c r="AI10" s="306">
        <v>1000</v>
      </c>
      <c r="AJ10" s="306">
        <v>312300</v>
      </c>
      <c r="AK10" s="306"/>
      <c r="AL10" s="306"/>
      <c r="AM10" s="306"/>
      <c r="AN10" s="306">
        <v>313300</v>
      </c>
      <c r="AO10" s="306">
        <v>313300</v>
      </c>
      <c r="AP10" s="306">
        <v>-775</v>
      </c>
      <c r="AQ10" s="315" t="s">
        <v>240</v>
      </c>
      <c r="AR10" s="316">
        <v>297885176</v>
      </c>
      <c r="AS10" s="317"/>
      <c r="AT10" s="318"/>
      <c r="AU10" s="309"/>
      <c r="AV10" s="309"/>
      <c r="AW10" s="309"/>
      <c r="AX10" s="309"/>
      <c r="AY10" s="309"/>
      <c r="AZ10" s="309"/>
      <c r="BA10" s="309"/>
      <c r="BB10" s="309"/>
      <c r="BC10" s="309"/>
      <c r="BD10" s="309"/>
      <c r="BE10" s="309"/>
      <c r="BF10" s="309"/>
      <c r="BG10" s="309"/>
      <c r="BH10" s="291"/>
      <c r="BI10" s="305">
        <v>46030</v>
      </c>
      <c r="BJ10" s="353">
        <v>274035</v>
      </c>
      <c r="BK10" s="306">
        <v>1700</v>
      </c>
      <c r="BL10" s="306">
        <v>264665</v>
      </c>
      <c r="BM10" s="306"/>
      <c r="BN10" s="306"/>
      <c r="BO10" s="306"/>
      <c r="BP10" s="306">
        <v>266365</v>
      </c>
      <c r="BQ10" s="306">
        <v>266365</v>
      </c>
      <c r="BR10" s="306">
        <v>-1045</v>
      </c>
      <c r="BS10" s="315" t="s">
        <v>241</v>
      </c>
      <c r="BT10" s="316">
        <v>166857359</v>
      </c>
      <c r="BU10" s="317"/>
      <c r="BV10" s="319"/>
      <c r="BW10" s="309"/>
      <c r="BY10" s="267">
        <f>IF('[2]2026 január'!B$9=0,
    "",
    '[2]2026 január'!B$9
)</f>
        <v>1662345</v>
      </c>
      <c r="BZ10" s="267" t="str">
        <f>IF(OR('[2]2026 január'!G9=0,
       ISBLANK('[2]2026 január'!G9)),
    "",
    '[2]2026 január'!G9
)</f>
        <v/>
      </c>
      <c r="CA10" s="11">
        <f>'[2]2026 január'!W9</f>
        <v>50000</v>
      </c>
      <c r="CB10" s="11"/>
      <c r="CC10" s="11"/>
      <c r="CD10" s="10"/>
      <c r="CE10" s="267">
        <f>IF('[2]2026 január'!S9=0,
    "",
    '[2]2026 január'!S9
)</f>
        <v>183356</v>
      </c>
      <c r="CF10" s="267">
        <f>IF('[2]2026 január'!T9=0,
    "",
    '[2]2026 január'!T9
)</f>
        <v>103907</v>
      </c>
      <c r="CG10" s="267" t="str">
        <f>IF('[2]2026 január'!U9=0,
    "",
    '[2]2026 január'!U9
)</f>
        <v/>
      </c>
      <c r="CH10" s="267">
        <f>IF('[2]2026 január'!V9=0,
    "",
    '[2]2026 január'!V9
)</f>
        <v>68000</v>
      </c>
      <c r="CI10" s="267">
        <f>IF('[2]2026 január'!W9=0,
    "",
    '[2]2026 január'!W9
)</f>
        <v>50000</v>
      </c>
      <c r="CJ10" s="267" t="str">
        <f>IF('[2]2026 január'!X9=0,
    "",
    '[2]2026 január'!X9
)</f>
        <v/>
      </c>
      <c r="CK10" s="267">
        <f>IF('[2]2026 január'!Y9=0,
    "",
    '[2]2026 január'!Y9
)</f>
        <v>169263</v>
      </c>
      <c r="CL10" s="270" t="str">
        <f>IF('[2]2026 január'!Z9=0,
    "",
    '[2]2026 január'!Z9
)</f>
        <v/>
      </c>
      <c r="CM10" s="267" t="str">
        <f>IF('[2]2026 január'!AA9=0,
    "",
    '[2]2026 január'!AA9
)</f>
        <v/>
      </c>
      <c r="CN10" s="267" t="str">
        <f>IF('[2]2026 január'!AB9=0,
    "",
    '[2]2026 január'!AB9
)</f>
        <v/>
      </c>
      <c r="CO10" s="267" t="str">
        <f>IF('[2]2026 január'!AC9=0,
    "",
    '[2]2026 január'!AC9
)</f>
        <v/>
      </c>
      <c r="CP10" s="267" t="str">
        <f>IF('[2]2026 január'!AD9=0,
    "",
    '[2]2026 január'!AD9
)</f>
        <v/>
      </c>
      <c r="CQ10" s="220" t="str">
        <f>IF('[2]2026 január'!AE$9=0,
    "",
    '[2]2026 január'!AE$9
)</f>
        <v/>
      </c>
      <c r="CR10" s="220" t="str">
        <f>IF('[2]2026 január'!AF9=0,
    "",
    '[2]2026 január'!AF9
)</f>
        <v/>
      </c>
      <c r="CS10" s="220" t="str">
        <f>IF('[2]2026 január'!AG9=0,
    "",
    '[2]2026 január'!AG9
)</f>
        <v/>
      </c>
      <c r="CT10" s="220" t="str">
        <f>IF('[2]2026 január'!AH9=0,
    "",
    '[2]2026 január'!AH9
)</f>
        <v/>
      </c>
    </row>
    <row r="11" spans="1:98" ht="14.25" customHeight="1">
      <c r="A11" s="5">
        <v>46031</v>
      </c>
      <c r="B11" s="353">
        <v>398750</v>
      </c>
      <c r="C11" s="11">
        <v>900</v>
      </c>
      <c r="D11" s="11">
        <v>376820</v>
      </c>
      <c r="E11" s="11"/>
      <c r="F11" s="11"/>
      <c r="G11" s="11"/>
      <c r="H11" s="11">
        <v>377720</v>
      </c>
      <c r="I11" s="72">
        <v>377720</v>
      </c>
      <c r="J11" s="11">
        <v>1740</v>
      </c>
      <c r="K11" s="33" t="s">
        <v>242</v>
      </c>
      <c r="L11" s="72">
        <v>126920861</v>
      </c>
      <c r="M11" s="260"/>
      <c r="N11" s="148"/>
      <c r="O11" s="214"/>
      <c r="Q11" s="5">
        <v>46031</v>
      </c>
      <c r="R11" s="353">
        <v>583625</v>
      </c>
      <c r="S11" s="11">
        <v>3000</v>
      </c>
      <c r="T11" s="11">
        <v>547935</v>
      </c>
      <c r="U11" s="11"/>
      <c r="V11" s="11"/>
      <c r="W11" s="11"/>
      <c r="X11" s="75">
        <v>550935</v>
      </c>
      <c r="Y11" s="75">
        <v>554235</v>
      </c>
      <c r="Z11" s="11">
        <v>480</v>
      </c>
      <c r="AA11" s="38" t="s">
        <v>243</v>
      </c>
      <c r="AB11" s="72">
        <v>155507358</v>
      </c>
      <c r="AC11" s="152"/>
      <c r="AD11" s="148"/>
      <c r="AE11" s="455" t="s">
        <v>162</v>
      </c>
      <c r="AG11" s="305">
        <v>46031</v>
      </c>
      <c r="AH11" s="353">
        <v>303390</v>
      </c>
      <c r="AI11" s="306">
        <v>1600</v>
      </c>
      <c r="AJ11" s="306">
        <v>285333</v>
      </c>
      <c r="AK11" s="306"/>
      <c r="AL11" s="306"/>
      <c r="AM11" s="306"/>
      <c r="AN11" s="306">
        <v>286933</v>
      </c>
      <c r="AO11" s="306">
        <v>286933</v>
      </c>
      <c r="AP11" s="306">
        <v>-602</v>
      </c>
      <c r="AQ11" s="315" t="s">
        <v>244</v>
      </c>
      <c r="AR11" s="316">
        <v>298172109</v>
      </c>
      <c r="AS11" s="317"/>
      <c r="AT11" s="318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  <c r="BE11" s="309"/>
      <c r="BF11" s="309"/>
      <c r="BG11" s="309"/>
      <c r="BH11" s="291"/>
      <c r="BI11" s="305">
        <v>46031</v>
      </c>
      <c r="BJ11" s="353">
        <v>184070</v>
      </c>
      <c r="BK11" s="306">
        <v>950</v>
      </c>
      <c r="BL11" s="306">
        <v>171500</v>
      </c>
      <c r="BM11" s="306"/>
      <c r="BN11" s="306"/>
      <c r="BO11" s="306"/>
      <c r="BP11" s="314">
        <v>172450</v>
      </c>
      <c r="BQ11" s="314">
        <v>173570</v>
      </c>
      <c r="BR11" s="306">
        <v>1970</v>
      </c>
      <c r="BS11" s="315" t="s">
        <v>245</v>
      </c>
      <c r="BT11" s="316">
        <v>167029809</v>
      </c>
      <c r="BU11" s="317"/>
      <c r="BV11" s="319"/>
      <c r="BW11" s="454" t="s">
        <v>162</v>
      </c>
      <c r="BY11" s="267">
        <f>IF('[2]2026 január'!B$10=0,
    "",
    '[2]2026 január'!B$10
)</f>
        <v>1469835</v>
      </c>
      <c r="BZ11" s="267" t="str">
        <f>IF(OR('[2]2026 január'!G10=0,
       ISBLANK('[2]2026 január'!G10)),
    "",
    '[2]2026 január'!G10
)</f>
        <v/>
      </c>
      <c r="CA11" s="11">
        <f>'[2]2026 január'!W10</f>
        <v>0</v>
      </c>
      <c r="CB11" s="11"/>
      <c r="CC11" s="11"/>
      <c r="CD11" s="10"/>
      <c r="CE11" s="267">
        <f>IF('[2]2026 január'!S10=0,
    "",
    '[2]2026 január'!S10
)</f>
        <v>169263</v>
      </c>
      <c r="CF11" s="267">
        <f>IF('[2]2026 január'!T10=0,
    "",
    '[2]2026 január'!T10
)</f>
        <v>77377</v>
      </c>
      <c r="CG11" s="267" t="str">
        <f>IF('[2]2026 január'!U10=0,
    "",
    '[2]2026 január'!U10
)</f>
        <v/>
      </c>
      <c r="CH11" s="267">
        <f>IF('[2]2026 január'!V10=0,
    "",
    '[2]2026 január'!V10
)</f>
        <v>33000</v>
      </c>
      <c r="CI11" s="267" t="str">
        <f>IF('[2]2026 január'!W10=0,
    "",
    '[2]2026 január'!W10
)</f>
        <v/>
      </c>
      <c r="CJ11" s="267" t="str">
        <f>IF('[2]2026 január'!X10=0,
    "",
    '[2]2026 január'!X10
)</f>
        <v/>
      </c>
      <c r="CK11" s="267">
        <f>IF('[2]2026 január'!Y10=0,
    "",
    '[2]2026 január'!Y10
)</f>
        <v>213640</v>
      </c>
      <c r="CL11" s="270" t="str">
        <f>IF('[2]2026 január'!Z10=0,
    "",
    '[2]2026 január'!Z10
)</f>
        <v/>
      </c>
      <c r="CM11" s="267" t="str">
        <f>IF('[2]2026 január'!AA10=0,
    "",
    '[2]2026 január'!AA10
)</f>
        <v/>
      </c>
      <c r="CN11" s="267" t="str">
        <f>IF('[2]2026 január'!AB10=0,
    "",
    '[2]2026 január'!AB10
)</f>
        <v/>
      </c>
      <c r="CO11" s="267" t="str">
        <f>IF('[2]2026 január'!AC10=0,
    "",
    '[2]2026 január'!AC10
)</f>
        <v/>
      </c>
      <c r="CP11" s="267" t="str">
        <f>IF('[2]2026 január'!AD10=0,
    "",
    '[2]2026 január'!AD10
)</f>
        <v/>
      </c>
      <c r="CQ11" s="220" t="str">
        <f>IF('[2]2026 január'!AE$10=0,
    "",
    '[2]2026 január'!AE$10
)</f>
        <v/>
      </c>
      <c r="CR11" s="220" t="str">
        <f>IF('[2]2026 január'!AF10=0,
    "",
    '[2]2026 január'!AF10
)</f>
        <v/>
      </c>
      <c r="CS11" s="220" t="str">
        <f>IF('[2]2026 január'!AG10=0,
    "",
    '[2]2026 január'!AG10
)</f>
        <v/>
      </c>
      <c r="CT11" s="220" t="str">
        <f>IF('[2]2026 január'!AH10=0,
    "",
    '[2]2026 január'!AH10
)</f>
        <v/>
      </c>
    </row>
    <row r="12" spans="1:98" ht="14.25" customHeight="1">
      <c r="A12" s="141">
        <v>46032</v>
      </c>
      <c r="B12" s="352">
        <v>398665</v>
      </c>
      <c r="C12" s="142">
        <v>650</v>
      </c>
      <c r="D12" s="142">
        <v>368303</v>
      </c>
      <c r="E12" s="142">
        <v>50</v>
      </c>
      <c r="F12" s="142"/>
      <c r="G12" s="142"/>
      <c r="H12" s="142">
        <v>368953</v>
      </c>
      <c r="I12" s="146">
        <v>0</v>
      </c>
      <c r="J12" s="142">
        <v>588</v>
      </c>
      <c r="K12" s="198" t="s">
        <v>246</v>
      </c>
      <c r="L12" s="146">
        <v>127289814</v>
      </c>
      <c r="M12" s="266"/>
      <c r="N12" s="153"/>
      <c r="O12" s="217"/>
      <c r="Q12" s="141">
        <v>46032</v>
      </c>
      <c r="R12" s="352">
        <v>459755</v>
      </c>
      <c r="S12" s="142">
        <v>1705</v>
      </c>
      <c r="T12" s="142">
        <v>439270</v>
      </c>
      <c r="U12" s="142"/>
      <c r="V12" s="142"/>
      <c r="W12" s="142"/>
      <c r="X12" s="142">
        <v>440975</v>
      </c>
      <c r="Y12" s="142">
        <v>440975</v>
      </c>
      <c r="Z12" s="142">
        <v>-1145</v>
      </c>
      <c r="AA12" s="143" t="s">
        <v>247</v>
      </c>
      <c r="AB12" s="146">
        <v>155948333</v>
      </c>
      <c r="AC12" s="151"/>
      <c r="AD12" s="153"/>
      <c r="AE12" s="158"/>
      <c r="AG12" s="299">
        <v>46032</v>
      </c>
      <c r="AH12" s="352">
        <v>284235</v>
      </c>
      <c r="AI12" s="300">
        <v>1000</v>
      </c>
      <c r="AJ12" s="300">
        <v>273915</v>
      </c>
      <c r="AK12" s="300"/>
      <c r="AL12" s="300"/>
      <c r="AM12" s="300"/>
      <c r="AN12" s="300">
        <v>274915</v>
      </c>
      <c r="AO12" s="300">
        <v>274915</v>
      </c>
      <c r="AP12" s="300">
        <v>-820</v>
      </c>
      <c r="AQ12" s="301" t="s">
        <v>248</v>
      </c>
      <c r="AR12" s="312">
        <v>298447024</v>
      </c>
      <c r="AS12" s="313"/>
      <c r="AT12" s="304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  <c r="BE12" s="309"/>
      <c r="BF12" s="309"/>
      <c r="BG12" s="310"/>
      <c r="BH12" s="291"/>
      <c r="BI12" s="299">
        <v>46032</v>
      </c>
      <c r="BJ12" s="352">
        <v>246665</v>
      </c>
      <c r="BK12" s="300">
        <v>1100</v>
      </c>
      <c r="BL12" s="300">
        <v>234385</v>
      </c>
      <c r="BM12" s="300"/>
      <c r="BN12" s="300">
        <v>50</v>
      </c>
      <c r="BO12" s="300"/>
      <c r="BP12" s="300">
        <v>235535</v>
      </c>
      <c r="BQ12" s="300">
        <v>235535</v>
      </c>
      <c r="BR12" s="300">
        <v>-1965</v>
      </c>
      <c r="BS12" s="301" t="s">
        <v>249</v>
      </c>
      <c r="BT12" s="312">
        <v>167029809</v>
      </c>
      <c r="BU12" s="313"/>
      <c r="BV12" s="311"/>
      <c r="BW12" s="310"/>
      <c r="BY12" s="267">
        <f>IF('[2]2026 január'!B$11=0,
    "",
    '[2]2026 január'!B$11
)</f>
        <v>1389320</v>
      </c>
      <c r="BZ12" s="267" t="str">
        <f>IF(OR('[2]2026 január'!G11=0,
       ISBLANK('[2]2026 január'!G11)),
    "",
    '[2]2026 január'!G11
)</f>
        <v/>
      </c>
      <c r="CA12" s="11">
        <f>'[2]2026 január'!W11</f>
        <v>0</v>
      </c>
      <c r="CB12" s="11"/>
      <c r="CC12" s="11"/>
      <c r="CD12" s="10"/>
      <c r="CE12" s="267">
        <f>IF('[2]2026 január'!S11=0,
    "",
    '[2]2026 január'!S11
)</f>
        <v>213640</v>
      </c>
      <c r="CF12" s="267">
        <f>IF('[2]2026 január'!T11=0,
    "",
    '[2]2026 január'!T11
)</f>
        <v>68942</v>
      </c>
      <c r="CG12" s="267">
        <f>IF('[2]2026 január'!U11=0,
    "",
    '[2]2026 január'!U11
)</f>
        <v>100000</v>
      </c>
      <c r="CH12" s="267">
        <f>IF('[2]2026 január'!V11=0,
    "",
    '[2]2026 január'!V11
)</f>
        <v>110000</v>
      </c>
      <c r="CI12" s="267" t="str">
        <f>IF('[2]2026 január'!W11=0,
    "",
    '[2]2026 január'!W11
)</f>
        <v/>
      </c>
      <c r="CJ12" s="267" t="str">
        <f>IF('[2]2026 január'!X11=0,
    "",
    '[2]2026 január'!X11
)</f>
        <v/>
      </c>
      <c r="CK12" s="267">
        <f>IF('[2]2026 január'!Y11=0,
    "",
    '[2]2026 január'!Y11
)</f>
        <v>272582</v>
      </c>
      <c r="CL12" s="270" t="str">
        <f>IF('[2]2026 január'!Z11=0,
    "",
    '[2]2026 január'!Z11
)</f>
        <v/>
      </c>
      <c r="CM12" s="267" t="str">
        <f>IF('[2]2026 január'!AA11=0,
    "",
    '[2]2026 január'!AA11
)</f>
        <v/>
      </c>
      <c r="CN12" s="267" t="str">
        <f>IF('[2]2026 január'!AB11=0,
    "",
    '[2]2026 január'!AB11
)</f>
        <v/>
      </c>
      <c r="CO12" s="267" t="str">
        <f>IF('[2]2026 január'!AC11=0,
    "",
    '[2]2026 január'!AC11
)</f>
        <v/>
      </c>
      <c r="CP12" s="267" t="str">
        <f>IF('[2]2026 január'!AD11=0,
    "",
    '[2]2026 január'!AD11
)</f>
        <v/>
      </c>
      <c r="CQ12" s="220" t="str">
        <f>IF('[2]2026 január'!AE$11=0,
    "",
    '[2]2026 január'!AE$11
)</f>
        <v/>
      </c>
      <c r="CR12" s="220" t="str">
        <f>IF('[2]2026 január'!AF11=0,
    "",
    '[2]2026 január'!AF11
)</f>
        <v/>
      </c>
      <c r="CS12" s="220" t="str">
        <f>IF('[2]2026 január'!AG11=0,
    "",
    '[2]2026 január'!AG11
)</f>
        <v/>
      </c>
      <c r="CT12" s="220" t="str">
        <f>IF('[2]2026 január'!AH11=0,
    "",
    '[2]2026 január'!AH11
)</f>
        <v/>
      </c>
    </row>
    <row r="13" spans="1:98" ht="14.25" customHeight="1">
      <c r="A13" s="141">
        <v>46033</v>
      </c>
      <c r="B13" s="352"/>
      <c r="C13" s="142"/>
      <c r="D13" s="142"/>
      <c r="E13" s="142"/>
      <c r="F13" s="142"/>
      <c r="G13" s="142"/>
      <c r="H13" s="142"/>
      <c r="I13" s="146"/>
      <c r="J13" s="142"/>
      <c r="K13" s="198"/>
      <c r="L13" s="249"/>
      <c r="M13" s="266"/>
      <c r="N13" s="153"/>
      <c r="O13" s="217"/>
      <c r="Q13" s="141">
        <v>46033</v>
      </c>
      <c r="R13" s="352"/>
      <c r="S13" s="142"/>
      <c r="T13" s="142"/>
      <c r="U13" s="142"/>
      <c r="V13" s="142"/>
      <c r="W13" s="142"/>
      <c r="X13" s="142"/>
      <c r="Y13" s="142"/>
      <c r="Z13" s="142"/>
      <c r="AA13" s="143"/>
      <c r="AB13" s="146"/>
      <c r="AC13" s="151"/>
      <c r="AD13" s="153"/>
      <c r="AE13" s="158"/>
      <c r="AG13" s="299">
        <v>46033</v>
      </c>
      <c r="AH13" s="352"/>
      <c r="AI13" s="300"/>
      <c r="AJ13" s="300"/>
      <c r="AK13" s="300"/>
      <c r="AL13" s="300"/>
      <c r="AM13" s="300"/>
      <c r="AN13" s="300"/>
      <c r="AO13" s="300"/>
      <c r="AP13" s="300"/>
      <c r="AQ13" s="301"/>
      <c r="AR13" s="312"/>
      <c r="AS13" s="313"/>
      <c r="AT13" s="304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  <c r="BE13" s="309"/>
      <c r="BF13" s="309"/>
      <c r="BG13" s="310"/>
      <c r="BH13" s="291"/>
      <c r="BI13" s="299">
        <v>46033</v>
      </c>
      <c r="BJ13" s="352"/>
      <c r="BK13" s="300"/>
      <c r="BL13" s="300"/>
      <c r="BM13" s="300"/>
      <c r="BN13" s="300"/>
      <c r="BO13" s="300"/>
      <c r="BP13" s="300"/>
      <c r="BQ13" s="300"/>
      <c r="BR13" s="300"/>
      <c r="BS13" s="301"/>
      <c r="BT13" s="312"/>
      <c r="BU13" s="313"/>
      <c r="BV13" s="311"/>
      <c r="BW13" s="310"/>
      <c r="BY13" s="267" t="str">
        <f>IF('[2]2026 január'!B$12=0,
    "",
    '[2]2026 január'!B$12
)</f>
        <v/>
      </c>
      <c r="BZ13" s="267" t="str">
        <f>IF(OR('[2]2026 január'!G12=0,
       ISBLANK('[2]2026 január'!G12)),
    "",
    '[2]2026 január'!G12
)</f>
        <v/>
      </c>
      <c r="CA13" s="11">
        <f>'[2]2026 január'!W12</f>
        <v>0</v>
      </c>
      <c r="CB13" s="11"/>
      <c r="CC13" s="11"/>
      <c r="CD13" s="10"/>
      <c r="CE13" s="267" t="str">
        <f>IF('[2]2026 január'!S12=0,
    "",
    '[2]2026 január'!S12
)</f>
        <v/>
      </c>
      <c r="CF13" s="267" t="str">
        <f>IF('[2]2026 január'!T12=0,
    "",
    '[2]2026 január'!T12
)</f>
        <v/>
      </c>
      <c r="CG13" s="267" t="str">
        <f>IF('[2]2026 január'!U12=0,
    "",
    '[2]2026 január'!U12
)</f>
        <v/>
      </c>
      <c r="CH13" s="267" t="str">
        <f>IF('[2]2026 január'!V12=0,
    "",
    '[2]2026 január'!V12
)</f>
        <v/>
      </c>
      <c r="CI13" s="267" t="str">
        <f>IF('[2]2026 január'!W12=0,
    "",
    '[2]2026 január'!W12
)</f>
        <v/>
      </c>
      <c r="CJ13" s="267" t="str">
        <f>IF('[2]2026 január'!X12=0,
    "",
    '[2]2026 január'!X12
)</f>
        <v/>
      </c>
      <c r="CK13" s="267" t="str">
        <f>IF('[2]2026 január'!Y12=0,
    "",
    '[2]2026 január'!Y12
)</f>
        <v/>
      </c>
      <c r="CL13" s="270" t="str">
        <f>IF('[2]2026 január'!Z12=0,
    "",
    '[2]2026 január'!Z12
)</f>
        <v/>
      </c>
      <c r="CM13" s="267" t="str">
        <f>IF('[2]2026 január'!AA12=0,
    "",
    '[2]2026 január'!AA12
)</f>
        <v/>
      </c>
      <c r="CN13" s="267" t="str">
        <f>IF('[2]2026 január'!AB12=0,
    "",
    '[2]2026 január'!AB12
)</f>
        <v/>
      </c>
      <c r="CO13" s="267" t="str">
        <f>IF('[2]2026 január'!AC12=0,
    "",
    '[2]2026 január'!AC12
)</f>
        <v/>
      </c>
      <c r="CP13" s="267" t="str">
        <f>IF('[2]2026 január'!AD12=0,
    "",
    '[2]2026 január'!AD12
)</f>
        <v/>
      </c>
      <c r="CQ13" s="220" t="str">
        <f>IF('[2]2026 január'!AE$12=0,
    "",
    '[2]2026 január'!AE$12
)</f>
        <v/>
      </c>
      <c r="CR13" s="220" t="str">
        <f>IF('[2]2026 január'!AF12=0,
    "",
    '[2]2026 január'!AF12
)</f>
        <v/>
      </c>
      <c r="CS13" s="220" t="str">
        <f>IF('[2]2026 január'!AG12=0,
    "",
    '[2]2026 január'!AG12
)</f>
        <v/>
      </c>
      <c r="CT13" s="220" t="str">
        <f>IF('[2]2026 január'!AH12=0,
    "",
    '[2]2026 január'!AH12
)</f>
        <v/>
      </c>
    </row>
    <row r="14" spans="1:98" ht="14.25" customHeight="1">
      <c r="A14" s="141"/>
      <c r="B14" s="352"/>
      <c r="C14" s="142"/>
      <c r="D14" s="142"/>
      <c r="E14" s="142"/>
      <c r="F14" s="142"/>
      <c r="G14" s="142"/>
      <c r="H14" s="142"/>
      <c r="I14" s="146"/>
      <c r="J14" s="142"/>
      <c r="K14" s="198"/>
      <c r="L14" s="249"/>
      <c r="M14" s="266"/>
      <c r="N14" s="153"/>
      <c r="O14" s="217"/>
      <c r="Q14" s="141">
        <v>46034</v>
      </c>
      <c r="R14" s="352"/>
      <c r="S14" s="142">
        <v>0</v>
      </c>
      <c r="T14" s="142">
        <v>0</v>
      </c>
      <c r="U14" s="142"/>
      <c r="V14" s="142"/>
      <c r="W14" s="142"/>
      <c r="X14" s="142">
        <v>0</v>
      </c>
      <c r="Y14" s="142">
        <v>0</v>
      </c>
      <c r="Z14" s="142"/>
      <c r="AA14" s="143" t="s">
        <v>250</v>
      </c>
      <c r="AB14" s="146">
        <v>155948333</v>
      </c>
      <c r="AC14" s="151"/>
      <c r="AD14" s="153"/>
      <c r="AE14" s="158"/>
      <c r="AG14" s="299"/>
      <c r="AH14" s="352"/>
      <c r="AI14" s="300"/>
      <c r="AJ14" s="300"/>
      <c r="AK14" s="300"/>
      <c r="AL14" s="300"/>
      <c r="AM14" s="300"/>
      <c r="AN14" s="300"/>
      <c r="AO14" s="300"/>
      <c r="AP14" s="300"/>
      <c r="AQ14" s="301"/>
      <c r="AR14" s="312"/>
      <c r="AS14" s="313"/>
      <c r="AT14" s="304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  <c r="BE14" s="309"/>
      <c r="BF14" s="309"/>
      <c r="BG14" s="310"/>
      <c r="BH14" s="291"/>
      <c r="BI14" s="299"/>
      <c r="BJ14" s="352"/>
      <c r="BK14" s="300"/>
      <c r="BL14" s="300"/>
      <c r="BM14" s="300"/>
      <c r="BN14" s="300"/>
      <c r="BO14" s="300"/>
      <c r="BP14" s="300"/>
      <c r="BQ14" s="300"/>
      <c r="BR14" s="300"/>
      <c r="BS14" s="301"/>
      <c r="BT14" s="312"/>
      <c r="BU14" s="313"/>
      <c r="BV14" s="311"/>
      <c r="BW14" s="310"/>
      <c r="BZ14" s="267"/>
      <c r="CA14" s="11"/>
      <c r="CB14" s="11"/>
      <c r="CC14" s="11"/>
      <c r="CD14" s="10"/>
      <c r="CE14" s="267"/>
      <c r="CF14" s="267"/>
      <c r="CG14" s="267"/>
      <c r="CH14" s="267"/>
      <c r="CI14" s="267"/>
      <c r="CJ14" s="267"/>
      <c r="CK14" s="267"/>
      <c r="CL14" s="270"/>
      <c r="CM14" s="267"/>
      <c r="CN14" s="267"/>
      <c r="CO14" s="267"/>
      <c r="CP14" s="267"/>
      <c r="CQ14" s="220"/>
      <c r="CR14" s="220"/>
      <c r="CS14" s="220"/>
      <c r="CT14" s="220"/>
    </row>
    <row r="15" spans="1:98" ht="14.25" customHeight="1">
      <c r="A15" s="5">
        <v>46034</v>
      </c>
      <c r="B15" s="353">
        <v>394565</v>
      </c>
      <c r="C15" s="11">
        <v>550</v>
      </c>
      <c r="D15" s="11">
        <v>373110</v>
      </c>
      <c r="E15" s="11"/>
      <c r="F15" s="11"/>
      <c r="G15" s="11"/>
      <c r="H15" s="75">
        <v>373660</v>
      </c>
      <c r="I15" s="401">
        <v>372253</v>
      </c>
      <c r="J15" s="11">
        <v>-277</v>
      </c>
      <c r="K15" s="33" t="s">
        <v>251</v>
      </c>
      <c r="L15" s="72">
        <v>127663474</v>
      </c>
      <c r="M15" s="260"/>
      <c r="N15" s="148"/>
      <c r="O15" s="456" t="s">
        <v>162</v>
      </c>
      <c r="Q15" s="5">
        <v>46034</v>
      </c>
      <c r="R15" s="353">
        <v>558870</v>
      </c>
      <c r="S15" s="11">
        <v>1900</v>
      </c>
      <c r="T15" s="11">
        <v>526970</v>
      </c>
      <c r="U15" s="11"/>
      <c r="V15" s="11"/>
      <c r="W15" s="11"/>
      <c r="X15" s="11">
        <v>528870</v>
      </c>
      <c r="Y15" s="11">
        <v>528870</v>
      </c>
      <c r="Z15" s="11">
        <v>-1155</v>
      </c>
      <c r="AA15" s="38" t="s">
        <v>252</v>
      </c>
      <c r="AB15" s="72">
        <v>156477203</v>
      </c>
      <c r="AC15" s="152"/>
      <c r="AD15" s="148"/>
      <c r="AE15" s="9"/>
      <c r="AG15" s="305">
        <v>46034</v>
      </c>
      <c r="AH15" s="353">
        <v>369810</v>
      </c>
      <c r="AI15" s="306">
        <v>1650</v>
      </c>
      <c r="AJ15" s="306">
        <v>350010</v>
      </c>
      <c r="AK15" s="306"/>
      <c r="AL15" s="306"/>
      <c r="AM15" s="306"/>
      <c r="AN15" s="306">
        <v>351660</v>
      </c>
      <c r="AO15" s="306">
        <v>351660</v>
      </c>
      <c r="AP15" s="306">
        <v>7050</v>
      </c>
      <c r="AQ15" s="315" t="s">
        <v>253</v>
      </c>
      <c r="AR15" s="316">
        <v>298798684</v>
      </c>
      <c r="AS15" s="317"/>
      <c r="AT15" s="318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  <c r="BE15" s="309"/>
      <c r="BF15" s="309"/>
      <c r="BG15" s="309"/>
      <c r="BH15" s="291"/>
      <c r="BI15" s="305">
        <v>46034</v>
      </c>
      <c r="BJ15" s="353">
        <v>178010</v>
      </c>
      <c r="BK15" s="306">
        <v>950</v>
      </c>
      <c r="BL15" s="306">
        <v>161135</v>
      </c>
      <c r="BM15" s="306"/>
      <c r="BN15" s="306">
        <v>50</v>
      </c>
      <c r="BO15" s="306"/>
      <c r="BP15" s="314">
        <v>162135</v>
      </c>
      <c r="BQ15" s="314">
        <v>160220</v>
      </c>
      <c r="BR15" s="306">
        <v>-3345</v>
      </c>
      <c r="BS15" s="315" t="s">
        <v>254</v>
      </c>
      <c r="BT15" s="316">
        <v>167427479</v>
      </c>
      <c r="BU15" s="317"/>
      <c r="BV15" s="319"/>
      <c r="BW15" s="454" t="s">
        <v>162</v>
      </c>
      <c r="BY15" s="267">
        <f>IF('[2]2026 január'!B$13=0,
    "",
    '[2]2026 január'!B$13
)</f>
        <v>1501255</v>
      </c>
      <c r="BZ15" s="267" t="str">
        <f>IF(OR('[2]2026 január'!G13=0,
       ISBLANK('[2]2026 január'!G13)),
    "",
    '[2]2026 január'!G13
)</f>
        <v/>
      </c>
      <c r="CA15" s="11">
        <f>'[2]2026 január'!W13</f>
        <v>0</v>
      </c>
      <c r="CB15" s="11"/>
      <c r="CC15" s="11"/>
      <c r="CD15" s="10"/>
      <c r="CE15" s="267">
        <f>IF('[2]2026 január'!S13=0,
    "",
    '[2]2026 január'!S13
)</f>
        <v>272582</v>
      </c>
      <c r="CF15" s="267">
        <f>IF('[2]2026 január'!T13=0,
    "",
    '[2]2026 január'!T13
)</f>
        <v>88252</v>
      </c>
      <c r="CG15" s="267" t="str">
        <f>IF('[2]2026 január'!U13=0,
    "",
    '[2]2026 január'!U13
)</f>
        <v/>
      </c>
      <c r="CH15" s="267">
        <f>IF('[2]2026 január'!V13=0,
    "",
    '[2]2026 január'!V13
)</f>
        <v>60500</v>
      </c>
      <c r="CI15" s="267" t="str">
        <f>IF('[2]2026 január'!W13=0,
    "",
    '[2]2026 január'!W13
)</f>
        <v/>
      </c>
      <c r="CJ15" s="267" t="str">
        <f>IF('[2]2026 január'!X13=0,
    "",
    '[2]2026 január'!X13
)</f>
        <v/>
      </c>
      <c r="CK15" s="267">
        <f>IF('[2]2026 január'!Y13=0,
    "",
    '[2]2026 január'!Y13
)</f>
        <v>300334</v>
      </c>
      <c r="CL15" s="270" t="str">
        <f>IF('[2]2026 január'!Z13=0,
    "",
    '[2]2026 január'!Z13
)</f>
        <v/>
      </c>
      <c r="CM15" s="267" t="str">
        <f>IF('[2]2026 január'!AA13=0,
    "",
    '[2]2026 január'!AA13
)</f>
        <v/>
      </c>
      <c r="CN15" s="267" t="str">
        <f>IF('[2]2026 január'!AB13=0,
    "",
    '[2]2026 január'!AB13
)</f>
        <v/>
      </c>
      <c r="CO15" s="267" t="str">
        <f>IF('[2]2026 január'!AC13=0,
    "",
    '[2]2026 január'!AC13
)</f>
        <v/>
      </c>
      <c r="CP15" s="267" t="str">
        <f>IF('[2]2026 január'!AD13=0,
    "",
    '[2]2026 január'!AD13
)</f>
        <v/>
      </c>
      <c r="CQ15" s="220" t="str">
        <f>IF('[2]2026 január'!AE$13=0,
    "",
    '[2]2026 január'!AE$13
)</f>
        <v/>
      </c>
      <c r="CR15" s="220" t="str">
        <f>IF('[2]2026 január'!AF13=0,
    "",
    '[2]2026 január'!AF13
)</f>
        <v/>
      </c>
      <c r="CS15" s="220" t="str">
        <f>IF('[2]2026 január'!AG13=0,
    "",
    '[2]2026 január'!AG13
)</f>
        <v/>
      </c>
      <c r="CT15" s="220" t="str">
        <f>IF('[2]2026 január'!AH13=0,
    "",
    '[2]2026 január'!AH13
)</f>
        <v/>
      </c>
    </row>
    <row r="16" spans="1:98" ht="14.25" customHeight="1">
      <c r="A16" s="5">
        <v>46035</v>
      </c>
      <c r="B16" s="353">
        <v>413175</v>
      </c>
      <c r="C16" s="11">
        <v>550</v>
      </c>
      <c r="D16" s="11">
        <v>384723</v>
      </c>
      <c r="E16" s="11"/>
      <c r="F16" s="11"/>
      <c r="G16" s="11"/>
      <c r="H16" s="75">
        <v>385273</v>
      </c>
      <c r="I16" s="401">
        <v>386680</v>
      </c>
      <c r="J16" s="11">
        <v>2340</v>
      </c>
      <c r="K16" s="33" t="s">
        <v>255</v>
      </c>
      <c r="L16" s="72">
        <v>128048747</v>
      </c>
      <c r="M16" s="260"/>
      <c r="N16" s="148"/>
      <c r="O16" s="456" t="s">
        <v>162</v>
      </c>
      <c r="Q16" s="5">
        <v>46035</v>
      </c>
      <c r="R16" s="353">
        <v>623695</v>
      </c>
      <c r="S16" s="11">
        <v>2950</v>
      </c>
      <c r="T16" s="11">
        <v>599985</v>
      </c>
      <c r="U16" s="11"/>
      <c r="V16" s="11"/>
      <c r="W16" s="11"/>
      <c r="X16" s="11">
        <v>602935</v>
      </c>
      <c r="Y16" s="11">
        <v>602935</v>
      </c>
      <c r="Z16" s="11">
        <v>1205</v>
      </c>
      <c r="AA16" s="38" t="s">
        <v>256</v>
      </c>
      <c r="AB16" s="72">
        <v>157080138</v>
      </c>
      <c r="AC16" s="152"/>
      <c r="AD16" s="148"/>
      <c r="AE16" s="9"/>
      <c r="AG16" s="305">
        <v>46035</v>
      </c>
      <c r="AH16" s="353">
        <v>400220</v>
      </c>
      <c r="AI16" s="306">
        <v>1700</v>
      </c>
      <c r="AJ16" s="306">
        <v>381235</v>
      </c>
      <c r="AK16" s="306"/>
      <c r="AL16" s="306"/>
      <c r="AM16" s="306"/>
      <c r="AN16" s="306">
        <v>382935</v>
      </c>
      <c r="AO16" s="306">
        <v>382935</v>
      </c>
      <c r="AP16" s="306">
        <v>390</v>
      </c>
      <c r="AQ16" s="315" t="s">
        <v>257</v>
      </c>
      <c r="AR16" s="316">
        <v>299181619</v>
      </c>
      <c r="AS16" s="317"/>
      <c r="AT16" s="318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  <c r="BE16" s="309"/>
      <c r="BF16" s="309"/>
      <c r="BG16" s="309"/>
      <c r="BH16" s="291"/>
      <c r="BI16" s="305">
        <v>46035</v>
      </c>
      <c r="BJ16" s="353">
        <v>252225</v>
      </c>
      <c r="BK16" s="306">
        <v>950</v>
      </c>
      <c r="BL16" s="306">
        <v>240130</v>
      </c>
      <c r="BM16" s="306">
        <v>380</v>
      </c>
      <c r="BN16" s="306"/>
      <c r="BO16" s="306"/>
      <c r="BP16" s="314">
        <v>241460</v>
      </c>
      <c r="BQ16" s="314">
        <v>243375</v>
      </c>
      <c r="BR16" s="306">
        <v>610</v>
      </c>
      <c r="BS16" s="315" t="s">
        <v>258</v>
      </c>
      <c r="BT16" s="316">
        <v>167668939</v>
      </c>
      <c r="BU16" s="317"/>
      <c r="BV16" s="319"/>
      <c r="BW16" s="454" t="s">
        <v>162</v>
      </c>
      <c r="BY16" s="267">
        <f>IF('[2]2026 január'!B$14=0,
    "",
    '[2]2026 január'!B$14
)</f>
        <v>1689315</v>
      </c>
      <c r="BZ16" s="267" t="str">
        <f>IF(OR('[2]2026 január'!G14=0,
       ISBLANK('[2]2026 január'!G14)),
    "",
    '[2]2026 január'!G14
)</f>
        <v/>
      </c>
      <c r="CA16" s="11">
        <f>'[2]2026 január'!W14</f>
        <v>0</v>
      </c>
      <c r="CB16" s="11"/>
      <c r="CC16" s="11"/>
      <c r="CD16" s="10"/>
      <c r="CE16" s="267">
        <f>IF('[2]2026 január'!S14=0,
    "",
    '[2]2026 január'!S14
)</f>
        <v>300334</v>
      </c>
      <c r="CF16" s="267">
        <f>IF('[2]2026 január'!T14=0,
    "",
    '[2]2026 január'!T14
)</f>
        <v>73390</v>
      </c>
      <c r="CG16" s="267" t="str">
        <f>IF('[2]2026 január'!U14=0,
    "",
    '[2]2026 január'!U14
)</f>
        <v/>
      </c>
      <c r="CH16" s="267">
        <f>IF('[2]2026 január'!V14=0,
    "",
    '[2]2026 január'!V14
)</f>
        <v>54500</v>
      </c>
      <c r="CI16" s="267" t="str">
        <f>IF('[2]2026 január'!W14=0,
    "",
    '[2]2026 január'!W14
)</f>
        <v/>
      </c>
      <c r="CJ16" s="267" t="str">
        <f>IF('[2]2026 január'!X14=0,
    "",
    '[2]2026 január'!X14
)</f>
        <v/>
      </c>
      <c r="CK16" s="267">
        <f>IF('[2]2026 január'!Y14=0,
    "",
    '[2]2026 január'!Y14
)</f>
        <v>319224</v>
      </c>
      <c r="CL16" s="270" t="str">
        <f>IF('[2]2026 január'!Z14=0,
    "",
    '[2]2026 január'!Z14
)</f>
        <v/>
      </c>
      <c r="CM16" s="267" t="str">
        <f>IF('[2]2026 január'!AA14=0,
    "",
    '[2]2026 január'!AA14
)</f>
        <v/>
      </c>
      <c r="CN16" s="267" t="str">
        <f>IF('[2]2026 január'!AB14=0,
    "",
    '[2]2026 január'!AB14
)</f>
        <v/>
      </c>
      <c r="CO16" s="267" t="str">
        <f>IF('[2]2026 január'!AC14=0,
    "",
    '[2]2026 január'!AC14
)</f>
        <v/>
      </c>
      <c r="CP16" s="267" t="str">
        <f>IF('[2]2026 január'!AD14=0,
    "",
    '[2]2026 január'!AD14
)</f>
        <v/>
      </c>
      <c r="CQ16" s="220" t="str">
        <f>IF('[2]2026 január'!AE$14=0,
    "",
    '[2]2026 január'!AE$14
)</f>
        <v/>
      </c>
      <c r="CR16" s="220" t="str">
        <f>IF('[2]2026 január'!AF14=0,
    "",
    '[2]2026 január'!AF14
)</f>
        <v/>
      </c>
      <c r="CS16" s="220" t="str">
        <f>IF('[2]2026 január'!AG14=0,
    "",
    '[2]2026 január'!AG14
)</f>
        <v/>
      </c>
      <c r="CT16" s="220" t="str">
        <f>IF('[2]2026 január'!AH14=0,
    "",
    '[2]2026 január'!AH14
)</f>
        <v/>
      </c>
    </row>
    <row r="17" spans="1:98" ht="14.25" customHeight="1">
      <c r="A17" s="5">
        <v>46036</v>
      </c>
      <c r="B17" s="353">
        <v>492795</v>
      </c>
      <c r="C17" s="11">
        <v>1150</v>
      </c>
      <c r="D17" s="11">
        <v>459990</v>
      </c>
      <c r="E17" s="11"/>
      <c r="F17" s="11"/>
      <c r="G17" s="11"/>
      <c r="H17" s="11">
        <v>461140</v>
      </c>
      <c r="I17" s="72">
        <v>461140</v>
      </c>
      <c r="J17" s="11">
        <v>1310</v>
      </c>
      <c r="K17" s="33" t="s">
        <v>259</v>
      </c>
      <c r="L17" s="72">
        <v>128509887</v>
      </c>
      <c r="M17" s="260"/>
      <c r="N17" s="148"/>
      <c r="O17" s="214"/>
      <c r="Q17" s="5">
        <v>46036</v>
      </c>
      <c r="R17" s="353">
        <v>558560</v>
      </c>
      <c r="S17" s="11">
        <v>2350</v>
      </c>
      <c r="T17" s="11">
        <v>514315</v>
      </c>
      <c r="U17" s="11"/>
      <c r="V17" s="11"/>
      <c r="W17" s="11"/>
      <c r="X17" s="11">
        <v>516665</v>
      </c>
      <c r="Y17" s="11">
        <v>516665</v>
      </c>
      <c r="Z17" s="11">
        <v>-2675</v>
      </c>
      <c r="AA17" s="38" t="s">
        <v>260</v>
      </c>
      <c r="AB17" s="72">
        <v>157596803</v>
      </c>
      <c r="AC17" s="152"/>
      <c r="AD17" s="148"/>
      <c r="AE17" s="9"/>
      <c r="AG17" s="305">
        <v>46036</v>
      </c>
      <c r="AH17" s="353">
        <v>390510</v>
      </c>
      <c r="AI17" s="306">
        <v>1650</v>
      </c>
      <c r="AJ17" s="306">
        <v>377690</v>
      </c>
      <c r="AK17" s="306"/>
      <c r="AL17" s="306"/>
      <c r="AM17" s="306"/>
      <c r="AN17" s="306">
        <v>379340</v>
      </c>
      <c r="AO17" s="306">
        <v>379340</v>
      </c>
      <c r="AP17" s="306">
        <v>1195</v>
      </c>
      <c r="AQ17" s="315" t="s">
        <v>261</v>
      </c>
      <c r="AR17" s="316">
        <v>299560959</v>
      </c>
      <c r="AS17" s="317"/>
      <c r="AT17" s="318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  <c r="BG17" s="309"/>
      <c r="BH17" s="291"/>
      <c r="BI17" s="305">
        <v>46036</v>
      </c>
      <c r="BJ17" s="353">
        <v>267365</v>
      </c>
      <c r="BK17" s="306">
        <v>1650</v>
      </c>
      <c r="BL17" s="306">
        <v>258515</v>
      </c>
      <c r="BM17" s="306"/>
      <c r="BN17" s="306"/>
      <c r="BO17" s="306"/>
      <c r="BP17" s="306">
        <v>260165</v>
      </c>
      <c r="BQ17" s="306">
        <v>260165</v>
      </c>
      <c r="BR17" s="306">
        <v>-1135</v>
      </c>
      <c r="BS17" s="315" t="s">
        <v>262</v>
      </c>
      <c r="BT17" s="316">
        <v>167929104</v>
      </c>
      <c r="BU17" s="317"/>
      <c r="BV17" s="319"/>
      <c r="BW17" s="309"/>
      <c r="BY17" s="267">
        <f>IF('[2]2026 január'!B$15=0,
    "",
    '[2]2026 január'!B$15
)</f>
        <v>1709230</v>
      </c>
      <c r="BZ17" s="267" t="str">
        <f>IF(OR('[2]2026 január'!G15=0,
       ISBLANK('[2]2026 január'!G15)),
    "",
    '[2]2026 január'!G15
)</f>
        <v/>
      </c>
      <c r="CA17" s="11">
        <f>'[2]2026 január'!W15</f>
        <v>0</v>
      </c>
      <c r="CB17" s="11"/>
      <c r="CC17" s="11"/>
      <c r="CD17" s="10"/>
      <c r="CE17" s="267">
        <f>IF('[2]2026 január'!S15=0,
    "",
    '[2]2026 január'!S15
)</f>
        <v>319224</v>
      </c>
      <c r="CF17" s="267">
        <f>IF('[2]2026 január'!T15=0,
    "",
    '[2]2026 január'!T15
)</f>
        <v>91920</v>
      </c>
      <c r="CG17" s="267" t="str">
        <f>IF('[2]2026 január'!U15=0,
    "",
    '[2]2026 január'!U15
)</f>
        <v/>
      </c>
      <c r="CH17" s="267">
        <f>IF('[2]2026 január'!V15=0,
    "",
    '[2]2026 január'!V15
)</f>
        <v>22500</v>
      </c>
      <c r="CI17" s="267" t="str">
        <f>IF('[2]2026 január'!W15=0,
    "",
    '[2]2026 január'!W15
)</f>
        <v/>
      </c>
      <c r="CJ17" s="267" t="str">
        <f>IF('[2]2026 január'!X15=0,
    "",
    '[2]2026 január'!X15
)</f>
        <v/>
      </c>
      <c r="CK17" s="267">
        <f>IF('[2]2026 január'!Y15=0,
    "",
    '[2]2026 január'!Y15
)</f>
        <v>388644</v>
      </c>
      <c r="CL17" s="270" t="str">
        <f>IF('[2]2026 január'!Z15=0,
    "",
    '[2]2026 január'!Z15
)</f>
        <v/>
      </c>
      <c r="CM17" s="267" t="str">
        <f>IF('[2]2026 január'!AA15=0,
    "",
    '[2]2026 január'!AA15
)</f>
        <v/>
      </c>
      <c r="CN17" s="267" t="str">
        <f>IF('[2]2026 január'!AB15=0,
    "",
    '[2]2026 január'!AB15
)</f>
        <v/>
      </c>
      <c r="CO17" s="267" t="str">
        <f>IF('[2]2026 január'!AC15=0,
    "",
    '[2]2026 január'!AC15
)</f>
        <v/>
      </c>
      <c r="CP17" s="267" t="str">
        <f>IF('[2]2026 január'!AD15=0,
    "",
    '[2]2026 január'!AD15
)</f>
        <v/>
      </c>
      <c r="CQ17" s="220" t="str">
        <f>IF('[2]2026 január'!AE$15=0,
    "",
    '[2]2026 január'!AE$15
)</f>
        <v/>
      </c>
      <c r="CR17" s="220" t="str">
        <f>IF('[2]2026 január'!AF15=0,
    "",
    '[2]2026 január'!AF15
)</f>
        <v/>
      </c>
      <c r="CS17" s="220" t="str">
        <f>IF('[2]2026 január'!AG15=0,
    "",
    '[2]2026 január'!AG15
)</f>
        <v/>
      </c>
      <c r="CT17" s="220" t="str">
        <f>IF('[2]2026 január'!AH15=0,
    "",
    '[2]2026 január'!AH15
)</f>
        <v/>
      </c>
    </row>
    <row r="18" spans="1:98" ht="14.25" customHeight="1">
      <c r="A18" s="5">
        <v>46037</v>
      </c>
      <c r="B18" s="353">
        <v>506640</v>
      </c>
      <c r="C18" s="11">
        <v>800</v>
      </c>
      <c r="D18" s="11">
        <v>471890</v>
      </c>
      <c r="E18" s="11"/>
      <c r="F18" s="11"/>
      <c r="G18" s="11"/>
      <c r="H18" s="11">
        <v>472690</v>
      </c>
      <c r="I18" s="72">
        <v>472690</v>
      </c>
      <c r="J18" s="11">
        <v>1050</v>
      </c>
      <c r="K18" s="33" t="s">
        <v>263</v>
      </c>
      <c r="L18" s="72">
        <v>128982577</v>
      </c>
      <c r="M18" s="260"/>
      <c r="N18" s="148"/>
      <c r="O18" s="214"/>
      <c r="Q18" s="5">
        <v>46037</v>
      </c>
      <c r="R18" s="353">
        <v>593185</v>
      </c>
      <c r="S18" s="11">
        <v>2900</v>
      </c>
      <c r="T18" s="11">
        <v>569828</v>
      </c>
      <c r="U18" s="11"/>
      <c r="V18" s="11"/>
      <c r="W18" s="11"/>
      <c r="X18" s="11">
        <v>572728</v>
      </c>
      <c r="Y18" s="11">
        <v>572728</v>
      </c>
      <c r="Z18" s="11">
        <v>-1172</v>
      </c>
      <c r="AA18" s="38" t="s">
        <v>264</v>
      </c>
      <c r="AB18" s="72">
        <v>158169531</v>
      </c>
      <c r="AC18" s="152"/>
      <c r="AD18" s="148"/>
      <c r="AE18" s="9"/>
      <c r="AG18" s="305">
        <v>46037</v>
      </c>
      <c r="AH18" s="353">
        <v>383700</v>
      </c>
      <c r="AI18" s="306">
        <v>1650</v>
      </c>
      <c r="AJ18" s="306">
        <v>360855</v>
      </c>
      <c r="AK18" s="306"/>
      <c r="AL18" s="306"/>
      <c r="AM18" s="306"/>
      <c r="AN18" s="306">
        <v>362505</v>
      </c>
      <c r="AO18" s="306">
        <v>362505</v>
      </c>
      <c r="AP18" s="306">
        <v>-580</v>
      </c>
      <c r="AQ18" s="315" t="s">
        <v>265</v>
      </c>
      <c r="AR18" s="316">
        <v>299923464</v>
      </c>
      <c r="AS18" s="317"/>
      <c r="AT18" s="318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  <c r="BG18" s="309"/>
      <c r="BH18" s="291"/>
      <c r="BI18" s="305">
        <v>46037</v>
      </c>
      <c r="BJ18" s="353">
        <v>203395</v>
      </c>
      <c r="BK18" s="306">
        <v>1050</v>
      </c>
      <c r="BL18" s="306">
        <v>193068</v>
      </c>
      <c r="BM18" s="306"/>
      <c r="BN18" s="306"/>
      <c r="BO18" s="306"/>
      <c r="BP18" s="306">
        <v>194118</v>
      </c>
      <c r="BQ18" s="306">
        <v>194118</v>
      </c>
      <c r="BR18" s="306">
        <v>-7</v>
      </c>
      <c r="BS18" s="315" t="s">
        <v>266</v>
      </c>
      <c r="BT18" s="316">
        <v>168123222</v>
      </c>
      <c r="BU18" s="317"/>
      <c r="BV18" s="319"/>
      <c r="BW18" s="309"/>
      <c r="BY18" s="267">
        <f>IF('[2]2026 január'!B$16=0,
    "",
    '[2]2026 január'!B$16
)</f>
        <v>1686920</v>
      </c>
      <c r="BZ18" s="267" t="str">
        <f>IF(OR('[2]2026 január'!G16=0,
       ISBLANK('[2]2026 január'!G16)),
    "",
    '[2]2026 január'!G16
)</f>
        <v/>
      </c>
      <c r="CA18" s="11">
        <f>'[2]2026 január'!W16</f>
        <v>0</v>
      </c>
      <c r="CB18" s="11"/>
      <c r="CC18" s="11"/>
      <c r="CD18" s="10"/>
      <c r="CE18" s="267">
        <f>IF('[2]2026 január'!S16=0,
    "",
    '[2]2026 január'!S16
)</f>
        <v>388644</v>
      </c>
      <c r="CF18" s="267">
        <f>IF('[2]2026 január'!T16=0,
    "",
    '[2]2026 január'!T16
)</f>
        <v>84879</v>
      </c>
      <c r="CG18" s="267" t="str">
        <f>IF('[2]2026 január'!U16=0,
    "",
    '[2]2026 január'!U16
)</f>
        <v/>
      </c>
      <c r="CH18" s="267">
        <f>IF('[2]2026 január'!V16=0,
    "",
    '[2]2026 január'!V16
)</f>
        <v>128500</v>
      </c>
      <c r="CI18" s="267" t="str">
        <f>IF('[2]2026 január'!W16=0,
    "",
    '[2]2026 január'!W16
)</f>
        <v/>
      </c>
      <c r="CJ18" s="267" t="str">
        <f>IF('[2]2026 január'!X16=0,
    "",
    '[2]2026 január'!X16
)</f>
        <v/>
      </c>
      <c r="CK18" s="267">
        <f>IF('[2]2026 január'!Y16=0,
    "",
    '[2]2026 január'!Y16
)</f>
        <v>345023</v>
      </c>
      <c r="CL18" s="270" t="str">
        <f>IF('[2]2026 január'!Z16=0,
    "",
    '[2]2026 január'!Z16
)</f>
        <v/>
      </c>
      <c r="CM18" s="267" t="str">
        <f>IF('[2]2026 január'!AA16=0,
    "",
    '[2]2026 január'!AA16
)</f>
        <v/>
      </c>
      <c r="CN18" s="267" t="str">
        <f>IF('[2]2026 január'!AB16=0,
    "",
    '[2]2026 január'!AB16
)</f>
        <v/>
      </c>
      <c r="CO18" s="267" t="str">
        <f>IF('[2]2026 január'!AC16=0,
    "",
    '[2]2026 január'!AC16
)</f>
        <v/>
      </c>
      <c r="CP18" s="267" t="str">
        <f>IF('[2]2026 január'!AD16=0,
    "",
    '[2]2026 január'!AD16
)</f>
        <v/>
      </c>
      <c r="CQ18" s="220" t="str">
        <f>IF('[2]2026 január'!AE$16=0,
    "",
    '[2]2026 január'!AE$16
)</f>
        <v/>
      </c>
      <c r="CR18" s="220" t="str">
        <f>IF('[2]2026 január'!AF16=0,
    "",
    '[2]2026 január'!AF16
)</f>
        <v/>
      </c>
      <c r="CS18" s="220" t="str">
        <f>IF('[2]2026 január'!AG16=0,
    "",
    '[2]2026 január'!AG16
)</f>
        <v/>
      </c>
      <c r="CT18" s="220" t="str">
        <f>IF('[2]2026 január'!AH16=0,
    "",
    '[2]2026 január'!AH16
)</f>
        <v/>
      </c>
    </row>
    <row r="19" spans="1:98" ht="14.25" customHeight="1">
      <c r="A19" s="5">
        <v>46038</v>
      </c>
      <c r="B19" s="353">
        <v>425305</v>
      </c>
      <c r="C19" s="11">
        <v>600</v>
      </c>
      <c r="D19" s="11">
        <v>396425</v>
      </c>
      <c r="E19" s="11"/>
      <c r="F19" s="11"/>
      <c r="G19" s="11"/>
      <c r="H19" s="11">
        <v>397025</v>
      </c>
      <c r="I19" s="72">
        <v>397025</v>
      </c>
      <c r="J19" s="11">
        <v>925</v>
      </c>
      <c r="K19" s="33" t="s">
        <v>267</v>
      </c>
      <c r="L19" s="72">
        <v>129379602</v>
      </c>
      <c r="M19" s="260"/>
      <c r="N19" s="148"/>
      <c r="O19" s="214"/>
      <c r="Q19" s="5">
        <v>46038</v>
      </c>
      <c r="R19" s="353">
        <v>529675</v>
      </c>
      <c r="S19" s="11">
        <v>2550</v>
      </c>
      <c r="T19" s="11">
        <v>497855</v>
      </c>
      <c r="U19" s="11"/>
      <c r="V19" s="11"/>
      <c r="W19" s="11"/>
      <c r="X19" s="11">
        <v>500405</v>
      </c>
      <c r="Y19" s="11">
        <v>500405</v>
      </c>
      <c r="Z19" s="11">
        <v>1160</v>
      </c>
      <c r="AA19" s="38" t="s">
        <v>268</v>
      </c>
      <c r="AB19" s="72">
        <v>158669936</v>
      </c>
      <c r="AC19" s="152"/>
      <c r="AD19" s="148"/>
      <c r="AE19" s="9"/>
      <c r="AG19" s="305">
        <v>46038</v>
      </c>
      <c r="AH19" s="353">
        <v>302895</v>
      </c>
      <c r="AI19" s="306">
        <v>1500</v>
      </c>
      <c r="AJ19" s="306">
        <v>286605</v>
      </c>
      <c r="AK19" s="306"/>
      <c r="AL19" s="306"/>
      <c r="AM19" s="306"/>
      <c r="AN19" s="306">
        <v>288105</v>
      </c>
      <c r="AO19" s="306">
        <v>288105</v>
      </c>
      <c r="AP19" s="306">
        <v>2595</v>
      </c>
      <c r="AQ19" s="315" t="s">
        <v>269</v>
      </c>
      <c r="AR19" s="316">
        <v>300211569</v>
      </c>
      <c r="AS19" s="317"/>
      <c r="AT19" s="318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291"/>
      <c r="BI19" s="305">
        <v>46038</v>
      </c>
      <c r="BJ19" s="353">
        <v>180045</v>
      </c>
      <c r="BK19" s="306">
        <v>700</v>
      </c>
      <c r="BL19" s="306">
        <v>173835</v>
      </c>
      <c r="BM19" s="306"/>
      <c r="BN19" s="306"/>
      <c r="BO19" s="306"/>
      <c r="BP19" s="306">
        <v>174535</v>
      </c>
      <c r="BQ19" s="306">
        <v>174535</v>
      </c>
      <c r="BR19" s="306">
        <v>2260</v>
      </c>
      <c r="BS19" s="315" t="s">
        <v>270</v>
      </c>
      <c r="BT19" s="316">
        <v>168297757</v>
      </c>
      <c r="BU19" s="317"/>
      <c r="BV19" s="319"/>
      <c r="BW19" s="309"/>
      <c r="BY19" s="267">
        <f>IF('[2]2026 január'!B$17=0,
    "",
    '[2]2026 január'!B$17
)</f>
        <v>1437920</v>
      </c>
      <c r="BZ19" s="267" t="str">
        <f>IF(OR('[2]2026 január'!G17=0,
       ISBLANK('[2]2026 január'!G17)),
    "",
    '[2]2026 január'!G17
)</f>
        <v/>
      </c>
      <c r="CA19" s="11">
        <f>'[2]2026 január'!W17</f>
        <v>0</v>
      </c>
      <c r="CB19" s="11"/>
      <c r="CC19" s="11"/>
      <c r="CD19" s="10"/>
      <c r="CE19" s="267">
        <f>IF('[2]2026 január'!S17=0,
    "",
    '[2]2026 január'!S17
)</f>
        <v>345023</v>
      </c>
      <c r="CF19" s="267">
        <f>IF('[2]2026 január'!T17=0,
    "",
    '[2]2026 január'!T17
)</f>
        <v>77850</v>
      </c>
      <c r="CG19" s="267" t="str">
        <f>IF('[2]2026 január'!U17=0,
    "",
    '[2]2026 január'!U17
)</f>
        <v/>
      </c>
      <c r="CH19" s="267">
        <f>IF('[2]2026 január'!V17=0,
    "",
    '[2]2026 január'!V17
)</f>
        <v>359500</v>
      </c>
      <c r="CI19" s="267" t="str">
        <f>IF('[2]2026 január'!W17=0,
    "",
    '[2]2026 január'!W17
)</f>
        <v/>
      </c>
      <c r="CJ19" s="267" t="str">
        <f>IF('[2]2026 január'!X17=0,
    "",
    '[2]2026 január'!X17
)</f>
        <v/>
      </c>
      <c r="CK19" s="267">
        <f>IF('[2]2026 január'!Y17=0,
    "",
    '[2]2026 január'!Y17
)</f>
        <v>63373</v>
      </c>
      <c r="CL19" s="270" t="str">
        <f>IF('[2]2026 január'!Z17=0,
    "",
    '[2]2026 január'!Z17
)</f>
        <v/>
      </c>
      <c r="CM19" s="267" t="str">
        <f>IF('[2]2026 január'!AA17=0,
    "",
    '[2]2026 január'!AA17
)</f>
        <v/>
      </c>
      <c r="CN19" s="267" t="str">
        <f>IF('[2]2026 január'!AB17=0,
    "",
    '[2]2026 január'!AB17
)</f>
        <v/>
      </c>
      <c r="CO19" s="267" t="str">
        <f>IF('[2]2026 január'!AC17=0,
    "",
    '[2]2026 január'!AC17
)</f>
        <v/>
      </c>
      <c r="CP19" s="267" t="str">
        <f>IF('[2]2026 január'!AD17=0,
    "",
    '[2]2026 január'!AD17
)</f>
        <v/>
      </c>
      <c r="CQ19" s="220" t="str">
        <f>IF('[2]2026 január'!AE$17=0,
    "",
    '[2]2026 január'!AE$17
)</f>
        <v/>
      </c>
      <c r="CR19" s="220" t="str">
        <f>IF('[2]2026 január'!AF17=0,
    "",
    '[2]2026 január'!AF17
)</f>
        <v/>
      </c>
      <c r="CS19" s="220" t="str">
        <f>IF('[2]2026 január'!AG17=0,
    "",
    '[2]2026 január'!AG17
)</f>
        <v/>
      </c>
      <c r="CT19" s="220" t="str">
        <f>IF('[2]2026 január'!AH17=0,
    "",
    '[2]2026 január'!AH17
)</f>
        <v/>
      </c>
    </row>
    <row r="20" spans="1:98" ht="14.25" customHeight="1">
      <c r="A20" s="141">
        <v>46039</v>
      </c>
      <c r="B20" s="352"/>
      <c r="C20" s="142"/>
      <c r="D20" s="142"/>
      <c r="E20" s="142"/>
      <c r="F20" s="142"/>
      <c r="G20" s="142"/>
      <c r="H20" s="142"/>
      <c r="I20" s="146"/>
      <c r="J20" s="142"/>
      <c r="K20" s="198"/>
      <c r="L20" s="249"/>
      <c r="M20" s="266"/>
      <c r="N20" s="153"/>
      <c r="O20" s="217"/>
      <c r="Q20" s="141">
        <v>46039</v>
      </c>
      <c r="R20" s="352"/>
      <c r="S20" s="142"/>
      <c r="T20" s="142"/>
      <c r="U20" s="142"/>
      <c r="V20" s="142"/>
      <c r="W20" s="142"/>
      <c r="X20" s="142"/>
      <c r="Y20" s="142"/>
      <c r="Z20" s="142"/>
      <c r="AA20" s="143"/>
      <c r="AB20" s="146"/>
      <c r="AC20" s="151"/>
      <c r="AD20" s="153"/>
      <c r="AE20" s="158"/>
      <c r="AG20" s="299">
        <v>46039</v>
      </c>
      <c r="AH20" s="352"/>
      <c r="AI20" s="300"/>
      <c r="AJ20" s="300"/>
      <c r="AK20" s="300"/>
      <c r="AL20" s="300"/>
      <c r="AM20" s="300"/>
      <c r="AN20" s="300"/>
      <c r="AO20" s="300"/>
      <c r="AP20" s="300"/>
      <c r="AQ20" s="301"/>
      <c r="AR20" s="312"/>
      <c r="AS20" s="313"/>
      <c r="AT20" s="304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10"/>
      <c r="BH20" s="291"/>
      <c r="BI20" s="299">
        <v>46039</v>
      </c>
      <c r="BJ20" s="352"/>
      <c r="BK20" s="300"/>
      <c r="BL20" s="300"/>
      <c r="BM20" s="300"/>
      <c r="BN20" s="300"/>
      <c r="BO20" s="300"/>
      <c r="BP20" s="300"/>
      <c r="BQ20" s="300"/>
      <c r="BR20" s="300"/>
      <c r="BS20" s="301"/>
      <c r="BT20" s="312"/>
      <c r="BU20" s="313"/>
      <c r="BV20" s="311"/>
      <c r="BW20" s="310"/>
      <c r="BY20" s="267" t="str">
        <f>IF('[2]2026 január'!B$18=0,
    "",
    '[2]2026 január'!B$18
)</f>
        <v/>
      </c>
      <c r="BZ20" s="267" t="str">
        <f>IF(OR('[2]2026 január'!G18=0,
       ISBLANK('[2]2026 január'!G18)),
    "",
    '[2]2026 január'!G18
)</f>
        <v/>
      </c>
      <c r="CA20" s="11">
        <f>'[2]2026 január'!W18</f>
        <v>0</v>
      </c>
      <c r="CB20" s="11"/>
      <c r="CC20" s="11"/>
      <c r="CD20" s="10"/>
      <c r="CE20" s="267" t="str">
        <f>IF('[2]2026 január'!S18=0,
    "",
    '[2]2026 január'!S18
)</f>
        <v/>
      </c>
      <c r="CF20" s="267" t="str">
        <f>IF('[2]2026 január'!T18=0,
    "",
    '[2]2026 január'!T18
)</f>
        <v/>
      </c>
      <c r="CG20" s="267" t="str">
        <f>IF('[2]2026 január'!U18=0,
    "",
    '[2]2026 január'!U18
)</f>
        <v/>
      </c>
      <c r="CH20" s="267" t="str">
        <f>IF('[2]2026 január'!V18=0,
    "",
    '[2]2026 január'!V18
)</f>
        <v/>
      </c>
      <c r="CI20" s="267" t="str">
        <f>IF('[2]2026 január'!W18=0,
    "",
    '[2]2026 január'!W18
)</f>
        <v/>
      </c>
      <c r="CJ20" s="267" t="str">
        <f>IF('[2]2026 január'!X18=0,
    "",
    '[2]2026 január'!X18
)</f>
        <v/>
      </c>
      <c r="CK20" s="267" t="str">
        <f>IF('[2]2026 január'!Y18=0,
    "",
    '[2]2026 január'!Y18
)</f>
        <v/>
      </c>
      <c r="CL20" s="270" t="str">
        <f>IF('[2]2026 január'!Z18=0,
    "",
    '[2]2026 január'!Z18
)</f>
        <v/>
      </c>
      <c r="CM20" s="267" t="str">
        <f>IF('[2]2026 január'!AA18=0,
    "",
    '[2]2026 január'!AA18
)</f>
        <v/>
      </c>
      <c r="CN20" s="267" t="str">
        <f>IF('[2]2026 január'!AB18=0,
    "",
    '[2]2026 január'!AB18
)</f>
        <v/>
      </c>
      <c r="CO20" s="267" t="str">
        <f>IF('[2]2026 január'!AC18=0,
    "",
    '[2]2026 január'!AC18
)</f>
        <v/>
      </c>
      <c r="CP20" s="267" t="str">
        <f>IF('[2]2026 január'!AD18=0,
    "",
    '[2]2026 január'!AD18
)</f>
        <v/>
      </c>
      <c r="CQ20" s="220" t="str">
        <f>IF('[2]2026 január'!AE$18=0,
    "",
    '[2]2026 január'!AE$18
)</f>
        <v/>
      </c>
      <c r="CR20" s="220" t="str">
        <f>IF('[2]2026 január'!AF18=0,
    "",
    '[2]2026 január'!AF18
)</f>
        <v/>
      </c>
      <c r="CS20" s="220" t="str">
        <f>IF('[2]2026 január'!AG18=0,
    "",
    '[2]2026 január'!AG18
)</f>
        <v/>
      </c>
      <c r="CT20" s="220" t="str">
        <f>IF('[2]2026 január'!AH18=0,
    "",
    '[2]2026 január'!AH18
)</f>
        <v/>
      </c>
    </row>
    <row r="21" spans="1:98" ht="14.25" customHeight="1">
      <c r="A21" s="141">
        <v>46040</v>
      </c>
      <c r="B21" s="352"/>
      <c r="C21" s="142"/>
      <c r="D21" s="142"/>
      <c r="E21" s="142"/>
      <c r="F21" s="142"/>
      <c r="G21" s="142"/>
      <c r="H21" s="142"/>
      <c r="I21" s="146"/>
      <c r="J21" s="142"/>
      <c r="K21" s="198"/>
      <c r="L21" s="249"/>
      <c r="M21" s="266"/>
      <c r="N21" s="153"/>
      <c r="O21" s="217"/>
      <c r="Q21" s="141">
        <v>46040</v>
      </c>
      <c r="R21" s="352"/>
      <c r="S21" s="142"/>
      <c r="T21" s="142"/>
      <c r="U21" s="142"/>
      <c r="V21" s="142"/>
      <c r="W21" s="142"/>
      <c r="X21" s="142"/>
      <c r="Y21" s="142"/>
      <c r="Z21" s="142"/>
      <c r="AA21" s="143"/>
      <c r="AB21" s="146"/>
      <c r="AC21" s="151"/>
      <c r="AD21" s="153"/>
      <c r="AE21" s="158"/>
      <c r="AG21" s="299">
        <v>46040</v>
      </c>
      <c r="AH21" s="352"/>
      <c r="AI21" s="300"/>
      <c r="AJ21" s="300"/>
      <c r="AK21" s="300"/>
      <c r="AL21" s="300"/>
      <c r="AM21" s="300"/>
      <c r="AN21" s="300"/>
      <c r="AO21" s="300"/>
      <c r="AP21" s="300"/>
      <c r="AQ21" s="301"/>
      <c r="AR21" s="312"/>
      <c r="AS21" s="313"/>
      <c r="AT21" s="304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10"/>
      <c r="BH21" s="291"/>
      <c r="BI21" s="299">
        <v>46040</v>
      </c>
      <c r="BJ21" s="352"/>
      <c r="BK21" s="300"/>
      <c r="BL21" s="300"/>
      <c r="BM21" s="300"/>
      <c r="BN21" s="300"/>
      <c r="BO21" s="300"/>
      <c r="BP21" s="300"/>
      <c r="BQ21" s="300"/>
      <c r="BR21" s="300" t="s">
        <v>93</v>
      </c>
      <c r="BS21" s="301"/>
      <c r="BT21" s="312"/>
      <c r="BU21" s="313"/>
      <c r="BV21" s="311"/>
      <c r="BW21" s="310"/>
      <c r="BY21" s="267" t="str">
        <f>IF('[2]2026 január'!B$19=0,
    "",
    '[2]2026 január'!B$19
)</f>
        <v/>
      </c>
      <c r="BZ21" s="267" t="str">
        <f>IF(OR('[2]2026 január'!G19=0,
       ISBLANK('[2]2026 január'!G19)),
    "",
    '[2]2026 január'!G19
)</f>
        <v/>
      </c>
      <c r="CA21" s="11">
        <f>'[2]2026 január'!W19</f>
        <v>0</v>
      </c>
      <c r="CB21" s="11"/>
      <c r="CC21" s="11"/>
      <c r="CD21" s="10"/>
      <c r="CE21" s="267" t="str">
        <f>IF('[2]2026 január'!S19=0,
    "",
    '[2]2026 január'!S19
)</f>
        <v/>
      </c>
      <c r="CF21" s="267" t="str">
        <f>IF('[2]2026 január'!T19=0,
    "",
    '[2]2026 január'!T19
)</f>
        <v/>
      </c>
      <c r="CG21" s="267" t="str">
        <f>IF('[2]2026 január'!U19=0,
    "",
    '[2]2026 január'!U19
)</f>
        <v/>
      </c>
      <c r="CH21" s="267" t="str">
        <f>IF('[2]2026 január'!V19=0,
    "",
    '[2]2026 január'!V19
)</f>
        <v/>
      </c>
      <c r="CI21" s="267" t="str">
        <f>IF('[2]2026 január'!W19=0,
    "",
    '[2]2026 január'!W19
)</f>
        <v/>
      </c>
      <c r="CJ21" s="267" t="str">
        <f>IF('[2]2026 január'!X19=0,
    "",
    '[2]2026 január'!X19
)</f>
        <v/>
      </c>
      <c r="CK21" s="267" t="str">
        <f>IF('[2]2026 január'!Y19=0,
    "",
    '[2]2026 január'!Y19
)</f>
        <v/>
      </c>
      <c r="CL21" s="270" t="str">
        <f>IF('[2]2026 január'!Z19=0,
    "",
    '[2]2026 január'!Z19
)</f>
        <v/>
      </c>
      <c r="CM21" s="267" t="str">
        <f>IF('[2]2026 január'!AA19=0,
    "",
    '[2]2026 január'!AA19
)</f>
        <v/>
      </c>
      <c r="CN21" s="267" t="str">
        <f>IF('[2]2026 január'!AB19=0,
    "",
    '[2]2026 január'!AB19
)</f>
        <v/>
      </c>
      <c r="CO21" s="267" t="str">
        <f>IF('[2]2026 január'!AC19=0,
    "",
    '[2]2026 január'!AC19
)</f>
        <v/>
      </c>
      <c r="CP21" s="267" t="str">
        <f>IF('[2]2026 január'!AD19=0,
    "",
    '[2]2026 január'!AD19
)</f>
        <v/>
      </c>
      <c r="CQ21" s="220" t="str">
        <f>IF('[2]2026 január'!AE$19=0,
    "",
    '[2]2026 január'!AE$19
)</f>
        <v/>
      </c>
      <c r="CR21" s="220" t="str">
        <f>IF('[2]2026 január'!AF19=0,
    "",
    '[2]2026 január'!AF19
)</f>
        <v/>
      </c>
      <c r="CS21" s="220" t="str">
        <f>IF('[2]2026 január'!AG19=0,
    "",
    '[2]2026 január'!AG19
)</f>
        <v/>
      </c>
      <c r="CT21" s="220" t="str">
        <f>IF('[2]2026 január'!AH19=0,
    "",
    '[2]2026 január'!AH19
)</f>
        <v/>
      </c>
    </row>
    <row r="22" spans="1:98" ht="14.25" customHeight="1">
      <c r="A22" s="5">
        <v>46041</v>
      </c>
      <c r="B22" s="353">
        <v>443395</v>
      </c>
      <c r="C22" s="11">
        <v>800</v>
      </c>
      <c r="D22" s="11">
        <v>419486</v>
      </c>
      <c r="E22" s="11"/>
      <c r="F22" s="11"/>
      <c r="G22" s="11"/>
      <c r="H22" s="11">
        <v>420286</v>
      </c>
      <c r="I22" s="72">
        <v>420286</v>
      </c>
      <c r="J22" s="11">
        <v>1026</v>
      </c>
      <c r="K22" s="33" t="s">
        <v>271</v>
      </c>
      <c r="L22" s="72">
        <v>129799888</v>
      </c>
      <c r="M22" s="260"/>
      <c r="N22" s="148"/>
      <c r="O22" s="214"/>
      <c r="Q22" s="5">
        <v>46041</v>
      </c>
      <c r="R22" s="353">
        <v>551135</v>
      </c>
      <c r="S22" s="11">
        <v>2850</v>
      </c>
      <c r="T22" s="11">
        <v>504778</v>
      </c>
      <c r="U22" s="11"/>
      <c r="V22" s="11"/>
      <c r="W22" s="11"/>
      <c r="X22" s="11">
        <v>507628</v>
      </c>
      <c r="Y22" s="11">
        <v>507628</v>
      </c>
      <c r="Z22" s="11">
        <v>-2007</v>
      </c>
      <c r="AA22" s="38" t="s">
        <v>272</v>
      </c>
      <c r="AB22" s="72">
        <v>159177564</v>
      </c>
      <c r="AC22" s="152"/>
      <c r="AD22" s="148"/>
      <c r="AE22" s="9"/>
      <c r="AG22" s="305">
        <v>46041</v>
      </c>
      <c r="AH22" s="353">
        <v>319405</v>
      </c>
      <c r="AI22" s="306">
        <v>800</v>
      </c>
      <c r="AJ22" s="306">
        <v>303310</v>
      </c>
      <c r="AK22" s="306"/>
      <c r="AL22" s="306"/>
      <c r="AM22" s="306"/>
      <c r="AN22" s="306">
        <v>304110</v>
      </c>
      <c r="AO22" s="306">
        <v>304110</v>
      </c>
      <c r="AP22" s="306">
        <v>165</v>
      </c>
      <c r="AQ22" s="315" t="s">
        <v>273</v>
      </c>
      <c r="AR22" s="316">
        <v>300515679</v>
      </c>
      <c r="AS22" s="317"/>
      <c r="AT22" s="318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291"/>
      <c r="BI22" s="305">
        <v>46041</v>
      </c>
      <c r="BJ22" s="353">
        <v>192505</v>
      </c>
      <c r="BK22" s="306">
        <v>950</v>
      </c>
      <c r="BL22" s="306">
        <v>185135</v>
      </c>
      <c r="BM22" s="306"/>
      <c r="BN22" s="306"/>
      <c r="BO22" s="306"/>
      <c r="BP22" s="306">
        <v>186085</v>
      </c>
      <c r="BQ22" s="306">
        <v>186085</v>
      </c>
      <c r="BR22" s="306">
        <v>-1130</v>
      </c>
      <c r="BS22" s="315" t="s">
        <v>274</v>
      </c>
      <c r="BT22" s="316">
        <v>168493842</v>
      </c>
      <c r="BU22" s="317"/>
      <c r="BV22" s="319"/>
      <c r="BW22" s="309"/>
      <c r="BY22" s="267">
        <f>IF('[2]2026 január'!B$20=0,
    "",
    '[2]2026 január'!B$20
)</f>
        <v>1506440</v>
      </c>
      <c r="BZ22" s="267" t="str">
        <f>IF(OR('[2]2026 január'!G20=0,
       ISBLANK('[2]2026 január'!G20)),
    "",
    '[2]2026 január'!G20
)</f>
        <v/>
      </c>
      <c r="CA22" s="11">
        <f>'[2]2026 január'!W20</f>
        <v>0</v>
      </c>
      <c r="CB22" s="11"/>
      <c r="CC22" s="11"/>
      <c r="CD22" s="10"/>
      <c r="CE22" s="267">
        <f>IF('[2]2026 január'!S20=0,
    "",
    '[2]2026 január'!S20
)</f>
        <v>63373</v>
      </c>
      <c r="CF22" s="267">
        <f>IF('[2]2026 január'!T20=0,
    "",
    '[2]2026 január'!T20
)</f>
        <v>88331</v>
      </c>
      <c r="CG22" s="267" t="str">
        <f>IF('[2]2026 január'!U20=0,
    "",
    '[2]2026 január'!U20
)</f>
        <v/>
      </c>
      <c r="CH22" s="267">
        <f>IF('[2]2026 január'!V20=0,
    "",
    '[2]2026 január'!V20
)</f>
        <v>34000</v>
      </c>
      <c r="CI22" s="267" t="str">
        <f>IF('[2]2026 január'!W20=0,
    "",
    '[2]2026 január'!W20
)</f>
        <v/>
      </c>
      <c r="CJ22" s="267" t="str">
        <f>IF('[2]2026 január'!X20=0,
    "",
    '[2]2026 január'!X20
)</f>
        <v/>
      </c>
      <c r="CK22" s="267">
        <f>IF('[2]2026 január'!Y20=0,
    "",
    '[2]2026 január'!Y20
)</f>
        <v>117704</v>
      </c>
      <c r="CL22" s="270" t="str">
        <f>IF('[2]2026 január'!Z20=0,
    "",
    '[2]2026 január'!Z20
)</f>
        <v/>
      </c>
      <c r="CM22" s="267" t="str">
        <f>IF('[2]2026 január'!AA20=0,
    "",
    '[2]2026 január'!AA20
)</f>
        <v/>
      </c>
      <c r="CN22" s="267" t="str">
        <f>IF('[2]2026 január'!AB20=0,
    "",
    '[2]2026 január'!AB20
)</f>
        <v/>
      </c>
      <c r="CO22" s="267" t="str">
        <f>IF('[2]2026 január'!AC20=0,
    "",
    '[2]2026 január'!AC20
)</f>
        <v/>
      </c>
      <c r="CP22" s="267" t="str">
        <f>IF('[2]2026 január'!AD20=0,
    "",
    '[2]2026 január'!AD20
)</f>
        <v/>
      </c>
      <c r="CQ22" s="220" t="str">
        <f>IF('[2]2026 január'!AE$20=0,
    "",
    '[2]2026 január'!AE$20
)</f>
        <v/>
      </c>
      <c r="CR22" s="220" t="str">
        <f>IF('[2]2026 január'!AF20=0,
    "",
    '[2]2026 január'!AF20
)</f>
        <v/>
      </c>
      <c r="CS22" s="220" t="str">
        <f>IF('[2]2026 január'!AG20=0,
    "",
    '[2]2026 január'!AG20
)</f>
        <v/>
      </c>
      <c r="CT22" s="220" t="str">
        <f>IF('[2]2026 január'!AH20=0,
    "",
    '[2]2026 január'!AH20
)</f>
        <v/>
      </c>
    </row>
    <row r="23" spans="1:98" ht="14.25" customHeight="1">
      <c r="A23" s="5">
        <v>46042</v>
      </c>
      <c r="B23" s="353">
        <v>506330</v>
      </c>
      <c r="C23" s="11">
        <v>500</v>
      </c>
      <c r="D23" s="11">
        <v>468010</v>
      </c>
      <c r="E23" s="11"/>
      <c r="F23" s="11"/>
      <c r="G23" s="11"/>
      <c r="H23" s="11">
        <v>468510</v>
      </c>
      <c r="I23" s="72">
        <v>468510</v>
      </c>
      <c r="J23" s="11">
        <v>70</v>
      </c>
      <c r="K23" s="33" t="s">
        <v>275</v>
      </c>
      <c r="L23" s="72">
        <v>130268398</v>
      </c>
      <c r="M23" s="260"/>
      <c r="N23" s="148"/>
      <c r="O23" s="214"/>
      <c r="Q23" s="5">
        <v>46042</v>
      </c>
      <c r="R23" s="353">
        <v>687335</v>
      </c>
      <c r="S23" s="11">
        <v>3100</v>
      </c>
      <c r="T23" s="11">
        <v>655371</v>
      </c>
      <c r="U23" s="11"/>
      <c r="V23" s="11"/>
      <c r="W23" s="11"/>
      <c r="X23" s="11">
        <v>658471</v>
      </c>
      <c r="Y23" s="11">
        <v>658471</v>
      </c>
      <c r="Z23" s="11">
        <v>-949</v>
      </c>
      <c r="AA23" s="38" t="s">
        <v>276</v>
      </c>
      <c r="AB23" s="72">
        <v>159836035</v>
      </c>
      <c r="AC23" s="152"/>
      <c r="AD23" s="148"/>
      <c r="AE23" s="9"/>
      <c r="AG23" s="305">
        <v>46042</v>
      </c>
      <c r="AH23" s="353">
        <v>384740</v>
      </c>
      <c r="AI23" s="306">
        <v>1450</v>
      </c>
      <c r="AJ23" s="306">
        <v>349850</v>
      </c>
      <c r="AK23" s="306"/>
      <c r="AL23" s="306"/>
      <c r="AM23" s="306"/>
      <c r="AN23" s="306">
        <v>351300</v>
      </c>
      <c r="AO23" s="306">
        <v>351300</v>
      </c>
      <c r="AP23" s="306">
        <v>-630</v>
      </c>
      <c r="AQ23" s="315" t="s">
        <v>277</v>
      </c>
      <c r="AR23" s="316">
        <v>300866979</v>
      </c>
      <c r="AS23" s="317"/>
      <c r="AT23" s="318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291"/>
      <c r="BI23" s="305">
        <v>46042</v>
      </c>
      <c r="BJ23" s="353">
        <v>235835</v>
      </c>
      <c r="BK23" s="306">
        <v>1050</v>
      </c>
      <c r="BL23" s="306">
        <v>226595</v>
      </c>
      <c r="BM23" s="306"/>
      <c r="BN23" s="306"/>
      <c r="BO23" s="306"/>
      <c r="BP23" s="306">
        <v>227645</v>
      </c>
      <c r="BQ23" s="306">
        <v>227645</v>
      </c>
      <c r="BR23" s="306">
        <v>400</v>
      </c>
      <c r="BS23" s="315" t="s">
        <v>278</v>
      </c>
      <c r="BT23" s="316">
        <v>168711487</v>
      </c>
      <c r="BU23" s="317"/>
      <c r="BV23" s="319"/>
      <c r="BW23" s="309"/>
      <c r="BY23" s="267">
        <f>IF('[2]2026 január'!B$21=0,
    "",
    '[2]2026 január'!B$21
)</f>
        <v>1814240</v>
      </c>
      <c r="BZ23" s="267" t="str">
        <f>IF(OR('[2]2026 január'!G21=0,
       ISBLANK('[2]2026 január'!G21)),
    "",
    '[2]2026 január'!G21
)</f>
        <v/>
      </c>
      <c r="CA23" s="11">
        <f>'[2]2026 január'!W21</f>
        <v>0</v>
      </c>
      <c r="CB23" s="11"/>
      <c r="CC23" s="11"/>
      <c r="CD23" s="10"/>
      <c r="CE23" s="267">
        <f>IF('[2]2026 január'!S21=0,
    "",
    '[2]2026 január'!S21
)</f>
        <v>117704</v>
      </c>
      <c r="CF23" s="267">
        <f>IF('[2]2026 január'!T21=0,
    "",
    '[2]2026 január'!T21
)</f>
        <v>108314</v>
      </c>
      <c r="CG23" s="267" t="str">
        <f>IF('[2]2026 január'!U21=0,
    "",
    '[2]2026 január'!U21
)</f>
        <v/>
      </c>
      <c r="CH23" s="267">
        <f>IF('[2]2026 január'!V21=0,
    "",
    '[2]2026 január'!V21
)</f>
        <v>36500</v>
      </c>
      <c r="CI23" s="267" t="str">
        <f>IF('[2]2026 január'!W21=0,
    "",
    '[2]2026 január'!W21
)</f>
        <v/>
      </c>
      <c r="CJ23" s="267" t="str">
        <f>IF('[2]2026 január'!X21=0,
    "",
    '[2]2026 január'!X21
)</f>
        <v/>
      </c>
      <c r="CK23" s="267">
        <f>IF('[2]2026 január'!Y21=0,
    "",
    '[2]2026 január'!Y21
)</f>
        <v>189518</v>
      </c>
      <c r="CL23" s="270" t="str">
        <f>IF('[2]2026 január'!Z21=0,
    "",
    '[2]2026 január'!Z21
)</f>
        <v/>
      </c>
      <c r="CM23" s="267" t="str">
        <f>IF('[2]2026 január'!AA21=0,
    "",
    '[2]2026 január'!AA21
)</f>
        <v/>
      </c>
      <c r="CN23" s="267" t="str">
        <f>IF('[2]2026 január'!AB21=0,
    "",
    '[2]2026 január'!AB21
)</f>
        <v/>
      </c>
      <c r="CO23" s="267" t="str">
        <f>IF('[2]2026 január'!AC21=0,
    "",
    '[2]2026 január'!AC21
)</f>
        <v/>
      </c>
      <c r="CP23" s="267" t="str">
        <f>IF('[2]2026 január'!AD21=0,
    "",
    '[2]2026 január'!AD21
)</f>
        <v/>
      </c>
      <c r="CQ23" s="220" t="str">
        <f>IF('[2]2026 január'!AE$21=0,
    "",
    '[2]2026 január'!AE$21
)</f>
        <v/>
      </c>
      <c r="CR23" s="220" t="str">
        <f>IF('[2]2026 január'!AF21=0,
    "",
    '[2]2026 január'!AF21
)</f>
        <v/>
      </c>
      <c r="CS23" s="220" t="str">
        <f>IF('[2]2026 január'!AG21=0,
    "",
    '[2]2026 január'!AG21
)</f>
        <v/>
      </c>
      <c r="CT23" s="220" t="str">
        <f>IF('[2]2026 január'!AH21=0,
    "",
    '[2]2026 január'!AH21
)</f>
        <v/>
      </c>
    </row>
    <row r="24" spans="1:98" ht="14.25" customHeight="1">
      <c r="A24" s="5">
        <v>46043</v>
      </c>
      <c r="B24" s="353">
        <v>524005</v>
      </c>
      <c r="C24" s="11">
        <v>700</v>
      </c>
      <c r="D24" s="11">
        <v>501635</v>
      </c>
      <c r="E24" s="11">
        <v>100</v>
      </c>
      <c r="F24" s="11"/>
      <c r="G24" s="11"/>
      <c r="H24" s="11">
        <v>502435</v>
      </c>
      <c r="I24" s="72">
        <v>502435</v>
      </c>
      <c r="J24" s="11">
        <v>1430</v>
      </c>
      <c r="K24" s="33" t="s">
        <v>279</v>
      </c>
      <c r="L24" s="72">
        <v>130770833</v>
      </c>
      <c r="M24" s="260"/>
      <c r="N24" s="148"/>
      <c r="O24" s="214"/>
      <c r="Q24" s="5">
        <v>46043</v>
      </c>
      <c r="R24" s="353">
        <v>725460</v>
      </c>
      <c r="S24" s="11">
        <v>3320</v>
      </c>
      <c r="T24" s="11">
        <v>679971</v>
      </c>
      <c r="U24" s="11"/>
      <c r="V24" s="11"/>
      <c r="W24" s="11"/>
      <c r="X24" s="11">
        <v>683291</v>
      </c>
      <c r="Y24" s="11">
        <v>683291</v>
      </c>
      <c r="Z24" s="11">
        <v>-1099</v>
      </c>
      <c r="AA24" s="38" t="s">
        <v>280</v>
      </c>
      <c r="AB24" s="72">
        <v>160519326</v>
      </c>
      <c r="AC24" s="152"/>
      <c r="AD24" s="148"/>
      <c r="AE24" s="9"/>
      <c r="AG24" s="305">
        <v>46043</v>
      </c>
      <c r="AH24" s="353">
        <v>436590</v>
      </c>
      <c r="AI24" s="306">
        <v>2100</v>
      </c>
      <c r="AJ24" s="306">
        <v>394290</v>
      </c>
      <c r="AK24" s="306"/>
      <c r="AL24" s="306"/>
      <c r="AM24" s="306"/>
      <c r="AN24" s="306">
        <v>396390</v>
      </c>
      <c r="AO24" s="306">
        <v>396390</v>
      </c>
      <c r="AP24" s="306">
        <v>-2200</v>
      </c>
      <c r="AQ24" s="315" t="s">
        <v>281</v>
      </c>
      <c r="AR24" s="316">
        <v>301263369</v>
      </c>
      <c r="AS24" s="317"/>
      <c r="AT24" s="318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291"/>
      <c r="BI24" s="305">
        <v>46043</v>
      </c>
      <c r="BJ24" s="353">
        <v>221235</v>
      </c>
      <c r="BK24" s="306">
        <v>1000</v>
      </c>
      <c r="BL24" s="306">
        <v>218719</v>
      </c>
      <c r="BM24" s="306"/>
      <c r="BN24" s="306"/>
      <c r="BO24" s="306"/>
      <c r="BP24" s="306">
        <v>219719</v>
      </c>
      <c r="BQ24" s="306">
        <v>219719</v>
      </c>
      <c r="BR24" s="306">
        <v>-956</v>
      </c>
      <c r="BS24" s="315" t="s">
        <v>282</v>
      </c>
      <c r="BT24" s="316">
        <v>168931206</v>
      </c>
      <c r="BU24" s="317"/>
      <c r="BV24" s="319"/>
      <c r="BW24" s="309"/>
      <c r="BY24" s="267">
        <f>IF('[2]2026 január'!B$22=0,
    "",
    '[2]2026 január'!B$22
)</f>
        <v>1907290</v>
      </c>
      <c r="BZ24" s="267" t="str">
        <f>IF(OR('[2]2026 január'!G22=0,
       ISBLANK('[2]2026 január'!G22)),
    "",
    '[2]2026 január'!G22
)</f>
        <v/>
      </c>
      <c r="CA24" s="11">
        <f>'[2]2026 január'!W22</f>
        <v>0</v>
      </c>
      <c r="CB24" s="11"/>
      <c r="CC24" s="11"/>
      <c r="CD24" s="10"/>
      <c r="CE24" s="267">
        <f>IF('[2]2026 január'!S22=0,
    "",
    '[2]2026 január'!S22
)</f>
        <v>189518</v>
      </c>
      <c r="CF24" s="267">
        <f>IF('[2]2026 január'!T22=0,
    "",
    '[2]2026 január'!T22
)</f>
        <v>105455</v>
      </c>
      <c r="CG24" s="267" t="str">
        <f>IF('[2]2026 január'!U22=0,
    "",
    '[2]2026 január'!U22
)</f>
        <v/>
      </c>
      <c r="CH24" s="267">
        <f>IF('[2]2026 január'!V22=0,
    "",
    '[2]2026 január'!V22
)</f>
        <v>27600</v>
      </c>
      <c r="CI24" s="267" t="str">
        <f>IF('[2]2026 január'!W22=0,
    "",
    '[2]2026 január'!W22
)</f>
        <v/>
      </c>
      <c r="CJ24" s="267" t="str">
        <f>IF('[2]2026 január'!X22=0,
    "",
    '[2]2026 január'!X22
)</f>
        <v/>
      </c>
      <c r="CK24" s="267">
        <f>IF('[2]2026 január'!Y22=0,
    "",
    '[2]2026 január'!Y22
)</f>
        <v>267373</v>
      </c>
      <c r="CL24" s="270" t="str">
        <f>IF('[2]2026 január'!Z22=0,
    "",
    '[2]2026 január'!Z22
)</f>
        <v/>
      </c>
      <c r="CM24" s="267" t="str">
        <f>IF('[2]2026 január'!AA22=0,
    "",
    '[2]2026 január'!AA22
)</f>
        <v/>
      </c>
      <c r="CN24" s="267" t="str">
        <f>IF('[2]2026 január'!AB22=0,
    "",
    '[2]2026 január'!AB22
)</f>
        <v/>
      </c>
      <c r="CO24" s="267" t="str">
        <f>IF('[2]2026 január'!AC22=0,
    "",
    '[2]2026 január'!AC22
)</f>
        <v/>
      </c>
      <c r="CP24" s="267" t="str">
        <f>IF('[2]2026 január'!AD22=0,
    "",
    '[2]2026 január'!AD22
)</f>
        <v/>
      </c>
      <c r="CQ24" s="220" t="str">
        <f>IF('[2]2026 január'!AE$22=0,
    "",
    '[2]2026 január'!AE$22
)</f>
        <v/>
      </c>
      <c r="CR24" s="220" t="str">
        <f>IF('[2]2026 január'!AF22=0,
    "",
    '[2]2026 január'!AF22
)</f>
        <v/>
      </c>
      <c r="CS24" s="220" t="str">
        <f>IF('[2]2026 január'!AG22=0,
    "",
    '[2]2026 január'!AG22
)</f>
        <v/>
      </c>
      <c r="CT24" s="220" t="str">
        <f>IF('[2]2026 január'!AH22=0,
    "",
    '[2]2026 január'!AH22
)</f>
        <v/>
      </c>
    </row>
    <row r="25" spans="1:98" ht="14.25" customHeight="1">
      <c r="A25" s="5">
        <v>46044</v>
      </c>
      <c r="B25" s="353">
        <v>480720</v>
      </c>
      <c r="C25" s="11">
        <v>900</v>
      </c>
      <c r="D25" s="11">
        <v>435150</v>
      </c>
      <c r="E25" s="11"/>
      <c r="F25" s="11"/>
      <c r="G25" s="11"/>
      <c r="H25" s="11">
        <v>436050</v>
      </c>
      <c r="I25" s="72">
        <v>436050</v>
      </c>
      <c r="J25" s="11">
        <v>2105</v>
      </c>
      <c r="K25" s="33" t="s">
        <v>283</v>
      </c>
      <c r="L25" s="72">
        <v>131206883</v>
      </c>
      <c r="M25" s="260"/>
      <c r="N25" s="148"/>
      <c r="O25" s="214"/>
      <c r="Q25" s="5">
        <v>46044</v>
      </c>
      <c r="R25" s="353">
        <v>660910</v>
      </c>
      <c r="S25" s="11">
        <v>3650</v>
      </c>
      <c r="T25" s="11">
        <v>612194</v>
      </c>
      <c r="U25" s="11"/>
      <c r="V25" s="11"/>
      <c r="W25" s="11"/>
      <c r="X25" s="11">
        <v>615844</v>
      </c>
      <c r="Y25" s="11">
        <v>615844</v>
      </c>
      <c r="Z25" s="11">
        <v>-151</v>
      </c>
      <c r="AA25" s="38" t="s">
        <v>284</v>
      </c>
      <c r="AB25" s="72">
        <v>161135170</v>
      </c>
      <c r="AC25" s="152"/>
      <c r="AD25" s="148"/>
      <c r="AE25" s="9"/>
      <c r="AG25" s="305">
        <v>46044</v>
      </c>
      <c r="AH25" s="353">
        <v>429155</v>
      </c>
      <c r="AI25" s="306">
        <v>1900</v>
      </c>
      <c r="AJ25" s="306">
        <v>388891</v>
      </c>
      <c r="AK25" s="306"/>
      <c r="AL25" s="306">
        <v>50</v>
      </c>
      <c r="AM25" s="306"/>
      <c r="AN25" s="306">
        <v>390841</v>
      </c>
      <c r="AO25" s="306">
        <v>390841</v>
      </c>
      <c r="AP25" s="306">
        <v>2436</v>
      </c>
      <c r="AQ25" s="315" t="s">
        <v>285</v>
      </c>
      <c r="AR25" s="316">
        <v>301654210</v>
      </c>
      <c r="AS25" s="317"/>
      <c r="AT25" s="318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291"/>
      <c r="BI25" s="305">
        <v>46044</v>
      </c>
      <c r="BJ25" s="353">
        <v>204505</v>
      </c>
      <c r="BK25" s="306">
        <v>750</v>
      </c>
      <c r="BL25" s="306">
        <v>196350</v>
      </c>
      <c r="BM25" s="306"/>
      <c r="BN25" s="306"/>
      <c r="BO25" s="306"/>
      <c r="BP25" s="306">
        <v>197100</v>
      </c>
      <c r="BQ25" s="306">
        <v>197100</v>
      </c>
      <c r="BR25" s="306">
        <v>95</v>
      </c>
      <c r="BS25" s="315" t="s">
        <v>286</v>
      </c>
      <c r="BT25" s="316">
        <v>169128306</v>
      </c>
      <c r="BU25" s="317"/>
      <c r="BV25" s="319"/>
      <c r="BW25" s="309"/>
      <c r="BY25" s="267">
        <f>IF('[2]2026 január'!B$23=0,
    "",
    '[2]2026 január'!B$23
)</f>
        <v>1775290</v>
      </c>
      <c r="BZ25" s="267" t="str">
        <f>IF(OR('[2]2026 január'!G23=0,
       ISBLANK('[2]2026 január'!G23)),
    "",
    '[2]2026 január'!G23
)</f>
        <v/>
      </c>
      <c r="CA25" s="11">
        <f>'[2]2026 január'!W23</f>
        <v>0</v>
      </c>
      <c r="CB25" s="11"/>
      <c r="CC25" s="11"/>
      <c r="CD25" s="10"/>
      <c r="CE25" s="267">
        <f>IF('[2]2026 január'!S23=0,
    "",
    '[2]2026 január'!S23
)</f>
        <v>267373</v>
      </c>
      <c r="CF25" s="267">
        <f>IF('[2]2026 január'!T23=0,
    "",
    '[2]2026 január'!T23
)</f>
        <v>135455</v>
      </c>
      <c r="CG25" s="267" t="str">
        <f>IF('[2]2026 január'!U23=0,
    "",
    '[2]2026 január'!U23
)</f>
        <v/>
      </c>
      <c r="CH25" s="267">
        <f>IF('[2]2026 január'!V23=0,
    "",
    '[2]2026 január'!V23
)</f>
        <v>39500</v>
      </c>
      <c r="CI25" s="267" t="str">
        <f>IF('[2]2026 január'!W23=0,
    "",
    '[2]2026 január'!W23
)</f>
        <v/>
      </c>
      <c r="CJ25" s="267" t="str">
        <f>IF('[2]2026 január'!X23=0,
    "",
    '[2]2026 január'!X23
)</f>
        <v/>
      </c>
      <c r="CK25" s="267">
        <f>IF('[2]2026 január'!Y23=0,
    "",
    '[2]2026 január'!Y23
)</f>
        <v>363328</v>
      </c>
      <c r="CL25" s="270" t="str">
        <f>IF('[2]2026 január'!Z23=0,
    "",
    '[2]2026 január'!Z23
)</f>
        <v/>
      </c>
      <c r="CM25" s="267" t="str">
        <f>IF('[2]2026 január'!AA23=0,
    "",
    '[2]2026 január'!AA23
)</f>
        <v/>
      </c>
      <c r="CN25" s="267" t="str">
        <f>IF('[2]2026 január'!AB23=0,
    "",
    '[2]2026 január'!AB23
)</f>
        <v/>
      </c>
      <c r="CO25" s="267" t="str">
        <f>IF('[2]2026 január'!AC23=0,
    "",
    '[2]2026 január'!AC23
)</f>
        <v/>
      </c>
      <c r="CP25" s="267" t="str">
        <f>IF('[2]2026 január'!AD23=0,
    "",
    '[2]2026 január'!AD23
)</f>
        <v/>
      </c>
      <c r="CQ25" s="220" t="str">
        <f>IF('[2]2026 január'!AE$23=0,
    "",
    '[2]2026 január'!AE$23
)</f>
        <v/>
      </c>
      <c r="CR25" s="220" t="str">
        <f>IF('[2]2026 január'!AF23=0,
    "",
    '[2]2026 január'!AF23
)</f>
        <v/>
      </c>
      <c r="CS25" s="220" t="str">
        <f>IF('[2]2026 január'!AG23=0,
    "",
    '[2]2026 január'!AG23
)</f>
        <v/>
      </c>
      <c r="CT25" s="220" t="str">
        <f>IF('[2]2026 január'!AH23=0,
    "",
    '[2]2026 január'!AH23
)</f>
        <v/>
      </c>
    </row>
    <row r="26" spans="1:98" ht="14.25" customHeight="1">
      <c r="A26" s="5">
        <v>46045</v>
      </c>
      <c r="B26" s="353">
        <v>419985</v>
      </c>
      <c r="C26" s="11">
        <v>1400</v>
      </c>
      <c r="D26" s="11">
        <v>383825</v>
      </c>
      <c r="E26" s="11"/>
      <c r="F26" s="11"/>
      <c r="G26" s="11"/>
      <c r="H26" s="11">
        <v>385275</v>
      </c>
      <c r="I26" s="72">
        <v>385275</v>
      </c>
      <c r="J26" s="11">
        <v>1695</v>
      </c>
      <c r="K26" s="33" t="s">
        <v>287</v>
      </c>
      <c r="L26" s="72">
        <v>131592158</v>
      </c>
      <c r="M26" s="260"/>
      <c r="N26" s="148"/>
      <c r="O26" s="214"/>
      <c r="Q26" s="5">
        <v>46045</v>
      </c>
      <c r="R26" s="353">
        <v>495970</v>
      </c>
      <c r="S26" s="11">
        <v>1900</v>
      </c>
      <c r="T26" s="11">
        <v>439255</v>
      </c>
      <c r="U26" s="11"/>
      <c r="V26" s="11"/>
      <c r="W26" s="11"/>
      <c r="X26" s="11">
        <v>441155</v>
      </c>
      <c r="Y26" s="11">
        <v>441155</v>
      </c>
      <c r="Z26" s="11">
        <v>1185</v>
      </c>
      <c r="AA26" s="38" t="s">
        <v>288</v>
      </c>
      <c r="AB26" s="72">
        <v>161576325</v>
      </c>
      <c r="AC26" s="152"/>
      <c r="AD26" s="148"/>
      <c r="AE26" s="9"/>
      <c r="AG26" s="305">
        <v>46045</v>
      </c>
      <c r="AH26" s="353">
        <v>302405</v>
      </c>
      <c r="AI26" s="306">
        <v>1350</v>
      </c>
      <c r="AJ26" s="306">
        <v>267751</v>
      </c>
      <c r="AK26" s="306"/>
      <c r="AL26" s="306"/>
      <c r="AM26" s="306"/>
      <c r="AN26" s="314">
        <v>269101</v>
      </c>
      <c r="AO26" s="314">
        <v>282100</v>
      </c>
      <c r="AP26" s="306">
        <v>1105</v>
      </c>
      <c r="AQ26" s="315" t="s">
        <v>289</v>
      </c>
      <c r="AR26" s="316">
        <v>301923311</v>
      </c>
      <c r="AS26" s="317"/>
      <c r="AT26" s="318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454" t="s">
        <v>162</v>
      </c>
      <c r="BH26" s="291"/>
      <c r="BI26" s="305">
        <v>46045</v>
      </c>
      <c r="BJ26" s="353">
        <v>186780</v>
      </c>
      <c r="BK26" s="306">
        <v>1150</v>
      </c>
      <c r="BL26" s="306">
        <v>167775</v>
      </c>
      <c r="BM26" s="306"/>
      <c r="BN26" s="306"/>
      <c r="BO26" s="306"/>
      <c r="BP26" s="306">
        <v>168925</v>
      </c>
      <c r="BQ26" s="306">
        <v>168925</v>
      </c>
      <c r="BR26" s="306">
        <v>-385</v>
      </c>
      <c r="BS26" s="315" t="s">
        <v>290</v>
      </c>
      <c r="BT26" s="316">
        <v>169297231</v>
      </c>
      <c r="BU26" s="317"/>
      <c r="BV26" s="319"/>
      <c r="BW26" s="309"/>
      <c r="BY26" s="267">
        <f>IF('[2]2026 január'!B$24=0,
    "",
    '[2]2026 január'!B$24
)</f>
        <v>1405140</v>
      </c>
      <c r="BZ26" s="267" t="str">
        <f>IF(OR('[2]2026 január'!G24=0,
       ISBLANK('[2]2026 január'!G24)),
    "",
    '[2]2026 január'!G24
)</f>
        <v/>
      </c>
      <c r="CA26" s="11">
        <f>'[2]2026 január'!W24</f>
        <v>0</v>
      </c>
      <c r="CB26" s="11"/>
      <c r="CC26" s="11"/>
      <c r="CD26" s="10"/>
      <c r="CE26" s="267">
        <f>IF('[2]2026 január'!S24=0,
    "",
    '[2]2026 január'!S24
)</f>
        <v>363328</v>
      </c>
      <c r="CF26" s="267">
        <f>IF('[2]2026 január'!T24=0,
    "",
    '[2]2026 január'!T24
)</f>
        <v>127685</v>
      </c>
      <c r="CG26" s="267" t="str">
        <f>IF('[2]2026 január'!U24=0,
    "",
    '[2]2026 január'!U24
)</f>
        <v/>
      </c>
      <c r="CH26" s="267">
        <f>IF('[2]2026 január'!V24=0,
    "",
    '[2]2026 január'!V24
)</f>
        <v>158000</v>
      </c>
      <c r="CI26" s="267" t="str">
        <f>IF('[2]2026 január'!W24=0,
    "",
    '[2]2026 január'!W24
)</f>
        <v/>
      </c>
      <c r="CJ26" s="267" t="str">
        <f>IF('[2]2026 január'!X24=0,
    "",
    '[2]2026 január'!X24
)</f>
        <v/>
      </c>
      <c r="CK26" s="267">
        <f>IF('[2]2026 január'!Y24=0,
    "",
    '[2]2026 január'!Y24
)</f>
        <v>333013</v>
      </c>
      <c r="CL26" s="270" t="str">
        <f>IF('[2]2026 január'!Z24=0,
    "",
    '[2]2026 január'!Z24
)</f>
        <v/>
      </c>
      <c r="CM26" s="267" t="str">
        <f>IF('[2]2026 január'!AA24=0,
    "",
    '[2]2026 január'!AA24
)</f>
        <v/>
      </c>
      <c r="CN26" s="267" t="str">
        <f>IF('[2]2026 január'!AB24=0,
    "",
    '[2]2026 január'!AB24
)</f>
        <v/>
      </c>
      <c r="CO26" s="267" t="str">
        <f>IF('[2]2026 január'!AC24=0,
    "",
    '[2]2026 január'!AC24
)</f>
        <v/>
      </c>
      <c r="CP26" s="267" t="str">
        <f>IF('[2]2026 január'!AD24=0,
    "",
    '[2]2026 január'!AD24
)</f>
        <v/>
      </c>
      <c r="CQ26" s="220" t="str">
        <f>IF('[2]2026 január'!AE$24=0,
    "",
    '[2]2026 január'!AE$24
)</f>
        <v/>
      </c>
      <c r="CR26" s="220" t="str">
        <f>IF('[2]2026 január'!AF24=0,
    "",
    '[2]2026 január'!AF24
)</f>
        <v/>
      </c>
      <c r="CS26" s="220" t="str">
        <f>IF('[2]2026 január'!AG24=0,
    "",
    '[2]2026 január'!AG24
)</f>
        <v/>
      </c>
      <c r="CT26" s="220" t="str">
        <f>IF('[2]2026 január'!AH24=0,
    "",
    '[2]2026 január'!AH24
)</f>
        <v/>
      </c>
    </row>
    <row r="27" spans="1:98" ht="14.25" customHeight="1">
      <c r="A27" s="141">
        <v>46046</v>
      </c>
      <c r="B27" s="352"/>
      <c r="C27" s="142"/>
      <c r="D27" s="142"/>
      <c r="E27" s="142"/>
      <c r="F27" s="142"/>
      <c r="G27" s="142"/>
      <c r="H27" s="142"/>
      <c r="I27" s="146"/>
      <c r="J27" s="142"/>
      <c r="K27" s="198"/>
      <c r="L27" s="146"/>
      <c r="M27" s="266"/>
      <c r="N27" s="153"/>
      <c r="O27" s="217"/>
      <c r="Q27" s="141">
        <v>46046</v>
      </c>
      <c r="R27" s="352"/>
      <c r="S27" s="142"/>
      <c r="T27" s="142"/>
      <c r="U27" s="142"/>
      <c r="V27" s="142"/>
      <c r="W27" s="142"/>
      <c r="X27" s="142"/>
      <c r="Y27" s="142"/>
      <c r="Z27" s="142"/>
      <c r="AA27" s="143"/>
      <c r="AB27" s="146"/>
      <c r="AC27" s="151"/>
      <c r="AD27" s="153"/>
      <c r="AE27" s="158"/>
      <c r="AG27" s="299">
        <v>46046</v>
      </c>
      <c r="AH27" s="352"/>
      <c r="AI27" s="300"/>
      <c r="AJ27" s="300"/>
      <c r="AK27" s="300"/>
      <c r="AL27" s="300"/>
      <c r="AM27" s="300"/>
      <c r="AN27" s="300"/>
      <c r="AO27" s="300"/>
      <c r="AP27" s="300"/>
      <c r="AQ27" s="301"/>
      <c r="AR27" s="312"/>
      <c r="AS27" s="313"/>
      <c r="AT27" s="304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10"/>
      <c r="BH27" s="291"/>
      <c r="BI27" s="299">
        <v>46046</v>
      </c>
      <c r="BJ27" s="352"/>
      <c r="BK27" s="300"/>
      <c r="BL27" s="300"/>
      <c r="BM27" s="300"/>
      <c r="BN27" s="300"/>
      <c r="BO27" s="300"/>
      <c r="BP27" s="300"/>
      <c r="BQ27" s="300"/>
      <c r="BR27" s="300"/>
      <c r="BS27" s="301"/>
      <c r="BT27" s="312"/>
      <c r="BU27" s="313"/>
      <c r="BV27" s="311"/>
      <c r="BW27" s="310"/>
      <c r="BY27" s="267" t="str">
        <f>IF('[2]2026 január'!B$25=0,
    "",
    '[2]2026 január'!B$25
)</f>
        <v/>
      </c>
      <c r="BZ27" s="267" t="str">
        <f>IF(OR('[2]2026 január'!G25=0,
       ISBLANK('[2]2026 január'!G25)),
    "",
    '[2]2026 január'!G25
)</f>
        <v/>
      </c>
      <c r="CA27" s="11">
        <f>'[2]2026 január'!W25</f>
        <v>0</v>
      </c>
      <c r="CB27" s="11"/>
      <c r="CC27" s="11"/>
      <c r="CD27" s="10"/>
      <c r="CE27" s="267" t="str">
        <f>IF('[2]2026 január'!S25=0,
    "",
    '[2]2026 január'!S25
)</f>
        <v/>
      </c>
      <c r="CF27" s="267" t="str">
        <f>IF('[2]2026 január'!T25=0,
    "",
    '[2]2026 január'!T25
)</f>
        <v/>
      </c>
      <c r="CG27" s="267" t="str">
        <f>IF('[2]2026 január'!U25=0,
    "",
    '[2]2026 január'!U25
)</f>
        <v/>
      </c>
      <c r="CH27" s="267" t="str">
        <f>IF('[2]2026 január'!V25=0,
    "",
    '[2]2026 január'!V25
)</f>
        <v/>
      </c>
      <c r="CI27" s="267" t="str">
        <f>IF('[2]2026 január'!W25=0,
    "",
    '[2]2026 január'!W25
)</f>
        <v/>
      </c>
      <c r="CJ27" s="267" t="str">
        <f>IF('[2]2026 január'!X25=0,
    "",
    '[2]2026 január'!X25
)</f>
        <v/>
      </c>
      <c r="CK27" s="267" t="str">
        <f>IF('[2]2026 január'!Y25=0,
    "",
    '[2]2026 január'!Y25
)</f>
        <v/>
      </c>
      <c r="CL27" s="270" t="str">
        <f>IF('[2]2026 január'!Z25=0,
    "",
    '[2]2026 január'!Z25
)</f>
        <v/>
      </c>
      <c r="CM27" s="267" t="str">
        <f>IF('[2]2026 január'!AA25=0,
    "",
    '[2]2026 január'!AA25
)</f>
        <v/>
      </c>
      <c r="CN27" s="267" t="str">
        <f>IF('[2]2026 január'!AB25=0,
    "",
    '[2]2026 január'!AB25
)</f>
        <v/>
      </c>
      <c r="CO27" s="267" t="str">
        <f>IF('[2]2026 január'!AC25=0,
    "",
    '[2]2026 január'!AC25
)</f>
        <v/>
      </c>
      <c r="CP27" s="267" t="str">
        <f>IF('[2]2026 január'!AD25=0,
    "",
    '[2]2026 január'!AD25
)</f>
        <v/>
      </c>
      <c r="CQ27" s="220" t="str">
        <f>IF('[2]2026 január'!AE$25=0,
    "",
    '[2]2026 január'!AE$25
)</f>
        <v/>
      </c>
      <c r="CR27" s="220" t="str">
        <f>IF('[2]2026 január'!AF25=0,
    "",
    '[2]2026 január'!AF25
)</f>
        <v/>
      </c>
      <c r="CS27" s="220" t="str">
        <f>IF('[2]2026 január'!AG25=0,
    "",
    '[2]2026 január'!AG25
)</f>
        <v/>
      </c>
      <c r="CT27" s="220" t="str">
        <f>IF('[2]2026 január'!AH25=0,
    "",
    '[2]2026 január'!AH25
)</f>
        <v/>
      </c>
    </row>
    <row r="28" spans="1:98" ht="14.25" customHeight="1">
      <c r="A28" s="141">
        <v>46047</v>
      </c>
      <c r="B28" s="352"/>
      <c r="C28" s="142"/>
      <c r="D28" s="142"/>
      <c r="E28" s="142"/>
      <c r="F28" s="142"/>
      <c r="G28" s="142"/>
      <c r="H28" s="142"/>
      <c r="I28" s="146"/>
      <c r="J28" s="142"/>
      <c r="K28" s="198"/>
      <c r="L28" s="146"/>
      <c r="M28" s="266"/>
      <c r="N28" s="153"/>
      <c r="O28" s="217"/>
      <c r="Q28" s="141">
        <v>46047</v>
      </c>
      <c r="R28" s="352"/>
      <c r="S28" s="142"/>
      <c r="T28" s="142"/>
      <c r="U28" s="142"/>
      <c r="V28" s="142"/>
      <c r="W28" s="142"/>
      <c r="X28" s="142"/>
      <c r="Y28" s="142"/>
      <c r="Z28" s="142"/>
      <c r="AA28" s="143"/>
      <c r="AB28" s="146"/>
      <c r="AC28" s="151"/>
      <c r="AD28" s="153"/>
      <c r="AE28" s="158"/>
      <c r="AG28" s="299">
        <v>46047</v>
      </c>
      <c r="AH28" s="352"/>
      <c r="AI28" s="300"/>
      <c r="AJ28" s="300"/>
      <c r="AK28" s="300"/>
      <c r="AL28" s="300"/>
      <c r="AM28" s="300"/>
      <c r="AN28" s="300"/>
      <c r="AO28" s="300"/>
      <c r="AP28" s="300"/>
      <c r="AQ28" s="301"/>
      <c r="AR28" s="312"/>
      <c r="AS28" s="313"/>
      <c r="AT28" s="304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10"/>
      <c r="BH28" s="291"/>
      <c r="BI28" s="299">
        <v>46047</v>
      </c>
      <c r="BJ28" s="352"/>
      <c r="BK28" s="300"/>
      <c r="BL28" s="300"/>
      <c r="BM28" s="300"/>
      <c r="BN28" s="300"/>
      <c r="BO28" s="300"/>
      <c r="BP28" s="300"/>
      <c r="BQ28" s="300"/>
      <c r="BR28" s="300"/>
      <c r="BS28" s="301"/>
      <c r="BT28" s="312"/>
      <c r="BU28" s="313"/>
      <c r="BV28" s="311"/>
      <c r="BW28" s="310"/>
      <c r="BY28" s="267" t="str">
        <f>IF('[2]2026 január'!B$26=0,
    "",
    '[2]2026 január'!B$26
)</f>
        <v/>
      </c>
      <c r="BZ28" s="267" t="str">
        <f>IF(OR('[2]2026 január'!G26=0,
       ISBLANK('[2]2026 január'!G26)),
    "",
    '[2]2026 január'!G26
)</f>
        <v/>
      </c>
      <c r="CA28" s="11">
        <f>'[2]2026 január'!W26</f>
        <v>0</v>
      </c>
      <c r="CB28" s="11"/>
      <c r="CC28" s="11"/>
      <c r="CD28" s="10"/>
      <c r="CE28" s="267" t="str">
        <f>IF('[2]2026 január'!S26=0,
    "",
    '[2]2026 január'!S26
)</f>
        <v/>
      </c>
      <c r="CF28" s="267" t="str">
        <f>IF('[2]2026 január'!T26=0,
    "",
    '[2]2026 január'!T26
)</f>
        <v/>
      </c>
      <c r="CG28" s="267" t="str">
        <f>IF('[2]2026 január'!U26=0,
    "",
    '[2]2026 január'!U26
)</f>
        <v/>
      </c>
      <c r="CH28" s="267" t="str">
        <f>IF('[2]2026 január'!V26=0,
    "",
    '[2]2026 január'!V26
)</f>
        <v/>
      </c>
      <c r="CI28" s="267" t="str">
        <f>IF('[2]2026 január'!W26=0,
    "",
    '[2]2026 január'!W26
)</f>
        <v/>
      </c>
      <c r="CJ28" s="267" t="str">
        <f>IF('[2]2026 január'!X26=0,
    "",
    '[2]2026 január'!X26
)</f>
        <v/>
      </c>
      <c r="CK28" s="267" t="str">
        <f>IF('[2]2026 január'!Y26=0,
    "",
    '[2]2026 január'!Y26
)</f>
        <v/>
      </c>
      <c r="CL28" s="270" t="str">
        <f>IF('[2]2026 január'!Z26=0,
    "",
    '[2]2026 január'!Z26
)</f>
        <v/>
      </c>
      <c r="CM28" s="267" t="str">
        <f>IF('[2]2026 január'!AA26=0,
    "",
    '[2]2026 január'!AA26
)</f>
        <v/>
      </c>
      <c r="CN28" s="267" t="str">
        <f>IF('[2]2026 január'!AB26=0,
    "",
    '[2]2026 január'!AB26
)</f>
        <v/>
      </c>
      <c r="CO28" s="267" t="str">
        <f>IF('[2]2026 január'!AC26=0,
    "",
    '[2]2026 január'!AC26
)</f>
        <v/>
      </c>
      <c r="CP28" s="267" t="str">
        <f>IF('[2]2026 január'!AD26=0,
    "",
    '[2]2026 január'!AD26
)</f>
        <v/>
      </c>
      <c r="CQ28" s="220" t="str">
        <f>IF('[2]2026 január'!AE$26=0,
    "",
    '[2]2026 január'!AE$26
)</f>
        <v/>
      </c>
      <c r="CR28" s="220" t="str">
        <f>IF('[2]2026 január'!AF26=0,
    "",
    '[2]2026 január'!AF26
)</f>
        <v/>
      </c>
      <c r="CS28" s="220" t="str">
        <f>IF('[2]2026 január'!AG26=0,
    "",
    '[2]2026 január'!AG26
)</f>
        <v/>
      </c>
      <c r="CT28" s="220" t="str">
        <f>IF('[2]2026 január'!AH26=0,
    "",
    '[2]2026 január'!AH26
)</f>
        <v/>
      </c>
    </row>
    <row r="29" spans="1:98" ht="14.25" customHeight="1">
      <c r="A29" s="5">
        <v>46048</v>
      </c>
      <c r="B29" s="353">
        <v>394475</v>
      </c>
      <c r="C29" s="11">
        <v>1100</v>
      </c>
      <c r="D29" s="11">
        <v>368395</v>
      </c>
      <c r="E29" s="11"/>
      <c r="F29" s="11"/>
      <c r="G29" s="11"/>
      <c r="H29" s="11">
        <v>369495</v>
      </c>
      <c r="I29" s="72">
        <v>369495</v>
      </c>
      <c r="J29" s="11">
        <v>2220</v>
      </c>
      <c r="K29" s="33" t="s">
        <v>291</v>
      </c>
      <c r="L29" s="72">
        <v>131961653</v>
      </c>
      <c r="M29" s="260"/>
      <c r="N29" s="148"/>
      <c r="O29" s="214"/>
      <c r="Q29" s="5">
        <v>46048</v>
      </c>
      <c r="R29" s="353">
        <v>577145</v>
      </c>
      <c r="S29" s="11">
        <v>3450</v>
      </c>
      <c r="T29" s="11">
        <v>529868</v>
      </c>
      <c r="U29" s="11"/>
      <c r="V29" s="11"/>
      <c r="W29" s="11"/>
      <c r="X29" s="11">
        <v>533318</v>
      </c>
      <c r="Y29" s="11">
        <v>533318</v>
      </c>
      <c r="Z29" s="11">
        <v>1273</v>
      </c>
      <c r="AA29" s="38" t="s">
        <v>292</v>
      </c>
      <c r="AB29" s="72">
        <v>162109643</v>
      </c>
      <c r="AC29" s="152"/>
      <c r="AD29" s="148"/>
      <c r="AE29" s="9"/>
      <c r="AG29" s="305">
        <v>46048</v>
      </c>
      <c r="AH29" s="353">
        <v>326360</v>
      </c>
      <c r="AI29" s="306">
        <v>1500</v>
      </c>
      <c r="AJ29" s="306">
        <v>315929</v>
      </c>
      <c r="AK29" s="306"/>
      <c r="AL29" s="306"/>
      <c r="AM29" s="322"/>
      <c r="AN29" s="435">
        <v>317429</v>
      </c>
      <c r="AO29" s="435">
        <v>304430</v>
      </c>
      <c r="AP29" s="322">
        <v>260</v>
      </c>
      <c r="AQ29" s="323" t="s">
        <v>293</v>
      </c>
      <c r="AR29" s="324">
        <v>302240740</v>
      </c>
      <c r="AS29" s="325"/>
      <c r="AT29" s="318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454" t="s">
        <v>162</v>
      </c>
      <c r="BH29" s="291"/>
      <c r="BI29" s="305">
        <v>46048</v>
      </c>
      <c r="BJ29" s="353">
        <v>296955</v>
      </c>
      <c r="BK29" s="306">
        <v>1430</v>
      </c>
      <c r="BL29" s="306">
        <v>268875</v>
      </c>
      <c r="BM29" s="306"/>
      <c r="BN29" s="306"/>
      <c r="BO29" s="306"/>
      <c r="BP29" s="306">
        <v>270305</v>
      </c>
      <c r="BQ29" s="306">
        <v>270305</v>
      </c>
      <c r="BR29" s="306">
        <v>-2760</v>
      </c>
      <c r="BS29" s="315" t="s">
        <v>294</v>
      </c>
      <c r="BT29" s="316">
        <v>169567536</v>
      </c>
      <c r="BU29" s="317"/>
      <c r="BV29" s="319"/>
      <c r="BW29" s="309"/>
      <c r="BY29" s="267">
        <f>IF('[2]2026 január'!B$27=0,
    "",
    '[2]2026 január'!B$27
)</f>
        <v>1594935</v>
      </c>
      <c r="BZ29" s="267" t="str">
        <f>IF(OR('[2]2026 január'!G27=0,
       ISBLANK('[2]2026 január'!G27)),
    "",
    '[2]2026 január'!G27
)</f>
        <v/>
      </c>
      <c r="CA29" s="11">
        <f>'[2]2026 január'!W27</f>
        <v>0</v>
      </c>
      <c r="CB29" s="11"/>
      <c r="CC29" s="11"/>
      <c r="CD29" s="10"/>
      <c r="CE29" s="267">
        <f>IF('[2]2026 január'!S27=0,
    "",
    '[2]2026 január'!S27
)</f>
        <v>333013</v>
      </c>
      <c r="CF29" s="267">
        <f>IF('[2]2026 január'!T27=0,
    "",
    '[2]2026 január'!T27
)</f>
        <v>117387</v>
      </c>
      <c r="CG29" s="267" t="str">
        <f>IF('[2]2026 január'!U27=0,
    "",
    '[2]2026 január'!U27
)</f>
        <v/>
      </c>
      <c r="CH29" s="267">
        <f>IF('[2]2026 január'!V27=0,
    "",
    '[2]2026 január'!V27
)</f>
        <v>14500</v>
      </c>
      <c r="CI29" s="267" t="str">
        <f>IF('[2]2026 január'!W27=0,
    "",
    '[2]2026 január'!W27
)</f>
        <v/>
      </c>
      <c r="CJ29" s="267" t="str">
        <f>IF('[2]2026 január'!X27=0,
    "",
    '[2]2026 január'!X27
)</f>
        <v/>
      </c>
      <c r="CK29" s="267">
        <f>IF('[2]2026 január'!Y27=0,
    "",
    '[2]2026 január'!Y27
)</f>
        <v>435900</v>
      </c>
      <c r="CL29" s="270" t="str">
        <f>IF('[2]2026 január'!Z27=0,
    "",
    '[2]2026 január'!Z27
)</f>
        <v/>
      </c>
      <c r="CM29" s="267" t="str">
        <f>IF('[2]2026 január'!AA27=0,
    "",
    '[2]2026 január'!AA27
)</f>
        <v/>
      </c>
      <c r="CN29" s="267" t="str">
        <f>IF('[2]2026 január'!AB27=0,
    "",
    '[2]2026 január'!AB27
)</f>
        <v/>
      </c>
      <c r="CO29" s="267" t="str">
        <f>IF('[2]2026 január'!AC27=0,
    "",
    '[2]2026 január'!AC27
)</f>
        <v/>
      </c>
      <c r="CP29" s="267" t="str">
        <f>IF('[2]2026 január'!AD27=0,
    "",
    '[2]2026 január'!AD27
)</f>
        <v/>
      </c>
      <c r="CQ29" s="220" t="str">
        <f>IF('[2]2026 január'!AE$27=0,
    "",
    '[2]2026 január'!AE$27
)</f>
        <v/>
      </c>
      <c r="CR29" s="220" t="str">
        <f>IF('[2]2026 január'!AF27=0,
    "",
    '[2]2026 január'!AF27
)</f>
        <v/>
      </c>
      <c r="CS29" s="220" t="str">
        <f>IF('[2]2026 január'!AG27=0,
    "",
    '[2]2026 január'!AG27
)</f>
        <v/>
      </c>
      <c r="CT29" s="220" t="str">
        <f>IF('[2]2026 január'!AH27=0,
    "",
    '[2]2026 január'!AH27
)</f>
        <v/>
      </c>
    </row>
    <row r="30" spans="1:98" ht="14.25" customHeight="1">
      <c r="A30" s="5">
        <v>46049</v>
      </c>
      <c r="B30" s="353">
        <v>532645</v>
      </c>
      <c r="C30" s="11">
        <v>1500</v>
      </c>
      <c r="D30" s="11">
        <v>498978</v>
      </c>
      <c r="E30" s="11"/>
      <c r="F30" s="11"/>
      <c r="G30" s="11"/>
      <c r="H30" s="11">
        <v>500478</v>
      </c>
      <c r="I30" s="72">
        <v>500478</v>
      </c>
      <c r="J30" s="11">
        <v>1883</v>
      </c>
      <c r="K30" s="33" t="s">
        <v>295</v>
      </c>
      <c r="L30" s="72">
        <v>132462131</v>
      </c>
      <c r="M30" s="260"/>
      <c r="N30" s="148"/>
      <c r="O30" s="214"/>
      <c r="Q30" s="5">
        <v>46049</v>
      </c>
      <c r="R30" s="353">
        <v>636105</v>
      </c>
      <c r="S30" s="11">
        <v>3000</v>
      </c>
      <c r="T30" s="11">
        <v>603125</v>
      </c>
      <c r="U30" s="11"/>
      <c r="V30" s="11"/>
      <c r="W30" s="11"/>
      <c r="X30" s="11">
        <v>606125</v>
      </c>
      <c r="Y30" s="11">
        <v>606125</v>
      </c>
      <c r="Z30" s="11">
        <v>-1140</v>
      </c>
      <c r="AA30" s="38" t="s">
        <v>296</v>
      </c>
      <c r="AB30" s="72">
        <v>162715768</v>
      </c>
      <c r="AC30" s="152"/>
      <c r="AD30" s="148"/>
      <c r="AE30" s="9"/>
      <c r="AG30" s="305">
        <v>46049</v>
      </c>
      <c r="AH30" s="353">
        <v>408575</v>
      </c>
      <c r="AI30" s="306">
        <v>1850</v>
      </c>
      <c r="AJ30" s="306">
        <v>386675</v>
      </c>
      <c r="AK30" s="306"/>
      <c r="AL30" s="316"/>
      <c r="AM30" s="306"/>
      <c r="AN30" s="306">
        <v>388525</v>
      </c>
      <c r="AO30" s="306">
        <v>388525</v>
      </c>
      <c r="AP30" s="306">
        <v>1290</v>
      </c>
      <c r="AQ30" s="326" t="s">
        <v>297</v>
      </c>
      <c r="AR30" s="306">
        <v>302629265</v>
      </c>
      <c r="AS30" s="317"/>
      <c r="AT30" s="318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291"/>
      <c r="BI30" s="305">
        <v>46049</v>
      </c>
      <c r="BJ30" s="353">
        <v>223085</v>
      </c>
      <c r="BK30" s="306">
        <v>1050</v>
      </c>
      <c r="BL30" s="306">
        <v>210865</v>
      </c>
      <c r="BM30" s="306"/>
      <c r="BN30" s="306"/>
      <c r="BO30" s="306"/>
      <c r="BP30" s="306">
        <v>211915</v>
      </c>
      <c r="BQ30" s="306">
        <v>211915</v>
      </c>
      <c r="BR30" s="306">
        <v>1830</v>
      </c>
      <c r="BS30" s="315" t="s">
        <v>298</v>
      </c>
      <c r="BT30" s="316">
        <v>169779451</v>
      </c>
      <c r="BU30" s="317"/>
      <c r="BV30" s="319"/>
      <c r="BW30" s="309"/>
      <c r="BY30" s="267">
        <v>1800410</v>
      </c>
      <c r="BZ30" s="267" t="str">
        <f>IF(OR('[2]2026 január'!G28=0,
       ISBLANK('[2]2026 január'!G28)),
    "",
    '[2]2026 január'!G28
)</f>
        <v/>
      </c>
      <c r="CA30" s="11">
        <f>'[2]2026 január'!W28</f>
        <v>0</v>
      </c>
      <c r="CB30" s="11"/>
      <c r="CC30" s="11"/>
      <c r="CD30" s="10"/>
      <c r="CE30" s="267">
        <f>IF('[2]2026 január'!S28=0,
    "",
    '[2]2026 január'!S28
)</f>
        <v>435900</v>
      </c>
      <c r="CF30" s="267">
        <f>IF('[2]2026 január'!T28=0,
    "",
    '[2]2026 január'!T28
)</f>
        <v>93367</v>
      </c>
      <c r="CG30" s="267" t="str">
        <f>IF('[2]2026 január'!U28=0,
    "",
    '[2]2026 január'!U28
)</f>
        <v/>
      </c>
      <c r="CH30" s="267">
        <f>IF('[2]2026 január'!V28=0,
    "",
    '[2]2026 január'!V28
)</f>
        <v>34500</v>
      </c>
      <c r="CI30" s="267" t="str">
        <f>IF('[2]2026 január'!W28=0,
    "",
    '[2]2026 január'!W28
)</f>
        <v/>
      </c>
      <c r="CJ30" s="267" t="str">
        <f>IF('[2]2026 január'!X28=0,
    "",
    '[2]2026 január'!X28
)</f>
        <v/>
      </c>
      <c r="CK30" s="267">
        <f>IF('[2]2026 január'!Y28=0,
    "",
    '[2]2026 január'!Y28
)</f>
        <v>494767</v>
      </c>
      <c r="CL30" s="270" t="str">
        <f>IF('[2]2026 január'!Z28=0,
    "",
    '[2]2026 január'!Z28
)</f>
        <v/>
      </c>
      <c r="CM30" s="267" t="str">
        <f>IF('[2]2026 január'!AA28=0,
    "",
    '[2]2026 január'!AA28
)</f>
        <v/>
      </c>
      <c r="CN30" s="267" t="str">
        <f>IF('[2]2026 január'!AB28=0,
    "",
    '[2]2026 január'!AB28
)</f>
        <v/>
      </c>
      <c r="CO30" s="267" t="str">
        <f>IF('[2]2026 január'!AC28=0,
    "",
    '[2]2026 január'!AC28
)</f>
        <v/>
      </c>
      <c r="CP30" s="267" t="str">
        <f>IF('[2]2026 január'!AD28=0,
    "",
    '[2]2026 január'!AD28
)</f>
        <v/>
      </c>
      <c r="CQ30" s="220" t="str">
        <f>IF('[2]2026 január'!AE$28=0,
    "",
    '[2]2026 január'!AE$28
)</f>
        <v/>
      </c>
      <c r="CR30" s="220" t="str">
        <f>IF('[2]2026 január'!AF28=0,
    "",
    '[2]2026 január'!AF28
)</f>
        <v/>
      </c>
      <c r="CS30" s="220" t="str">
        <f>IF('[2]2026 január'!AG28=0,
    "",
    '[2]2026 január'!AG28
)</f>
        <v/>
      </c>
      <c r="CT30" s="220" t="str">
        <f>IF('[2]2026 január'!AH28=0,
    "",
    '[2]2026 január'!AH28
)</f>
        <v/>
      </c>
    </row>
    <row r="31" spans="1:98" ht="14.25" customHeight="1">
      <c r="A31" s="5">
        <v>46050</v>
      </c>
      <c r="B31" s="353">
        <v>415645</v>
      </c>
      <c r="C31" s="11">
        <v>1550</v>
      </c>
      <c r="D31" s="11">
        <v>382745</v>
      </c>
      <c r="E31" s="11"/>
      <c r="F31" s="11"/>
      <c r="G31" s="11">
        <v>7190</v>
      </c>
      <c r="H31" s="11">
        <v>377105</v>
      </c>
      <c r="I31" s="72">
        <v>377105</v>
      </c>
      <c r="J31" s="11">
        <v>1830</v>
      </c>
      <c r="K31" s="33" t="s">
        <v>299</v>
      </c>
      <c r="L31" s="72">
        <v>132846426</v>
      </c>
      <c r="M31" s="260"/>
      <c r="N31" s="458">
        <v>7190</v>
      </c>
      <c r="O31" s="459" t="s">
        <v>300</v>
      </c>
      <c r="Q31" s="5">
        <v>46050</v>
      </c>
      <c r="R31" s="353">
        <v>641270</v>
      </c>
      <c r="S31" s="11">
        <v>3450</v>
      </c>
      <c r="T31" s="11">
        <v>579261</v>
      </c>
      <c r="U31" s="11"/>
      <c r="V31" s="11"/>
      <c r="W31" s="11"/>
      <c r="X31" s="11">
        <v>582711</v>
      </c>
      <c r="Y31" s="11">
        <v>582711</v>
      </c>
      <c r="Z31" s="11">
        <v>811</v>
      </c>
      <c r="AA31" s="38" t="s">
        <v>301</v>
      </c>
      <c r="AB31" s="72">
        <v>163298479</v>
      </c>
      <c r="AC31" s="152"/>
      <c r="AD31" s="148"/>
      <c r="AE31" s="9"/>
      <c r="AG31" s="305">
        <v>46050</v>
      </c>
      <c r="AH31" s="353">
        <v>380875</v>
      </c>
      <c r="AI31" s="306">
        <v>1650</v>
      </c>
      <c r="AJ31" s="306">
        <v>356048</v>
      </c>
      <c r="AK31" s="306"/>
      <c r="AL31" s="316"/>
      <c r="AM31" s="306"/>
      <c r="AN31" s="306">
        <v>357698</v>
      </c>
      <c r="AO31" s="306">
        <v>357698</v>
      </c>
      <c r="AP31" s="306">
        <v>523</v>
      </c>
      <c r="AQ31" s="326" t="s">
        <v>302</v>
      </c>
      <c r="AR31" s="306">
        <v>302986963</v>
      </c>
      <c r="AS31" s="317"/>
      <c r="AT31" s="318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291"/>
      <c r="BI31" s="305">
        <v>46050</v>
      </c>
      <c r="BJ31" s="353">
        <v>245165</v>
      </c>
      <c r="BK31" s="306">
        <v>1150</v>
      </c>
      <c r="BL31" s="306">
        <v>233373</v>
      </c>
      <c r="BM31" s="306"/>
      <c r="BN31" s="306"/>
      <c r="BO31" s="306"/>
      <c r="BP31" s="314">
        <v>234071</v>
      </c>
      <c r="BQ31" s="314">
        <v>234523</v>
      </c>
      <c r="BR31" s="306">
        <v>-3214</v>
      </c>
      <c r="BS31" s="315" t="s">
        <v>303</v>
      </c>
      <c r="BT31" s="316">
        <v>170013974</v>
      </c>
      <c r="BU31" s="317"/>
      <c r="BV31" s="319"/>
      <c r="BW31" s="454" t="s">
        <v>162</v>
      </c>
      <c r="BY31" s="267">
        <f>IF('[2]2026 január'!B$29=0,
    "",
    '[2]2026 január'!B$29
)</f>
        <v>1682955</v>
      </c>
      <c r="BZ31" s="267" t="str">
        <f>IF(OR('[2]2026 január'!G29=0,
       ISBLANK('[2]2026 január'!G29)),
    "",
    '[2]2026 január'!G29
)</f>
        <v/>
      </c>
      <c r="CA31" s="11">
        <f>'[2]2026 január'!W29</f>
        <v>0</v>
      </c>
      <c r="CB31" s="11"/>
      <c r="CC31" s="11"/>
      <c r="CD31" s="10"/>
      <c r="CE31" s="267">
        <f>IF('[2]2026 január'!S29=0,
    "",
    '[2]2026 január'!S29
)</f>
        <v>494767</v>
      </c>
      <c r="CF31" s="267">
        <f>IF('[2]2026 január'!T29=0,
    "",
    '[2]2026 január'!T29
)</f>
        <v>131370</v>
      </c>
      <c r="CG31" s="267" t="str">
        <f>IF('[2]2026 január'!U29=0,
    "",
    '[2]2026 január'!U29
)</f>
        <v/>
      </c>
      <c r="CH31" s="267">
        <f>IF('[2]2026 január'!V29=0,
    "",
    '[2]2026 január'!V29
)</f>
        <v>9155</v>
      </c>
      <c r="CI31" s="267" t="str">
        <f>IF('[2]2026 január'!W29=0,
    "",
    '[2]2026 január'!W29
)</f>
        <v/>
      </c>
      <c r="CJ31" s="267" t="str">
        <f>IF('[2]2026 január'!X29=0,
    "",
    '[2]2026 január'!X29
)</f>
        <v/>
      </c>
      <c r="CK31" s="267">
        <f>IF('[2]2026 január'!Y29=0,
    "",
    '[2]2026 január'!Y29
)</f>
        <v>616982</v>
      </c>
      <c r="CL31" s="270" t="str">
        <f>IF('[2]2026 január'!Z29=0,
    "",
    '[2]2026 január'!Z29
)</f>
        <v/>
      </c>
      <c r="CM31" s="267" t="str">
        <f>IF('[2]2026 január'!AA29=0,
    "",
    '[2]2026 január'!AA29
)</f>
        <v/>
      </c>
      <c r="CN31" s="267" t="str">
        <f>IF('[2]2026 január'!AB29=0,
    "",
    '[2]2026 január'!AB29
)</f>
        <v/>
      </c>
      <c r="CO31" s="267" t="str">
        <f>IF('[2]2026 január'!AC29=0,
    "",
    '[2]2026 január'!AC29
)</f>
        <v/>
      </c>
      <c r="CP31" s="267" t="str">
        <f>IF('[2]2026 január'!AD29=0,
    "",
    '[2]2026 január'!AD29
)</f>
        <v/>
      </c>
      <c r="CQ31" s="220" t="str">
        <f>IF('[2]2026 január'!AE$29=0,
    "",
    '[2]2026 január'!AE$29
)</f>
        <v/>
      </c>
      <c r="CR31" s="220" t="str">
        <f>IF('[2]2026 január'!AF29=0,
    "",
    '[2]2026 január'!AF29
)</f>
        <v/>
      </c>
      <c r="CS31" s="220" t="str">
        <f>IF('[2]2026 január'!AG29=0,
    "",
    '[2]2026 január'!AG29
)</f>
        <v/>
      </c>
      <c r="CT31" s="220" t="str">
        <f>IF('[2]2026 január'!AH29=0,
    "",
    '[2]2026 január'!AH29
)</f>
        <v/>
      </c>
    </row>
    <row r="32" spans="1:98" ht="14.25" customHeight="1">
      <c r="A32" s="5">
        <v>46051</v>
      </c>
      <c r="B32" s="353">
        <v>500690</v>
      </c>
      <c r="C32" s="11">
        <v>1550</v>
      </c>
      <c r="D32" s="11">
        <v>438355</v>
      </c>
      <c r="E32" s="11"/>
      <c r="F32" s="11"/>
      <c r="G32" s="11"/>
      <c r="H32" s="11">
        <v>439905</v>
      </c>
      <c r="I32" s="72">
        <v>439905</v>
      </c>
      <c r="J32" s="11">
        <v>1340</v>
      </c>
      <c r="K32" s="33" t="s">
        <v>98</v>
      </c>
      <c r="L32" s="72">
        <v>133286331</v>
      </c>
      <c r="M32" s="260"/>
      <c r="N32" s="148"/>
      <c r="O32" s="214"/>
      <c r="Q32" s="5">
        <v>46051</v>
      </c>
      <c r="R32" s="353">
        <v>606960</v>
      </c>
      <c r="S32" s="11">
        <v>3550</v>
      </c>
      <c r="T32" s="11">
        <v>542348</v>
      </c>
      <c r="U32" s="11"/>
      <c r="V32" s="11"/>
      <c r="W32" s="11"/>
      <c r="X32" s="204">
        <v>545898</v>
      </c>
      <c r="Y32" s="204">
        <v>545898</v>
      </c>
      <c r="Z32" s="204">
        <v>1938</v>
      </c>
      <c r="AA32" s="205" t="s">
        <v>304</v>
      </c>
      <c r="AB32" s="206">
        <v>163844377</v>
      </c>
      <c r="AC32" s="207"/>
      <c r="AD32" s="148"/>
      <c r="AE32" s="9"/>
      <c r="AG32" s="305">
        <v>46051</v>
      </c>
      <c r="AH32" s="353">
        <v>392950</v>
      </c>
      <c r="AI32" s="306">
        <v>2000</v>
      </c>
      <c r="AJ32" s="306">
        <v>382318</v>
      </c>
      <c r="AK32" s="306"/>
      <c r="AL32" s="316"/>
      <c r="AM32" s="306"/>
      <c r="AN32" s="306">
        <v>384318</v>
      </c>
      <c r="AO32" s="306">
        <v>384318</v>
      </c>
      <c r="AP32" s="306">
        <v>-132</v>
      </c>
      <c r="AQ32" s="326" t="s">
        <v>305</v>
      </c>
      <c r="AR32" s="306">
        <v>303371281</v>
      </c>
      <c r="AS32" s="317"/>
      <c r="AT32" s="318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291"/>
      <c r="BI32" s="305">
        <v>46051</v>
      </c>
      <c r="BJ32" s="353">
        <v>170975</v>
      </c>
      <c r="BK32" s="306">
        <v>800</v>
      </c>
      <c r="BL32" s="306">
        <v>155785</v>
      </c>
      <c r="BM32" s="306"/>
      <c r="BN32" s="306"/>
      <c r="BO32" s="306"/>
      <c r="BP32" s="306">
        <v>156585</v>
      </c>
      <c r="BQ32" s="306">
        <v>156585</v>
      </c>
      <c r="BR32" s="306">
        <v>-4785</v>
      </c>
      <c r="BS32" s="315" t="s">
        <v>157</v>
      </c>
      <c r="BT32" s="316">
        <v>170170559</v>
      </c>
      <c r="BU32" s="317"/>
      <c r="BV32" s="319"/>
      <c r="BW32" s="454" t="s">
        <v>162</v>
      </c>
      <c r="BY32" s="267">
        <v>1671575</v>
      </c>
      <c r="BZ32" s="267" t="str">
        <f>IF(OR('[2]2026 január'!G30=0,
       ISBLANK('[2]2026 január'!G30)),
    "",
    '[2]2026 január'!G30
)</f>
        <v/>
      </c>
      <c r="CA32" s="11">
        <f>'[2]2026 január'!W30</f>
        <v>0</v>
      </c>
      <c r="CB32" s="11"/>
      <c r="CC32" s="11"/>
      <c r="CD32" s="10"/>
      <c r="CE32" s="267">
        <f>IF('[2]2026 január'!S30=0,
    "",
    '[2]2026 január'!S30
)</f>
        <v>616982</v>
      </c>
      <c r="CF32" s="267">
        <f>IF('[2]2026 január'!T30=0,
    "",
    '[2]2026 január'!T30
)</f>
        <v>144869</v>
      </c>
      <c r="CG32" s="267" t="str">
        <f>IF('[2]2026 január'!U30=0,
    "",
    '[2]2026 január'!U30
)</f>
        <v/>
      </c>
      <c r="CH32" s="267">
        <f>IF('[2]2026 január'!V30=0,
    "",
    '[2]2026 január'!V30
)</f>
        <v>14500</v>
      </c>
      <c r="CI32" s="267" t="str">
        <f>IF('[2]2026 január'!W30=0,
    "",
    '[2]2026 január'!W30
)</f>
        <v/>
      </c>
      <c r="CJ32" s="267" t="str">
        <f>IF('[2]2026 január'!X30=0,
    "",
    '[2]2026 január'!X30
)</f>
        <v/>
      </c>
      <c r="CK32" s="267">
        <f>IF('[2]2026 január'!Y30=0,
    "",
    '[2]2026 január'!Y30
)</f>
        <v>747351</v>
      </c>
      <c r="CL32" s="270" t="str">
        <f>IF('[2]2026 január'!Z30=0,
    "",
    '[2]2026 január'!Z30
)</f>
        <v/>
      </c>
      <c r="CM32" s="267" t="str">
        <f>IF('[2]2026 január'!AA30=0,
    "",
    '[2]2026 január'!AA30
)</f>
        <v/>
      </c>
      <c r="CN32" s="267" t="str">
        <f>IF('[2]2026 január'!AB30=0,
    "",
    '[2]2026 január'!AB30
)</f>
        <v/>
      </c>
      <c r="CO32" s="267" t="str">
        <f>IF('[2]2026 január'!AC30=0,
    "",
    '[2]2026 január'!AC30
)</f>
        <v/>
      </c>
      <c r="CP32" s="267" t="str">
        <f>IF('[2]2026 január'!AD30=0,
    "",
    '[2]2026 január'!AD30
)</f>
        <v/>
      </c>
      <c r="CQ32" s="220" t="str">
        <f>IF('[2]2026 január'!AE$30=0,
    "",
    '[2]2026 január'!AE$30
)</f>
        <v/>
      </c>
      <c r="CR32" s="220" t="str">
        <f>IF('[2]2026 január'!AF30=0,
    "",
    '[2]2026 január'!AF30
)</f>
        <v/>
      </c>
      <c r="CS32" s="220" t="str">
        <f>IF('[2]2026 január'!AG30=0,
    "",
    '[2]2026 január'!AG30
)</f>
        <v/>
      </c>
      <c r="CT32" s="220" t="str">
        <f>IF('[2]2026 január'!AH30=0,
    "",
    '[2]2026 január'!AH30
)</f>
        <v/>
      </c>
    </row>
    <row r="33" spans="1:98" ht="14.25" customHeight="1">
      <c r="A33" s="5">
        <v>46052</v>
      </c>
      <c r="B33" s="353">
        <v>350410</v>
      </c>
      <c r="C33" s="11">
        <v>600</v>
      </c>
      <c r="D33" s="11">
        <v>323495</v>
      </c>
      <c r="E33" s="11"/>
      <c r="F33" s="11"/>
      <c r="G33" s="11"/>
      <c r="H33" s="11">
        <v>324095</v>
      </c>
      <c r="I33" s="72">
        <v>324095</v>
      </c>
      <c r="J33" s="11">
        <v>1685</v>
      </c>
      <c r="K33" s="33" t="s">
        <v>134</v>
      </c>
      <c r="L33" s="72">
        <v>133610426</v>
      </c>
      <c r="M33" s="260"/>
      <c r="N33" s="148"/>
      <c r="O33" s="214"/>
      <c r="Q33" s="5">
        <v>46052</v>
      </c>
      <c r="R33" s="353">
        <v>507220</v>
      </c>
      <c r="S33" s="11">
        <v>2150</v>
      </c>
      <c r="T33" s="11">
        <v>436423</v>
      </c>
      <c r="U33" s="11"/>
      <c r="V33" s="11"/>
      <c r="W33" s="72"/>
      <c r="X33" s="11">
        <v>438573</v>
      </c>
      <c r="Y33" s="11">
        <v>438573</v>
      </c>
      <c r="Z33" s="11">
        <v>983</v>
      </c>
      <c r="AA33" s="33" t="s">
        <v>136</v>
      </c>
      <c r="AB33" s="11">
        <v>164282950</v>
      </c>
      <c r="AC33" s="152"/>
      <c r="AD33" s="148"/>
      <c r="AE33" s="9"/>
      <c r="AG33" s="305">
        <v>46052</v>
      </c>
      <c r="AH33" s="353">
        <v>435850</v>
      </c>
      <c r="AI33" s="306">
        <v>1450</v>
      </c>
      <c r="AJ33" s="306">
        <v>396136</v>
      </c>
      <c r="AK33" s="306"/>
      <c r="AL33" s="316"/>
      <c r="AM33" s="306"/>
      <c r="AN33" s="306">
        <v>397586</v>
      </c>
      <c r="AO33" s="306">
        <v>397586</v>
      </c>
      <c r="AP33" s="306">
        <v>96</v>
      </c>
      <c r="AQ33" s="326" t="s">
        <v>306</v>
      </c>
      <c r="AR33" s="306">
        <v>303768867</v>
      </c>
      <c r="AS33" s="317"/>
      <c r="AT33" s="318"/>
      <c r="AU33" s="307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291"/>
      <c r="BI33" s="305">
        <v>46052</v>
      </c>
      <c r="BJ33" s="353">
        <v>140015</v>
      </c>
      <c r="BK33" s="306">
        <v>1251</v>
      </c>
      <c r="BL33" s="306">
        <v>120602</v>
      </c>
      <c r="BM33" s="306"/>
      <c r="BN33" s="306"/>
      <c r="BO33" s="306"/>
      <c r="BP33" s="435">
        <v>121853</v>
      </c>
      <c r="BQ33" s="435">
        <v>122305</v>
      </c>
      <c r="BR33" s="322">
        <v>2835</v>
      </c>
      <c r="BS33" s="323" t="s">
        <v>138</v>
      </c>
      <c r="BT33" s="324">
        <v>170292412</v>
      </c>
      <c r="BU33" s="325"/>
      <c r="BV33" s="327"/>
      <c r="BW33" s="309"/>
      <c r="BY33" s="267">
        <f>IF('[2]2026 január'!B$31=0,
    "",
    '[2]2026 január'!B$31
)</f>
        <v>1433495</v>
      </c>
      <c r="BZ33" s="269" t="str">
        <f>IF(OR('[2]2026 január'!G31=0,
       ISBLANK('[2]2026 január'!G31)),
    "",
    '[2]2026 január'!G31
)</f>
        <v/>
      </c>
      <c r="CA33" s="204">
        <f>'[2]2026 január'!W31</f>
        <v>0</v>
      </c>
      <c r="CB33" s="204"/>
      <c r="CC33" s="204"/>
      <c r="CD33" s="76"/>
      <c r="CE33" s="269">
        <f>IF('[2]2026 január'!S31=0,
    "",
    '[2]2026 január'!S31
)</f>
        <v>747351</v>
      </c>
      <c r="CF33" s="269">
        <f>IF('[2]2026 január'!T31=0,
    "",
    '[2]2026 január'!T31
)</f>
        <v>150936</v>
      </c>
      <c r="CG33" s="269" t="str">
        <f>IF('[2]2026 január'!U31=0,
    "",
    '[2]2026 január'!U31
)</f>
        <v/>
      </c>
      <c r="CH33" s="269">
        <f>IF('[2]2026 január'!V31=0,
    "",
    '[2]2026 január'!V31
)</f>
        <v>342500</v>
      </c>
      <c r="CI33" s="269" t="str">
        <f>IF('[2]2026 január'!W31=0,
    "",
    '[2]2026 január'!W31
)</f>
        <v/>
      </c>
      <c r="CJ33" s="269" t="str">
        <f>IF('[2]2026 január'!X31=0,
    "",
    '[2]2026 január'!X31
)</f>
        <v/>
      </c>
      <c r="CK33" s="269">
        <f>IF('[2]2026 január'!Y31=0,
    "",
    '[2]2026 január'!Y31
)</f>
        <v>555787</v>
      </c>
      <c r="CL33" s="271" t="str">
        <f>IF('[2]2026 január'!Z31=0,
    "",
    '[2]2026 január'!Z31
)</f>
        <v/>
      </c>
      <c r="CM33" s="267" t="str">
        <f>IF('[2]2026 január'!AA31=0,
    "",
    '[2]2026 január'!AA31
)</f>
        <v/>
      </c>
      <c r="CN33" s="267" t="str">
        <f>IF('[2]2026 január'!AB31=0,
    "",
    '[2]2026 január'!AB31
)</f>
        <v/>
      </c>
      <c r="CO33" s="267" t="str">
        <f>IF('[2]2026 január'!AC31=0,
    "",
    '[2]2026 január'!AC31
)</f>
        <v/>
      </c>
      <c r="CP33" s="267" t="str">
        <f>IF('[2]2026 január'!AD31=0,
    "",
    '[2]2026 január'!AD31
)</f>
        <v/>
      </c>
      <c r="CQ33" s="220" t="str">
        <f>IF('[2]2026 január'!AE$31=0,
    "",
    '[2]2026 január'!AE$31
)</f>
        <v/>
      </c>
      <c r="CR33" s="220" t="str">
        <f>IF('[2]2026 január'!AF31=0,
    "",
    '[2]2026 január'!AF31
)</f>
        <v/>
      </c>
      <c r="CS33" s="220" t="str">
        <f>IF('[2]2026 január'!AG31=0,
    "",
    '[2]2026 január'!AG31
)</f>
        <v/>
      </c>
      <c r="CT33" s="220" t="str">
        <f>IF('[2]2026 január'!AH31=0,
    "",
    '[2]2026 január'!AH31
)</f>
        <v/>
      </c>
    </row>
    <row r="34" spans="1:98" ht="14.25" customHeight="1">
      <c r="A34" s="141">
        <v>46053</v>
      </c>
      <c r="B34" s="352"/>
      <c r="C34" s="142"/>
      <c r="D34" s="142"/>
      <c r="E34" s="142"/>
      <c r="F34" s="142"/>
      <c r="G34" s="142"/>
      <c r="H34" s="193"/>
      <c r="I34" s="186"/>
      <c r="J34" s="142"/>
      <c r="K34" s="198"/>
      <c r="L34" s="146"/>
      <c r="M34" s="266"/>
      <c r="N34" s="153"/>
      <c r="O34" s="217"/>
      <c r="Q34" s="141">
        <v>46053</v>
      </c>
      <c r="R34" s="352"/>
      <c r="S34" s="142"/>
      <c r="T34" s="142"/>
      <c r="U34" s="142"/>
      <c r="V34" s="142"/>
      <c r="W34" s="146"/>
      <c r="X34" s="142"/>
      <c r="Y34" s="142"/>
      <c r="Z34" s="142"/>
      <c r="AA34" s="198"/>
      <c r="AB34" s="142"/>
      <c r="AC34" s="151"/>
      <c r="AD34" s="153"/>
      <c r="AE34" s="158"/>
      <c r="AG34" s="299">
        <v>46053</v>
      </c>
      <c r="AH34" s="352"/>
      <c r="AI34" s="300"/>
      <c r="AJ34" s="300"/>
      <c r="AK34" s="300"/>
      <c r="AL34" s="312"/>
      <c r="AM34" s="300"/>
      <c r="AN34" s="300"/>
      <c r="AO34" s="300"/>
      <c r="AP34" s="300"/>
      <c r="AQ34" s="328"/>
      <c r="AR34" s="300"/>
      <c r="AS34" s="313"/>
      <c r="AT34" s="304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10"/>
      <c r="BH34" s="291"/>
      <c r="BI34" s="299">
        <v>46053</v>
      </c>
      <c r="BJ34" s="352"/>
      <c r="BK34" s="300"/>
      <c r="BL34" s="300"/>
      <c r="BM34" s="300"/>
      <c r="BN34" s="300"/>
      <c r="BO34" s="312"/>
      <c r="BP34" s="300"/>
      <c r="BQ34" s="300"/>
      <c r="BR34" s="300"/>
      <c r="BS34" s="328"/>
      <c r="BT34" s="300"/>
      <c r="BU34" s="329"/>
      <c r="BV34" s="311"/>
      <c r="BW34" s="310"/>
      <c r="BY34" s="267" t="str">
        <f>IF('[2]2026 január'!B$32=0,
    "",
    '[2]2026 január'!B$32
)</f>
        <v/>
      </c>
      <c r="BZ34" s="267" t="str">
        <f>IF(OR('[2]2026 január'!G32=0,
       ISBLANK('[2]2026 január'!G32)),
    "",
    '[2]2026 január'!G32
)</f>
        <v/>
      </c>
      <c r="CA34" s="11">
        <f>'[2]2026 január'!W32</f>
        <v>0</v>
      </c>
      <c r="CB34" s="11"/>
      <c r="CC34" s="11"/>
      <c r="CD34" s="10"/>
      <c r="CE34" s="267" t="str">
        <f>IF('[2]2026 január'!S32=0,
    "",
    '[2]2026 január'!S32
)</f>
        <v/>
      </c>
      <c r="CF34" s="267" t="str">
        <f>IF('[2]2026 január'!T32=0,
    "",
    '[2]2026 január'!T32
)</f>
        <v/>
      </c>
      <c r="CG34" s="267" t="str">
        <f>IF('[2]2026 január'!U32=0,
    "",
    '[2]2026 január'!U32
)</f>
        <v/>
      </c>
      <c r="CH34" s="267" t="str">
        <f>IF('[2]2026 január'!V32=0,
    "",
    '[2]2026 január'!V32
)</f>
        <v/>
      </c>
      <c r="CI34" s="267" t="str">
        <f>IF('[2]2026 január'!W32=0,
    "",
    '[2]2026 január'!W32
)</f>
        <v/>
      </c>
      <c r="CJ34" s="267" t="str">
        <f>IF('[2]2026 január'!X32=0,
    "",
    '[2]2026 január'!X32
)</f>
        <v/>
      </c>
      <c r="CK34" s="267" t="str">
        <f>IF('[2]2026 január'!Y32=0,
    "",
    '[2]2026 január'!Y32
)</f>
        <v/>
      </c>
      <c r="CL34" s="270" t="str">
        <f>IF('[2]2026 január'!Z32=0,
    "",
    '[2]2026 január'!Z32
)</f>
        <v/>
      </c>
      <c r="CM34" s="267" t="str">
        <f>IF('[2]2026 január'!AA32=0,
    "",
    '[2]2026 január'!AA32
)</f>
        <v/>
      </c>
      <c r="CN34" s="267" t="str">
        <f>IF('[2]2026 január'!AB32=0,
    "",
    '[2]2026 január'!AB32
)</f>
        <v/>
      </c>
      <c r="CO34" s="267" t="str">
        <f>IF('[2]2026 január'!AC32=0,
    "",
    '[2]2026 január'!AC32
)</f>
        <v/>
      </c>
      <c r="CP34" s="267" t="str">
        <f>IF('[2]2026 január'!AD32=0,
    "",
    '[2]2026 január'!AD32
)</f>
        <v/>
      </c>
      <c r="CQ34" s="220" t="str">
        <f>IF('[2]2026 január'!AE$32=0,
    "",
    '[2]2026 január'!AE$32
)</f>
        <v/>
      </c>
      <c r="CR34" s="220" t="str">
        <f>IF('[2]2026 január'!AF32=0,
    "",
    '[2]2026 január'!AF32
)</f>
        <v/>
      </c>
      <c r="CS34" s="220" t="str">
        <f>IF('[2]2026 január'!AG32=0,
    "",
    '[2]2026 január'!AG32
)</f>
        <v/>
      </c>
      <c r="CT34" s="220" t="str">
        <f>IF('[2]2026 január'!AH32=0,
    "",
    '[2]2026 január'!AH32
)</f>
        <v/>
      </c>
    </row>
    <row r="35" spans="1:98" ht="17.25" customHeight="1">
      <c r="A35" s="69" t="s">
        <v>64</v>
      </c>
      <c r="B35" s="354"/>
      <c r="C35" s="19">
        <f>SUM(C2:C34)</f>
        <v>19250</v>
      </c>
      <c r="D35" s="19">
        <f>SUM(D2:D34)</f>
        <v>8487866</v>
      </c>
      <c r="E35" s="19">
        <f>SUM(E2:E34)</f>
        <v>200</v>
      </c>
      <c r="F35" s="19">
        <f>SUM(F2:F34)</f>
        <v>0</v>
      </c>
      <c r="G35" s="192">
        <f>SUM(G3:G34)</f>
        <v>7190</v>
      </c>
      <c r="H35" s="190">
        <f>SUM(H3:H34)</f>
        <v>8500126</v>
      </c>
      <c r="I35" s="191">
        <f>SUM(I3:I34)</f>
        <v>8131173</v>
      </c>
      <c r="J35" s="202"/>
      <c r="K35" s="12"/>
      <c r="L35" s="475">
        <v>133610426</v>
      </c>
      <c r="M35" s="474">
        <v>8507316</v>
      </c>
      <c r="N35" s="148"/>
      <c r="O35" s="214"/>
      <c r="Q35" s="129" t="s">
        <v>64</v>
      </c>
      <c r="R35" s="354"/>
      <c r="S35" s="19">
        <f>SUM(S1:S34)</f>
        <v>57675</v>
      </c>
      <c r="T35" s="19">
        <f>SUM(T3:T34)</f>
        <v>11233593</v>
      </c>
      <c r="U35" s="19">
        <f>SUM(U1:U34)</f>
        <v>0.18</v>
      </c>
      <c r="V35" s="19">
        <f>SUM(V1:V34)</f>
        <v>0.27</v>
      </c>
      <c r="W35" s="190">
        <f>SUM(W3:W33)</f>
        <v>4225</v>
      </c>
      <c r="X35" s="190">
        <f>SUM(X3:X33)</f>
        <v>11287043</v>
      </c>
      <c r="Y35" s="191">
        <f>SUM(Y3:Y34)</f>
        <v>11287043</v>
      </c>
      <c r="Z35" s="191"/>
      <c r="AA35" s="12"/>
      <c r="AB35" s="476">
        <v>164839238</v>
      </c>
      <c r="AC35" s="477">
        <v>11291268</v>
      </c>
      <c r="AD35" s="9"/>
      <c r="AE35" s="9"/>
      <c r="AG35" s="330" t="s">
        <v>64</v>
      </c>
      <c r="AH35" s="354"/>
      <c r="AI35" s="331">
        <f>SUM(AI1:AI34)</f>
        <v>33940</v>
      </c>
      <c r="AJ35" s="331">
        <f>SUM(AJ1:AJ34)</f>
        <v>7249299.0499999998</v>
      </c>
      <c r="AK35" s="331">
        <f>SUM(AK1:AK34)</f>
        <v>0.18</v>
      </c>
      <c r="AL35" s="332">
        <f>SUM(AL1:AL34)</f>
        <v>50.27</v>
      </c>
      <c r="AM35" s="333">
        <f>SUM(AM3:AM34)</f>
        <v>0</v>
      </c>
      <c r="AN35" s="333">
        <f>SUM(AN3:AN34)</f>
        <v>7283289</v>
      </c>
      <c r="AO35" s="191">
        <f>SUM(AO3:AO34)</f>
        <v>7283289</v>
      </c>
      <c r="AP35" s="306"/>
      <c r="AQ35" s="335"/>
      <c r="AR35" s="478">
        <v>303768867</v>
      </c>
      <c r="AS35" s="479">
        <v>7283289</v>
      </c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291"/>
      <c r="BI35" s="337" t="s">
        <v>64</v>
      </c>
      <c r="BJ35" s="354"/>
      <c r="BK35" s="331">
        <f>SUM(BK1:BK34)</f>
        <v>21581</v>
      </c>
      <c r="BL35" s="331">
        <f>SUM(BL1:BL34)</f>
        <v>4229138.05</v>
      </c>
      <c r="BM35" s="331">
        <f>SUM(BM1:BM34)</f>
        <v>380.18</v>
      </c>
      <c r="BN35" s="331">
        <f>SUM(BN1:BN34)</f>
        <v>100.27000000000001</v>
      </c>
      <c r="BO35" s="338">
        <f>SUM(BO3:BO34)</f>
        <v>0</v>
      </c>
      <c r="BP35" s="333">
        <f>SUM(BP3:BP34)</f>
        <v>4250747</v>
      </c>
      <c r="BQ35" s="334">
        <f>SUM(BQ3:BQ34)</f>
        <v>4251651</v>
      </c>
      <c r="BR35" s="334"/>
      <c r="BS35" s="339"/>
      <c r="BT35" s="480">
        <v>170292412</v>
      </c>
      <c r="BU35" s="339">
        <v>4251199</v>
      </c>
      <c r="BV35" s="319"/>
      <c r="BW35" s="309"/>
      <c r="BY35" s="267">
        <f>IF('[2]2026 január'!B$33=0,
    "",
    '[2]2026 január'!B$33
)</f>
        <v>33488085</v>
      </c>
      <c r="BZ35" s="267" t="str">
        <f>IF(OR('[2]2026 január'!G33=0,
       ISBLANK('[2]2026 január'!G33)),
    "",
    '[2]2026 január'!G33
)</f>
        <v/>
      </c>
      <c r="CA35" s="234">
        <f>'[2]2026 január'!W33</f>
        <v>0</v>
      </c>
      <c r="CB35" s="10"/>
      <c r="CC35" s="10"/>
      <c r="CD35" s="10"/>
      <c r="CE35" s="268" t="str">
        <f>IF('[2]2026 január'!S33=0,
    "",
    '[2]2026 január'!S33
)</f>
        <v/>
      </c>
      <c r="CF35" s="268">
        <f>IF('[2]2026 január'!T33=0,
    "",
    '[2]2026 január'!T33
)</f>
        <v>2166428</v>
      </c>
      <c r="CG35" s="268">
        <f>IF('[2]2026 január'!U33=0,
    "",
    '[2]2026 január'!U33
)</f>
        <v>100000</v>
      </c>
      <c r="CH35" s="268" t="str">
        <f>IF('[2]2026 január'!V33=0,
    "",
    '[2]2026 január'!V33
)</f>
        <v/>
      </c>
      <c r="CI35" s="268" t="str">
        <f>IF('[2]2026 január'!W33=0,
    "",
    '[2]2026 január'!W33
)</f>
        <v/>
      </c>
      <c r="CJ35" s="268" t="str">
        <f>IF('[2]2026 január'!X33=0,
    "",
    '[2]2026 január'!X33
)</f>
        <v/>
      </c>
      <c r="CK35" s="268" t="str">
        <f>IF('[2]2026 január'!Y33=0,
    "",
    '[2]2026 január'!Y33
)</f>
        <v/>
      </c>
      <c r="CL35" s="272" t="str">
        <f>IF('[2]2026 január'!Z33=0,
    "",
    '[2]2026 január'!Z33
)</f>
        <v/>
      </c>
      <c r="CM35" s="268" t="str">
        <f>IF('[2]2026 január'!AA33=0,
    "",
    '[2]2026 január'!AA33
)</f>
        <v/>
      </c>
      <c r="CN35" s="268" t="str">
        <f>IF('[2]2026 január'!AB33=0,
    "",
    '[2]2026 január'!AB33
)</f>
        <v/>
      </c>
      <c r="CO35" s="268" t="str">
        <f>IF('[2]2026 január'!AC33=0,
    "",
    '[2]2026 január'!AC33
)</f>
        <v/>
      </c>
      <c r="CP35" s="268" t="str">
        <f>IF('[2]2026 január'!AD33=0,
    "",
    '[2]2026 január'!AD33
)</f>
        <v/>
      </c>
      <c r="CQ35" s="235" t="str">
        <f>IF('[2]2026 január'!AE$33=0,
    "",
    '[2]2026 január'!AE$33
)</f>
        <v/>
      </c>
      <c r="CR35" s="235" t="str">
        <f>IF('[2]2026 január'!AF33=0,
    "",
    '[2]2026 január'!AF33
)</f>
        <v/>
      </c>
      <c r="CS35" s="235" t="str">
        <f>IF('[2]2026 január'!AG33=0,
    "",
    '[2]2026 január'!AG33
)</f>
        <v/>
      </c>
      <c r="CT35" s="235" t="str">
        <f>IF('[2]2026 január'!AH33=0,
    "",
    '[2]2026 január'!AH33
)</f>
        <v/>
      </c>
    </row>
    <row r="36" spans="1:98" ht="14.25" customHeight="1">
      <c r="A36" s="70"/>
      <c r="B36" s="355"/>
      <c r="C36" s="23">
        <f>C35+D35+E35+F35</f>
        <v>8507316</v>
      </c>
      <c r="D36" s="9"/>
      <c r="E36" s="9"/>
      <c r="F36" s="9"/>
      <c r="G36" s="201">
        <f>G35+H35</f>
        <v>8507316</v>
      </c>
      <c r="H36" s="9"/>
      <c r="I36" s="9"/>
      <c r="J36" s="184"/>
      <c r="K36" s="9"/>
      <c r="L36" s="258"/>
      <c r="M36" s="260"/>
      <c r="N36" s="148"/>
      <c r="O36" s="214"/>
      <c r="Q36" s="57"/>
      <c r="R36" s="355"/>
      <c r="S36" s="482">
        <f>S35+T35+U35+V35</f>
        <v>11291268.449999999</v>
      </c>
      <c r="T36" s="10"/>
      <c r="U36" s="10"/>
      <c r="V36" s="10"/>
      <c r="W36" s="203">
        <f>W35+X35</f>
        <v>11291268</v>
      </c>
      <c r="X36" s="10"/>
      <c r="Y36" s="10"/>
      <c r="Z36" s="10"/>
      <c r="AA36" s="10"/>
      <c r="AB36" s="10"/>
      <c r="AC36" s="105"/>
      <c r="AD36" s="9"/>
      <c r="AE36" s="9"/>
      <c r="AG36" s="307"/>
      <c r="AH36" s="355"/>
      <c r="AI36" s="340">
        <f>AI35+AJ35+AK35+AL35</f>
        <v>7283289.4999999991</v>
      </c>
      <c r="AJ36" s="307"/>
      <c r="AK36" s="307"/>
      <c r="AL36" s="341"/>
      <c r="AM36" s="342">
        <f>AM35+AN35</f>
        <v>7283289</v>
      </c>
      <c r="AN36" s="307"/>
      <c r="AO36" s="307"/>
      <c r="AP36" s="334"/>
      <c r="AQ36" s="307"/>
      <c r="AR36" s="307"/>
      <c r="AS36" s="336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291"/>
      <c r="BI36" s="343"/>
      <c r="BJ36" s="355"/>
      <c r="BK36" s="340">
        <f>BK35+BL35+BM35+BN35</f>
        <v>4251199.4999999991</v>
      </c>
      <c r="BL36" s="309"/>
      <c r="BM36" s="309"/>
      <c r="BN36" s="309"/>
      <c r="BO36" s="481"/>
      <c r="BP36" s="344">
        <f>BQ35-BP35</f>
        <v>904</v>
      </c>
      <c r="BQ36" s="309"/>
      <c r="BR36" s="309"/>
      <c r="BS36" s="309"/>
      <c r="BT36" s="309"/>
      <c r="BU36" s="309"/>
      <c r="BV36" s="319"/>
      <c r="BW36" s="309"/>
      <c r="BY36" s="267" t="str">
        <f>IF('[2]2026 január'!B$35=0,
    "",
    '[2]2026 január'!B$35
)</f>
        <v/>
      </c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216"/>
      <c r="CM36" s="9"/>
      <c r="CN36" s="9"/>
      <c r="CO36" s="9"/>
      <c r="CP36" s="9"/>
    </row>
    <row r="37" spans="1:98" ht="14.25" customHeight="1">
      <c r="AG37" s="345"/>
      <c r="AH37" s="356"/>
      <c r="AI37" s="345"/>
      <c r="AJ37" s="345"/>
      <c r="AK37" s="345"/>
      <c r="AL37" s="345"/>
      <c r="AM37" s="345"/>
      <c r="AN37" s="345"/>
      <c r="AO37" s="345"/>
      <c r="AP37" s="345"/>
      <c r="AQ37" s="345"/>
      <c r="AR37" s="345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1"/>
      <c r="BD37" s="291"/>
      <c r="BE37" s="291"/>
      <c r="BF37" s="291"/>
      <c r="BG37" s="291"/>
      <c r="BH37" s="291"/>
      <c r="BI37" s="291"/>
      <c r="BK37" s="291"/>
      <c r="BL37" s="291"/>
      <c r="BM37" s="291"/>
      <c r="BN37" s="291"/>
      <c r="BO37" s="291"/>
      <c r="BP37" s="291"/>
      <c r="BQ37" s="291"/>
      <c r="BR37" s="346"/>
      <c r="BS37" s="291"/>
      <c r="BT37" s="291"/>
      <c r="BU37" s="291"/>
      <c r="BV37" s="291"/>
      <c r="BW37" s="291"/>
    </row>
    <row r="38" spans="1:98" ht="14.25" customHeight="1">
      <c r="AG38" s="345"/>
      <c r="AH38" s="356"/>
      <c r="AI38" s="345"/>
      <c r="AJ38" s="345"/>
      <c r="AK38" s="345"/>
      <c r="AL38" s="345"/>
      <c r="AM38" s="345"/>
      <c r="AN38" s="345"/>
      <c r="AO38" s="345"/>
      <c r="AP38" s="345"/>
      <c r="AQ38" s="345"/>
      <c r="AR38" s="345"/>
      <c r="AS38" s="291"/>
      <c r="AT38" s="291"/>
      <c r="AU38" s="291"/>
      <c r="AV38" s="291"/>
      <c r="AW38" s="291"/>
      <c r="AX38" s="291"/>
      <c r="AY38" s="291"/>
      <c r="AZ38" s="291"/>
      <c r="BA38" s="291"/>
      <c r="BB38" s="291"/>
      <c r="BC38" s="291"/>
      <c r="BD38" s="291"/>
      <c r="BE38" s="291"/>
      <c r="BF38" s="291"/>
      <c r="BG38" s="291"/>
      <c r="BH38" s="291"/>
      <c r="BI38" s="291"/>
      <c r="BK38" s="291"/>
      <c r="BL38" s="291"/>
      <c r="BM38" s="291"/>
      <c r="BN38" s="291"/>
      <c r="BO38" s="291"/>
      <c r="BP38" s="291"/>
      <c r="BQ38" s="291"/>
      <c r="BR38" s="345"/>
      <c r="BS38" s="291"/>
      <c r="BT38" s="291"/>
      <c r="BU38" s="291"/>
      <c r="BV38" s="291"/>
      <c r="BW38" s="291"/>
    </row>
    <row r="39" spans="1:98" ht="14.25" customHeight="1">
      <c r="AH39" s="356"/>
    </row>
    <row r="40" spans="1:98" ht="14.25" customHeight="1">
      <c r="A40" s="389" t="s">
        <v>177</v>
      </c>
      <c r="B40" s="390"/>
      <c r="C40" s="391"/>
      <c r="D40" s="391"/>
      <c r="E40" s="391"/>
      <c r="F40" s="392"/>
      <c r="G40" s="392"/>
      <c r="H40" s="392"/>
      <c r="I40" s="392"/>
      <c r="J40" s="473"/>
      <c r="K40" s="394"/>
      <c r="L40" s="253"/>
      <c r="N40"/>
      <c r="Q40" s="389" t="s">
        <v>177</v>
      </c>
      <c r="R40" s="390"/>
      <c r="S40" s="391"/>
      <c r="T40" s="391"/>
      <c r="U40" s="391"/>
      <c r="V40" s="392"/>
      <c r="W40" s="392"/>
      <c r="X40" s="392"/>
      <c r="Y40" s="392"/>
      <c r="Z40" s="393"/>
      <c r="AA40" s="394"/>
      <c r="AC40"/>
      <c r="AG40" s="238" t="s">
        <v>177</v>
      </c>
      <c r="AH40" s="357"/>
      <c r="AI40" s="239"/>
      <c r="AJ40" s="239"/>
      <c r="AK40" s="239"/>
      <c r="AL40" s="170"/>
      <c r="AM40" s="170"/>
      <c r="AN40" s="170"/>
      <c r="AO40" s="170"/>
      <c r="AP40" s="170"/>
      <c r="AQ40" s="171"/>
      <c r="AR40" s="237"/>
      <c r="AS40" s="25"/>
      <c r="AT40" s="172"/>
      <c r="AU40" s="631" t="s">
        <v>307</v>
      </c>
      <c r="AV40" s="632"/>
      <c r="AW40" s="632"/>
      <c r="AX40" s="632"/>
      <c r="AY40" s="170"/>
      <c r="AZ40" s="170"/>
      <c r="BA40" s="170"/>
      <c r="BB40" s="170"/>
      <c r="BC40" s="170"/>
      <c r="BD40" s="171"/>
      <c r="BE40" s="170"/>
      <c r="BF40" s="25"/>
      <c r="BI40" s="389" t="s">
        <v>177</v>
      </c>
      <c r="BJ40" s="390"/>
      <c r="BK40" s="391"/>
      <c r="BL40" s="391"/>
      <c r="BM40" s="391"/>
      <c r="BN40" s="392"/>
      <c r="BO40" s="392"/>
      <c r="BP40" s="392"/>
      <c r="BQ40" s="392"/>
      <c r="BR40" s="393"/>
      <c r="BS40" s="394"/>
      <c r="BT40" s="4"/>
    </row>
    <row r="41" spans="1:98" ht="14.25" customHeight="1">
      <c r="A41" s="395" t="s">
        <v>308</v>
      </c>
      <c r="B41" s="396"/>
      <c r="C41" s="396"/>
      <c r="D41" s="396"/>
      <c r="E41" s="396"/>
      <c r="F41" s="396"/>
      <c r="G41" s="396"/>
      <c r="H41" s="396"/>
      <c r="I41" s="396"/>
      <c r="J41" s="396"/>
      <c r="K41" s="397"/>
      <c r="L41" s="253"/>
      <c r="N41"/>
      <c r="Q41" s="395" t="s">
        <v>308</v>
      </c>
      <c r="R41" s="396"/>
      <c r="S41" s="396"/>
      <c r="T41" s="396"/>
      <c r="U41" s="396"/>
      <c r="V41" s="396"/>
      <c r="W41" s="396"/>
      <c r="X41" s="396"/>
      <c r="Y41" s="396"/>
      <c r="Z41" s="396"/>
      <c r="AA41" s="397"/>
      <c r="AC41"/>
      <c r="AG41" s="177"/>
      <c r="AH41" s="358"/>
      <c r="AI41" s="67"/>
      <c r="AJ41" s="67"/>
      <c r="AQ41" s="35"/>
      <c r="AR41" s="52"/>
      <c r="AT41" s="53"/>
      <c r="AU41" s="177"/>
      <c r="AV41" s="67"/>
      <c r="AW41" s="67"/>
      <c r="AX41" s="4"/>
      <c r="AY41" s="4"/>
      <c r="AZ41" s="4"/>
      <c r="BA41" s="4"/>
      <c r="BB41" s="4"/>
      <c r="BC41" s="4"/>
      <c r="BD41" s="35"/>
      <c r="BE41" s="4"/>
      <c r="BI41" s="395" t="s">
        <v>308</v>
      </c>
      <c r="BJ41" s="396"/>
      <c r="BK41" s="396"/>
      <c r="BL41" s="396"/>
      <c r="BM41" s="396"/>
      <c r="BN41" s="396"/>
      <c r="BO41" s="396"/>
      <c r="BP41" s="396"/>
      <c r="BQ41" s="396"/>
      <c r="BR41" s="396"/>
      <c r="BS41" s="397"/>
      <c r="BT41" s="4"/>
    </row>
    <row r="42" spans="1:98" ht="14.25" customHeight="1">
      <c r="A42" s="398" t="s">
        <v>309</v>
      </c>
      <c r="B42" s="399"/>
      <c r="C42" s="399"/>
      <c r="D42" s="399"/>
      <c r="E42" s="399"/>
      <c r="F42" s="399"/>
      <c r="G42" s="399"/>
      <c r="H42" s="399"/>
      <c r="I42" s="399"/>
      <c r="J42" s="399"/>
      <c r="K42" s="400"/>
      <c r="L42" s="253"/>
      <c r="N42"/>
      <c r="Q42" s="398" t="s">
        <v>309</v>
      </c>
      <c r="R42" s="399"/>
      <c r="S42" s="399"/>
      <c r="T42" s="399"/>
      <c r="U42" s="399"/>
      <c r="V42" s="399"/>
      <c r="W42" s="399"/>
      <c r="X42" s="399"/>
      <c r="Y42" s="399"/>
      <c r="Z42" s="399"/>
      <c r="AA42" s="400"/>
      <c r="AC42"/>
      <c r="AG42" s="178"/>
      <c r="AH42" s="359"/>
      <c r="AI42" s="179"/>
      <c r="AJ42" s="179"/>
      <c r="AK42" s="173"/>
      <c r="AL42" s="173"/>
      <c r="AM42" s="173"/>
      <c r="AN42" s="173"/>
      <c r="AO42" s="173"/>
      <c r="AP42" s="173"/>
      <c r="AQ42" s="174"/>
      <c r="AR42" s="236"/>
      <c r="AS42" s="175"/>
      <c r="AT42" s="176"/>
      <c r="AU42" s="178"/>
      <c r="AV42" s="179"/>
      <c r="AW42" s="179"/>
      <c r="AX42" s="173"/>
      <c r="AY42" s="173"/>
      <c r="AZ42" s="173"/>
      <c r="BA42" s="173"/>
      <c r="BB42" s="173"/>
      <c r="BC42" s="173"/>
      <c r="BD42" s="174"/>
      <c r="BE42" s="173"/>
      <c r="BF42" s="175"/>
      <c r="BI42" s="398" t="s">
        <v>309</v>
      </c>
      <c r="BJ42" s="399"/>
      <c r="BK42" s="399"/>
      <c r="BL42" s="399"/>
      <c r="BM42" s="399"/>
      <c r="BN42" s="399"/>
      <c r="BO42" s="399"/>
      <c r="BP42" s="399"/>
      <c r="BQ42" s="399"/>
      <c r="BR42" s="399"/>
      <c r="BS42" s="400"/>
      <c r="BT42" s="4"/>
    </row>
    <row r="43" spans="1:98" ht="14.25" customHeight="1">
      <c r="AH43" s="356"/>
    </row>
    <row r="44" spans="1:98" ht="14.25" customHeight="1">
      <c r="A44" s="66" t="s">
        <v>4</v>
      </c>
      <c r="B44" s="351"/>
      <c r="C44" s="26"/>
      <c r="D44" s="26"/>
      <c r="E44" s="26"/>
      <c r="F44" s="26"/>
      <c r="G44" s="26"/>
      <c r="H44" s="26"/>
      <c r="I44" s="26"/>
      <c r="J44" s="34"/>
      <c r="K44" s="349"/>
      <c r="L44" s="255"/>
      <c r="M44" s="157"/>
      <c r="N44" s="385"/>
      <c r="O44" s="384"/>
      <c r="Q44" s="66" t="s">
        <v>4</v>
      </c>
      <c r="R44" s="351"/>
      <c r="S44" s="26"/>
      <c r="T44" s="26"/>
      <c r="U44" s="26"/>
      <c r="V44" s="26"/>
      <c r="W44" s="26"/>
      <c r="X44" s="26"/>
      <c r="Y44" s="26"/>
      <c r="Z44" s="34"/>
      <c r="AA44" s="349"/>
      <c r="AB44" s="255"/>
      <c r="AC44" s="157"/>
      <c r="AD44" s="157"/>
      <c r="AE44" s="383"/>
      <c r="AG44" s="66" t="s">
        <v>4</v>
      </c>
      <c r="AH44" s="351"/>
      <c r="AI44" s="26"/>
      <c r="AJ44" s="26"/>
      <c r="AK44" s="26"/>
      <c r="AL44" s="26"/>
      <c r="AM44" s="26"/>
      <c r="AN44" s="26"/>
      <c r="AO44" s="26"/>
      <c r="AP44" s="34"/>
      <c r="AQ44" s="349"/>
      <c r="AR44" s="255"/>
      <c r="AS44" s="157"/>
      <c r="AT44" s="385"/>
      <c r="AU44" s="384"/>
      <c r="BG44" s="386"/>
      <c r="BI44" s="66" t="s">
        <v>4</v>
      </c>
      <c r="BJ44" s="351"/>
      <c r="BK44" s="26"/>
      <c r="BL44" s="26"/>
      <c r="BM44" s="26"/>
      <c r="BN44" s="26"/>
      <c r="BO44" s="26"/>
      <c r="BP44" s="26"/>
      <c r="BQ44" s="26"/>
      <c r="BR44" s="34"/>
      <c r="BS44" s="349"/>
      <c r="BT44" s="255"/>
      <c r="BU44" s="157"/>
      <c r="BV44" s="385"/>
      <c r="BW44" s="384"/>
      <c r="BY44" s="273" t="str">
        <f>'[2]2026 január'!B$1</f>
        <v>Novohost</v>
      </c>
      <c r="CI44" s="386"/>
    </row>
    <row r="45" spans="1:98" ht="14.25" customHeight="1">
      <c r="A45" s="141">
        <v>46054</v>
      </c>
      <c r="B45" s="142"/>
      <c r="C45" s="142"/>
      <c r="D45" s="142"/>
      <c r="E45" s="142"/>
      <c r="F45" s="142"/>
      <c r="G45" s="142"/>
      <c r="H45" s="142"/>
      <c r="I45" s="142"/>
      <c r="J45" s="143"/>
      <c r="K45" s="144"/>
      <c r="L45" s="256"/>
      <c r="M45" s="158"/>
      <c r="N45" s="381"/>
      <c r="O45" s="217"/>
      <c r="Q45" s="141">
        <v>46054</v>
      </c>
      <c r="R45" s="142"/>
      <c r="S45" s="142"/>
      <c r="T45" s="142"/>
      <c r="U45" s="142"/>
      <c r="V45" s="142"/>
      <c r="W45" s="142"/>
      <c r="X45" s="142"/>
      <c r="Y45" s="142"/>
      <c r="Z45" s="143"/>
      <c r="AA45" s="144"/>
      <c r="AB45" s="256"/>
      <c r="AC45" s="158"/>
      <c r="AD45" s="381"/>
      <c r="AE45" s="158"/>
      <c r="AG45" s="141">
        <v>46054</v>
      </c>
      <c r="AH45" s="142"/>
      <c r="AI45" s="142"/>
      <c r="AJ45" s="142"/>
      <c r="AK45" s="142"/>
      <c r="AL45" s="142"/>
      <c r="AM45" s="142"/>
      <c r="AN45" s="142"/>
      <c r="AO45" s="142"/>
      <c r="AP45" s="143"/>
      <c r="AQ45" s="144"/>
      <c r="AR45" s="256"/>
      <c r="AS45" s="158"/>
      <c r="AT45" s="381"/>
      <c r="AU45" s="217"/>
      <c r="BG45" s="387"/>
      <c r="BI45" s="141">
        <v>46054</v>
      </c>
      <c r="BJ45" s="142"/>
      <c r="BK45" s="142"/>
      <c r="BL45" s="142"/>
      <c r="BM45" s="142"/>
      <c r="BN45" s="142"/>
      <c r="BO45" s="142"/>
      <c r="BP45" s="142"/>
      <c r="BQ45" s="142"/>
      <c r="BR45" s="143"/>
      <c r="BS45" s="144"/>
      <c r="BT45" s="256"/>
      <c r="BU45" s="158"/>
      <c r="BV45" s="381"/>
      <c r="BW45" s="217"/>
      <c r="BY45" s="267" t="str">
        <f>IF('[2]2026 február'!B$2=0,
    "",
    '[2]2026 február'!B$2
)</f>
        <v/>
      </c>
      <c r="CI45" s="387"/>
    </row>
    <row r="46" spans="1:98" ht="14.25" customHeight="1">
      <c r="A46" s="141">
        <v>46055</v>
      </c>
      <c r="B46" s="11">
        <v>325540</v>
      </c>
      <c r="C46" s="11">
        <v>1200</v>
      </c>
      <c r="D46" s="11">
        <v>313890</v>
      </c>
      <c r="E46" s="11"/>
      <c r="F46" s="11"/>
      <c r="G46" s="11"/>
      <c r="H46" s="11">
        <v>315090</v>
      </c>
      <c r="I46" s="11">
        <v>315090</v>
      </c>
      <c r="J46" s="38" t="s">
        <v>310</v>
      </c>
      <c r="K46" s="38" t="s">
        <v>114</v>
      </c>
      <c r="L46" s="72">
        <v>133925516</v>
      </c>
      <c r="M46" s="9"/>
      <c r="N46" s="216"/>
      <c r="O46" s="214"/>
      <c r="Q46" s="141">
        <v>46055</v>
      </c>
      <c r="R46" s="11">
        <v>601530</v>
      </c>
      <c r="S46" s="11">
        <v>2800</v>
      </c>
      <c r="T46" s="11">
        <v>553488</v>
      </c>
      <c r="U46" s="11"/>
      <c r="V46" s="11"/>
      <c r="W46" s="11"/>
      <c r="X46" s="11">
        <v>556288</v>
      </c>
      <c r="Y46" s="11">
        <v>556288</v>
      </c>
      <c r="Z46" s="489" t="s">
        <v>311</v>
      </c>
      <c r="AA46" s="38" t="s">
        <v>116</v>
      </c>
      <c r="AB46" s="72">
        <v>164839238</v>
      </c>
      <c r="AC46" s="9"/>
      <c r="AD46" s="216"/>
      <c r="AE46" s="9"/>
      <c r="AG46" s="141">
        <v>46055</v>
      </c>
      <c r="AH46" s="11">
        <v>492825</v>
      </c>
      <c r="AI46" s="11">
        <v>2750</v>
      </c>
      <c r="AJ46" s="11">
        <v>444361</v>
      </c>
      <c r="AK46" s="11"/>
      <c r="AL46" s="11"/>
      <c r="AM46" s="11"/>
      <c r="AN46" s="11">
        <v>447111</v>
      </c>
      <c r="AO46" s="11">
        <v>447111</v>
      </c>
      <c r="AP46" s="38" t="s">
        <v>311</v>
      </c>
      <c r="AQ46" s="38">
        <v>1260</v>
      </c>
      <c r="AR46" s="72">
        <v>304215978</v>
      </c>
      <c r="AS46" s="9"/>
      <c r="AT46" s="216"/>
      <c r="AU46" s="214"/>
      <c r="BG46" s="9"/>
      <c r="BI46" s="141">
        <v>46055</v>
      </c>
      <c r="BJ46" s="11">
        <v>9540</v>
      </c>
      <c r="BK46" s="11">
        <v>0</v>
      </c>
      <c r="BL46" s="11">
        <v>9540</v>
      </c>
      <c r="BM46" s="11"/>
      <c r="BN46" s="11"/>
      <c r="BO46" s="11"/>
      <c r="BP46" s="11">
        <v>9540</v>
      </c>
      <c r="BQ46" s="11">
        <v>9540</v>
      </c>
      <c r="BR46" s="38" t="s">
        <v>312</v>
      </c>
      <c r="BS46" s="38">
        <v>1011</v>
      </c>
      <c r="BT46" s="72">
        <v>170301952</v>
      </c>
      <c r="BU46" s="9"/>
      <c r="BV46" s="216"/>
      <c r="BW46" s="214"/>
      <c r="BY46" s="267">
        <f>IF('[2]2026 február'!B$3=0,
    "",
    '[2]2026 február'!B$3
)</f>
        <v>1429435</v>
      </c>
      <c r="CI46" s="9"/>
    </row>
    <row r="47" spans="1:98" ht="14.25" customHeight="1">
      <c r="A47" s="141">
        <v>46056</v>
      </c>
      <c r="B47" s="11">
        <v>437815</v>
      </c>
      <c r="C47" s="11">
        <v>650</v>
      </c>
      <c r="D47" s="11">
        <v>400140</v>
      </c>
      <c r="E47" s="11"/>
      <c r="F47" s="11"/>
      <c r="G47" s="11"/>
      <c r="H47" s="11">
        <v>400790</v>
      </c>
      <c r="I47" s="11">
        <v>400790</v>
      </c>
      <c r="J47" s="38" t="s">
        <v>313</v>
      </c>
      <c r="K47" s="38" t="s">
        <v>314</v>
      </c>
      <c r="L47" s="72">
        <v>134326306</v>
      </c>
      <c r="M47" s="9"/>
      <c r="N47" s="216"/>
      <c r="O47" s="214"/>
      <c r="Q47" s="141">
        <v>46056</v>
      </c>
      <c r="R47" s="11">
        <v>726820</v>
      </c>
      <c r="S47" s="11">
        <v>2700</v>
      </c>
      <c r="T47" s="11">
        <v>671425</v>
      </c>
      <c r="U47" s="11"/>
      <c r="V47" s="11"/>
      <c r="W47" s="11">
        <v>17725</v>
      </c>
      <c r="X47" s="488">
        <v>656400</v>
      </c>
      <c r="Y47" s="488">
        <v>674125</v>
      </c>
      <c r="Z47" s="489" t="s">
        <v>315</v>
      </c>
      <c r="AA47" s="38" t="s">
        <v>316</v>
      </c>
      <c r="AB47" s="72">
        <v>165513363</v>
      </c>
      <c r="AC47" s="9"/>
      <c r="AD47" s="216"/>
      <c r="AE47" s="9"/>
      <c r="AG47" s="141">
        <v>46056</v>
      </c>
      <c r="AH47" s="11">
        <v>452660</v>
      </c>
      <c r="AI47" s="11">
        <v>1950</v>
      </c>
      <c r="AJ47" s="11">
        <v>431586</v>
      </c>
      <c r="AK47" s="11"/>
      <c r="AL47" s="11"/>
      <c r="AM47" s="11"/>
      <c r="AN47" s="11">
        <v>433536</v>
      </c>
      <c r="AO47" s="11">
        <v>433536</v>
      </c>
      <c r="AP47" s="38" t="s">
        <v>317</v>
      </c>
      <c r="AQ47" s="38">
        <v>1261</v>
      </c>
      <c r="AR47" s="72">
        <v>304649514</v>
      </c>
      <c r="AS47" s="9"/>
      <c r="AT47" s="216"/>
      <c r="AU47" s="214"/>
      <c r="BG47" s="9"/>
      <c r="BI47" s="141">
        <v>46056</v>
      </c>
      <c r="BJ47" s="11">
        <v>41765</v>
      </c>
      <c r="BK47" s="11">
        <v>200</v>
      </c>
      <c r="BL47" s="11">
        <v>38935</v>
      </c>
      <c r="BM47" s="11"/>
      <c r="BN47" s="11"/>
      <c r="BO47" s="11"/>
      <c r="BP47" s="11">
        <v>39135</v>
      </c>
      <c r="BQ47" s="11">
        <v>39135</v>
      </c>
      <c r="BR47" s="38" t="s">
        <v>318</v>
      </c>
      <c r="BS47" s="38">
        <v>1012</v>
      </c>
      <c r="BT47" s="72">
        <v>170341087</v>
      </c>
      <c r="BU47" s="9"/>
      <c r="BV47" s="216"/>
      <c r="BW47" s="214"/>
      <c r="BY47" s="267">
        <f>'[2]2026 február'!$B$4</f>
        <v>1659060</v>
      </c>
      <c r="CI47" s="9"/>
    </row>
    <row r="48" spans="1:98" ht="14.25" customHeight="1">
      <c r="A48" s="141">
        <v>46057</v>
      </c>
      <c r="B48" s="11">
        <v>414670</v>
      </c>
      <c r="C48" s="11">
        <v>650</v>
      </c>
      <c r="D48" s="11">
        <v>399620</v>
      </c>
      <c r="E48" s="11"/>
      <c r="F48" s="11"/>
      <c r="G48" s="11"/>
      <c r="H48" s="11">
        <v>400270</v>
      </c>
      <c r="I48" s="11">
        <v>400270</v>
      </c>
      <c r="J48" s="38" t="s">
        <v>319</v>
      </c>
      <c r="K48" s="38" t="s">
        <v>320</v>
      </c>
      <c r="L48" s="72">
        <v>134726576</v>
      </c>
      <c r="M48" s="9"/>
      <c r="N48" s="216"/>
      <c r="O48" s="214"/>
      <c r="Q48" s="141">
        <v>46057</v>
      </c>
      <c r="R48" s="11">
        <v>622185</v>
      </c>
      <c r="S48" s="11">
        <v>2800</v>
      </c>
      <c r="T48" s="11">
        <v>596795</v>
      </c>
      <c r="U48" s="11"/>
      <c r="V48" s="11"/>
      <c r="W48" s="11"/>
      <c r="X48" s="488">
        <v>599595</v>
      </c>
      <c r="Y48" s="488">
        <v>581870</v>
      </c>
      <c r="Z48" s="489" t="s">
        <v>321</v>
      </c>
      <c r="AA48" s="38" t="s">
        <v>322</v>
      </c>
      <c r="AB48" s="72">
        <v>166112958</v>
      </c>
      <c r="AC48" s="9"/>
      <c r="AD48" s="216"/>
      <c r="AE48" s="9"/>
      <c r="AG48" s="141">
        <v>46057</v>
      </c>
      <c r="AH48" s="11">
        <v>517700</v>
      </c>
      <c r="AI48" s="11">
        <v>1850</v>
      </c>
      <c r="AJ48" s="11">
        <v>491346</v>
      </c>
      <c r="AK48" s="11"/>
      <c r="AL48" s="11"/>
      <c r="AM48" s="11"/>
      <c r="AN48" s="11">
        <v>493196</v>
      </c>
      <c r="AO48" s="11">
        <v>493196</v>
      </c>
      <c r="AP48" s="38" t="s">
        <v>323</v>
      </c>
      <c r="AQ48" s="38">
        <v>1262</v>
      </c>
      <c r="AR48" s="72">
        <v>305142710</v>
      </c>
      <c r="AS48" s="9"/>
      <c r="AT48" s="216"/>
      <c r="AU48" s="214"/>
      <c r="BG48" s="9"/>
      <c r="BI48" s="141">
        <v>46057</v>
      </c>
      <c r="BJ48" s="11">
        <v>239535</v>
      </c>
      <c r="BK48" s="11">
        <v>750</v>
      </c>
      <c r="BL48" s="11">
        <v>221195</v>
      </c>
      <c r="BM48" s="11"/>
      <c r="BN48" s="11"/>
      <c r="BO48" s="11"/>
      <c r="BP48" s="11">
        <v>221945</v>
      </c>
      <c r="BQ48" s="11">
        <v>221945</v>
      </c>
      <c r="BR48" s="38" t="s">
        <v>324</v>
      </c>
      <c r="BS48" s="38">
        <v>1013</v>
      </c>
      <c r="BT48" s="72">
        <v>170563032</v>
      </c>
      <c r="BU48" s="9"/>
      <c r="BV48" s="216"/>
      <c r="BW48" s="214"/>
      <c r="BY48" s="267">
        <f>IF('[2]2026 február'!B$5=0,
    "",
    '[2]2026 február'!B$5
)</f>
        <v>1794090</v>
      </c>
      <c r="CI48" s="9"/>
    </row>
    <row r="49" spans="1:87" ht="14.25" customHeight="1">
      <c r="A49" s="141">
        <v>46058</v>
      </c>
      <c r="B49" s="11">
        <v>400795</v>
      </c>
      <c r="C49" s="11">
        <v>700</v>
      </c>
      <c r="D49" s="11">
        <v>366788</v>
      </c>
      <c r="E49" s="11"/>
      <c r="F49" s="11"/>
      <c r="G49" s="11"/>
      <c r="H49" s="11">
        <v>367488</v>
      </c>
      <c r="I49" s="11">
        <v>367488</v>
      </c>
      <c r="J49" s="38" t="s">
        <v>325</v>
      </c>
      <c r="K49" s="38" t="s">
        <v>326</v>
      </c>
      <c r="L49" s="72">
        <v>135094064</v>
      </c>
      <c r="M49" s="9"/>
      <c r="N49" s="216"/>
      <c r="O49" s="214"/>
      <c r="Q49" s="141">
        <v>46058</v>
      </c>
      <c r="R49" s="11">
        <v>652575</v>
      </c>
      <c r="S49" s="11">
        <v>2600</v>
      </c>
      <c r="T49" s="11">
        <v>589918</v>
      </c>
      <c r="U49" s="11"/>
      <c r="V49" s="11"/>
      <c r="W49" s="11"/>
      <c r="X49" s="11">
        <v>592518</v>
      </c>
      <c r="Y49" s="11">
        <v>592518</v>
      </c>
      <c r="Z49" s="489" t="s">
        <v>327</v>
      </c>
      <c r="AA49" s="38" t="s">
        <v>328</v>
      </c>
      <c r="AB49" s="72">
        <v>166705476</v>
      </c>
      <c r="AC49" s="9"/>
      <c r="AD49" s="216"/>
      <c r="AE49" s="9"/>
      <c r="AG49" s="141">
        <v>46058</v>
      </c>
      <c r="AH49" s="11">
        <v>496720</v>
      </c>
      <c r="AI49" s="11">
        <v>2350</v>
      </c>
      <c r="AJ49" s="11">
        <v>468711</v>
      </c>
      <c r="AK49" s="11"/>
      <c r="AL49" s="11"/>
      <c r="AM49" s="11"/>
      <c r="AN49" s="11">
        <v>471061</v>
      </c>
      <c r="AO49" s="11">
        <v>471061</v>
      </c>
      <c r="AP49" s="38" t="s">
        <v>329</v>
      </c>
      <c r="AQ49" s="38">
        <v>1263</v>
      </c>
      <c r="AR49" s="72">
        <v>305613771</v>
      </c>
      <c r="AS49" s="9"/>
      <c r="AT49" s="216"/>
      <c r="AU49" s="214"/>
      <c r="BG49" s="9"/>
      <c r="BI49" s="141">
        <v>46058</v>
      </c>
      <c r="BJ49" s="11">
        <v>212105</v>
      </c>
      <c r="BK49" s="11">
        <v>850</v>
      </c>
      <c r="BL49" s="11">
        <v>196305</v>
      </c>
      <c r="BM49" s="11"/>
      <c r="BN49" s="11"/>
      <c r="BO49" s="11"/>
      <c r="BP49" s="11">
        <v>197155</v>
      </c>
      <c r="BQ49" s="11">
        <v>197155</v>
      </c>
      <c r="BR49" s="38" t="s">
        <v>330</v>
      </c>
      <c r="BS49" s="38">
        <v>1014</v>
      </c>
      <c r="BT49" s="72">
        <v>170760187</v>
      </c>
      <c r="BU49" s="9"/>
      <c r="BV49" s="216"/>
      <c r="BW49" s="214"/>
      <c r="BY49" s="267">
        <v>1762195</v>
      </c>
      <c r="CI49" s="9"/>
    </row>
    <row r="50" spans="1:87" ht="14.25" customHeight="1">
      <c r="A50" s="141">
        <v>46059</v>
      </c>
      <c r="B50" s="11">
        <v>333655</v>
      </c>
      <c r="C50" s="11">
        <v>500</v>
      </c>
      <c r="D50" s="11">
        <v>289575</v>
      </c>
      <c r="E50" s="11"/>
      <c r="F50" s="11"/>
      <c r="G50" s="11"/>
      <c r="H50" s="11">
        <v>290075</v>
      </c>
      <c r="I50" s="11">
        <v>290075</v>
      </c>
      <c r="J50" s="38" t="s">
        <v>331</v>
      </c>
      <c r="K50" s="38" t="s">
        <v>332</v>
      </c>
      <c r="L50" s="72">
        <v>135384139</v>
      </c>
      <c r="M50" s="9"/>
      <c r="N50" s="216"/>
      <c r="O50" s="214"/>
      <c r="Q50" s="141">
        <v>46059</v>
      </c>
      <c r="R50" s="11">
        <v>527045</v>
      </c>
      <c r="S50" s="11">
        <v>2900</v>
      </c>
      <c r="T50" s="11">
        <v>489104</v>
      </c>
      <c r="U50" s="11"/>
      <c r="V50" s="11"/>
      <c r="W50" s="11"/>
      <c r="X50" s="11">
        <v>492004</v>
      </c>
      <c r="Y50" s="11">
        <v>492004</v>
      </c>
      <c r="Z50" s="489" t="s">
        <v>333</v>
      </c>
      <c r="AA50" s="38" t="s">
        <v>334</v>
      </c>
      <c r="AB50" s="72">
        <v>167197480</v>
      </c>
      <c r="AC50" s="9"/>
      <c r="AD50" s="216"/>
      <c r="AE50" s="9"/>
      <c r="AG50" s="141">
        <v>46059</v>
      </c>
      <c r="AH50" s="11">
        <v>416740</v>
      </c>
      <c r="AI50" s="11">
        <v>2150</v>
      </c>
      <c r="AJ50" s="11">
        <v>388105</v>
      </c>
      <c r="AK50" s="11"/>
      <c r="AL50" s="11"/>
      <c r="AM50" s="11"/>
      <c r="AN50" s="11">
        <v>390255</v>
      </c>
      <c r="AO50" s="11">
        <v>390255</v>
      </c>
      <c r="AP50" s="38" t="s">
        <v>335</v>
      </c>
      <c r="AQ50" s="38" t="s">
        <v>336</v>
      </c>
      <c r="AR50" s="72">
        <v>306004026</v>
      </c>
      <c r="AS50" s="9"/>
      <c r="AT50" s="216"/>
      <c r="AU50" s="214"/>
      <c r="BG50" s="9"/>
      <c r="BI50" s="141">
        <v>46059</v>
      </c>
      <c r="BJ50" s="11">
        <v>198400</v>
      </c>
      <c r="BK50" s="11">
        <v>700</v>
      </c>
      <c r="BL50" s="11">
        <v>191690</v>
      </c>
      <c r="BM50" s="11"/>
      <c r="BN50" s="11"/>
      <c r="BO50" s="11"/>
      <c r="BP50" s="11">
        <v>192390</v>
      </c>
      <c r="BQ50" s="11">
        <v>192390</v>
      </c>
      <c r="BR50" s="38" t="s">
        <v>337</v>
      </c>
      <c r="BS50" s="38">
        <v>1015</v>
      </c>
      <c r="BT50" s="72">
        <v>170952577</v>
      </c>
      <c r="BU50" s="9"/>
      <c r="BV50" s="216"/>
      <c r="BW50" s="214"/>
      <c r="BY50" s="267">
        <f>IF('[2]2026 február'!B$7=0,
    "",
    '[2]2026 február'!B$7
)</f>
        <v>1475840</v>
      </c>
      <c r="CI50" s="9"/>
    </row>
    <row r="51" spans="1:87" ht="14.25" customHeight="1">
      <c r="A51" s="141">
        <v>46060</v>
      </c>
      <c r="B51" s="142"/>
      <c r="C51" s="142"/>
      <c r="D51" s="142"/>
      <c r="E51" s="142"/>
      <c r="F51" s="142"/>
      <c r="G51" s="142"/>
      <c r="H51" s="142"/>
      <c r="I51" s="142"/>
      <c r="J51" s="143"/>
      <c r="K51" s="143"/>
      <c r="L51" s="249"/>
      <c r="M51" s="158"/>
      <c r="N51" s="381"/>
      <c r="O51" s="217"/>
      <c r="Q51" s="141">
        <v>46060</v>
      </c>
      <c r="R51" s="142"/>
      <c r="S51" s="142"/>
      <c r="T51" s="142"/>
      <c r="U51" s="142"/>
      <c r="V51" s="142"/>
      <c r="W51" s="142"/>
      <c r="X51" s="142"/>
      <c r="Y51" s="142"/>
      <c r="Z51" s="490"/>
      <c r="AA51" s="143"/>
      <c r="AB51" s="249"/>
      <c r="AC51" s="158"/>
      <c r="AD51" s="381"/>
      <c r="AE51" s="158"/>
      <c r="AG51" s="141">
        <v>46060</v>
      </c>
      <c r="AH51" s="142"/>
      <c r="AI51" s="142"/>
      <c r="AJ51" s="142"/>
      <c r="AK51" s="142"/>
      <c r="AL51" s="142"/>
      <c r="AM51" s="142"/>
      <c r="AN51" s="142"/>
      <c r="AO51" s="142"/>
      <c r="AP51" s="143"/>
      <c r="AQ51" s="143"/>
      <c r="AR51" s="249"/>
      <c r="AS51" s="158"/>
      <c r="AT51" s="381"/>
      <c r="AU51" s="217"/>
      <c r="BG51" s="158"/>
      <c r="BI51" s="141">
        <v>46060</v>
      </c>
      <c r="BJ51" s="142"/>
      <c r="BK51" s="142"/>
      <c r="BL51" s="142"/>
      <c r="BM51" s="142"/>
      <c r="BN51" s="142"/>
      <c r="BO51" s="142"/>
      <c r="BP51" s="142"/>
      <c r="BQ51" s="142"/>
      <c r="BR51" s="143"/>
      <c r="BS51" s="143"/>
      <c r="BT51" s="249"/>
      <c r="BU51" s="158"/>
      <c r="BV51" s="381"/>
      <c r="BW51" s="217"/>
      <c r="BY51" s="267" t="str">
        <f>IF('[2]2026 február'!B$8=0,
    "",
    '[2]2026 február'!B$8
)</f>
        <v/>
      </c>
      <c r="CI51" s="158"/>
    </row>
    <row r="52" spans="1:87" ht="14.25" customHeight="1">
      <c r="A52" s="141">
        <v>46061</v>
      </c>
      <c r="B52" s="142"/>
      <c r="C52" s="142"/>
      <c r="D52" s="142"/>
      <c r="E52" s="142"/>
      <c r="F52" s="142"/>
      <c r="G52" s="142"/>
      <c r="H52" s="142"/>
      <c r="I52" s="142"/>
      <c r="J52" s="143"/>
      <c r="K52" s="143"/>
      <c r="L52" s="249"/>
      <c r="M52" s="158"/>
      <c r="N52" s="381"/>
      <c r="O52" s="217"/>
      <c r="Q52" s="141">
        <v>46061</v>
      </c>
      <c r="R52" s="142"/>
      <c r="S52" s="142"/>
      <c r="T52" s="142"/>
      <c r="U52" s="142"/>
      <c r="V52" s="142"/>
      <c r="W52" s="142"/>
      <c r="X52" s="142"/>
      <c r="Y52" s="142"/>
      <c r="Z52" s="490"/>
      <c r="AA52" s="143"/>
      <c r="AB52" s="249"/>
      <c r="AC52" s="158"/>
      <c r="AD52" s="381"/>
      <c r="AE52" s="158"/>
      <c r="AG52" s="141">
        <v>46061</v>
      </c>
      <c r="AH52" s="142"/>
      <c r="AI52" s="142"/>
      <c r="AJ52" s="142"/>
      <c r="AK52" s="142"/>
      <c r="AL52" s="142"/>
      <c r="AM52" s="142"/>
      <c r="AN52" s="142"/>
      <c r="AO52" s="142"/>
      <c r="AP52" s="143"/>
      <c r="AQ52" s="143"/>
      <c r="AR52" s="249"/>
      <c r="AS52" s="158"/>
      <c r="AT52" s="381"/>
      <c r="AU52" s="217"/>
      <c r="BG52" s="158"/>
      <c r="BI52" s="141">
        <v>46061</v>
      </c>
      <c r="BJ52" s="142"/>
      <c r="BK52" s="142"/>
      <c r="BL52" s="142"/>
      <c r="BM52" s="142"/>
      <c r="BN52" s="142"/>
      <c r="BO52" s="142"/>
      <c r="BP52" s="142"/>
      <c r="BQ52" s="142"/>
      <c r="BR52" s="143"/>
      <c r="BS52" s="143"/>
      <c r="BT52" s="249"/>
      <c r="BU52" s="158"/>
      <c r="BV52" s="381"/>
      <c r="BW52" s="217"/>
      <c r="BY52" s="267" t="str">
        <f>IF('[2]2026 február'!B$9=0,
    "",
    '[2]2026 február'!B$9
)</f>
        <v/>
      </c>
      <c r="CI52" s="158"/>
    </row>
    <row r="53" spans="1:87" ht="14.25" customHeight="1">
      <c r="A53" s="141">
        <v>46062</v>
      </c>
      <c r="B53" s="11">
        <v>443720</v>
      </c>
      <c r="C53" s="11">
        <v>850</v>
      </c>
      <c r="D53" s="11">
        <v>415635</v>
      </c>
      <c r="E53" s="11"/>
      <c r="F53" s="11"/>
      <c r="G53" s="11"/>
      <c r="H53" s="11">
        <v>416485</v>
      </c>
      <c r="I53" s="11">
        <v>416485</v>
      </c>
      <c r="J53" s="38" t="s">
        <v>338</v>
      </c>
      <c r="K53" s="38" t="s">
        <v>339</v>
      </c>
      <c r="L53" s="72">
        <v>135800624</v>
      </c>
      <c r="M53" s="9"/>
      <c r="N53" s="216"/>
      <c r="O53" s="214"/>
      <c r="Q53" s="141">
        <v>46062</v>
      </c>
      <c r="R53" s="11">
        <v>563475</v>
      </c>
      <c r="S53" s="11">
        <v>3250</v>
      </c>
      <c r="T53" s="11">
        <v>530475</v>
      </c>
      <c r="U53" s="11"/>
      <c r="V53" s="11"/>
      <c r="W53" s="11"/>
      <c r="X53" s="11">
        <v>533725</v>
      </c>
      <c r="Y53" s="11">
        <v>533725</v>
      </c>
      <c r="Z53" s="489" t="s">
        <v>340</v>
      </c>
      <c r="AA53" s="38" t="s">
        <v>341</v>
      </c>
      <c r="AB53" s="72">
        <v>167731205</v>
      </c>
      <c r="AC53" s="9"/>
      <c r="AD53" s="216"/>
      <c r="AE53" s="9"/>
      <c r="AG53" s="141">
        <v>46062</v>
      </c>
      <c r="AH53" s="11">
        <v>308670</v>
      </c>
      <c r="AI53" s="11">
        <v>1400</v>
      </c>
      <c r="AJ53" s="11">
        <v>287463</v>
      </c>
      <c r="AK53" s="11"/>
      <c r="AL53" s="11"/>
      <c r="AM53" s="11"/>
      <c r="AN53" s="11">
        <v>288863</v>
      </c>
      <c r="AO53" s="11">
        <v>288863</v>
      </c>
      <c r="AP53" s="38" t="s">
        <v>342</v>
      </c>
      <c r="AQ53" s="38" t="s">
        <v>343</v>
      </c>
      <c r="AR53" s="72">
        <v>306292889</v>
      </c>
      <c r="AS53" s="9"/>
      <c r="AT53" s="216"/>
      <c r="AU53" s="214"/>
      <c r="BG53" s="9"/>
      <c r="BI53" s="141">
        <v>46062</v>
      </c>
      <c r="BJ53" s="11">
        <v>201215</v>
      </c>
      <c r="BK53" s="11">
        <v>750</v>
      </c>
      <c r="BL53" s="11">
        <v>191345</v>
      </c>
      <c r="BM53" s="11"/>
      <c r="BN53" s="11"/>
      <c r="BO53" s="11"/>
      <c r="BP53" s="11">
        <v>192095</v>
      </c>
      <c r="BQ53" s="11">
        <v>192095</v>
      </c>
      <c r="BR53" s="38" t="s">
        <v>344</v>
      </c>
      <c r="BS53" s="38">
        <v>1016</v>
      </c>
      <c r="BT53" s="72">
        <v>171144672</v>
      </c>
      <c r="BU53" s="9"/>
      <c r="BV53" s="216"/>
      <c r="BW53" s="214"/>
      <c r="BY53" s="267">
        <v>1517080</v>
      </c>
      <c r="CI53" s="9"/>
    </row>
    <row r="54" spans="1:87" ht="14.25" customHeight="1">
      <c r="A54" s="141">
        <v>46063</v>
      </c>
      <c r="B54" s="11">
        <v>395055</v>
      </c>
      <c r="C54" s="11">
        <v>650</v>
      </c>
      <c r="D54" s="11">
        <v>371385</v>
      </c>
      <c r="E54" s="11"/>
      <c r="F54" s="11"/>
      <c r="G54" s="11"/>
      <c r="H54" s="11">
        <v>372035</v>
      </c>
      <c r="I54" s="11">
        <v>372035</v>
      </c>
      <c r="J54" s="38" t="s">
        <v>345</v>
      </c>
      <c r="K54" s="38" t="s">
        <v>346</v>
      </c>
      <c r="L54" s="72">
        <v>136172659</v>
      </c>
      <c r="M54" s="9"/>
      <c r="N54" s="216"/>
      <c r="O54" s="214"/>
      <c r="Q54" s="141">
        <v>46063</v>
      </c>
      <c r="R54" s="11">
        <v>634445</v>
      </c>
      <c r="S54" s="11">
        <v>3250</v>
      </c>
      <c r="T54" s="11">
        <v>581750</v>
      </c>
      <c r="U54" s="11"/>
      <c r="V54" s="11"/>
      <c r="W54" s="11"/>
      <c r="X54" s="11">
        <v>585000</v>
      </c>
      <c r="Y54" s="11">
        <v>585000</v>
      </c>
      <c r="Z54" s="489" t="s">
        <v>347</v>
      </c>
      <c r="AA54" s="38" t="s">
        <v>348</v>
      </c>
      <c r="AB54" s="72">
        <v>168316205</v>
      </c>
      <c r="AC54" s="9"/>
      <c r="AD54" s="216"/>
      <c r="AE54" s="9"/>
      <c r="AG54" s="141">
        <v>46063</v>
      </c>
      <c r="AH54" s="11">
        <v>457730</v>
      </c>
      <c r="AI54" s="11">
        <v>1940</v>
      </c>
      <c r="AJ54" s="11">
        <v>434205</v>
      </c>
      <c r="AK54" s="11"/>
      <c r="AL54" s="11"/>
      <c r="AM54" s="11"/>
      <c r="AN54" s="11">
        <v>436145</v>
      </c>
      <c r="AO54" s="11">
        <v>436145</v>
      </c>
      <c r="AP54" s="38" t="s">
        <v>349</v>
      </c>
      <c r="AQ54" s="38" t="s">
        <v>350</v>
      </c>
      <c r="AR54" s="72">
        <v>306729034</v>
      </c>
      <c r="AS54" s="9"/>
      <c r="AT54" s="216"/>
      <c r="AU54" s="214"/>
      <c r="BG54" s="9"/>
      <c r="BI54" s="141">
        <v>46063</v>
      </c>
      <c r="BJ54" s="11">
        <v>219930</v>
      </c>
      <c r="BK54" s="11">
        <v>800</v>
      </c>
      <c r="BL54" s="11">
        <v>217745</v>
      </c>
      <c r="BM54" s="11">
        <v>50</v>
      </c>
      <c r="BN54" s="11"/>
      <c r="BO54" s="11"/>
      <c r="BP54" s="11">
        <v>218595</v>
      </c>
      <c r="BQ54" s="11">
        <v>218595</v>
      </c>
      <c r="BR54" s="38" t="s">
        <v>351</v>
      </c>
      <c r="BS54" s="38">
        <v>1017</v>
      </c>
      <c r="BT54" s="72">
        <v>171363267</v>
      </c>
      <c r="BU54" s="9"/>
      <c r="BV54" s="216"/>
      <c r="BW54" s="214"/>
      <c r="BY54" s="267">
        <f>IF('[2]2026 február'!B$11=0,
    "",
    '[2]2026 február'!B$11
)</f>
        <v>1707160</v>
      </c>
      <c r="CI54" s="9"/>
    </row>
    <row r="55" spans="1:87" ht="14.25" customHeight="1">
      <c r="A55" s="141">
        <v>46064</v>
      </c>
      <c r="B55" s="11">
        <v>451530</v>
      </c>
      <c r="C55" s="11">
        <v>490</v>
      </c>
      <c r="D55" s="11">
        <v>423420</v>
      </c>
      <c r="E55" s="11"/>
      <c r="F55" s="11"/>
      <c r="G55" s="11"/>
      <c r="H55" s="11">
        <v>423910</v>
      </c>
      <c r="I55" s="11">
        <v>423910</v>
      </c>
      <c r="J55" s="38" t="s">
        <v>352</v>
      </c>
      <c r="K55" s="38" t="s">
        <v>353</v>
      </c>
      <c r="L55" s="72">
        <v>136595569</v>
      </c>
      <c r="M55" s="9"/>
      <c r="N55" s="216"/>
      <c r="O55" s="214"/>
      <c r="Q55" s="141">
        <v>46064</v>
      </c>
      <c r="R55" s="11">
        <v>712475</v>
      </c>
      <c r="S55" s="11">
        <v>4290</v>
      </c>
      <c r="T55" s="11">
        <v>645290</v>
      </c>
      <c r="U55" s="11"/>
      <c r="V55" s="11"/>
      <c r="W55" s="11"/>
      <c r="X55" s="11">
        <v>649580</v>
      </c>
      <c r="Y55" s="11">
        <v>649580</v>
      </c>
      <c r="Z55" s="489" t="s">
        <v>354</v>
      </c>
      <c r="AA55" s="38" t="s">
        <v>355</v>
      </c>
      <c r="AB55" s="72">
        <v>168965785</v>
      </c>
      <c r="AC55" s="9"/>
      <c r="AD55" s="216"/>
      <c r="AE55" s="9"/>
      <c r="AG55" s="141">
        <v>46064</v>
      </c>
      <c r="AH55" s="11">
        <v>431800</v>
      </c>
      <c r="AI55" s="11">
        <v>1200</v>
      </c>
      <c r="AJ55" s="11">
        <v>412473</v>
      </c>
      <c r="AK55" s="11"/>
      <c r="AL55" s="11"/>
      <c r="AM55" s="11"/>
      <c r="AN55" s="11">
        <v>413673</v>
      </c>
      <c r="AO55" s="11">
        <v>413673</v>
      </c>
      <c r="AP55" s="38" t="s">
        <v>356</v>
      </c>
      <c r="AQ55" s="38" t="s">
        <v>357</v>
      </c>
      <c r="AR55" s="72">
        <v>307142707</v>
      </c>
      <c r="AS55" s="9"/>
      <c r="AT55" s="216"/>
      <c r="AU55" s="214"/>
      <c r="BG55" s="9"/>
      <c r="BI55" s="141">
        <v>46064</v>
      </c>
      <c r="BJ55" s="11">
        <v>258745</v>
      </c>
      <c r="BK55" s="11">
        <v>500</v>
      </c>
      <c r="BL55" s="11">
        <v>260225</v>
      </c>
      <c r="BM55" s="11"/>
      <c r="BN55" s="11"/>
      <c r="BO55" s="11"/>
      <c r="BP55" s="11">
        <v>260725</v>
      </c>
      <c r="BQ55" s="11">
        <v>260725</v>
      </c>
      <c r="BR55" s="38" t="s">
        <v>358</v>
      </c>
      <c r="BS55" s="38">
        <v>1018</v>
      </c>
      <c r="BT55" s="72">
        <v>171623992</v>
      </c>
      <c r="BU55" s="9"/>
      <c r="BV55" s="216"/>
      <c r="BW55" s="214"/>
      <c r="BY55" s="267">
        <v>1854550</v>
      </c>
      <c r="CI55" s="9"/>
    </row>
    <row r="56" spans="1:87" ht="14.25" customHeight="1">
      <c r="A56" s="141">
        <v>46065</v>
      </c>
      <c r="B56" s="11">
        <v>492780</v>
      </c>
      <c r="C56" s="11">
        <v>750</v>
      </c>
      <c r="D56" s="11">
        <v>459440</v>
      </c>
      <c r="E56" s="11"/>
      <c r="F56" s="11"/>
      <c r="G56" s="11"/>
      <c r="H56" s="11">
        <v>460190</v>
      </c>
      <c r="I56" s="11">
        <v>460190</v>
      </c>
      <c r="J56" s="38" t="s">
        <v>359</v>
      </c>
      <c r="K56" s="38" t="s">
        <v>360</v>
      </c>
      <c r="L56" s="72">
        <v>137056759</v>
      </c>
      <c r="M56" s="378"/>
      <c r="N56" s="216"/>
      <c r="O56" s="214"/>
      <c r="Q56" s="141">
        <v>46065</v>
      </c>
      <c r="R56" s="11">
        <v>583560</v>
      </c>
      <c r="S56" s="11">
        <v>2950</v>
      </c>
      <c r="T56" s="11">
        <v>539371</v>
      </c>
      <c r="U56" s="11"/>
      <c r="V56" s="11"/>
      <c r="W56" s="11"/>
      <c r="X56" s="11">
        <v>542321</v>
      </c>
      <c r="Y56" s="11">
        <v>542321</v>
      </c>
      <c r="Z56" s="489" t="s">
        <v>361</v>
      </c>
      <c r="AA56" s="38" t="s">
        <v>362</v>
      </c>
      <c r="AB56" s="72">
        <v>169508106</v>
      </c>
      <c r="AC56" s="378"/>
      <c r="AD56" s="216"/>
      <c r="AE56" s="9"/>
      <c r="AG56" s="141">
        <v>46065</v>
      </c>
      <c r="AH56" s="11">
        <v>403330</v>
      </c>
      <c r="AI56" s="11">
        <v>1800</v>
      </c>
      <c r="AJ56" s="11">
        <v>379135</v>
      </c>
      <c r="AK56" s="11"/>
      <c r="AL56" s="11"/>
      <c r="AM56" s="11"/>
      <c r="AN56" s="11">
        <v>380935</v>
      </c>
      <c r="AO56" s="11">
        <v>380935</v>
      </c>
      <c r="AP56" s="38" t="s">
        <v>363</v>
      </c>
      <c r="AQ56" s="38" t="s">
        <v>364</v>
      </c>
      <c r="AR56" s="72">
        <v>307523642</v>
      </c>
      <c r="AS56" s="378"/>
      <c r="AT56" s="216"/>
      <c r="AU56" s="214"/>
      <c r="BG56" s="9"/>
      <c r="BI56" s="141">
        <v>46065</v>
      </c>
      <c r="BJ56" s="11">
        <v>326000</v>
      </c>
      <c r="BK56" s="11">
        <v>750</v>
      </c>
      <c r="BL56" s="11">
        <v>308465</v>
      </c>
      <c r="BM56" s="11"/>
      <c r="BN56" s="11"/>
      <c r="BO56" s="11"/>
      <c r="BP56" s="11">
        <v>309215</v>
      </c>
      <c r="BQ56" s="11">
        <v>309215</v>
      </c>
      <c r="BR56" s="38" t="s">
        <v>365</v>
      </c>
      <c r="BS56" s="38" t="s">
        <v>167</v>
      </c>
      <c r="BT56" s="72">
        <v>171933207</v>
      </c>
      <c r="BU56" s="378"/>
      <c r="BV56" s="216"/>
      <c r="BW56" s="214"/>
      <c r="BY56" s="267">
        <f>IF('[2]2026 február'!B$13=0,
    "",
    '[2]2026 február'!B$13
)</f>
        <v>1805670</v>
      </c>
      <c r="CI56" s="9"/>
    </row>
    <row r="57" spans="1:87" ht="14.25" customHeight="1">
      <c r="A57" s="141">
        <v>46066</v>
      </c>
      <c r="B57" s="11">
        <v>476390</v>
      </c>
      <c r="C57" s="11">
        <v>1100</v>
      </c>
      <c r="D57" s="11">
        <v>438250</v>
      </c>
      <c r="E57" s="11"/>
      <c r="F57" s="11"/>
      <c r="G57" s="11"/>
      <c r="H57" s="11">
        <v>439350</v>
      </c>
      <c r="I57" s="11">
        <v>439350</v>
      </c>
      <c r="J57" s="38" t="s">
        <v>366</v>
      </c>
      <c r="K57" s="38" t="s">
        <v>367</v>
      </c>
      <c r="L57" s="72">
        <v>137496109</v>
      </c>
      <c r="M57" s="9"/>
      <c r="N57" s="216"/>
      <c r="O57" s="214"/>
      <c r="Q57" s="141">
        <v>46066</v>
      </c>
      <c r="R57" s="11">
        <v>379180</v>
      </c>
      <c r="S57" s="11">
        <v>2120</v>
      </c>
      <c r="T57" s="11">
        <v>353750</v>
      </c>
      <c r="U57" s="11"/>
      <c r="V57" s="11"/>
      <c r="W57" s="11"/>
      <c r="X57" s="11">
        <v>355870</v>
      </c>
      <c r="Y57" s="11">
        <v>355870</v>
      </c>
      <c r="Z57" s="489" t="s">
        <v>368</v>
      </c>
      <c r="AA57" s="38" t="s">
        <v>369</v>
      </c>
      <c r="AB57" s="72">
        <v>169863976</v>
      </c>
      <c r="AC57" s="9"/>
      <c r="AD57" s="216"/>
      <c r="AE57" s="9"/>
      <c r="AG57" s="141">
        <v>46066</v>
      </c>
      <c r="AH57" s="11">
        <v>400980</v>
      </c>
      <c r="AI57" s="11">
        <v>2300</v>
      </c>
      <c r="AJ57" s="11">
        <v>369621</v>
      </c>
      <c r="AK57" s="11"/>
      <c r="AL57" s="11">
        <v>1860</v>
      </c>
      <c r="AM57" s="11"/>
      <c r="AN57" s="11">
        <v>373781</v>
      </c>
      <c r="AO57" s="11">
        <v>373781</v>
      </c>
      <c r="AP57" s="38" t="s">
        <v>370</v>
      </c>
      <c r="AQ57" s="38" t="s">
        <v>371</v>
      </c>
      <c r="AR57" s="72">
        <v>307897423</v>
      </c>
      <c r="AS57" s="9"/>
      <c r="AT57" s="216"/>
      <c r="AU57" s="214"/>
      <c r="BG57" s="9"/>
      <c r="BI57" s="141">
        <v>46066</v>
      </c>
      <c r="BJ57" s="11">
        <v>149840</v>
      </c>
      <c r="BK57" s="11">
        <v>400</v>
      </c>
      <c r="BL57" s="11">
        <v>142950</v>
      </c>
      <c r="BM57" s="11"/>
      <c r="BN57" s="11"/>
      <c r="BO57" s="11"/>
      <c r="BP57" s="11">
        <v>143350</v>
      </c>
      <c r="BQ57" s="11">
        <v>143350</v>
      </c>
      <c r="BR57" s="38" t="s">
        <v>372</v>
      </c>
      <c r="BS57" s="38" t="s">
        <v>128</v>
      </c>
      <c r="BT57" s="72">
        <v>172076557</v>
      </c>
      <c r="BU57" s="9"/>
      <c r="BV57" s="216"/>
      <c r="BW57" s="214"/>
      <c r="BY57" s="267">
        <v>1406390</v>
      </c>
      <c r="CI57" s="9"/>
    </row>
    <row r="58" spans="1:87" ht="14.25" customHeight="1">
      <c r="A58" s="141">
        <v>46067</v>
      </c>
      <c r="B58" s="142"/>
      <c r="C58" s="142"/>
      <c r="D58" s="142"/>
      <c r="E58" s="142"/>
      <c r="F58" s="142"/>
      <c r="G58" s="142"/>
      <c r="H58" s="142"/>
      <c r="I58" s="142"/>
      <c r="J58" s="143"/>
      <c r="K58" s="143"/>
      <c r="L58" s="146"/>
      <c r="M58" s="158"/>
      <c r="N58" s="381"/>
      <c r="O58" s="217"/>
      <c r="Q58" s="141">
        <v>46067</v>
      </c>
      <c r="R58" s="142"/>
      <c r="S58" s="142"/>
      <c r="T58" s="142"/>
      <c r="U58" s="142"/>
      <c r="V58" s="142"/>
      <c r="W58" s="142"/>
      <c r="X58" s="142"/>
      <c r="Y58" s="142"/>
      <c r="Z58" s="490"/>
      <c r="AA58" s="143"/>
      <c r="AB58" s="249"/>
      <c r="AC58" s="158"/>
      <c r="AD58" s="381"/>
      <c r="AE58" s="158"/>
      <c r="AG58" s="141">
        <v>46067</v>
      </c>
      <c r="AH58" s="142"/>
      <c r="AI58" s="142"/>
      <c r="AJ58" s="142"/>
      <c r="AK58" s="142"/>
      <c r="AL58" s="142"/>
      <c r="AM58" s="142"/>
      <c r="AN58" s="142"/>
      <c r="AO58" s="142"/>
      <c r="AP58" s="143"/>
      <c r="AQ58" s="143"/>
      <c r="AR58" s="146"/>
      <c r="AS58" s="158"/>
      <c r="AT58" s="381"/>
      <c r="AU58" s="217"/>
      <c r="BG58" s="158"/>
      <c r="BI58" s="141">
        <v>46067</v>
      </c>
      <c r="BJ58" s="142"/>
      <c r="BK58" s="142"/>
      <c r="BL58" s="142"/>
      <c r="BM58" s="142"/>
      <c r="BN58" s="142"/>
      <c r="BO58" s="142"/>
      <c r="BP58" s="142"/>
      <c r="BQ58" s="142"/>
      <c r="BR58" s="143"/>
      <c r="BS58" s="143"/>
      <c r="BT58" s="249"/>
      <c r="BU58" s="158"/>
      <c r="BV58" s="381"/>
      <c r="BW58" s="217"/>
      <c r="BY58" s="267" t="str">
        <f>IF('[2]2026 február'!B$15=0,
    "",
    '[2]2026 február'!B$15
)</f>
        <v/>
      </c>
      <c r="CI58" s="158"/>
    </row>
    <row r="59" spans="1:87" ht="14.25" customHeight="1">
      <c r="A59" s="141">
        <v>46068</v>
      </c>
      <c r="B59" s="142"/>
      <c r="C59" s="142"/>
      <c r="D59" s="142"/>
      <c r="E59" s="142"/>
      <c r="F59" s="142"/>
      <c r="G59" s="142"/>
      <c r="H59" s="142"/>
      <c r="I59" s="142"/>
      <c r="J59" s="143"/>
      <c r="K59" s="143"/>
      <c r="L59" s="146"/>
      <c r="M59" s="158"/>
      <c r="N59" s="381"/>
      <c r="O59" s="217"/>
      <c r="Q59" s="141">
        <v>46068</v>
      </c>
      <c r="R59" s="142"/>
      <c r="S59" s="142"/>
      <c r="T59" s="142"/>
      <c r="U59" s="142"/>
      <c r="V59" s="142"/>
      <c r="W59" s="142"/>
      <c r="X59" s="142"/>
      <c r="Y59" s="142"/>
      <c r="Z59" s="490"/>
      <c r="AA59" s="143"/>
      <c r="AB59" s="249"/>
      <c r="AC59" s="158"/>
      <c r="AD59" s="381"/>
      <c r="AE59" s="158"/>
      <c r="AG59" s="141">
        <v>46068</v>
      </c>
      <c r="AH59" s="142"/>
      <c r="AI59" s="142"/>
      <c r="AJ59" s="142"/>
      <c r="AK59" s="142"/>
      <c r="AL59" s="142"/>
      <c r="AM59" s="142"/>
      <c r="AN59" s="142"/>
      <c r="AO59" s="142"/>
      <c r="AP59" s="143"/>
      <c r="AQ59" s="143"/>
      <c r="AR59" s="146"/>
      <c r="AS59" s="158"/>
      <c r="AT59" s="381"/>
      <c r="AU59" s="217"/>
      <c r="BG59" s="158"/>
      <c r="BI59" s="141">
        <v>46068</v>
      </c>
      <c r="BJ59" s="142"/>
      <c r="BK59" s="142"/>
      <c r="BL59" s="142"/>
      <c r="BM59" s="142"/>
      <c r="BN59" s="142"/>
      <c r="BO59" s="142"/>
      <c r="BP59" s="142"/>
      <c r="BQ59" s="142"/>
      <c r="BR59" s="143"/>
      <c r="BS59" s="143"/>
      <c r="BT59" s="249"/>
      <c r="BU59" s="158"/>
      <c r="BV59" s="381"/>
      <c r="BW59" s="217"/>
      <c r="BY59" s="267" t="str">
        <f>IF('[2]2026 február'!B$16=0,
    "",
    '[2]2026 február'!B$16
)</f>
        <v/>
      </c>
      <c r="CI59" s="158"/>
    </row>
    <row r="60" spans="1:87" ht="14.25" customHeight="1">
      <c r="A60" s="141">
        <v>46069</v>
      </c>
      <c r="B60" s="11">
        <v>449970</v>
      </c>
      <c r="C60" s="11">
        <v>1250</v>
      </c>
      <c r="D60" s="11">
        <v>413970</v>
      </c>
      <c r="E60" s="11"/>
      <c r="F60" s="11"/>
      <c r="G60" s="11"/>
      <c r="H60" s="11">
        <v>415220</v>
      </c>
      <c r="I60" s="11">
        <v>415220</v>
      </c>
      <c r="J60" s="38" t="s">
        <v>373</v>
      </c>
      <c r="K60" s="38" t="s">
        <v>374</v>
      </c>
      <c r="L60" s="72">
        <v>147911329</v>
      </c>
      <c r="M60" s="9"/>
      <c r="N60" s="216"/>
      <c r="O60" s="214"/>
      <c r="Q60" s="141">
        <v>46069</v>
      </c>
      <c r="R60" s="11">
        <v>646910</v>
      </c>
      <c r="S60" s="11">
        <v>2650</v>
      </c>
      <c r="T60" s="11">
        <v>606325</v>
      </c>
      <c r="U60" s="11"/>
      <c r="V60" s="11"/>
      <c r="W60" s="11"/>
      <c r="X60" s="11">
        <v>608975</v>
      </c>
      <c r="Y60" s="11">
        <v>608975</v>
      </c>
      <c r="Z60" s="489" t="s">
        <v>375</v>
      </c>
      <c r="AA60" s="38" t="s">
        <v>376</v>
      </c>
      <c r="AB60" s="72">
        <v>170472951</v>
      </c>
      <c r="AC60" s="9"/>
      <c r="AD60" s="216"/>
      <c r="AE60" s="9"/>
      <c r="AG60" s="141">
        <v>46069</v>
      </c>
      <c r="AH60" s="11">
        <v>467460</v>
      </c>
      <c r="AI60" s="11">
        <v>2250</v>
      </c>
      <c r="AJ60" s="11">
        <v>430790</v>
      </c>
      <c r="AK60" s="11"/>
      <c r="AL60" s="11"/>
      <c r="AM60" s="11"/>
      <c r="AN60" s="11">
        <v>433040</v>
      </c>
      <c r="AO60" s="11">
        <v>433040</v>
      </c>
      <c r="AP60" s="38" t="s">
        <v>377</v>
      </c>
      <c r="AQ60" s="38" t="s">
        <v>378</v>
      </c>
      <c r="AR60" s="72">
        <v>308330463</v>
      </c>
      <c r="AS60" s="9"/>
      <c r="AT60" s="216"/>
      <c r="AU60" s="214"/>
      <c r="BG60" s="9"/>
      <c r="BI60" s="141">
        <v>46069</v>
      </c>
      <c r="BJ60" s="11">
        <v>30085</v>
      </c>
      <c r="BK60" s="11">
        <v>50</v>
      </c>
      <c r="BL60" s="11">
        <v>30035</v>
      </c>
      <c r="BM60" s="11"/>
      <c r="BN60" s="11"/>
      <c r="BO60" s="11"/>
      <c r="BP60" s="11">
        <v>30085</v>
      </c>
      <c r="BQ60" s="11">
        <v>30085</v>
      </c>
      <c r="BR60" s="38" t="s">
        <v>312</v>
      </c>
      <c r="BS60" s="38" t="s">
        <v>168</v>
      </c>
      <c r="BT60" s="72">
        <v>172106642</v>
      </c>
      <c r="BU60" s="9"/>
      <c r="BV60" s="216"/>
      <c r="BW60" s="214"/>
      <c r="BY60" s="267">
        <f>IF('[2]2026 február'!B$17=0,
    "",
    '[2]2026 február'!B$17
)</f>
        <v>1594425</v>
      </c>
      <c r="CI60" s="9"/>
    </row>
    <row r="61" spans="1:87" ht="14.25" customHeight="1">
      <c r="A61" s="141">
        <v>46070</v>
      </c>
      <c r="B61" s="11">
        <v>495460</v>
      </c>
      <c r="C61" s="11">
        <v>1350</v>
      </c>
      <c r="D61" s="11">
        <v>472675</v>
      </c>
      <c r="E61" s="11"/>
      <c r="F61" s="11">
        <v>450</v>
      </c>
      <c r="G61" s="11"/>
      <c r="H61" s="11">
        <v>474475</v>
      </c>
      <c r="I61" s="11">
        <v>474475</v>
      </c>
      <c r="J61" s="38" t="s">
        <v>378</v>
      </c>
      <c r="K61" s="38" t="s">
        <v>379</v>
      </c>
      <c r="L61" s="72">
        <v>138385804</v>
      </c>
      <c r="M61" s="9"/>
      <c r="N61" s="216"/>
      <c r="O61" s="214"/>
      <c r="Q61" s="141">
        <v>46070</v>
      </c>
      <c r="R61" s="11">
        <v>670510</v>
      </c>
      <c r="S61" s="11">
        <v>3200</v>
      </c>
      <c r="T61" s="11">
        <v>634570</v>
      </c>
      <c r="U61" s="11"/>
      <c r="V61" s="11"/>
      <c r="W61" s="11"/>
      <c r="X61" s="11">
        <v>637770</v>
      </c>
      <c r="Y61" s="11">
        <v>637770</v>
      </c>
      <c r="Z61" s="489" t="s">
        <v>380</v>
      </c>
      <c r="AA61" s="38" t="s">
        <v>381</v>
      </c>
      <c r="AB61" s="72">
        <v>171110721</v>
      </c>
      <c r="AC61" s="9"/>
      <c r="AD61" s="216"/>
      <c r="AE61" s="9"/>
      <c r="AG61" s="141">
        <v>46070</v>
      </c>
      <c r="AH61" s="11"/>
      <c r="AI61" s="11">
        <v>0</v>
      </c>
      <c r="AJ61" s="11">
        <v>0</v>
      </c>
      <c r="AK61" s="11"/>
      <c r="AL61" s="11"/>
      <c r="AM61" s="11"/>
      <c r="AN61" s="11"/>
      <c r="AO61" s="11"/>
      <c r="AP61" s="38"/>
      <c r="AQ61" s="38" t="s">
        <v>382</v>
      </c>
      <c r="AR61" s="72">
        <v>308330463</v>
      </c>
      <c r="AS61" s="9"/>
      <c r="AT61" s="216"/>
      <c r="AU61" s="214"/>
      <c r="BG61" s="9"/>
      <c r="BI61" s="141">
        <v>46070</v>
      </c>
      <c r="BJ61" s="11">
        <v>290270</v>
      </c>
      <c r="BK61" s="11">
        <v>1800</v>
      </c>
      <c r="BL61" s="11">
        <v>274225</v>
      </c>
      <c r="BM61" s="11"/>
      <c r="BN61" s="11"/>
      <c r="BO61" s="11"/>
      <c r="BP61" s="11">
        <v>276025</v>
      </c>
      <c r="BQ61" s="11">
        <v>276025</v>
      </c>
      <c r="BR61" s="38" t="s">
        <v>383</v>
      </c>
      <c r="BS61" s="38" t="s">
        <v>169</v>
      </c>
      <c r="BT61" s="72">
        <v>172382667</v>
      </c>
      <c r="BU61" s="9"/>
      <c r="BV61" s="216"/>
      <c r="BW61" s="214"/>
      <c r="BY61" s="267">
        <v>1858150</v>
      </c>
      <c r="CI61" s="9"/>
    </row>
    <row r="62" spans="1:87" ht="14.25" customHeight="1">
      <c r="A62" s="141">
        <v>46071</v>
      </c>
      <c r="B62" s="11">
        <v>522820</v>
      </c>
      <c r="C62" s="11">
        <v>1200</v>
      </c>
      <c r="D62" s="11">
        <v>498285</v>
      </c>
      <c r="E62" s="11"/>
      <c r="F62" s="11">
        <v>1890</v>
      </c>
      <c r="G62" s="11"/>
      <c r="H62" s="11">
        <v>501375</v>
      </c>
      <c r="I62" s="11">
        <v>501375</v>
      </c>
      <c r="J62" s="38" t="s">
        <v>384</v>
      </c>
      <c r="K62" s="38" t="s">
        <v>385</v>
      </c>
      <c r="L62" s="72">
        <v>138887179</v>
      </c>
      <c r="M62" s="9"/>
      <c r="N62" s="216"/>
      <c r="O62" s="214"/>
      <c r="Q62" s="141">
        <v>46071</v>
      </c>
      <c r="R62" s="11">
        <v>548890</v>
      </c>
      <c r="S62" s="11">
        <v>2050</v>
      </c>
      <c r="T62" s="11">
        <v>503065</v>
      </c>
      <c r="U62" s="11"/>
      <c r="V62" s="11"/>
      <c r="W62" s="11"/>
      <c r="X62" s="11">
        <v>505115</v>
      </c>
      <c r="Y62" s="11">
        <v>505115</v>
      </c>
      <c r="Z62" s="489" t="s">
        <v>386</v>
      </c>
      <c r="AA62" s="38" t="s">
        <v>387</v>
      </c>
      <c r="AB62" s="72">
        <v>171615836</v>
      </c>
      <c r="AC62" s="9"/>
      <c r="AD62" s="216"/>
      <c r="AE62" s="9"/>
      <c r="AG62" s="141">
        <v>46070</v>
      </c>
      <c r="AH62" s="11">
        <v>401910</v>
      </c>
      <c r="AI62" s="11">
        <v>1200</v>
      </c>
      <c r="AJ62" s="11">
        <v>368490</v>
      </c>
      <c r="AK62" s="11"/>
      <c r="AL62" s="11">
        <v>2660</v>
      </c>
      <c r="AM62" s="11"/>
      <c r="AN62" s="11">
        <v>372350</v>
      </c>
      <c r="AO62" s="11">
        <v>372350</v>
      </c>
      <c r="AP62" s="38" t="s">
        <v>388</v>
      </c>
      <c r="AQ62" s="38" t="s">
        <v>389</v>
      </c>
      <c r="AR62" s="72">
        <v>308702813</v>
      </c>
      <c r="AS62" s="9"/>
      <c r="AT62" s="216"/>
      <c r="AU62" s="214"/>
      <c r="BG62" s="9"/>
      <c r="BI62" s="141">
        <v>46071</v>
      </c>
      <c r="BJ62" s="11">
        <v>221625</v>
      </c>
      <c r="BK62" s="11">
        <v>650</v>
      </c>
      <c r="BL62" s="11">
        <v>214785</v>
      </c>
      <c r="BM62" s="11"/>
      <c r="BN62" s="11"/>
      <c r="BO62" s="11"/>
      <c r="BP62" s="11">
        <v>215435</v>
      </c>
      <c r="BQ62" s="11">
        <v>215435</v>
      </c>
      <c r="BR62" s="38" t="s">
        <v>390</v>
      </c>
      <c r="BS62" s="38" t="s">
        <v>170</v>
      </c>
      <c r="BT62" s="72">
        <v>172598102</v>
      </c>
      <c r="BU62" s="9"/>
      <c r="BV62" s="216"/>
      <c r="BW62" s="214"/>
      <c r="BY62" s="267">
        <f>IF('[2]2026 február'!B$19=0,
    "",
    '[2]2026 február'!B$19
)</f>
        <v>1703220</v>
      </c>
      <c r="CI62" s="9"/>
    </row>
    <row r="63" spans="1:87" ht="14.25" customHeight="1">
      <c r="A63" s="141">
        <v>46072</v>
      </c>
      <c r="B63" s="11">
        <v>417690</v>
      </c>
      <c r="C63" s="11">
        <v>350</v>
      </c>
      <c r="D63" s="11">
        <v>397813</v>
      </c>
      <c r="E63" s="11">
        <v>50</v>
      </c>
      <c r="F63" s="11"/>
      <c r="G63" s="11"/>
      <c r="H63" s="11">
        <v>398213</v>
      </c>
      <c r="I63" s="11">
        <v>398213</v>
      </c>
      <c r="J63" s="38" t="s">
        <v>391</v>
      </c>
      <c r="K63" s="38" t="s">
        <v>392</v>
      </c>
      <c r="L63" s="72">
        <v>139285392</v>
      </c>
      <c r="M63" s="9"/>
      <c r="N63" s="216"/>
      <c r="O63" s="214"/>
      <c r="Q63" s="141">
        <v>46072</v>
      </c>
      <c r="R63" s="11">
        <v>636620</v>
      </c>
      <c r="S63" s="11">
        <v>2850</v>
      </c>
      <c r="T63" s="11">
        <v>571430</v>
      </c>
      <c r="U63" s="11"/>
      <c r="V63" s="11"/>
      <c r="W63" s="11"/>
      <c r="X63" s="11">
        <v>574280</v>
      </c>
      <c r="Y63" s="11">
        <v>574280</v>
      </c>
      <c r="Z63" s="489" t="s">
        <v>393</v>
      </c>
      <c r="AA63" s="38" t="s">
        <v>394</v>
      </c>
      <c r="AB63" s="72">
        <v>172190116</v>
      </c>
      <c r="AC63" s="9"/>
      <c r="AD63" s="216"/>
      <c r="AE63" s="9"/>
      <c r="AG63" s="141">
        <v>46071</v>
      </c>
      <c r="AH63" s="11">
        <v>409885</v>
      </c>
      <c r="AI63" s="11">
        <v>1350</v>
      </c>
      <c r="AJ63" s="11">
        <v>386158</v>
      </c>
      <c r="AK63" s="11"/>
      <c r="AL63" s="11"/>
      <c r="AM63" s="11"/>
      <c r="AN63" s="11">
        <v>387508</v>
      </c>
      <c r="AO63" s="11">
        <v>387508</v>
      </c>
      <c r="AP63" s="38" t="s">
        <v>395</v>
      </c>
      <c r="AQ63" s="38" t="s">
        <v>396</v>
      </c>
      <c r="AR63" s="72">
        <v>309090321</v>
      </c>
      <c r="AS63" s="9"/>
      <c r="AT63" s="216"/>
      <c r="AU63" s="214"/>
      <c r="BG63" s="9"/>
      <c r="BI63" s="141">
        <v>46072</v>
      </c>
      <c r="BJ63" s="11">
        <v>208450</v>
      </c>
      <c r="BK63" s="11">
        <v>750</v>
      </c>
      <c r="BL63" s="11">
        <v>193115</v>
      </c>
      <c r="BM63" s="11"/>
      <c r="BN63" s="11"/>
      <c r="BO63" s="11"/>
      <c r="BP63" s="11">
        <v>193865</v>
      </c>
      <c r="BQ63" s="11">
        <v>193865</v>
      </c>
      <c r="BR63" s="38" t="s">
        <v>397</v>
      </c>
      <c r="BS63" s="38" t="s">
        <v>171</v>
      </c>
      <c r="BT63" s="72">
        <v>172791967</v>
      </c>
      <c r="BU63" s="9"/>
      <c r="BV63" s="216"/>
      <c r="BW63" s="214"/>
      <c r="BY63" s="267">
        <f>IF('[2]2026 február'!B$20=0,
    "",
    '[2]2026 február'!B$20
)</f>
        <v>1687250</v>
      </c>
      <c r="CI63" s="9"/>
    </row>
    <row r="64" spans="1:87" ht="14.25" customHeight="1">
      <c r="A64" s="141">
        <v>46073</v>
      </c>
      <c r="B64" s="11">
        <v>361980</v>
      </c>
      <c r="C64" s="11">
        <v>750</v>
      </c>
      <c r="D64" s="11">
        <v>329010</v>
      </c>
      <c r="E64" s="11"/>
      <c r="F64" s="11"/>
      <c r="G64" s="11"/>
      <c r="H64" s="11">
        <v>329760</v>
      </c>
      <c r="I64" s="11">
        <v>329760</v>
      </c>
      <c r="J64" s="38" t="s">
        <v>398</v>
      </c>
      <c r="K64" s="38" t="s">
        <v>399</v>
      </c>
      <c r="L64" s="72">
        <v>139615152</v>
      </c>
      <c r="M64" s="9"/>
      <c r="N64" s="216"/>
      <c r="O64" s="214"/>
      <c r="Q64" s="141">
        <v>46073</v>
      </c>
      <c r="R64" s="11">
        <v>611835</v>
      </c>
      <c r="S64" s="11">
        <v>3400</v>
      </c>
      <c r="T64" s="11">
        <v>560325</v>
      </c>
      <c r="U64" s="11"/>
      <c r="V64" s="11"/>
      <c r="W64" s="11"/>
      <c r="X64" s="11">
        <v>563725</v>
      </c>
      <c r="Y64" s="11">
        <v>563725</v>
      </c>
      <c r="Z64" s="489" t="s">
        <v>400</v>
      </c>
      <c r="AA64" s="38" t="s">
        <v>401</v>
      </c>
      <c r="AB64" s="72">
        <v>172753841</v>
      </c>
      <c r="AC64" s="9"/>
      <c r="AD64" s="216"/>
      <c r="AE64" s="9"/>
      <c r="AG64" s="141">
        <v>46072</v>
      </c>
      <c r="AH64" s="11">
        <v>424490</v>
      </c>
      <c r="AI64" s="11">
        <v>1650</v>
      </c>
      <c r="AJ64" s="11">
        <v>377411</v>
      </c>
      <c r="AK64" s="11"/>
      <c r="AL64" s="11"/>
      <c r="AM64" s="11"/>
      <c r="AN64" s="11">
        <v>379061</v>
      </c>
      <c r="AO64" s="11">
        <v>379061</v>
      </c>
      <c r="AP64" s="38" t="s">
        <v>402</v>
      </c>
      <c r="AQ64" s="38" t="s">
        <v>403</v>
      </c>
      <c r="AR64" s="72">
        <v>309469382</v>
      </c>
      <c r="AS64" s="9"/>
      <c r="AT64" s="216"/>
      <c r="AU64" s="214"/>
      <c r="BG64" s="9"/>
      <c r="BI64" s="141">
        <v>46073</v>
      </c>
      <c r="BJ64" s="11">
        <v>105515</v>
      </c>
      <c r="BK64" s="11">
        <v>400</v>
      </c>
      <c r="BL64" s="11">
        <v>103665</v>
      </c>
      <c r="BM64" s="11"/>
      <c r="BN64" s="11"/>
      <c r="BO64" s="11"/>
      <c r="BP64" s="11">
        <v>104065</v>
      </c>
      <c r="BQ64" s="11">
        <v>104065</v>
      </c>
      <c r="BR64" s="38" t="s">
        <v>404</v>
      </c>
      <c r="BS64" s="38" t="s">
        <v>172</v>
      </c>
      <c r="BT64" s="72">
        <v>172896032</v>
      </c>
      <c r="BU64" s="9"/>
      <c r="BV64" s="216"/>
      <c r="BW64" s="214"/>
      <c r="BY64" s="267">
        <f>IF('[2]2026 február'!B$21=0,
    "",
    '[2]2026 február'!B$21
)</f>
        <v>1451360</v>
      </c>
      <c r="CI64" s="9"/>
    </row>
    <row r="65" spans="1:87" ht="14.25" customHeight="1">
      <c r="A65" s="141">
        <v>46074</v>
      </c>
      <c r="B65" s="142"/>
      <c r="C65" s="142"/>
      <c r="D65" s="142"/>
      <c r="E65" s="142"/>
      <c r="F65" s="142"/>
      <c r="G65" s="142"/>
      <c r="H65" s="142"/>
      <c r="I65" s="142"/>
      <c r="J65" s="143"/>
      <c r="K65" s="143"/>
      <c r="L65" s="146"/>
      <c r="M65" s="158"/>
      <c r="N65" s="381"/>
      <c r="O65" s="217"/>
      <c r="Q65" s="141">
        <v>46074</v>
      </c>
      <c r="R65" s="142"/>
      <c r="S65" s="142"/>
      <c r="T65" s="142"/>
      <c r="U65" s="142"/>
      <c r="V65" s="142"/>
      <c r="W65" s="142"/>
      <c r="X65" s="142"/>
      <c r="Y65" s="142"/>
      <c r="Z65" s="490"/>
      <c r="AA65" s="143"/>
      <c r="AB65" s="249"/>
      <c r="AC65" s="158"/>
      <c r="AD65" s="381"/>
      <c r="AE65" s="158"/>
      <c r="AG65" s="141">
        <v>46073</v>
      </c>
      <c r="AH65" s="11">
        <v>372030</v>
      </c>
      <c r="AI65" s="11">
        <v>1750</v>
      </c>
      <c r="AJ65" s="11">
        <v>347460</v>
      </c>
      <c r="AK65" s="11"/>
      <c r="AL65" s="11"/>
      <c r="AM65" s="11"/>
      <c r="AN65" s="11">
        <v>349210</v>
      </c>
      <c r="AO65" s="11">
        <v>349210</v>
      </c>
      <c r="AP65" s="38" t="s">
        <v>405</v>
      </c>
      <c r="AQ65" s="38" t="s">
        <v>406</v>
      </c>
      <c r="AR65" s="72">
        <v>309818592</v>
      </c>
      <c r="AS65" s="9"/>
      <c r="AT65" s="216"/>
      <c r="AU65" s="214"/>
      <c r="BG65" s="9"/>
      <c r="BI65" s="141">
        <v>46074</v>
      </c>
      <c r="BJ65" s="142"/>
      <c r="BK65" s="142"/>
      <c r="BL65" s="142"/>
      <c r="BM65" s="142"/>
      <c r="BN65" s="142"/>
      <c r="BO65" s="142"/>
      <c r="BP65" s="142"/>
      <c r="BQ65" s="142"/>
      <c r="BR65" s="143"/>
      <c r="BS65" s="143"/>
      <c r="BT65" s="146"/>
      <c r="BU65" s="158"/>
      <c r="BV65" s="381"/>
      <c r="BW65" s="217"/>
      <c r="BY65" s="267" t="str">
        <f>IF('[2]2026 február'!B$22=0,
    "",
    '[2]2026 február'!B$22
)</f>
        <v/>
      </c>
      <c r="CI65" s="158"/>
    </row>
    <row r="66" spans="1:87" ht="14.25" customHeight="1">
      <c r="A66" s="141">
        <v>46075</v>
      </c>
      <c r="B66" s="142"/>
      <c r="C66" s="142"/>
      <c r="D66" s="142"/>
      <c r="E66" s="142"/>
      <c r="F66" s="142"/>
      <c r="G66" s="142"/>
      <c r="H66" s="142"/>
      <c r="I66" s="142"/>
      <c r="J66" s="143"/>
      <c r="K66" s="143"/>
      <c r="L66" s="146"/>
      <c r="M66" s="158"/>
      <c r="N66" s="381"/>
      <c r="O66" s="217"/>
      <c r="Q66" s="141">
        <v>46075</v>
      </c>
      <c r="R66" s="142"/>
      <c r="S66" s="142"/>
      <c r="T66" s="142"/>
      <c r="U66" s="142"/>
      <c r="V66" s="142"/>
      <c r="W66" s="142"/>
      <c r="X66" s="142"/>
      <c r="Y66" s="142"/>
      <c r="Z66" s="490"/>
      <c r="AA66" s="143"/>
      <c r="AB66" s="249"/>
      <c r="AC66" s="158"/>
      <c r="AD66" s="381"/>
      <c r="AE66" s="158"/>
      <c r="AG66" s="141">
        <v>46074</v>
      </c>
      <c r="AH66" s="142"/>
      <c r="AI66" s="142"/>
      <c r="AJ66" s="142"/>
      <c r="AK66" s="142"/>
      <c r="AL66" s="142"/>
      <c r="AM66" s="142"/>
      <c r="AN66" s="142"/>
      <c r="AO66" s="142"/>
      <c r="AP66" s="143"/>
      <c r="AQ66" s="143"/>
      <c r="AR66" s="146"/>
      <c r="AS66" s="158"/>
      <c r="AT66" s="381"/>
      <c r="AU66" s="217"/>
      <c r="BG66" s="158"/>
      <c r="BI66" s="141">
        <v>46075</v>
      </c>
      <c r="BJ66" s="142"/>
      <c r="BK66" s="142"/>
      <c r="BL66" s="142"/>
      <c r="BM66" s="142"/>
      <c r="BN66" s="142"/>
      <c r="BO66" s="142"/>
      <c r="BP66" s="142"/>
      <c r="BQ66" s="142"/>
      <c r="BR66" s="143"/>
      <c r="BS66" s="143"/>
      <c r="BT66" s="146"/>
      <c r="BU66" s="158"/>
      <c r="BV66" s="381"/>
      <c r="BW66" s="217"/>
      <c r="BY66" s="267" t="str">
        <f>IF('[2]2026 február'!B$23=0,
    "",
    '[2]2026 február'!B$23
)</f>
        <v/>
      </c>
      <c r="CI66" s="158"/>
    </row>
    <row r="67" spans="1:87" ht="14.25" customHeight="1">
      <c r="A67" s="141">
        <v>46076</v>
      </c>
      <c r="B67" s="11">
        <v>368925</v>
      </c>
      <c r="C67" s="11">
        <v>300</v>
      </c>
      <c r="D67" s="11">
        <v>317630</v>
      </c>
      <c r="E67" s="11"/>
      <c r="F67" s="11"/>
      <c r="G67" s="11"/>
      <c r="H67" s="11">
        <v>317930</v>
      </c>
      <c r="I67" s="11"/>
      <c r="J67" s="38"/>
      <c r="K67" s="38" t="s">
        <v>407</v>
      </c>
      <c r="L67" s="72">
        <v>139933082</v>
      </c>
      <c r="M67" s="9"/>
      <c r="N67" s="216"/>
      <c r="O67" s="214"/>
      <c r="Q67" s="141">
        <v>46076</v>
      </c>
      <c r="R67" s="11">
        <v>624530</v>
      </c>
      <c r="S67" s="11">
        <v>2700</v>
      </c>
      <c r="T67" s="11">
        <v>578915</v>
      </c>
      <c r="U67" s="11"/>
      <c r="V67" s="11"/>
      <c r="W67" s="11"/>
      <c r="X67" s="11">
        <v>581615</v>
      </c>
      <c r="Y67" s="11">
        <v>581615</v>
      </c>
      <c r="Z67" s="489" t="s">
        <v>408</v>
      </c>
      <c r="AA67" s="38" t="s">
        <v>409</v>
      </c>
      <c r="AB67" s="72">
        <v>173335456</v>
      </c>
      <c r="AC67" s="9"/>
      <c r="AD67" s="216"/>
      <c r="AE67" s="9"/>
      <c r="AG67" s="141">
        <v>46075</v>
      </c>
      <c r="AH67" s="142"/>
      <c r="AI67" s="142"/>
      <c r="AJ67" s="142"/>
      <c r="AK67" s="142"/>
      <c r="AL67" s="142"/>
      <c r="AM67" s="142"/>
      <c r="AN67" s="142"/>
      <c r="AO67" s="142"/>
      <c r="AP67" s="143"/>
      <c r="AQ67" s="143"/>
      <c r="AR67" s="146"/>
      <c r="AS67" s="158"/>
      <c r="AT67" s="381"/>
      <c r="AU67" s="217"/>
      <c r="BG67" s="158"/>
      <c r="BI67" s="141">
        <v>46076</v>
      </c>
      <c r="BJ67" s="11">
        <v>214635</v>
      </c>
      <c r="BK67" s="11">
        <v>600</v>
      </c>
      <c r="BL67" s="11">
        <v>190460</v>
      </c>
      <c r="BM67" s="11"/>
      <c r="BN67" s="11"/>
      <c r="BO67" s="11"/>
      <c r="BP67" s="11">
        <v>191060</v>
      </c>
      <c r="BQ67" s="11">
        <v>191060</v>
      </c>
      <c r="BR67" s="38" t="s">
        <v>410</v>
      </c>
      <c r="BS67" s="38" t="s">
        <v>173</v>
      </c>
      <c r="BT67" s="72">
        <v>173087092</v>
      </c>
      <c r="BU67" s="9"/>
      <c r="BV67" s="216"/>
      <c r="BW67" s="214"/>
      <c r="BY67" s="267"/>
      <c r="CI67" s="9"/>
    </row>
    <row r="68" spans="1:87" ht="14.25" customHeight="1">
      <c r="A68" s="141">
        <v>46104</v>
      </c>
      <c r="B68" s="11"/>
      <c r="C68" s="11"/>
      <c r="D68" s="11">
        <v>23825</v>
      </c>
      <c r="E68" s="11"/>
      <c r="F68" s="11"/>
      <c r="G68" s="11"/>
      <c r="H68" s="11">
        <v>23825</v>
      </c>
      <c r="I68" s="11">
        <v>341755</v>
      </c>
      <c r="J68" s="38" t="s">
        <v>411</v>
      </c>
      <c r="K68" s="38" t="s">
        <v>412</v>
      </c>
      <c r="L68" s="72">
        <v>139956907</v>
      </c>
      <c r="M68" s="9"/>
      <c r="N68" s="216"/>
      <c r="O68" s="214"/>
      <c r="Q68" s="141">
        <v>46077</v>
      </c>
      <c r="R68" s="11">
        <v>670780</v>
      </c>
      <c r="S68" s="11">
        <v>4850</v>
      </c>
      <c r="T68" s="11">
        <v>606590</v>
      </c>
      <c r="U68" s="11"/>
      <c r="V68" s="11"/>
      <c r="W68" s="11"/>
      <c r="X68" s="11">
        <v>611440</v>
      </c>
      <c r="Y68" s="11">
        <v>611440</v>
      </c>
      <c r="Z68" s="489" t="s">
        <v>413</v>
      </c>
      <c r="AA68" s="38" t="s">
        <v>414</v>
      </c>
      <c r="AB68" s="72">
        <v>173946896</v>
      </c>
      <c r="AC68" s="9"/>
      <c r="AD68" s="216"/>
      <c r="AE68" s="9"/>
      <c r="AG68" s="141">
        <v>46076</v>
      </c>
      <c r="AH68" s="11">
        <v>363475</v>
      </c>
      <c r="AI68" s="11">
        <v>1340</v>
      </c>
      <c r="AJ68" s="11">
        <v>314116</v>
      </c>
      <c r="AK68" s="11"/>
      <c r="AL68" s="11"/>
      <c r="AM68" s="11"/>
      <c r="AN68" s="11">
        <v>315456</v>
      </c>
      <c r="AO68" s="11">
        <v>315456</v>
      </c>
      <c r="AP68" s="38" t="s">
        <v>415</v>
      </c>
      <c r="AQ68" s="38" t="s">
        <v>416</v>
      </c>
      <c r="AR68" s="72">
        <v>310134048</v>
      </c>
      <c r="AS68" s="9"/>
      <c r="AT68" s="216"/>
      <c r="AU68" s="214"/>
      <c r="BG68" s="9"/>
      <c r="BI68" s="141">
        <v>46077</v>
      </c>
      <c r="BJ68" s="11">
        <v>292470</v>
      </c>
      <c r="BK68" s="11">
        <v>1000</v>
      </c>
      <c r="BL68" s="11">
        <v>275870</v>
      </c>
      <c r="BM68" s="11"/>
      <c r="BN68" s="11"/>
      <c r="BO68" s="11"/>
      <c r="BP68" s="11">
        <v>276870</v>
      </c>
      <c r="BQ68" s="11">
        <v>276870</v>
      </c>
      <c r="BR68" s="38" t="s">
        <v>417</v>
      </c>
      <c r="BS68" s="38" t="s">
        <v>174</v>
      </c>
      <c r="BT68" s="72">
        <v>173363962</v>
      </c>
      <c r="BU68" s="9"/>
      <c r="BV68" s="216"/>
      <c r="BW68" s="214"/>
      <c r="BY68" s="267">
        <f>IF('[2]2026 február'!B$25=0,
    "",
    '[2]2026 február'!B$25
)</f>
        <v>1762955</v>
      </c>
      <c r="CI68" s="9"/>
    </row>
    <row r="69" spans="1:87" ht="14.25" customHeight="1">
      <c r="A69" s="141">
        <v>46077</v>
      </c>
      <c r="B69" s="11">
        <v>433865</v>
      </c>
      <c r="C69" s="11">
        <v>650</v>
      </c>
      <c r="D69" s="11">
        <v>408545</v>
      </c>
      <c r="E69" s="11"/>
      <c r="F69" s="11"/>
      <c r="G69" s="11"/>
      <c r="H69" s="11">
        <v>409195</v>
      </c>
      <c r="I69" s="11">
        <v>409195</v>
      </c>
      <c r="J69" s="38" t="s">
        <v>418</v>
      </c>
      <c r="K69" s="38" t="s">
        <v>419</v>
      </c>
      <c r="L69" s="72">
        <v>140366102</v>
      </c>
      <c r="M69" s="9"/>
      <c r="N69" s="216"/>
      <c r="O69" s="214"/>
      <c r="Q69" s="141">
        <v>46078</v>
      </c>
      <c r="R69" s="11">
        <v>662280</v>
      </c>
      <c r="S69" s="11">
        <v>3750</v>
      </c>
      <c r="T69" s="11">
        <v>624180</v>
      </c>
      <c r="U69" s="11"/>
      <c r="V69" s="11"/>
      <c r="W69" s="11"/>
      <c r="X69" s="11">
        <v>627930</v>
      </c>
      <c r="Y69" s="11">
        <v>627930</v>
      </c>
      <c r="Z69" s="489" t="s">
        <v>132</v>
      </c>
      <c r="AA69" s="38" t="s">
        <v>420</v>
      </c>
      <c r="AB69" s="72">
        <v>174574826</v>
      </c>
      <c r="AC69" s="9"/>
      <c r="AD69" s="216"/>
      <c r="AE69" s="9"/>
      <c r="AG69" s="141">
        <v>46077</v>
      </c>
      <c r="AH69" s="11">
        <v>365840</v>
      </c>
      <c r="AI69" s="11">
        <v>850</v>
      </c>
      <c r="AJ69" s="11">
        <v>322536</v>
      </c>
      <c r="AK69" s="11"/>
      <c r="AL69" s="11"/>
      <c r="AM69" s="11"/>
      <c r="AN69" s="11">
        <v>323386</v>
      </c>
      <c r="AO69" s="11">
        <v>323386</v>
      </c>
      <c r="AP69" s="38" t="s">
        <v>421</v>
      </c>
      <c r="AQ69" s="38" t="s">
        <v>422</v>
      </c>
      <c r="AR69" s="72">
        <v>310457434</v>
      </c>
      <c r="AS69" s="9"/>
      <c r="AT69" s="216"/>
      <c r="AU69" s="214"/>
      <c r="BG69" s="9"/>
      <c r="BI69" s="141">
        <v>46078</v>
      </c>
      <c r="BJ69" s="11">
        <v>237580</v>
      </c>
      <c r="BK69" s="11">
        <v>650</v>
      </c>
      <c r="BL69" s="11">
        <v>228270</v>
      </c>
      <c r="BM69" s="11"/>
      <c r="BN69" s="11"/>
      <c r="BO69" s="11"/>
      <c r="BP69" s="11">
        <v>228920</v>
      </c>
      <c r="BQ69" s="11">
        <v>228920</v>
      </c>
      <c r="BR69" s="38" t="s">
        <v>423</v>
      </c>
      <c r="BS69" s="38" t="s">
        <v>175</v>
      </c>
      <c r="BT69" s="72">
        <v>173592882</v>
      </c>
      <c r="BU69" s="9"/>
      <c r="BV69" s="216"/>
      <c r="BW69" s="214"/>
      <c r="BY69" s="267">
        <f>IF('[2]2026 február'!B$26=0,
    "",
    '[2]2026 február'!B$26
)</f>
        <v>1755515</v>
      </c>
      <c r="CI69" s="9"/>
    </row>
    <row r="70" spans="1:87" ht="14.25" customHeight="1">
      <c r="A70" s="141">
        <v>46078</v>
      </c>
      <c r="B70" s="11">
        <v>450650</v>
      </c>
      <c r="C70" s="11">
        <v>900</v>
      </c>
      <c r="D70" s="11">
        <v>416790</v>
      </c>
      <c r="E70" s="11"/>
      <c r="F70" s="11"/>
      <c r="G70" s="11"/>
      <c r="H70" s="11">
        <v>417690</v>
      </c>
      <c r="I70" s="11">
        <v>417690</v>
      </c>
      <c r="J70" s="38" t="s">
        <v>424</v>
      </c>
      <c r="K70" s="38" t="s">
        <v>425</v>
      </c>
      <c r="L70" s="72">
        <v>140783792</v>
      </c>
      <c r="M70" s="9"/>
      <c r="N70" s="216"/>
      <c r="O70" s="214"/>
      <c r="Q70" s="141">
        <v>46079</v>
      </c>
      <c r="R70" s="11">
        <v>642265</v>
      </c>
      <c r="S70" s="11">
        <v>2900</v>
      </c>
      <c r="T70" s="11">
        <v>587520</v>
      </c>
      <c r="U70" s="11"/>
      <c r="V70" s="11"/>
      <c r="W70" s="11"/>
      <c r="X70" s="11">
        <v>590420</v>
      </c>
      <c r="Y70" s="11">
        <v>590420</v>
      </c>
      <c r="Z70" s="489" t="s">
        <v>426</v>
      </c>
      <c r="AA70" s="38" t="s">
        <v>427</v>
      </c>
      <c r="AB70" s="72">
        <v>175165246</v>
      </c>
      <c r="AC70" s="9"/>
      <c r="AD70" s="216"/>
      <c r="AE70" s="9"/>
      <c r="AG70" s="141">
        <v>46078</v>
      </c>
      <c r="AH70" s="11">
        <v>405005</v>
      </c>
      <c r="AI70" s="11">
        <v>1300</v>
      </c>
      <c r="AJ70" s="11">
        <v>376015</v>
      </c>
      <c r="AK70" s="11"/>
      <c r="AL70" s="11"/>
      <c r="AM70" s="11"/>
      <c r="AN70" s="11">
        <v>377315</v>
      </c>
      <c r="AO70" s="11">
        <v>377315</v>
      </c>
      <c r="AP70" s="38" t="s">
        <v>428</v>
      </c>
      <c r="AQ70" s="38" t="s">
        <v>429</v>
      </c>
      <c r="AR70" s="72">
        <v>310834749</v>
      </c>
      <c r="AS70" s="9"/>
      <c r="AT70" s="216"/>
      <c r="AU70" s="214"/>
      <c r="BG70" s="9"/>
      <c r="BI70" s="141">
        <v>46079</v>
      </c>
      <c r="BJ70" s="11">
        <v>242610</v>
      </c>
      <c r="BK70" s="11">
        <v>1350</v>
      </c>
      <c r="BL70" s="11">
        <v>229070</v>
      </c>
      <c r="BM70" s="11"/>
      <c r="BN70" s="11"/>
      <c r="BO70" s="11"/>
      <c r="BP70" s="11">
        <v>230420</v>
      </c>
      <c r="BQ70" s="11">
        <v>230420</v>
      </c>
      <c r="BR70" s="38" t="s">
        <v>324</v>
      </c>
      <c r="BS70" s="38" t="s">
        <v>176</v>
      </c>
      <c r="BT70" s="72">
        <v>173823302</v>
      </c>
      <c r="BU70" s="9"/>
      <c r="BV70" s="216"/>
      <c r="BW70" s="214"/>
      <c r="BY70" s="267">
        <v>1755515</v>
      </c>
      <c r="CI70" s="9"/>
    </row>
    <row r="71" spans="1:87" ht="14.25" customHeight="1">
      <c r="A71" s="141">
        <v>46079</v>
      </c>
      <c r="B71" s="11">
        <v>399850</v>
      </c>
      <c r="C71" s="11">
        <v>600</v>
      </c>
      <c r="D71" s="11">
        <v>366281</v>
      </c>
      <c r="E71" s="11"/>
      <c r="F71" s="11"/>
      <c r="G71" s="11"/>
      <c r="H71" s="11">
        <v>366881</v>
      </c>
      <c r="I71" s="11">
        <v>366881</v>
      </c>
      <c r="J71" s="38" t="s">
        <v>430</v>
      </c>
      <c r="K71" s="38" t="s">
        <v>431</v>
      </c>
      <c r="L71" s="72">
        <v>141150673</v>
      </c>
      <c r="M71" s="9"/>
      <c r="N71" s="216"/>
      <c r="O71" s="214"/>
      <c r="Q71" s="141">
        <v>46080</v>
      </c>
      <c r="R71" s="11">
        <v>500480</v>
      </c>
      <c r="S71" s="11">
        <v>2400</v>
      </c>
      <c r="T71" s="11">
        <v>455240</v>
      </c>
      <c r="U71" s="11"/>
      <c r="V71" s="11"/>
      <c r="W71" s="11"/>
      <c r="X71" s="11">
        <v>457640</v>
      </c>
      <c r="Y71" s="11">
        <v>457640</v>
      </c>
      <c r="Z71" s="489" t="s">
        <v>432</v>
      </c>
      <c r="AA71" s="38" t="s">
        <v>117</v>
      </c>
      <c r="AB71" s="72">
        <v>175622886</v>
      </c>
      <c r="AC71" s="9"/>
      <c r="AD71" s="216"/>
      <c r="AE71" s="9"/>
      <c r="AG71" s="141">
        <v>46079</v>
      </c>
      <c r="AH71" s="11">
        <v>376070</v>
      </c>
      <c r="AI71" s="11">
        <v>1650</v>
      </c>
      <c r="AJ71" s="11">
        <v>346490</v>
      </c>
      <c r="AK71" s="11"/>
      <c r="AL71" s="11"/>
      <c r="AM71" s="11"/>
      <c r="AN71" s="11">
        <v>348140</v>
      </c>
      <c r="AO71" s="11">
        <v>348140</v>
      </c>
      <c r="AP71" s="38" t="s">
        <v>433</v>
      </c>
      <c r="AQ71" s="38" t="s">
        <v>434</v>
      </c>
      <c r="AR71" s="72">
        <v>311182889</v>
      </c>
      <c r="AS71" s="9"/>
      <c r="AT71" s="216"/>
      <c r="AU71" s="214"/>
      <c r="BG71" s="9"/>
      <c r="BI71" s="141">
        <v>46080</v>
      </c>
      <c r="BJ71" s="11">
        <v>147460</v>
      </c>
      <c r="BK71" s="11">
        <v>600</v>
      </c>
      <c r="BL71" s="11">
        <v>119275</v>
      </c>
      <c r="BM71" s="11"/>
      <c r="BN71" s="11"/>
      <c r="BO71" s="11"/>
      <c r="BP71" s="11">
        <v>119875</v>
      </c>
      <c r="BQ71" s="11">
        <v>119875</v>
      </c>
      <c r="BR71" s="38" t="s">
        <v>435</v>
      </c>
      <c r="BS71" s="38" t="s">
        <v>178</v>
      </c>
      <c r="BT71" s="72">
        <v>173943177</v>
      </c>
      <c r="BU71" s="9"/>
      <c r="BV71" s="216"/>
      <c r="BW71" s="214"/>
      <c r="BY71" s="267">
        <f>IF('[2]2026 február'!B$28=0,
    "",
    '[2]2026 február'!B$28
)</f>
        <v>1357595</v>
      </c>
      <c r="CI71" s="9"/>
    </row>
    <row r="72" spans="1:87" ht="14.25" customHeight="1">
      <c r="A72" s="141">
        <v>46080</v>
      </c>
      <c r="B72" s="11">
        <v>380375</v>
      </c>
      <c r="C72" s="11">
        <v>400</v>
      </c>
      <c r="D72" s="11">
        <v>335030</v>
      </c>
      <c r="E72" s="11"/>
      <c r="F72" s="11"/>
      <c r="G72" s="11"/>
      <c r="H72" s="11">
        <v>335430</v>
      </c>
      <c r="I72" s="11">
        <v>335430</v>
      </c>
      <c r="J72" s="38" t="s">
        <v>436</v>
      </c>
      <c r="K72" s="38" t="s">
        <v>115</v>
      </c>
      <c r="L72" s="72">
        <v>141486103</v>
      </c>
      <c r="M72" s="9"/>
      <c r="N72" s="216"/>
      <c r="O72" s="214"/>
      <c r="Q72" s="141">
        <v>46081</v>
      </c>
      <c r="R72" s="142"/>
      <c r="S72" s="142"/>
      <c r="T72" s="142"/>
      <c r="U72" s="142"/>
      <c r="V72" s="142"/>
      <c r="W72" s="142"/>
      <c r="X72" s="142"/>
      <c r="Y72" s="142"/>
      <c r="Z72" s="490"/>
      <c r="AA72" s="143"/>
      <c r="AB72" s="249"/>
      <c r="AC72" s="158"/>
      <c r="AD72" s="381"/>
      <c r="AE72" s="158"/>
      <c r="AG72" s="141">
        <v>46080</v>
      </c>
      <c r="AH72" s="11">
        <v>329280</v>
      </c>
      <c r="AI72" s="11">
        <v>1300</v>
      </c>
      <c r="AJ72" s="11">
        <v>296928</v>
      </c>
      <c r="AK72" s="11"/>
      <c r="AL72" s="11"/>
      <c r="AM72" s="11"/>
      <c r="AN72" s="11">
        <v>298228</v>
      </c>
      <c r="AO72" s="11">
        <v>298228</v>
      </c>
      <c r="AP72" s="38" t="s">
        <v>437</v>
      </c>
      <c r="AQ72" s="38" t="s">
        <v>438</v>
      </c>
      <c r="AR72" s="72">
        <v>311481117</v>
      </c>
      <c r="AS72" s="9"/>
      <c r="AT72" s="216"/>
      <c r="AU72" s="214"/>
      <c r="BG72" s="9"/>
      <c r="BI72" s="141">
        <v>46081</v>
      </c>
      <c r="BJ72" s="142"/>
      <c r="BK72" s="142"/>
      <c r="BL72" s="142"/>
      <c r="BM72" s="142"/>
      <c r="BN72" s="142"/>
      <c r="BO72" s="142"/>
      <c r="BP72" s="142"/>
      <c r="BQ72" s="142"/>
      <c r="BR72" s="143"/>
      <c r="BS72" s="143"/>
      <c r="BT72" s="249"/>
      <c r="BU72" s="158"/>
      <c r="BV72" s="381"/>
      <c r="BW72" s="217"/>
      <c r="BY72" s="267" t="str">
        <f>IF('[2]2026 február'!B$29=0,
    "",
    '[2]2026 február'!B$29
)</f>
        <v/>
      </c>
      <c r="CI72" s="158"/>
    </row>
    <row r="73" spans="1:87" ht="14.25" customHeight="1">
      <c r="A73" s="141">
        <v>46081</v>
      </c>
      <c r="B73" s="142"/>
      <c r="C73" s="142"/>
      <c r="D73" s="142"/>
      <c r="E73" s="142"/>
      <c r="F73" s="142"/>
      <c r="G73" s="142"/>
      <c r="H73" s="142"/>
      <c r="I73" s="142"/>
      <c r="J73" s="143"/>
      <c r="K73" s="143"/>
      <c r="L73" s="146"/>
      <c r="M73" s="158"/>
      <c r="N73" s="381"/>
      <c r="O73" s="217"/>
      <c r="Q73" s="5"/>
      <c r="R73" s="11"/>
      <c r="S73" s="11"/>
      <c r="T73" s="11"/>
      <c r="U73" s="11"/>
      <c r="V73" s="11"/>
      <c r="W73" s="11"/>
      <c r="X73" s="11"/>
      <c r="Y73" s="11"/>
      <c r="Z73" s="489"/>
      <c r="AA73" s="38"/>
      <c r="AB73" s="250"/>
      <c r="AC73" s="9"/>
      <c r="AD73" s="216"/>
      <c r="AE73" s="9"/>
      <c r="AG73" s="141">
        <v>46081</v>
      </c>
      <c r="AH73" s="142"/>
      <c r="AI73" s="142"/>
      <c r="AJ73" s="142"/>
      <c r="AK73" s="142"/>
      <c r="AL73" s="142"/>
      <c r="AM73" s="142"/>
      <c r="AN73" s="142"/>
      <c r="AO73" s="142"/>
      <c r="AP73" s="143"/>
      <c r="AQ73" s="143"/>
      <c r="AR73" s="249"/>
      <c r="AS73" s="158"/>
      <c r="AT73" s="381"/>
      <c r="AU73" s="217"/>
      <c r="BG73" s="158"/>
      <c r="BI73" s="5"/>
      <c r="BJ73" s="11"/>
      <c r="BK73" s="11"/>
      <c r="BL73" s="11"/>
      <c r="BM73" s="11"/>
      <c r="BN73" s="11"/>
      <c r="BO73" s="11"/>
      <c r="BP73" s="11"/>
      <c r="BQ73" s="11"/>
      <c r="BR73" s="38"/>
      <c r="BS73" s="38"/>
      <c r="BT73" s="250"/>
      <c r="BU73" s="9"/>
      <c r="BV73" s="216"/>
      <c r="BW73" s="214"/>
      <c r="BY73" s="267" t="str">
        <f>IF('[2]2026 február'!B$30=0,
    "",
    '[2]2026 február'!B$30
)</f>
        <v/>
      </c>
      <c r="CI73" s="9"/>
    </row>
    <row r="74" spans="1:87" ht="14.25" customHeight="1">
      <c r="A74" s="5"/>
      <c r="B74" s="11"/>
      <c r="C74" s="11"/>
      <c r="D74" s="11"/>
      <c r="E74" s="11"/>
      <c r="F74" s="11"/>
      <c r="G74" s="11"/>
      <c r="H74" s="11"/>
      <c r="I74" s="11"/>
      <c r="J74" s="38"/>
      <c r="K74" s="38"/>
      <c r="L74" s="72"/>
      <c r="M74" s="9"/>
      <c r="N74" s="216"/>
      <c r="O74" s="214"/>
      <c r="Q74" s="5"/>
      <c r="R74" s="11"/>
      <c r="S74" s="11"/>
      <c r="T74" s="11"/>
      <c r="U74" s="11"/>
      <c r="V74" s="11"/>
      <c r="W74" s="11"/>
      <c r="X74" s="11"/>
      <c r="Y74" s="11"/>
      <c r="Z74" s="38"/>
      <c r="AA74" s="38"/>
      <c r="AB74" s="250"/>
      <c r="AC74" s="9"/>
      <c r="AD74" s="216"/>
      <c r="AE74" s="9"/>
      <c r="AG74" s="5"/>
      <c r="AH74" s="11"/>
      <c r="AI74" s="11"/>
      <c r="AJ74" s="11"/>
      <c r="AK74" s="11"/>
      <c r="AL74" s="11"/>
      <c r="AM74" s="11"/>
      <c r="AN74" s="11"/>
      <c r="AO74" s="11"/>
      <c r="AP74" s="38"/>
      <c r="AQ74" s="38"/>
      <c r="AR74" s="250"/>
      <c r="AS74" s="9"/>
      <c r="AT74" s="216"/>
      <c r="AU74" s="214"/>
      <c r="BG74" s="9"/>
      <c r="BI74" s="5"/>
      <c r="BJ74" s="11"/>
      <c r="BK74" s="11"/>
      <c r="BL74" s="11"/>
      <c r="BM74" s="11"/>
      <c r="BN74" s="11"/>
      <c r="BO74" s="11"/>
      <c r="BP74" s="11"/>
      <c r="BQ74" s="11"/>
      <c r="BR74" s="38"/>
      <c r="BS74" s="38"/>
      <c r="BT74" s="250"/>
      <c r="BU74" s="9"/>
      <c r="BV74" s="216"/>
      <c r="BW74" s="214"/>
      <c r="BY74" s="267" t="str">
        <f>IF('[2]2026 február'!B$31=0,
    "",
    '[2]2026 február'!B$31
)</f>
        <v/>
      </c>
      <c r="CI74" s="9"/>
    </row>
    <row r="75" spans="1:87" ht="14.25" customHeight="1">
      <c r="A75" s="141"/>
      <c r="B75" s="11"/>
      <c r="C75" s="11"/>
      <c r="D75" s="11"/>
      <c r="E75" s="11"/>
      <c r="F75" s="11"/>
      <c r="G75" s="11"/>
      <c r="H75" s="11"/>
      <c r="I75" s="11"/>
      <c r="J75" s="38"/>
      <c r="K75" s="38"/>
      <c r="L75" s="72"/>
      <c r="M75" s="9"/>
      <c r="N75" s="216"/>
      <c r="O75" s="214"/>
      <c r="Q75" s="141"/>
      <c r="R75" s="11"/>
      <c r="S75" s="11"/>
      <c r="T75" s="11"/>
      <c r="U75" s="11"/>
      <c r="V75" s="11"/>
      <c r="W75" s="11"/>
      <c r="X75" s="11"/>
      <c r="Y75" s="11"/>
      <c r="Z75" s="205"/>
      <c r="AA75" s="205"/>
      <c r="AB75" s="413"/>
      <c r="AC75" s="380"/>
      <c r="AD75" s="216"/>
      <c r="AE75" s="9"/>
      <c r="AG75" s="5"/>
      <c r="AH75" s="11"/>
      <c r="AI75" s="11"/>
      <c r="AJ75" s="11"/>
      <c r="AK75" s="11"/>
      <c r="AL75" s="11"/>
      <c r="AM75" s="11"/>
      <c r="AN75" s="11"/>
      <c r="AO75" s="11"/>
      <c r="AP75" s="38"/>
      <c r="AQ75" s="38"/>
      <c r="AR75" s="250"/>
      <c r="AS75" s="9"/>
      <c r="AT75" s="216"/>
      <c r="AU75" s="214"/>
      <c r="BG75" s="9"/>
      <c r="BI75" s="141"/>
      <c r="BJ75" s="11"/>
      <c r="BK75" s="11"/>
      <c r="BL75" s="11"/>
      <c r="BM75" s="11"/>
      <c r="BN75" s="11"/>
      <c r="BO75" s="11"/>
      <c r="BP75" s="11"/>
      <c r="BQ75" s="11"/>
      <c r="BR75" s="205"/>
      <c r="BS75" s="205"/>
      <c r="BT75" s="413"/>
      <c r="BU75" s="380"/>
      <c r="BV75" s="216"/>
      <c r="BW75" s="214"/>
      <c r="BY75" s="267" t="str">
        <f>IF('[2]2026 február'!B$32=0,
    "",
    '[2]2026 február'!B$32
)</f>
        <v/>
      </c>
      <c r="CI75" s="9"/>
    </row>
    <row r="76" spans="1:87" ht="14.25" customHeight="1">
      <c r="A76" s="18" t="s">
        <v>64</v>
      </c>
      <c r="B76" s="362"/>
      <c r="C76" s="19">
        <f>SUM(C43:C75)</f>
        <v>15290</v>
      </c>
      <c r="D76" s="19">
        <f>SUM(D43:D75)</f>
        <v>7857997</v>
      </c>
      <c r="E76" s="19">
        <f>SUM(E43:E75)</f>
        <v>50</v>
      </c>
      <c r="F76" s="19">
        <f>SUM(F43:F75)</f>
        <v>2340</v>
      </c>
      <c r="G76" s="20">
        <f>SUM(G43:G75)</f>
        <v>0</v>
      </c>
      <c r="H76" s="20">
        <f>SUM(H45:H75)</f>
        <v>7875677</v>
      </c>
      <c r="I76" s="39">
        <f>SUM(I43:I75)</f>
        <v>7875677</v>
      </c>
      <c r="J76" s="205"/>
      <c r="K76" s="205"/>
      <c r="L76" s="533">
        <v>141486103</v>
      </c>
      <c r="M76" s="534">
        <v>7875677</v>
      </c>
      <c r="N76" s="216"/>
      <c r="O76" s="214"/>
      <c r="Q76" s="18" t="s">
        <v>64</v>
      </c>
      <c r="R76" s="362"/>
      <c r="S76" s="19">
        <f>SUM(S43:S75)</f>
        <v>60410</v>
      </c>
      <c r="T76" s="19">
        <f>SUM(T43:T75)</f>
        <v>11279526</v>
      </c>
      <c r="U76" s="19">
        <f>SUM(U43:U75)</f>
        <v>0</v>
      </c>
      <c r="V76" s="19">
        <f>SUM(V43:V75)</f>
        <v>0</v>
      </c>
      <c r="W76" s="20">
        <f>SUM(W43:W75)</f>
        <v>17725</v>
      </c>
      <c r="X76" s="20">
        <f>SUM(X45:X75)</f>
        <v>11322211</v>
      </c>
      <c r="Y76" s="39">
        <f>SUM(Y45:Y75)</f>
        <v>11322211</v>
      </c>
      <c r="Z76" s="32"/>
      <c r="AA76" s="373"/>
      <c r="AB76" s="417">
        <v>175622886</v>
      </c>
      <c r="AC76" s="426">
        <v>11339936</v>
      </c>
      <c r="AD76" s="382"/>
      <c r="AE76" s="9"/>
      <c r="AG76" s="18" t="s">
        <v>64</v>
      </c>
      <c r="AH76" s="362"/>
      <c r="AI76" s="19">
        <f>SUM(AI43:AI75)</f>
        <v>34330</v>
      </c>
      <c r="AJ76" s="19">
        <f>SUM(AJ43:AJ75)</f>
        <v>7673400</v>
      </c>
      <c r="AK76" s="19">
        <f>SUM(AK43:AK75)</f>
        <v>0</v>
      </c>
      <c r="AL76" s="19">
        <f>SUM(AL43:AL75)</f>
        <v>4520</v>
      </c>
      <c r="AM76" s="20">
        <f>SUM(AM43:AM75)</f>
        <v>0</v>
      </c>
      <c r="AN76" s="20">
        <f>SUM(AN45:AN75)</f>
        <v>7712250</v>
      </c>
      <c r="AO76" s="39">
        <f>SUM(AO45:AO75)</f>
        <v>7712250</v>
      </c>
      <c r="AP76" s="205"/>
      <c r="AQ76" s="205"/>
      <c r="AR76" s="533">
        <v>311481117</v>
      </c>
      <c r="AS76" s="534">
        <v>7712250</v>
      </c>
      <c r="AT76" s="216"/>
      <c r="AU76" s="214"/>
      <c r="BG76" s="9"/>
      <c r="BI76" s="18" t="s">
        <v>64</v>
      </c>
      <c r="BJ76" s="362"/>
      <c r="BK76" s="19">
        <f>SUM(BK43:BK75)</f>
        <v>13550</v>
      </c>
      <c r="BL76" s="19">
        <f>SUM(BL43:BL75)</f>
        <v>3637165</v>
      </c>
      <c r="BM76" s="19">
        <f>SUM(BM43:BM75)</f>
        <v>50</v>
      </c>
      <c r="BN76" s="19">
        <f>SUM(BN43:BN75)</f>
        <v>0</v>
      </c>
      <c r="BO76" s="20">
        <f>SUM(BO43:BO75)</f>
        <v>0</v>
      </c>
      <c r="BP76" s="20">
        <f>SUM(BP45:BP75)</f>
        <v>3650765</v>
      </c>
      <c r="BQ76" s="39">
        <f>SUM(BQ45:BQ75)</f>
        <v>3650765</v>
      </c>
      <c r="BR76" s="32"/>
      <c r="BS76" s="17"/>
      <c r="BT76" s="417">
        <v>173943177</v>
      </c>
      <c r="BU76" s="426">
        <v>3650765</v>
      </c>
      <c r="BV76" s="382"/>
      <c r="BW76" s="214"/>
      <c r="BY76" s="267">
        <f>IF('[2]2026 február'!B$33=0,
    "",
    '[2]2026 február'!B$33
)</f>
        <v>32814300</v>
      </c>
      <c r="CI76" s="9"/>
    </row>
    <row r="77" spans="1:87" ht="14.25" customHeight="1">
      <c r="A77" s="5"/>
      <c r="B77" s="11"/>
      <c r="C77" s="29">
        <f>C76+D76+E76+F76</f>
        <v>7875677</v>
      </c>
      <c r="D77" s="10"/>
      <c r="E77" s="10"/>
      <c r="F77" s="10"/>
      <c r="G77" s="47">
        <f>G76+H76</f>
        <v>7875677</v>
      </c>
      <c r="H77" s="10"/>
      <c r="I77" s="10"/>
      <c r="J77" s="32"/>
      <c r="K77" s="373"/>
      <c r="L77" s="252"/>
      <c r="M77" s="9"/>
      <c r="N77" s="382"/>
      <c r="O77" s="214"/>
      <c r="Q77" s="5"/>
      <c r="R77" s="11"/>
      <c r="S77" s="29">
        <f>S76+T76+U76+V76</f>
        <v>11339936</v>
      </c>
      <c r="T77" s="10"/>
      <c r="U77" s="10"/>
      <c r="V77" s="10"/>
      <c r="W77" s="47">
        <f>W76+X76</f>
        <v>11339936</v>
      </c>
      <c r="X77" s="10"/>
      <c r="Y77" s="10"/>
      <c r="Z77" s="33"/>
      <c r="AA77" s="33"/>
      <c r="AB77" s="414"/>
      <c r="AC77" s="9"/>
      <c r="AD77" s="382"/>
      <c r="AE77" s="9"/>
      <c r="AG77" s="5"/>
      <c r="AH77" s="11"/>
      <c r="AI77" s="29">
        <f>AI76+AJ76+AK76+AL76</f>
        <v>7712250</v>
      </c>
      <c r="AJ77" s="10"/>
      <c r="AK77" s="10"/>
      <c r="AL77" s="10"/>
      <c r="AM77" s="47">
        <f>AM76+AN76</f>
        <v>7712250</v>
      </c>
      <c r="AN77" s="10"/>
      <c r="AO77" s="10"/>
      <c r="AP77" s="32"/>
      <c r="AQ77" s="373"/>
      <c r="AR77" s="252"/>
      <c r="AS77" s="9"/>
      <c r="AT77" s="382"/>
      <c r="AU77" s="214"/>
      <c r="BG77" s="9"/>
      <c r="BI77" s="5"/>
      <c r="BJ77" s="11"/>
      <c r="BK77" s="29">
        <f>BK76+BL76+BM76+BN76</f>
        <v>3650765</v>
      </c>
      <c r="BL77" s="10"/>
      <c r="BM77" s="10"/>
      <c r="BN77" s="10"/>
      <c r="BO77" s="47">
        <f>BO76+BP76</f>
        <v>3650765</v>
      </c>
      <c r="BP77" s="10"/>
      <c r="BQ77" s="10"/>
      <c r="BR77" s="33"/>
      <c r="BS77" s="11"/>
      <c r="BT77" s="260"/>
      <c r="BU77" s="9"/>
      <c r="BV77" s="382"/>
      <c r="BW77" s="214"/>
      <c r="BY77" s="267" t="str">
        <f>IF('[2]2026 február'!B$34=0,
    "",
    '[2]2026 február'!B$34
)</f>
        <v/>
      </c>
      <c r="CI77" s="9"/>
    </row>
    <row r="78" spans="1:87" ht="14.25" customHeight="1">
      <c r="J78" s="33"/>
      <c r="K78" s="33"/>
      <c r="L78" s="414"/>
      <c r="M78" s="9"/>
      <c r="N78" s="382"/>
      <c r="O78" s="214"/>
      <c r="AP78" s="33"/>
      <c r="AQ78" s="33"/>
      <c r="AR78" s="414"/>
      <c r="AS78" s="9"/>
      <c r="AT78" s="382"/>
      <c r="AU78" s="214"/>
      <c r="BG78" s="9"/>
      <c r="BY78" s="267" t="str">
        <f>IF('[2]2026 január'!B$35=0,
    "",
    '[2]2026 január'!B$35
)</f>
        <v/>
      </c>
    </row>
    <row r="79" spans="1:87" ht="14.25" customHeight="1">
      <c r="Q79" s="403" t="s">
        <v>177</v>
      </c>
      <c r="R79" s="404"/>
      <c r="S79" s="405"/>
      <c r="T79" s="405"/>
      <c r="U79" s="405"/>
      <c r="V79" s="406"/>
      <c r="W79" s="406"/>
      <c r="X79" s="406"/>
      <c r="Y79" s="406"/>
      <c r="Z79" s="407"/>
      <c r="AA79" s="408"/>
      <c r="AH79" s="356"/>
      <c r="AQ79" s="35"/>
      <c r="BI79" s="403" t="s">
        <v>177</v>
      </c>
      <c r="BJ79" s="404"/>
      <c r="BK79" s="405"/>
      <c r="BL79" s="405"/>
      <c r="BM79" s="405"/>
      <c r="BN79" s="406"/>
      <c r="BO79" s="406"/>
      <c r="BP79" s="406"/>
      <c r="BQ79" s="406"/>
      <c r="BR79" s="407"/>
      <c r="BS79" s="408"/>
    </row>
    <row r="80" spans="1:87" ht="14.25" customHeight="1">
      <c r="A80" s="403" t="s">
        <v>177</v>
      </c>
      <c r="B80" s="404"/>
      <c r="C80" s="405"/>
      <c r="D80" s="405"/>
      <c r="E80" s="405"/>
      <c r="F80" s="406"/>
      <c r="G80" s="406"/>
      <c r="H80" s="406"/>
      <c r="I80" s="406"/>
      <c r="J80" s="407"/>
      <c r="K80" s="408"/>
      <c r="Q80" s="409"/>
      <c r="R80" s="402"/>
      <c r="S80" s="402"/>
      <c r="T80" s="402"/>
      <c r="U80" s="402"/>
      <c r="V80" s="402"/>
      <c r="W80" s="396"/>
      <c r="X80" s="396"/>
      <c r="Y80" s="396"/>
      <c r="Z80" s="396"/>
      <c r="AA80" s="410"/>
      <c r="AG80" s="403" t="s">
        <v>177</v>
      </c>
      <c r="AH80" s="404"/>
      <c r="AI80" s="405"/>
      <c r="AJ80" s="405"/>
      <c r="AK80" s="405"/>
      <c r="AL80" s="406"/>
      <c r="AM80" s="406"/>
      <c r="AN80" s="406"/>
      <c r="AO80" s="406"/>
      <c r="AP80" s="407"/>
      <c r="AQ80" s="415"/>
      <c r="BI80" s="409"/>
      <c r="BJ80" s="402"/>
      <c r="BK80" s="402"/>
      <c r="BL80" s="402"/>
      <c r="BM80" s="402"/>
      <c r="BN80" s="402"/>
      <c r="BO80" s="396"/>
      <c r="BP80" s="396"/>
      <c r="BQ80" s="396"/>
      <c r="BR80" s="396"/>
      <c r="BS80" s="410"/>
    </row>
    <row r="81" spans="1:87" ht="14.25" customHeight="1">
      <c r="A81" s="409"/>
      <c r="B81" s="402"/>
      <c r="C81" s="402"/>
      <c r="D81" s="402"/>
      <c r="E81" s="402"/>
      <c r="F81" s="402"/>
      <c r="G81" s="396"/>
      <c r="H81" s="396"/>
      <c r="I81" s="396"/>
      <c r="J81" s="396"/>
      <c r="K81" s="410"/>
      <c r="Q81" s="628"/>
      <c r="R81" s="629"/>
      <c r="S81" s="629"/>
      <c r="T81" s="629"/>
      <c r="U81" s="629"/>
      <c r="V81" s="629"/>
      <c r="W81" s="411"/>
      <c r="X81" s="411"/>
      <c r="Y81" s="411"/>
      <c r="Z81" s="411"/>
      <c r="AA81" s="412"/>
      <c r="AG81" s="409"/>
      <c r="AH81" s="402"/>
      <c r="AI81" s="402"/>
      <c r="AJ81" s="402"/>
      <c r="AK81" s="402"/>
      <c r="AL81" s="402"/>
      <c r="AM81" s="396"/>
      <c r="AN81" s="396"/>
      <c r="AO81" s="396"/>
      <c r="AP81" s="396"/>
      <c r="AQ81" s="416"/>
      <c r="BI81" s="628"/>
      <c r="BJ81" s="629"/>
      <c r="BK81" s="629"/>
      <c r="BL81" s="629"/>
      <c r="BM81" s="629"/>
      <c r="BN81" s="629"/>
      <c r="BO81" s="411"/>
      <c r="BP81" s="411"/>
      <c r="BQ81" s="411"/>
      <c r="BR81" s="411"/>
      <c r="BS81" s="412"/>
    </row>
    <row r="82" spans="1:87" ht="14.25" customHeight="1">
      <c r="A82" s="628"/>
      <c r="B82" s="629"/>
      <c r="C82" s="629"/>
      <c r="D82" s="629"/>
      <c r="E82" s="629"/>
      <c r="F82" s="629"/>
      <c r="G82" s="411"/>
      <c r="H82" s="411"/>
      <c r="I82" s="411"/>
      <c r="J82" s="411"/>
      <c r="K82" s="412"/>
      <c r="AG82" s="628"/>
      <c r="AH82" s="629"/>
      <c r="AI82" s="629"/>
      <c r="AJ82" s="629"/>
      <c r="AK82" s="629"/>
      <c r="AL82" s="629"/>
      <c r="AM82" s="411"/>
      <c r="AN82" s="411"/>
      <c r="AO82" s="411"/>
      <c r="AP82" s="411"/>
      <c r="AQ82" s="412"/>
    </row>
    <row r="83" spans="1:87" ht="14.25" customHeight="1">
      <c r="AH83" s="356"/>
    </row>
    <row r="84" spans="1:87" ht="14.25" customHeight="1">
      <c r="AH84" s="356"/>
    </row>
    <row r="85" spans="1:87" ht="14.25" customHeight="1">
      <c r="A85" s="66" t="s">
        <v>5</v>
      </c>
      <c r="B85" s="351"/>
      <c r="C85" s="26"/>
      <c r="D85" s="26"/>
      <c r="E85" s="26"/>
      <c r="F85" s="26"/>
      <c r="G85" s="26"/>
      <c r="H85" s="26"/>
      <c r="I85" s="26"/>
      <c r="J85" s="34"/>
      <c r="K85" s="349"/>
      <c r="L85" s="255"/>
      <c r="M85" s="157"/>
      <c r="N85" s="385"/>
      <c r="O85" s="384"/>
      <c r="Q85" s="66" t="s">
        <v>5</v>
      </c>
      <c r="R85" s="351"/>
      <c r="S85" s="26"/>
      <c r="T85" s="26"/>
      <c r="U85" s="26"/>
      <c r="V85" s="26"/>
      <c r="W85" s="26"/>
      <c r="X85" s="26"/>
      <c r="Y85" s="26"/>
      <c r="Z85" s="34"/>
      <c r="AA85" s="349"/>
      <c r="AB85" s="255"/>
      <c r="AC85" s="157"/>
      <c r="AD85" s="157"/>
      <c r="AE85" s="383"/>
      <c r="AG85" s="66" t="s">
        <v>5</v>
      </c>
      <c r="AH85" s="351"/>
      <c r="AI85" s="26"/>
      <c r="AJ85" s="26"/>
      <c r="AK85" s="26"/>
      <c r="AL85" s="26"/>
      <c r="AM85" s="26"/>
      <c r="AN85" s="26"/>
      <c r="AO85" s="26"/>
      <c r="AP85" s="34"/>
      <c r="AQ85" s="349"/>
      <c r="AR85" s="255"/>
      <c r="AS85" s="157"/>
      <c r="AT85" s="157"/>
      <c r="AU85" s="383"/>
      <c r="BG85" s="386"/>
      <c r="BI85" s="66" t="s">
        <v>5</v>
      </c>
      <c r="BJ85" s="351"/>
      <c r="BK85" s="26"/>
      <c r="BL85" s="26"/>
      <c r="BM85" s="26"/>
      <c r="BN85" s="26"/>
      <c r="BO85" s="26"/>
      <c r="BP85" s="26"/>
      <c r="BQ85" s="26"/>
      <c r="BR85" s="34"/>
      <c r="BS85" s="349"/>
      <c r="BT85" s="255"/>
      <c r="BU85" s="157"/>
      <c r="BV85" s="157"/>
      <c r="BW85" s="383"/>
      <c r="BY85" s="273" t="str">
        <f>'[2]2026 január'!B$1</f>
        <v>Novohost</v>
      </c>
      <c r="CI85" s="386"/>
    </row>
    <row r="86" spans="1:87" ht="14.25" customHeight="1">
      <c r="A86" s="141">
        <v>46082</v>
      </c>
      <c r="B86" s="142"/>
      <c r="C86" s="142"/>
      <c r="D86" s="142"/>
      <c r="E86" s="142"/>
      <c r="F86" s="142"/>
      <c r="G86" s="142"/>
      <c r="H86" s="142"/>
      <c r="I86" s="142"/>
      <c r="J86" s="143"/>
      <c r="K86" s="144"/>
      <c r="L86" s="256"/>
      <c r="M86" s="158"/>
      <c r="N86" s="381"/>
      <c r="O86" s="217"/>
      <c r="Q86" s="141">
        <v>46082</v>
      </c>
      <c r="R86" s="142"/>
      <c r="S86" s="142"/>
      <c r="T86" s="142"/>
      <c r="U86" s="142"/>
      <c r="V86" s="142"/>
      <c r="W86" s="142"/>
      <c r="X86" s="142"/>
      <c r="Y86" s="142"/>
      <c r="Z86" s="143"/>
      <c r="AA86" s="144"/>
      <c r="AB86" s="256"/>
      <c r="AC86" s="158"/>
      <c r="AD86" s="381"/>
      <c r="AE86" s="217"/>
      <c r="AG86" s="141">
        <v>46082</v>
      </c>
      <c r="AH86" s="142"/>
      <c r="AI86" s="142"/>
      <c r="AJ86" s="142"/>
      <c r="AK86" s="142"/>
      <c r="AL86" s="142"/>
      <c r="AM86" s="142"/>
      <c r="AN86" s="142"/>
      <c r="AO86" s="142"/>
      <c r="AP86" s="143"/>
      <c r="AQ86" s="144"/>
      <c r="AR86" s="256"/>
      <c r="AS86" s="158"/>
      <c r="AT86" s="381"/>
      <c r="AU86" s="217"/>
      <c r="BG86" s="387"/>
      <c r="BI86" s="141">
        <v>46082</v>
      </c>
      <c r="BJ86" s="142"/>
      <c r="BK86" s="142"/>
      <c r="BL86" s="142"/>
      <c r="BM86" s="142"/>
      <c r="BN86" s="142"/>
      <c r="BO86" s="142"/>
      <c r="BP86" s="142"/>
      <c r="BQ86" s="142"/>
      <c r="BR86" s="143"/>
      <c r="BS86" s="144"/>
      <c r="BT86" s="256"/>
      <c r="BU86" s="158"/>
      <c r="BV86" s="381"/>
      <c r="BW86" s="217"/>
      <c r="BY86" s="267" t="str">
        <f>IF('[2]2026 március'!B$2=0,
    "",
    '[2]2026 március'!B$2
)</f>
        <v/>
      </c>
      <c r="CI86" s="387"/>
    </row>
    <row r="87" spans="1:87" ht="14.25" customHeight="1">
      <c r="A87" s="141">
        <v>46083</v>
      </c>
      <c r="B87" s="11">
        <v>403875</v>
      </c>
      <c r="C87" s="11">
        <v>750</v>
      </c>
      <c r="D87" s="11">
        <v>362365</v>
      </c>
      <c r="E87" s="11"/>
      <c r="F87" s="11"/>
      <c r="G87" s="11"/>
      <c r="H87" s="11">
        <v>363115</v>
      </c>
      <c r="I87" s="11">
        <v>363115</v>
      </c>
      <c r="J87" s="38" t="s">
        <v>439</v>
      </c>
      <c r="K87" s="38" t="s">
        <v>95</v>
      </c>
      <c r="L87" s="72">
        <v>141849218</v>
      </c>
      <c r="M87" s="9"/>
      <c r="N87" s="216"/>
      <c r="O87" s="214"/>
      <c r="Q87" s="141">
        <v>46083</v>
      </c>
      <c r="R87" s="11">
        <v>595750</v>
      </c>
      <c r="S87" s="11">
        <v>3150</v>
      </c>
      <c r="T87" s="11">
        <v>547719</v>
      </c>
      <c r="U87" s="11"/>
      <c r="V87" s="11">
        <v>1</v>
      </c>
      <c r="W87" s="11"/>
      <c r="X87" s="11">
        <v>550870</v>
      </c>
      <c r="Y87" s="11">
        <v>550870</v>
      </c>
      <c r="Z87" s="38" t="s">
        <v>440</v>
      </c>
      <c r="AA87" s="38" t="s">
        <v>97</v>
      </c>
      <c r="AB87" s="72">
        <v>176173756</v>
      </c>
      <c r="AC87" s="9"/>
      <c r="AD87" s="216"/>
      <c r="AE87" s="214"/>
      <c r="AG87" s="141">
        <v>46083</v>
      </c>
      <c r="AH87" s="11">
        <v>352620</v>
      </c>
      <c r="AI87" s="11">
        <v>1700</v>
      </c>
      <c r="AJ87" s="11">
        <v>329878</v>
      </c>
      <c r="AK87" s="11"/>
      <c r="AL87" s="11"/>
      <c r="AM87" s="11"/>
      <c r="AN87" s="11">
        <v>331578</v>
      </c>
      <c r="AO87" s="11">
        <v>331578</v>
      </c>
      <c r="AP87" s="38" t="s">
        <v>441</v>
      </c>
      <c r="AQ87" s="38" t="s">
        <v>442</v>
      </c>
      <c r="AR87" s="72">
        <v>311812695</v>
      </c>
      <c r="AS87" s="9"/>
      <c r="AT87" s="216"/>
      <c r="AU87" s="214"/>
      <c r="BG87" s="9"/>
      <c r="BI87" s="141">
        <v>46083</v>
      </c>
      <c r="BJ87" s="11">
        <v>200990</v>
      </c>
      <c r="BK87" s="11">
        <v>1050</v>
      </c>
      <c r="BL87" s="11">
        <v>186920</v>
      </c>
      <c r="BM87" s="11"/>
      <c r="BN87" s="11"/>
      <c r="BO87" s="11"/>
      <c r="BP87" s="11">
        <v>187970</v>
      </c>
      <c r="BQ87" s="11">
        <v>187970</v>
      </c>
      <c r="BR87" s="38" t="s">
        <v>443</v>
      </c>
      <c r="BS87" s="38" t="s">
        <v>99</v>
      </c>
      <c r="BT87" s="72">
        <v>174131147</v>
      </c>
      <c r="BU87" s="9"/>
      <c r="BV87" s="216"/>
      <c r="BW87" s="214"/>
      <c r="BY87" s="267">
        <f>IF('[2]2026 március'!B$3=0,
    "",
    '[2]2026 március'!B$3
)</f>
        <v>1553235</v>
      </c>
      <c r="CI87" s="9"/>
    </row>
    <row r="88" spans="1:87" ht="14.25" customHeight="1">
      <c r="A88" s="141">
        <v>46084</v>
      </c>
      <c r="B88" s="11">
        <v>549065</v>
      </c>
      <c r="C88" s="11">
        <v>650</v>
      </c>
      <c r="D88" s="11">
        <v>520150</v>
      </c>
      <c r="E88" s="11"/>
      <c r="F88" s="11"/>
      <c r="G88" s="11"/>
      <c r="H88" s="11">
        <v>520800</v>
      </c>
      <c r="I88" s="11">
        <v>520800</v>
      </c>
      <c r="J88" s="38" t="s">
        <v>444</v>
      </c>
      <c r="K88" s="38" t="s">
        <v>445</v>
      </c>
      <c r="L88" s="72">
        <v>142370018</v>
      </c>
      <c r="M88" s="9"/>
      <c r="N88" s="216"/>
      <c r="O88" s="214"/>
      <c r="Q88" s="141">
        <v>46084</v>
      </c>
      <c r="R88" s="11">
        <v>688280</v>
      </c>
      <c r="S88" s="11">
        <v>3650</v>
      </c>
      <c r="T88" s="11">
        <v>645180</v>
      </c>
      <c r="U88" s="11"/>
      <c r="V88" s="11"/>
      <c r="W88" s="11"/>
      <c r="X88" s="11">
        <v>648830</v>
      </c>
      <c r="Y88" s="11">
        <v>648830</v>
      </c>
      <c r="Z88" s="38" t="s">
        <v>446</v>
      </c>
      <c r="AA88" s="38" t="s">
        <v>447</v>
      </c>
      <c r="AB88" s="72">
        <v>176822586</v>
      </c>
      <c r="AC88" s="9"/>
      <c r="AD88" s="216"/>
      <c r="AE88" s="214"/>
      <c r="AG88" s="141">
        <v>46084</v>
      </c>
      <c r="AH88" s="11">
        <v>506035</v>
      </c>
      <c r="AI88" s="11">
        <v>2350</v>
      </c>
      <c r="AJ88" s="11">
        <v>450696</v>
      </c>
      <c r="AK88" s="11"/>
      <c r="AL88" s="11"/>
      <c r="AM88" s="11"/>
      <c r="AN88" s="11">
        <v>453046</v>
      </c>
      <c r="AO88" s="11">
        <v>453046</v>
      </c>
      <c r="AP88" s="38" t="s">
        <v>448</v>
      </c>
      <c r="AQ88" s="38" t="s">
        <v>449</v>
      </c>
      <c r="AR88" s="72">
        <v>312265741</v>
      </c>
      <c r="AS88" s="9"/>
      <c r="AT88" s="216"/>
      <c r="AU88" s="214"/>
      <c r="BG88" s="9"/>
      <c r="BI88" s="141">
        <v>46084</v>
      </c>
      <c r="BJ88" s="11">
        <v>62705</v>
      </c>
      <c r="BK88" s="11">
        <v>50</v>
      </c>
      <c r="BL88" s="11">
        <v>17530</v>
      </c>
      <c r="BM88" s="11"/>
      <c r="BN88" s="11"/>
      <c r="BO88" s="11"/>
      <c r="BP88" s="11">
        <v>17580</v>
      </c>
      <c r="BQ88" s="11">
        <v>17580</v>
      </c>
      <c r="BR88" s="38" t="s">
        <v>450</v>
      </c>
      <c r="BS88" s="38" t="s">
        <v>179</v>
      </c>
      <c r="BT88" s="72">
        <v>174148727</v>
      </c>
      <c r="BU88" s="9"/>
      <c r="BV88" s="216"/>
      <c r="BW88" s="214"/>
      <c r="BY88" s="267"/>
      <c r="CI88" s="9"/>
    </row>
    <row r="89" spans="1:87" ht="14.25" customHeight="1">
      <c r="A89" s="141">
        <v>46085</v>
      </c>
      <c r="B89" s="11">
        <v>411380</v>
      </c>
      <c r="C89" s="11">
        <v>650</v>
      </c>
      <c r="D89" s="11">
        <v>374188</v>
      </c>
      <c r="E89" s="11"/>
      <c r="F89" s="11"/>
      <c r="G89" s="11"/>
      <c r="H89" s="11">
        <v>374838</v>
      </c>
      <c r="I89" s="11">
        <v>374838</v>
      </c>
      <c r="J89" s="38" t="s">
        <v>342</v>
      </c>
      <c r="K89" s="38" t="s">
        <v>451</v>
      </c>
      <c r="L89" s="72">
        <v>142744856</v>
      </c>
      <c r="M89" s="9"/>
      <c r="N89" s="216"/>
      <c r="O89" s="214"/>
      <c r="Q89" s="141">
        <v>46085</v>
      </c>
      <c r="R89" s="11">
        <v>650475</v>
      </c>
      <c r="S89" s="11">
        <v>3200</v>
      </c>
      <c r="T89" s="11">
        <v>581070</v>
      </c>
      <c r="U89" s="11"/>
      <c r="V89" s="11"/>
      <c r="W89" s="11"/>
      <c r="X89" s="11">
        <v>584270</v>
      </c>
      <c r="Y89" s="11">
        <v>584270</v>
      </c>
      <c r="Z89" s="38" t="s">
        <v>452</v>
      </c>
      <c r="AA89" s="38" t="s">
        <v>133</v>
      </c>
      <c r="AB89" s="72">
        <v>177406856</v>
      </c>
      <c r="AC89" s="9"/>
      <c r="AD89" s="216"/>
      <c r="AE89" s="214"/>
      <c r="AG89" s="141">
        <v>46085</v>
      </c>
      <c r="AH89" s="11">
        <v>405590</v>
      </c>
      <c r="AI89" s="11">
        <v>1700</v>
      </c>
      <c r="AJ89" s="11">
        <v>351382</v>
      </c>
      <c r="AK89" s="11"/>
      <c r="AL89" s="11"/>
      <c r="AM89" s="11"/>
      <c r="AN89" s="11">
        <v>353082</v>
      </c>
      <c r="AO89" s="11">
        <v>353082</v>
      </c>
      <c r="AP89" s="38" t="s">
        <v>453</v>
      </c>
      <c r="AQ89" s="38" t="s">
        <v>454</v>
      </c>
      <c r="AR89" s="72">
        <v>312618823</v>
      </c>
      <c r="AS89" s="9"/>
      <c r="AT89" s="216"/>
      <c r="AU89" s="214"/>
      <c r="BG89" s="9"/>
      <c r="BI89" s="141">
        <v>46085</v>
      </c>
      <c r="BJ89" s="11">
        <v>262815</v>
      </c>
      <c r="BK89" s="11">
        <v>1050</v>
      </c>
      <c r="BL89" s="11">
        <v>248405</v>
      </c>
      <c r="BM89" s="11"/>
      <c r="BN89" s="11"/>
      <c r="BO89" s="11"/>
      <c r="BP89" s="11">
        <v>249455</v>
      </c>
      <c r="BQ89" s="11">
        <v>249455</v>
      </c>
      <c r="BR89" s="38" t="s">
        <v>455</v>
      </c>
      <c r="BS89" s="38" t="s">
        <v>129</v>
      </c>
      <c r="BT89" s="72">
        <v>174398182</v>
      </c>
      <c r="BU89" s="9"/>
      <c r="BV89" s="216"/>
      <c r="BW89" s="214"/>
      <c r="BY89" s="267">
        <f>IF('[2]2026 március'!B$5=0,
    "",
    '[2]2026 március'!B$5
)</f>
        <v>1730620</v>
      </c>
      <c r="CI89" s="9"/>
    </row>
    <row r="90" spans="1:87" ht="14.25" customHeight="1">
      <c r="A90" s="141">
        <v>46086</v>
      </c>
      <c r="B90" s="11">
        <v>397575</v>
      </c>
      <c r="C90" s="11">
        <v>700</v>
      </c>
      <c r="D90" s="11">
        <v>374415</v>
      </c>
      <c r="E90" s="11"/>
      <c r="F90" s="11"/>
      <c r="G90" s="11">
        <v>1890</v>
      </c>
      <c r="H90" s="11">
        <v>373225</v>
      </c>
      <c r="I90" s="11">
        <v>373225</v>
      </c>
      <c r="J90" s="38" t="s">
        <v>456</v>
      </c>
      <c r="K90" s="38" t="s">
        <v>457</v>
      </c>
      <c r="L90" s="72">
        <v>143119971</v>
      </c>
      <c r="M90" s="9"/>
      <c r="N90" s="216"/>
      <c r="O90" s="214"/>
      <c r="Q90" s="141">
        <v>46086</v>
      </c>
      <c r="R90" s="11">
        <v>724880</v>
      </c>
      <c r="S90" s="11">
        <v>3450</v>
      </c>
      <c r="T90" s="11">
        <v>669045</v>
      </c>
      <c r="U90" s="11"/>
      <c r="V90" s="11"/>
      <c r="W90" s="11"/>
      <c r="X90" s="11">
        <v>672495</v>
      </c>
      <c r="Y90" s="11">
        <v>672495</v>
      </c>
      <c r="Z90" s="38" t="s">
        <v>458</v>
      </c>
      <c r="AA90" s="38" t="s">
        <v>230</v>
      </c>
      <c r="AB90" s="72">
        <v>178079351</v>
      </c>
      <c r="AC90" s="9"/>
      <c r="AD90" s="216"/>
      <c r="AE90" s="214"/>
      <c r="AG90" s="141">
        <v>46086</v>
      </c>
      <c r="AH90" s="11">
        <v>354285</v>
      </c>
      <c r="AI90" s="11">
        <v>1500</v>
      </c>
      <c r="AJ90" s="11">
        <v>324920</v>
      </c>
      <c r="AK90" s="11"/>
      <c r="AL90" s="11"/>
      <c r="AM90" s="11"/>
      <c r="AN90" s="11">
        <v>326420</v>
      </c>
      <c r="AO90" s="11">
        <v>326420</v>
      </c>
      <c r="AP90" s="38" t="s">
        <v>390</v>
      </c>
      <c r="AQ90" s="38" t="s">
        <v>459</v>
      </c>
      <c r="AR90" s="72">
        <v>312945243</v>
      </c>
      <c r="AS90" s="9"/>
      <c r="AT90" s="216"/>
      <c r="AU90" s="214"/>
      <c r="BG90" s="9"/>
      <c r="BI90" s="141">
        <v>46086</v>
      </c>
      <c r="BJ90" s="11">
        <v>229180</v>
      </c>
      <c r="BK90" s="11">
        <v>750</v>
      </c>
      <c r="BL90" s="11">
        <v>213390</v>
      </c>
      <c r="BM90" s="11"/>
      <c r="BN90" s="11"/>
      <c r="BO90" s="11"/>
      <c r="BP90" s="11">
        <v>214140</v>
      </c>
      <c r="BQ90" s="11">
        <v>214140</v>
      </c>
      <c r="BR90" s="38" t="s">
        <v>460</v>
      </c>
      <c r="BS90" s="38" t="s">
        <v>180</v>
      </c>
      <c r="BT90" s="72">
        <v>174612322</v>
      </c>
      <c r="BU90" s="9"/>
      <c r="BV90" s="216"/>
      <c r="BW90" s="214"/>
      <c r="BY90" s="498">
        <v>1762195</v>
      </c>
      <c r="CI90" s="9"/>
    </row>
    <row r="91" spans="1:87" ht="14.25" customHeight="1">
      <c r="A91" s="141">
        <v>46087</v>
      </c>
      <c r="B91" s="11">
        <v>337770</v>
      </c>
      <c r="C91" s="11">
        <v>1200</v>
      </c>
      <c r="D91" s="11">
        <v>325245</v>
      </c>
      <c r="E91" s="11"/>
      <c r="F91" s="11"/>
      <c r="G91" s="11"/>
      <c r="H91" s="11">
        <v>326445</v>
      </c>
      <c r="I91" s="11">
        <v>326445</v>
      </c>
      <c r="J91" s="38" t="s">
        <v>461</v>
      </c>
      <c r="K91" s="38" t="s">
        <v>462</v>
      </c>
      <c r="L91" s="72">
        <v>143446416</v>
      </c>
      <c r="M91" s="9"/>
      <c r="N91" s="216"/>
      <c r="O91" s="214"/>
      <c r="Q91" s="141">
        <v>46087</v>
      </c>
      <c r="R91" s="11">
        <v>637950</v>
      </c>
      <c r="S91" s="11">
        <v>4250</v>
      </c>
      <c r="T91" s="11">
        <v>602025</v>
      </c>
      <c r="U91" s="11"/>
      <c r="V91" s="11"/>
      <c r="W91" s="11"/>
      <c r="X91" s="11">
        <v>606275</v>
      </c>
      <c r="Y91" s="11">
        <v>606275</v>
      </c>
      <c r="Z91" s="38" t="s">
        <v>463</v>
      </c>
      <c r="AA91" s="38" t="s">
        <v>234</v>
      </c>
      <c r="AB91" s="72">
        <v>178685626</v>
      </c>
      <c r="AC91" s="9"/>
      <c r="AD91" s="216"/>
      <c r="AE91" s="214"/>
      <c r="AG91" s="141">
        <v>46087</v>
      </c>
      <c r="AH91" s="11">
        <v>243750</v>
      </c>
      <c r="AI91" s="11">
        <v>1550</v>
      </c>
      <c r="AJ91" s="11">
        <v>237630</v>
      </c>
      <c r="AK91" s="11"/>
      <c r="AL91" s="11"/>
      <c r="AM91" s="11"/>
      <c r="AN91" s="11">
        <v>239180</v>
      </c>
      <c r="AO91" s="11">
        <v>239180</v>
      </c>
      <c r="AP91" s="38"/>
      <c r="AQ91" s="38" t="s">
        <v>464</v>
      </c>
      <c r="AR91" s="72">
        <v>313184423</v>
      </c>
      <c r="AS91" s="9"/>
      <c r="AT91" s="216"/>
      <c r="AU91" s="214"/>
      <c r="BG91" s="9"/>
      <c r="BI91" s="141">
        <v>46087</v>
      </c>
      <c r="BJ91" s="11">
        <v>174090</v>
      </c>
      <c r="BK91" s="11">
        <v>750</v>
      </c>
      <c r="BL91" s="11">
        <v>165645</v>
      </c>
      <c r="BM91" s="11"/>
      <c r="BN91" s="11"/>
      <c r="BO91" s="11">
        <v>1890</v>
      </c>
      <c r="BP91" s="11">
        <v>164505</v>
      </c>
      <c r="BQ91" s="11">
        <v>164505</v>
      </c>
      <c r="BR91" s="38" t="s">
        <v>465</v>
      </c>
      <c r="BS91" s="38" t="s">
        <v>109</v>
      </c>
      <c r="BT91" s="72">
        <v>174778717</v>
      </c>
      <c r="BU91" s="9"/>
      <c r="BV91" s="216"/>
      <c r="BW91" s="214"/>
      <c r="BY91" s="267">
        <f>IF('[2]2026 március'!B$7=0,
    "",
    '[2]2026 március'!B$7
)</f>
        <v>1393560</v>
      </c>
      <c r="CI91" s="9"/>
    </row>
    <row r="92" spans="1:87" ht="14.25" customHeight="1">
      <c r="A92" s="141">
        <v>46088</v>
      </c>
      <c r="B92" s="142"/>
      <c r="C92" s="142"/>
      <c r="D92" s="142"/>
      <c r="E92" s="142"/>
      <c r="F92" s="142"/>
      <c r="G92" s="142"/>
      <c r="H92" s="142"/>
      <c r="I92" s="142"/>
      <c r="J92" s="143"/>
      <c r="K92" s="143"/>
      <c r="L92" s="249"/>
      <c r="M92" s="158"/>
      <c r="N92" s="381"/>
      <c r="O92" s="217"/>
      <c r="Q92" s="141">
        <v>46088</v>
      </c>
      <c r="R92" s="142"/>
      <c r="S92" s="142"/>
      <c r="T92" s="142"/>
      <c r="U92" s="142"/>
      <c r="V92" s="142"/>
      <c r="W92" s="142"/>
      <c r="X92" s="142"/>
      <c r="Y92" s="142"/>
      <c r="Z92" s="143"/>
      <c r="AA92" s="143"/>
      <c r="AB92" s="249"/>
      <c r="AC92" s="158"/>
      <c r="AD92" s="381"/>
      <c r="AE92" s="217"/>
      <c r="AG92" s="141">
        <v>46088</v>
      </c>
      <c r="AH92" s="142"/>
      <c r="AI92" s="142"/>
      <c r="AJ92" s="142"/>
      <c r="AK92" s="142"/>
      <c r="AL92" s="142"/>
      <c r="AM92" s="142"/>
      <c r="AN92" s="142"/>
      <c r="AO92" s="142"/>
      <c r="AP92" s="143"/>
      <c r="AQ92" s="143"/>
      <c r="AR92" s="249"/>
      <c r="AS92" s="158"/>
      <c r="AT92" s="381"/>
      <c r="AU92" s="217"/>
      <c r="BG92" s="158"/>
      <c r="BI92" s="141">
        <v>46088</v>
      </c>
      <c r="BJ92" s="142"/>
      <c r="BK92" s="142"/>
      <c r="BL92" s="142"/>
      <c r="BM92" s="142"/>
      <c r="BN92" s="142"/>
      <c r="BO92" s="142"/>
      <c r="BP92" s="142"/>
      <c r="BQ92" s="142"/>
      <c r="BR92" s="143"/>
      <c r="BS92" s="143"/>
      <c r="BT92" s="249"/>
      <c r="BU92" s="158"/>
      <c r="BV92" s="381"/>
      <c r="BW92" s="217"/>
      <c r="BY92" s="267" t="str">
        <f>IF('[2]2026 március'!B$8=0,
    "",
    '[2]2026 március'!B$8
)</f>
        <v/>
      </c>
      <c r="CI92" s="158"/>
    </row>
    <row r="93" spans="1:87" ht="14.25" customHeight="1">
      <c r="A93" s="141">
        <v>46089</v>
      </c>
      <c r="B93" s="142"/>
      <c r="C93" s="142"/>
      <c r="D93" s="142"/>
      <c r="E93" s="142"/>
      <c r="F93" s="142"/>
      <c r="G93" s="142"/>
      <c r="H93" s="142"/>
      <c r="I93" s="142"/>
      <c r="J93" s="143"/>
      <c r="K93" s="143"/>
      <c r="L93" s="249"/>
      <c r="M93" s="158"/>
      <c r="N93" s="381"/>
      <c r="O93" s="217"/>
      <c r="Q93" s="141">
        <v>46089</v>
      </c>
      <c r="R93" s="142"/>
      <c r="S93" s="142"/>
      <c r="T93" s="142"/>
      <c r="U93" s="142"/>
      <c r="V93" s="142"/>
      <c r="W93" s="142"/>
      <c r="X93" s="142"/>
      <c r="Y93" s="142"/>
      <c r="Z93" s="143"/>
      <c r="AA93" s="143"/>
      <c r="AB93" s="249"/>
      <c r="AC93" s="158"/>
      <c r="AD93" s="381"/>
      <c r="AE93" s="217"/>
      <c r="AG93" s="141">
        <v>46089</v>
      </c>
      <c r="AH93" s="142"/>
      <c r="AI93" s="142"/>
      <c r="AJ93" s="142"/>
      <c r="AK93" s="142"/>
      <c r="AL93" s="142"/>
      <c r="AM93" s="142"/>
      <c r="AN93" s="142"/>
      <c r="AO93" s="142"/>
      <c r="AP93" s="143"/>
      <c r="AQ93" s="143"/>
      <c r="AR93" s="249"/>
      <c r="AS93" s="158"/>
      <c r="AT93" s="381"/>
      <c r="AU93" s="217"/>
      <c r="BG93" s="158"/>
      <c r="BI93" s="141">
        <v>46089</v>
      </c>
      <c r="BJ93" s="142"/>
      <c r="BK93" s="142"/>
      <c r="BL93" s="142"/>
      <c r="BM93" s="142"/>
      <c r="BN93" s="142"/>
      <c r="BO93" s="142"/>
      <c r="BP93" s="142"/>
      <c r="BQ93" s="142"/>
      <c r="BR93" s="143"/>
      <c r="BS93" s="143"/>
      <c r="BT93" s="249"/>
      <c r="BU93" s="158"/>
      <c r="BV93" s="381"/>
      <c r="BW93" s="217"/>
      <c r="BY93" s="267" t="str">
        <f>IF('[2]2026 március'!B$9=0,
    "",
    '[2]2026 március'!B$9
)</f>
        <v/>
      </c>
      <c r="CI93" s="158"/>
    </row>
    <row r="94" spans="1:87" ht="14.25" customHeight="1">
      <c r="A94" s="141">
        <v>46090</v>
      </c>
      <c r="B94" s="11">
        <v>381325</v>
      </c>
      <c r="C94" s="11">
        <v>1000</v>
      </c>
      <c r="D94" s="11">
        <v>363743</v>
      </c>
      <c r="E94" s="11"/>
      <c r="F94" s="11"/>
      <c r="G94" s="11"/>
      <c r="H94" s="11">
        <v>364743</v>
      </c>
      <c r="I94" s="11">
        <v>364743</v>
      </c>
      <c r="J94" s="38" t="s">
        <v>466</v>
      </c>
      <c r="K94" s="38" t="s">
        <v>467</v>
      </c>
      <c r="L94" s="72">
        <v>143811159</v>
      </c>
      <c r="M94" s="9"/>
      <c r="N94" s="216"/>
      <c r="O94" s="214"/>
      <c r="Q94" s="141">
        <v>46090</v>
      </c>
      <c r="R94" s="11">
        <v>570035</v>
      </c>
      <c r="S94" s="11">
        <v>3150</v>
      </c>
      <c r="T94" s="11">
        <v>541120</v>
      </c>
      <c r="U94" s="11"/>
      <c r="V94" s="11"/>
      <c r="W94" s="11"/>
      <c r="X94" s="11">
        <v>544270</v>
      </c>
      <c r="Y94" s="11">
        <v>544270</v>
      </c>
      <c r="Z94" s="38" t="s">
        <v>468</v>
      </c>
      <c r="AA94" s="38" t="s">
        <v>238</v>
      </c>
      <c r="AB94" s="72">
        <v>179229896</v>
      </c>
      <c r="AC94" s="9"/>
      <c r="AD94" s="216"/>
      <c r="AE94" s="214"/>
      <c r="AG94" s="141">
        <v>46090</v>
      </c>
      <c r="AH94" s="11">
        <v>407265</v>
      </c>
      <c r="AI94" s="11">
        <v>2000</v>
      </c>
      <c r="AJ94" s="11">
        <v>381054</v>
      </c>
      <c r="AK94" s="11"/>
      <c r="AL94" s="11"/>
      <c r="AM94" s="11"/>
      <c r="AN94" s="11">
        <v>383054</v>
      </c>
      <c r="AO94" s="11">
        <v>383054</v>
      </c>
      <c r="AP94" s="38" t="s">
        <v>469</v>
      </c>
      <c r="AQ94" s="38" t="s">
        <v>470</v>
      </c>
      <c r="AR94" s="72">
        <v>313567477</v>
      </c>
      <c r="AS94" s="9"/>
      <c r="AT94" s="216"/>
      <c r="AU94" s="214"/>
      <c r="BG94" s="9"/>
      <c r="BI94" s="141">
        <v>46090</v>
      </c>
      <c r="BJ94" s="11">
        <v>243530</v>
      </c>
      <c r="BK94" s="11">
        <v>1200</v>
      </c>
      <c r="BL94" s="11">
        <v>232120</v>
      </c>
      <c r="BM94" s="11"/>
      <c r="BN94" s="11"/>
      <c r="BO94" s="11"/>
      <c r="BP94" s="11">
        <v>233320</v>
      </c>
      <c r="BQ94" s="11">
        <v>233320</v>
      </c>
      <c r="BR94" s="38" t="s">
        <v>471</v>
      </c>
      <c r="BS94" s="38" t="s">
        <v>181</v>
      </c>
      <c r="BT94" s="72">
        <v>175012037</v>
      </c>
      <c r="BU94" s="9"/>
      <c r="BV94" s="216"/>
      <c r="BW94" s="214"/>
      <c r="BY94" s="498">
        <v>1517080</v>
      </c>
      <c r="CI94" s="9"/>
    </row>
    <row r="95" spans="1:87" ht="14.25" customHeight="1">
      <c r="A95" s="141">
        <v>46091</v>
      </c>
      <c r="B95" s="11">
        <v>496180</v>
      </c>
      <c r="C95" s="11">
        <v>1150</v>
      </c>
      <c r="D95" s="11">
        <v>471300</v>
      </c>
      <c r="E95" s="11"/>
      <c r="F95" s="11"/>
      <c r="G95" s="11"/>
      <c r="H95" s="11">
        <v>472450</v>
      </c>
      <c r="I95" s="11">
        <v>472450</v>
      </c>
      <c r="J95" s="38" t="s">
        <v>472</v>
      </c>
      <c r="K95" s="38" t="s">
        <v>473</v>
      </c>
      <c r="L95" s="72">
        <v>144283609</v>
      </c>
      <c r="M95" s="9"/>
      <c r="N95" s="216"/>
      <c r="O95" s="214"/>
      <c r="Q95" s="141">
        <v>46091</v>
      </c>
      <c r="R95" s="11">
        <v>623270</v>
      </c>
      <c r="S95" s="11">
        <v>3920</v>
      </c>
      <c r="T95" s="11">
        <v>595790</v>
      </c>
      <c r="U95" s="11"/>
      <c r="V95" s="11"/>
      <c r="W95" s="11"/>
      <c r="X95" s="11">
        <v>599710</v>
      </c>
      <c r="Y95" s="11">
        <v>599710</v>
      </c>
      <c r="Z95" s="38" t="s">
        <v>474</v>
      </c>
      <c r="AA95" s="38" t="s">
        <v>242</v>
      </c>
      <c r="AB95" s="72">
        <v>179829606</v>
      </c>
      <c r="AC95" s="9"/>
      <c r="AD95" s="216"/>
      <c r="AE95" s="214"/>
      <c r="AG95" s="141">
        <v>46091</v>
      </c>
      <c r="AH95" s="11">
        <v>478870</v>
      </c>
      <c r="AI95" s="11">
        <v>2000</v>
      </c>
      <c r="AJ95" s="11">
        <v>445720</v>
      </c>
      <c r="AK95" s="11"/>
      <c r="AL95" s="11"/>
      <c r="AM95" s="11"/>
      <c r="AN95" s="11">
        <v>447720</v>
      </c>
      <c r="AO95" s="11">
        <v>447720</v>
      </c>
      <c r="AP95" s="38" t="s">
        <v>474</v>
      </c>
      <c r="AQ95" s="38" t="s">
        <v>475</v>
      </c>
      <c r="AR95" s="72">
        <v>314015197</v>
      </c>
      <c r="AS95" s="9"/>
      <c r="AT95" s="216"/>
      <c r="AU95" s="214"/>
      <c r="BG95" s="9"/>
      <c r="BI95" s="141">
        <v>46091</v>
      </c>
      <c r="BJ95" s="11">
        <v>287730</v>
      </c>
      <c r="BK95" s="11">
        <v>900</v>
      </c>
      <c r="BL95" s="11">
        <v>271190</v>
      </c>
      <c r="BM95" s="11"/>
      <c r="BN95" s="11">
        <v>50</v>
      </c>
      <c r="BO95" s="11"/>
      <c r="BP95" s="11">
        <v>272140</v>
      </c>
      <c r="BQ95" s="11">
        <v>272140</v>
      </c>
      <c r="BR95" s="38" t="s">
        <v>476</v>
      </c>
      <c r="BS95" s="38" t="s">
        <v>182</v>
      </c>
      <c r="BT95" s="72">
        <v>175284177</v>
      </c>
      <c r="BU95" s="9"/>
      <c r="BV95" s="216"/>
      <c r="BW95" s="214"/>
      <c r="BY95" s="267">
        <f>IF('[2]2026 március'!B$11=0,
    "",
    '[2]2026 március'!B$11
)</f>
        <v>1886050</v>
      </c>
      <c r="CI95" s="9"/>
    </row>
    <row r="96" spans="1:87" ht="14.25" customHeight="1">
      <c r="A96" s="141">
        <v>46092</v>
      </c>
      <c r="B96" s="11">
        <v>579160</v>
      </c>
      <c r="C96" s="11">
        <v>1550</v>
      </c>
      <c r="D96" s="11">
        <v>567370</v>
      </c>
      <c r="E96" s="11"/>
      <c r="F96" s="11"/>
      <c r="G96" s="11">
        <v>1890</v>
      </c>
      <c r="H96" s="11">
        <v>567030</v>
      </c>
      <c r="I96" s="11">
        <v>567030</v>
      </c>
      <c r="J96" s="38" t="s">
        <v>400</v>
      </c>
      <c r="K96" s="38" t="s">
        <v>477</v>
      </c>
      <c r="L96" s="72">
        <v>144852529</v>
      </c>
      <c r="M96" s="9"/>
      <c r="N96" s="216"/>
      <c r="O96" s="214"/>
      <c r="Q96" s="141">
        <v>46092</v>
      </c>
      <c r="R96" s="11">
        <v>732115</v>
      </c>
      <c r="S96" s="11">
        <v>3900</v>
      </c>
      <c r="T96" s="11">
        <v>714788</v>
      </c>
      <c r="U96" s="11"/>
      <c r="V96" s="11"/>
      <c r="W96" s="11"/>
      <c r="X96" s="11">
        <v>718688</v>
      </c>
      <c r="Y96" s="11">
        <v>718688</v>
      </c>
      <c r="Z96" s="38" t="s">
        <v>478</v>
      </c>
      <c r="AA96" s="38" t="s">
        <v>246</v>
      </c>
      <c r="AB96" s="72">
        <v>180548294</v>
      </c>
      <c r="AC96" s="9"/>
      <c r="AD96" s="216"/>
      <c r="AE96" s="214"/>
      <c r="AG96" s="141">
        <v>46092</v>
      </c>
      <c r="AH96" s="11">
        <v>366555</v>
      </c>
      <c r="AI96" s="11">
        <v>1650</v>
      </c>
      <c r="AJ96" s="11">
        <v>363908</v>
      </c>
      <c r="AK96" s="11"/>
      <c r="AL96" s="11"/>
      <c r="AM96" s="11"/>
      <c r="AN96" s="11">
        <v>365558</v>
      </c>
      <c r="AO96" s="11">
        <v>365558</v>
      </c>
      <c r="AP96" s="38" t="s">
        <v>479</v>
      </c>
      <c r="AQ96" s="38" t="s">
        <v>480</v>
      </c>
      <c r="AR96" s="72">
        <v>314380755</v>
      </c>
      <c r="AS96" s="9"/>
      <c r="AT96" s="216"/>
      <c r="AU96" s="214"/>
      <c r="BG96" s="9"/>
      <c r="BI96" s="141">
        <v>46092</v>
      </c>
      <c r="BJ96" s="11">
        <v>277905</v>
      </c>
      <c r="BK96" s="11">
        <v>1000</v>
      </c>
      <c r="BL96" s="11">
        <v>275276</v>
      </c>
      <c r="BM96" s="11"/>
      <c r="BN96" s="11"/>
      <c r="BO96" s="11"/>
      <c r="BP96" s="11">
        <v>276276</v>
      </c>
      <c r="BQ96" s="11">
        <v>276276</v>
      </c>
      <c r="BR96" s="38" t="s">
        <v>481</v>
      </c>
      <c r="BS96" s="38" t="s">
        <v>183</v>
      </c>
      <c r="BT96" s="72">
        <v>175560453</v>
      </c>
      <c r="BU96" s="9"/>
      <c r="BV96" s="216"/>
      <c r="BW96" s="214"/>
      <c r="BY96" s="498">
        <v>1854550</v>
      </c>
      <c r="CI96" s="9"/>
    </row>
    <row r="97" spans="1:96" ht="14.25" customHeight="1">
      <c r="A97" s="141">
        <v>46093</v>
      </c>
      <c r="B97" s="11">
        <v>504745</v>
      </c>
      <c r="C97" s="11">
        <v>1650</v>
      </c>
      <c r="D97" s="11">
        <v>492190</v>
      </c>
      <c r="E97" s="11"/>
      <c r="F97" s="11"/>
      <c r="G97" s="11"/>
      <c r="H97" s="11">
        <v>493840</v>
      </c>
      <c r="I97" s="11">
        <v>493840</v>
      </c>
      <c r="J97" s="38" t="s">
        <v>482</v>
      </c>
      <c r="K97" s="38" t="s">
        <v>483</v>
      </c>
      <c r="L97" s="72">
        <v>145346369</v>
      </c>
      <c r="M97" s="378"/>
      <c r="N97" s="216"/>
      <c r="O97" s="214"/>
      <c r="Q97" s="141">
        <v>46093</v>
      </c>
      <c r="R97" s="11">
        <v>604835</v>
      </c>
      <c r="S97" s="11">
        <v>2750</v>
      </c>
      <c r="T97" s="11">
        <v>577845</v>
      </c>
      <c r="U97" s="11"/>
      <c r="V97" s="11"/>
      <c r="W97" s="11"/>
      <c r="X97" s="11">
        <v>580595</v>
      </c>
      <c r="Y97" s="11">
        <v>580595</v>
      </c>
      <c r="Z97" s="38" t="s">
        <v>484</v>
      </c>
      <c r="AA97" s="38" t="s">
        <v>251</v>
      </c>
      <c r="AB97" s="72">
        <v>181128889</v>
      </c>
      <c r="AC97" s="378"/>
      <c r="AD97" s="216"/>
      <c r="AE97" s="214"/>
      <c r="AG97" s="141">
        <v>46093</v>
      </c>
      <c r="AH97" s="11">
        <v>393575</v>
      </c>
      <c r="AI97" s="11">
        <v>2000</v>
      </c>
      <c r="AJ97" s="11">
        <v>379341</v>
      </c>
      <c r="AK97" s="11"/>
      <c r="AL97" s="11"/>
      <c r="AM97" s="11"/>
      <c r="AN97" s="11">
        <v>381341</v>
      </c>
      <c r="AO97" s="11">
        <v>381341</v>
      </c>
      <c r="AP97" s="38" t="s">
        <v>485</v>
      </c>
      <c r="AQ97" s="38" t="s">
        <v>486</v>
      </c>
      <c r="AR97" s="72">
        <v>314762096</v>
      </c>
      <c r="AS97" s="378"/>
      <c r="AT97" s="216"/>
      <c r="AU97" s="214"/>
      <c r="BG97" s="9"/>
      <c r="BI97" s="141">
        <v>46093</v>
      </c>
      <c r="BJ97" s="11">
        <v>259080</v>
      </c>
      <c r="BK97" s="11">
        <v>1350</v>
      </c>
      <c r="BL97" s="11">
        <v>254160</v>
      </c>
      <c r="BM97" s="11"/>
      <c r="BN97" s="11"/>
      <c r="BO97" s="11">
        <v>1990</v>
      </c>
      <c r="BP97" s="11">
        <v>253520</v>
      </c>
      <c r="BQ97" s="11">
        <v>253520</v>
      </c>
      <c r="BR97" s="38" t="s">
        <v>487</v>
      </c>
      <c r="BS97" s="38" t="s">
        <v>110</v>
      </c>
      <c r="BT97" s="72">
        <v>175815963</v>
      </c>
      <c r="BU97" s="378"/>
      <c r="BV97" s="216"/>
      <c r="BW97" s="214"/>
      <c r="BY97" s="267">
        <f>IF('[2]2026 március'!B$13=0,
    "",
    '[2]2026 március'!B$13
)</f>
        <v>1762235</v>
      </c>
      <c r="CI97" s="9"/>
    </row>
    <row r="98" spans="1:96" ht="14.25" customHeight="1">
      <c r="A98" s="141">
        <v>46094</v>
      </c>
      <c r="B98" s="11">
        <v>446375</v>
      </c>
      <c r="C98" s="11">
        <v>1450</v>
      </c>
      <c r="D98" s="11">
        <v>426925</v>
      </c>
      <c r="E98" s="11"/>
      <c r="F98" s="11"/>
      <c r="G98" s="11"/>
      <c r="H98" s="11">
        <v>428375</v>
      </c>
      <c r="I98" s="11">
        <v>428375</v>
      </c>
      <c r="J98" s="38" t="s">
        <v>488</v>
      </c>
      <c r="K98" s="38" t="s">
        <v>489</v>
      </c>
      <c r="L98" s="72">
        <v>145774744</v>
      </c>
      <c r="M98" s="9"/>
      <c r="N98" s="216"/>
      <c r="O98" s="214"/>
      <c r="Q98" s="141">
        <v>46094</v>
      </c>
      <c r="R98" s="11">
        <v>574000</v>
      </c>
      <c r="S98" s="11">
        <v>2900</v>
      </c>
      <c r="T98" s="11">
        <v>553320</v>
      </c>
      <c r="U98" s="11"/>
      <c r="V98" s="11"/>
      <c r="W98" s="11"/>
      <c r="X98" s="11">
        <v>556220</v>
      </c>
      <c r="Y98" s="11">
        <v>556220</v>
      </c>
      <c r="Z98" s="38" t="s">
        <v>490</v>
      </c>
      <c r="AA98" s="38" t="s">
        <v>255</v>
      </c>
      <c r="AB98" s="72">
        <v>181685109</v>
      </c>
      <c r="AC98" s="9"/>
      <c r="AD98" s="216"/>
      <c r="AE98" s="214"/>
      <c r="AG98" s="141">
        <v>46094</v>
      </c>
      <c r="AH98" s="11">
        <v>329250</v>
      </c>
      <c r="AI98" s="11">
        <v>2650</v>
      </c>
      <c r="AJ98" s="11">
        <v>306978</v>
      </c>
      <c r="AK98" s="11">
        <v>50</v>
      </c>
      <c r="AL98" s="11"/>
      <c r="AM98" s="11"/>
      <c r="AN98" s="11">
        <v>309678</v>
      </c>
      <c r="AO98" s="11">
        <v>309678</v>
      </c>
      <c r="AP98" s="38" t="s">
        <v>491</v>
      </c>
      <c r="AQ98" s="38" t="s">
        <v>492</v>
      </c>
      <c r="AR98" s="72">
        <v>315071774</v>
      </c>
      <c r="AS98" s="9"/>
      <c r="AT98" s="216"/>
      <c r="AU98" s="214"/>
      <c r="BG98" s="9"/>
      <c r="BI98" s="141">
        <v>46094</v>
      </c>
      <c r="BJ98" s="11">
        <v>196045</v>
      </c>
      <c r="BK98" s="11">
        <v>1100</v>
      </c>
      <c r="BL98" s="11">
        <v>186595</v>
      </c>
      <c r="BM98" s="11"/>
      <c r="BN98" s="11"/>
      <c r="BO98" s="11"/>
      <c r="BP98" s="11">
        <v>187695</v>
      </c>
      <c r="BQ98" s="11">
        <v>187695</v>
      </c>
      <c r="BR98" s="38" t="s">
        <v>312</v>
      </c>
      <c r="BS98" s="38" t="s">
        <v>184</v>
      </c>
      <c r="BT98" s="72">
        <v>176003658</v>
      </c>
      <c r="BU98" s="9"/>
      <c r="BV98" s="216"/>
      <c r="BW98" s="214"/>
      <c r="BY98" s="498">
        <v>1406390</v>
      </c>
      <c r="CI98" s="9"/>
    </row>
    <row r="99" spans="1:96" ht="14.25" customHeight="1">
      <c r="A99" s="141">
        <v>46095</v>
      </c>
      <c r="B99" s="142"/>
      <c r="C99" s="142"/>
      <c r="D99" s="142"/>
      <c r="E99" s="142"/>
      <c r="F99" s="142"/>
      <c r="G99" s="142"/>
      <c r="H99" s="142"/>
      <c r="I99" s="142"/>
      <c r="J99" s="143"/>
      <c r="K99" s="143"/>
      <c r="L99" s="146"/>
      <c r="M99" s="158"/>
      <c r="N99" s="381"/>
      <c r="O99" s="217"/>
      <c r="Q99" s="141">
        <v>46095</v>
      </c>
      <c r="R99" s="142"/>
      <c r="S99" s="142"/>
      <c r="T99" s="142"/>
      <c r="U99" s="142"/>
      <c r="V99" s="142"/>
      <c r="W99" s="142"/>
      <c r="X99" s="142"/>
      <c r="Y99" s="142"/>
      <c r="Z99" s="143"/>
      <c r="AA99" s="143"/>
      <c r="AB99" s="146"/>
      <c r="AC99" s="158"/>
      <c r="AD99" s="381"/>
      <c r="AE99" s="217"/>
      <c r="AG99" s="141">
        <v>46095</v>
      </c>
      <c r="AH99" s="142"/>
      <c r="AI99" s="142"/>
      <c r="AJ99" s="142"/>
      <c r="AK99" s="142"/>
      <c r="AL99" s="142"/>
      <c r="AM99" s="142"/>
      <c r="AN99" s="142"/>
      <c r="AO99" s="142"/>
      <c r="AP99" s="143"/>
      <c r="AQ99" s="143"/>
      <c r="AR99" s="146"/>
      <c r="AS99" s="158"/>
      <c r="AT99" s="381"/>
      <c r="AU99" s="217"/>
      <c r="BG99" s="158"/>
      <c r="BI99" s="141">
        <v>46095</v>
      </c>
      <c r="BJ99" s="142"/>
      <c r="BK99" s="142"/>
      <c r="BL99" s="142"/>
      <c r="BM99" s="142"/>
      <c r="BN99" s="142"/>
      <c r="BO99" s="142"/>
      <c r="BP99" s="142"/>
      <c r="BQ99" s="142"/>
      <c r="BR99" s="143"/>
      <c r="BS99" s="143"/>
      <c r="BT99" s="146"/>
      <c r="BU99" s="158"/>
      <c r="BV99" s="381"/>
      <c r="BW99" s="217"/>
      <c r="BY99" s="267" t="str">
        <f>IF('[2]2026 március'!B$15=0,
    "",
    '[2]2026 március'!B$15
)</f>
        <v/>
      </c>
      <c r="CI99" s="158"/>
      <c r="CR99" t="s">
        <v>205</v>
      </c>
    </row>
    <row r="100" spans="1:96" ht="14.25" customHeight="1">
      <c r="A100" s="141">
        <v>46096</v>
      </c>
      <c r="B100" s="142"/>
      <c r="C100" s="142"/>
      <c r="D100" s="142"/>
      <c r="E100" s="142"/>
      <c r="F100" s="142"/>
      <c r="G100" s="142"/>
      <c r="H100" s="142"/>
      <c r="I100" s="142"/>
      <c r="J100" s="143"/>
      <c r="K100" s="143"/>
      <c r="L100" s="146"/>
      <c r="M100" s="158"/>
      <c r="N100" s="381"/>
      <c r="O100" s="217"/>
      <c r="Q100" s="141">
        <v>46096</v>
      </c>
      <c r="R100" s="142"/>
      <c r="S100" s="142"/>
      <c r="T100" s="142"/>
      <c r="U100" s="142"/>
      <c r="V100" s="142"/>
      <c r="W100" s="142"/>
      <c r="X100" s="142"/>
      <c r="Y100" s="142"/>
      <c r="Z100" s="143"/>
      <c r="AA100" s="143"/>
      <c r="AB100" s="146"/>
      <c r="AC100" s="158"/>
      <c r="AD100" s="381"/>
      <c r="AE100" s="217"/>
      <c r="AG100" s="141">
        <v>46096</v>
      </c>
      <c r="AH100" s="142"/>
      <c r="AI100" s="142"/>
      <c r="AJ100" s="142"/>
      <c r="AK100" s="142"/>
      <c r="AL100" s="142"/>
      <c r="AM100" s="142"/>
      <c r="AN100" s="142"/>
      <c r="AO100" s="142"/>
      <c r="AP100" s="143"/>
      <c r="AQ100" s="143"/>
      <c r="AR100" s="146"/>
      <c r="AS100" s="158"/>
      <c r="AT100" s="381"/>
      <c r="AU100" s="217"/>
      <c r="BG100" s="158"/>
      <c r="BI100" s="141">
        <v>46096</v>
      </c>
      <c r="BJ100" s="142"/>
      <c r="BK100" s="142"/>
      <c r="BL100" s="142"/>
      <c r="BM100" s="142"/>
      <c r="BN100" s="142"/>
      <c r="BO100" s="142"/>
      <c r="BP100" s="142"/>
      <c r="BQ100" s="142"/>
      <c r="BR100" s="143"/>
      <c r="BS100" s="143"/>
      <c r="BT100" s="146"/>
      <c r="BU100" s="158"/>
      <c r="BV100" s="381"/>
      <c r="BW100" s="217"/>
      <c r="BY100" s="267" t="str">
        <f>IF('[2]2026 március'!B$16=0,
    "",
    '[2]2026 március'!B$16
)</f>
        <v/>
      </c>
      <c r="CI100" s="158"/>
    </row>
    <row r="101" spans="1:96" ht="14.25" customHeight="1">
      <c r="A101" s="141">
        <v>46097</v>
      </c>
      <c r="B101" s="11">
        <v>418510</v>
      </c>
      <c r="C101" s="11">
        <v>1100</v>
      </c>
      <c r="D101" s="11">
        <v>404110</v>
      </c>
      <c r="E101" s="11"/>
      <c r="F101" s="11"/>
      <c r="G101" s="11">
        <v>1990</v>
      </c>
      <c r="H101" s="11">
        <v>403220</v>
      </c>
      <c r="I101" s="11">
        <v>403220</v>
      </c>
      <c r="J101" s="38" t="s">
        <v>216</v>
      </c>
      <c r="K101" s="38" t="s">
        <v>493</v>
      </c>
      <c r="L101" s="72">
        <v>146179954</v>
      </c>
      <c r="M101" s="9"/>
      <c r="N101" s="216"/>
      <c r="O101" s="214"/>
      <c r="Q101" s="141">
        <v>46097</v>
      </c>
      <c r="R101" s="11">
        <v>651135</v>
      </c>
      <c r="S101" s="11">
        <v>3400</v>
      </c>
      <c r="T101" s="11">
        <v>614370</v>
      </c>
      <c r="U101" s="11"/>
      <c r="V101" s="11"/>
      <c r="W101" s="11"/>
      <c r="X101" s="11">
        <v>617770</v>
      </c>
      <c r="Y101" s="11">
        <v>617770</v>
      </c>
      <c r="Z101" s="38" t="s">
        <v>494</v>
      </c>
      <c r="AA101" s="38" t="s">
        <v>259</v>
      </c>
      <c r="AB101" s="72">
        <v>182302879</v>
      </c>
      <c r="AC101" s="9"/>
      <c r="AD101" s="216"/>
      <c r="AE101" s="214"/>
      <c r="AG101" s="141">
        <v>46097</v>
      </c>
      <c r="AH101" s="11">
        <v>356430</v>
      </c>
      <c r="AI101" s="11">
        <v>2350</v>
      </c>
      <c r="AJ101" s="11">
        <v>347566</v>
      </c>
      <c r="AK101" s="11"/>
      <c r="AL101" s="11"/>
      <c r="AM101" s="11"/>
      <c r="AN101" s="11">
        <v>349916</v>
      </c>
      <c r="AO101" s="11">
        <v>349916</v>
      </c>
      <c r="AP101" s="38" t="s">
        <v>495</v>
      </c>
      <c r="AQ101" s="38" t="s">
        <v>496</v>
      </c>
      <c r="AR101" s="72">
        <v>315421690</v>
      </c>
      <c r="AS101" s="9"/>
      <c r="AT101" s="216"/>
      <c r="AU101" s="214"/>
      <c r="BG101" s="9"/>
      <c r="BI101" s="141">
        <v>46097</v>
      </c>
      <c r="BJ101" s="11">
        <v>230780</v>
      </c>
      <c r="BK101" s="11">
        <v>1100</v>
      </c>
      <c r="BL101" s="11">
        <v>221700</v>
      </c>
      <c r="BM101" s="11"/>
      <c r="BN101" s="11"/>
      <c r="BO101" s="11"/>
      <c r="BP101" s="11">
        <v>222800</v>
      </c>
      <c r="BQ101" s="11">
        <v>222800</v>
      </c>
      <c r="BR101" s="38" t="s">
        <v>363</v>
      </c>
      <c r="BS101" s="38" t="s">
        <v>185</v>
      </c>
      <c r="BT101" s="72">
        <v>176226458</v>
      </c>
      <c r="BU101" s="9"/>
      <c r="BV101" s="216"/>
      <c r="BW101" s="214"/>
      <c r="BY101" s="267">
        <f>IF('[2]2026 március'!B$17=0,
    "",
    '[2]2026 március'!B$17
)</f>
        <v>1656855</v>
      </c>
      <c r="CI101" s="9"/>
    </row>
    <row r="102" spans="1:96" ht="14.25" customHeight="1">
      <c r="A102" s="141">
        <v>46098</v>
      </c>
      <c r="B102" s="11">
        <v>408035</v>
      </c>
      <c r="C102" s="11">
        <v>1050</v>
      </c>
      <c r="D102" s="11">
        <v>396135</v>
      </c>
      <c r="E102" s="11"/>
      <c r="F102" s="11"/>
      <c r="G102" s="11"/>
      <c r="H102" s="11">
        <v>397185</v>
      </c>
      <c r="I102" s="11">
        <v>397185</v>
      </c>
      <c r="J102" s="38" t="s">
        <v>204</v>
      </c>
      <c r="K102" s="38" t="s">
        <v>497</v>
      </c>
      <c r="L102" s="72">
        <v>146577139</v>
      </c>
      <c r="M102" s="9"/>
      <c r="N102" s="216"/>
      <c r="O102" s="214"/>
      <c r="Q102" s="141">
        <v>46098</v>
      </c>
      <c r="R102" s="11">
        <v>654130</v>
      </c>
      <c r="S102" s="11">
        <v>4100</v>
      </c>
      <c r="T102" s="11">
        <v>602105</v>
      </c>
      <c r="U102" s="11">
        <v>50</v>
      </c>
      <c r="V102" s="11"/>
      <c r="W102" s="11">
        <v>1990</v>
      </c>
      <c r="X102" s="11">
        <v>604265</v>
      </c>
      <c r="Y102" s="11">
        <v>604265</v>
      </c>
      <c r="Z102" s="38" t="s">
        <v>498</v>
      </c>
      <c r="AA102" s="38" t="s">
        <v>263</v>
      </c>
      <c r="AB102" s="72">
        <v>182909134</v>
      </c>
      <c r="AC102" s="9"/>
      <c r="AD102" s="216"/>
      <c r="AE102" s="214"/>
      <c r="AG102" s="141">
        <v>46098</v>
      </c>
      <c r="AH102" s="11">
        <v>335390</v>
      </c>
      <c r="AI102" s="11">
        <v>1900</v>
      </c>
      <c r="AJ102" s="11">
        <v>318354</v>
      </c>
      <c r="AK102" s="11"/>
      <c r="AL102" s="11"/>
      <c r="AM102" s="11"/>
      <c r="AN102" s="11">
        <v>320254</v>
      </c>
      <c r="AO102" s="11">
        <v>320254</v>
      </c>
      <c r="AP102" s="38" t="s">
        <v>499</v>
      </c>
      <c r="AQ102" s="38" t="s">
        <v>500</v>
      </c>
      <c r="AR102" s="72">
        <v>315741944</v>
      </c>
      <c r="AS102" s="9"/>
      <c r="AT102" s="216"/>
      <c r="AU102" s="214"/>
      <c r="BG102" s="9"/>
      <c r="BI102" s="141">
        <v>46098</v>
      </c>
      <c r="BJ102" s="11">
        <v>288990</v>
      </c>
      <c r="BK102" s="11">
        <v>1050</v>
      </c>
      <c r="BL102" s="11">
        <v>272830</v>
      </c>
      <c r="BM102" s="11"/>
      <c r="BN102" s="11"/>
      <c r="BO102" s="11"/>
      <c r="BP102" s="11">
        <v>273880</v>
      </c>
      <c r="BQ102" s="11">
        <v>273880</v>
      </c>
      <c r="BR102" s="38" t="s">
        <v>501</v>
      </c>
      <c r="BS102" s="38" t="s">
        <v>186</v>
      </c>
      <c r="BT102" s="72">
        <v>176500338</v>
      </c>
      <c r="BU102" s="9"/>
      <c r="BV102" s="216"/>
      <c r="BW102" s="214"/>
      <c r="BY102" s="498">
        <v>1858150</v>
      </c>
      <c r="CI102" s="9"/>
    </row>
    <row r="103" spans="1:96" ht="14.25" customHeight="1">
      <c r="A103" s="141">
        <v>46099</v>
      </c>
      <c r="B103" s="11">
        <v>453625</v>
      </c>
      <c r="C103" s="11">
        <v>1350</v>
      </c>
      <c r="D103" s="11">
        <v>430855</v>
      </c>
      <c r="E103" s="11"/>
      <c r="F103" s="11"/>
      <c r="G103" s="11"/>
      <c r="H103" s="11">
        <v>432205</v>
      </c>
      <c r="I103" s="11">
        <v>432205</v>
      </c>
      <c r="J103" s="38" t="s">
        <v>502</v>
      </c>
      <c r="K103" s="38" t="s">
        <v>503</v>
      </c>
      <c r="L103" s="72">
        <v>147009344</v>
      </c>
      <c r="M103" s="9"/>
      <c r="N103" s="216"/>
      <c r="O103" s="214"/>
      <c r="Q103" s="141">
        <v>46099</v>
      </c>
      <c r="R103" s="11">
        <v>690250</v>
      </c>
      <c r="S103" s="11">
        <v>3000</v>
      </c>
      <c r="T103" s="11">
        <v>659815</v>
      </c>
      <c r="U103" s="11"/>
      <c r="V103" s="11"/>
      <c r="W103" s="11">
        <v>1890</v>
      </c>
      <c r="X103" s="11">
        <v>660925</v>
      </c>
      <c r="Y103" s="11">
        <v>660925</v>
      </c>
      <c r="Z103" s="38" t="s">
        <v>504</v>
      </c>
      <c r="AA103" s="38" t="s">
        <v>267</v>
      </c>
      <c r="AB103" s="72">
        <v>183571949</v>
      </c>
      <c r="AC103" s="9"/>
      <c r="AD103" s="216"/>
      <c r="AE103" s="214"/>
      <c r="AG103" s="141">
        <v>46099</v>
      </c>
      <c r="AH103" s="11">
        <v>414015</v>
      </c>
      <c r="AI103" s="11">
        <v>1500</v>
      </c>
      <c r="AJ103" s="11">
        <v>403545</v>
      </c>
      <c r="AK103" s="11"/>
      <c r="AL103" s="11"/>
      <c r="AM103" s="11"/>
      <c r="AN103" s="11">
        <v>405045</v>
      </c>
      <c r="AO103" s="11">
        <v>405045</v>
      </c>
      <c r="AP103" s="38" t="s">
        <v>505</v>
      </c>
      <c r="AQ103" s="38" t="s">
        <v>506</v>
      </c>
      <c r="AR103" s="72">
        <v>316146989</v>
      </c>
      <c r="AS103" s="9"/>
      <c r="AT103" s="216"/>
      <c r="AU103" s="214"/>
      <c r="BG103" s="9"/>
      <c r="BI103" s="141">
        <v>46099</v>
      </c>
      <c r="BJ103" s="11">
        <v>266810</v>
      </c>
      <c r="BK103" s="11">
        <v>1010</v>
      </c>
      <c r="BL103" s="11">
        <v>247290</v>
      </c>
      <c r="BM103" s="11"/>
      <c r="BN103" s="11"/>
      <c r="BO103" s="11"/>
      <c r="BP103" s="11">
        <v>248300</v>
      </c>
      <c r="BQ103" s="11">
        <v>248300</v>
      </c>
      <c r="BR103" s="38" t="s">
        <v>507</v>
      </c>
      <c r="BS103" s="38" t="s">
        <v>187</v>
      </c>
      <c r="BT103" s="72">
        <v>176748638</v>
      </c>
      <c r="BU103" s="9"/>
      <c r="BV103" s="216"/>
      <c r="BW103" s="214"/>
      <c r="BY103" s="267">
        <f>IF('[2]2026 március'!B$19=0,
    "",
    '[2]2026 március'!B$19
)</f>
        <v>1824700</v>
      </c>
      <c r="CI103" s="9"/>
    </row>
    <row r="104" spans="1:96" ht="14.25" customHeight="1">
      <c r="A104" s="141">
        <v>46100</v>
      </c>
      <c r="B104" s="11">
        <v>368065</v>
      </c>
      <c r="C104" s="11">
        <v>900</v>
      </c>
      <c r="D104" s="11">
        <v>348083</v>
      </c>
      <c r="E104" s="11"/>
      <c r="F104" s="11"/>
      <c r="G104" s="11">
        <v>1990</v>
      </c>
      <c r="H104" s="11">
        <v>346993</v>
      </c>
      <c r="I104" s="11">
        <v>346993</v>
      </c>
      <c r="J104" s="38" t="s">
        <v>508</v>
      </c>
      <c r="K104" s="38" t="s">
        <v>509</v>
      </c>
      <c r="L104" s="72">
        <v>147358327</v>
      </c>
      <c r="M104" s="9"/>
      <c r="N104" s="216"/>
      <c r="O104" s="214"/>
      <c r="Q104" s="141">
        <v>46100</v>
      </c>
      <c r="R104" s="11">
        <v>605115</v>
      </c>
      <c r="S104" s="11">
        <v>3150</v>
      </c>
      <c r="T104" s="11">
        <v>568175</v>
      </c>
      <c r="U104" s="11"/>
      <c r="V104" s="11"/>
      <c r="W104" s="11"/>
      <c r="X104" s="11">
        <v>571325</v>
      </c>
      <c r="Y104" s="11">
        <v>571325</v>
      </c>
      <c r="Z104" s="38" t="s">
        <v>510</v>
      </c>
      <c r="AA104" s="38" t="s">
        <v>271</v>
      </c>
      <c r="AB104" s="72">
        <v>184143274</v>
      </c>
      <c r="AC104" s="9"/>
      <c r="AD104" s="216"/>
      <c r="AE104" s="214"/>
      <c r="AG104" s="141">
        <v>46100</v>
      </c>
      <c r="AH104" s="11">
        <v>324880</v>
      </c>
      <c r="AI104" s="11">
        <v>2100</v>
      </c>
      <c r="AJ104" s="11">
        <v>308340</v>
      </c>
      <c r="AK104" s="11"/>
      <c r="AL104" s="11"/>
      <c r="AM104" s="11"/>
      <c r="AN104" s="11">
        <v>310440</v>
      </c>
      <c r="AO104" s="11">
        <v>310440</v>
      </c>
      <c r="AP104" s="38" t="s">
        <v>511</v>
      </c>
      <c r="AQ104" s="38" t="s">
        <v>512</v>
      </c>
      <c r="AR104" s="72">
        <v>316457429</v>
      </c>
      <c r="AS104" s="9"/>
      <c r="AT104" s="216"/>
      <c r="AU104" s="214"/>
      <c r="BG104" s="9"/>
      <c r="BI104" s="141">
        <v>46100</v>
      </c>
      <c r="BJ104" s="11">
        <v>297035</v>
      </c>
      <c r="BK104" s="11">
        <v>1300</v>
      </c>
      <c r="BL104" s="11">
        <v>273500</v>
      </c>
      <c r="BM104" s="11"/>
      <c r="BN104" s="11"/>
      <c r="BO104" s="11"/>
      <c r="BP104" s="11">
        <v>274800</v>
      </c>
      <c r="BQ104" s="11">
        <v>274800</v>
      </c>
      <c r="BR104" s="38" t="s">
        <v>511</v>
      </c>
      <c r="BS104" s="38" t="s">
        <v>188</v>
      </c>
      <c r="BT104" s="72">
        <v>177023438</v>
      </c>
      <c r="BU104" s="9"/>
      <c r="BV104" s="216"/>
      <c r="BW104" s="214"/>
      <c r="BY104" s="267">
        <f>IF('[2]2026 március'!B$20=0,
    "",
    '[2]2026 március'!B$20
)</f>
        <v>1595095</v>
      </c>
      <c r="CI104" s="9"/>
    </row>
    <row r="105" spans="1:96" ht="14.25" customHeight="1">
      <c r="A105" s="141">
        <v>46101</v>
      </c>
      <c r="B105" s="11">
        <v>358270</v>
      </c>
      <c r="C105" s="11">
        <v>1000</v>
      </c>
      <c r="D105" s="11">
        <v>350530</v>
      </c>
      <c r="E105" s="11"/>
      <c r="F105" s="11"/>
      <c r="G105" s="11"/>
      <c r="H105" s="11">
        <v>351530</v>
      </c>
      <c r="I105" s="11">
        <v>351530</v>
      </c>
      <c r="J105" s="38" t="s">
        <v>513</v>
      </c>
      <c r="K105" s="38" t="s">
        <v>514</v>
      </c>
      <c r="L105" s="72">
        <v>147709857</v>
      </c>
      <c r="M105" s="9"/>
      <c r="N105" s="216"/>
      <c r="O105" s="214"/>
      <c r="Q105" s="141">
        <v>46101</v>
      </c>
      <c r="R105" s="11">
        <v>554800</v>
      </c>
      <c r="S105" s="11">
        <v>2800</v>
      </c>
      <c r="T105" s="11">
        <v>512665</v>
      </c>
      <c r="U105" s="11"/>
      <c r="V105" s="11"/>
      <c r="W105" s="11">
        <v>1990</v>
      </c>
      <c r="X105" s="11">
        <v>513475</v>
      </c>
      <c r="Y105" s="11">
        <v>513475</v>
      </c>
      <c r="Z105" s="38" t="s">
        <v>515</v>
      </c>
      <c r="AA105" s="38" t="s">
        <v>275</v>
      </c>
      <c r="AB105" s="72">
        <v>184658739</v>
      </c>
      <c r="AC105" s="9"/>
      <c r="AD105" s="216"/>
      <c r="AE105" s="214"/>
      <c r="AG105" s="141">
        <v>46101</v>
      </c>
      <c r="AH105" s="11">
        <v>327680</v>
      </c>
      <c r="AI105" s="11">
        <v>1250</v>
      </c>
      <c r="AJ105" s="11">
        <v>314894</v>
      </c>
      <c r="AK105" s="11"/>
      <c r="AL105" s="11"/>
      <c r="AM105" s="11"/>
      <c r="AN105" s="11">
        <v>316144</v>
      </c>
      <c r="AO105" s="11">
        <v>316144</v>
      </c>
      <c r="AP105" s="38" t="s">
        <v>516</v>
      </c>
      <c r="AQ105" s="38" t="s">
        <v>517</v>
      </c>
      <c r="AR105" s="72">
        <v>316773573</v>
      </c>
      <c r="AS105" s="9"/>
      <c r="AT105" s="216"/>
      <c r="AU105" s="214"/>
      <c r="BG105" s="9"/>
      <c r="BI105" s="141">
        <v>46101</v>
      </c>
      <c r="BJ105" s="11">
        <v>243740</v>
      </c>
      <c r="BK105" s="11">
        <v>1155</v>
      </c>
      <c r="BL105" s="11">
        <v>230505</v>
      </c>
      <c r="BM105" s="11"/>
      <c r="BN105" s="11"/>
      <c r="BO105" s="11"/>
      <c r="BP105" s="11">
        <v>231660</v>
      </c>
      <c r="BQ105" s="11">
        <v>231660</v>
      </c>
      <c r="BR105" s="38" t="s">
        <v>518</v>
      </c>
      <c r="BS105" s="38" t="s">
        <v>189</v>
      </c>
      <c r="BT105" s="72">
        <v>177255098</v>
      </c>
      <c r="BU105" s="9"/>
      <c r="BV105" s="216"/>
      <c r="BW105" s="214"/>
      <c r="BY105" s="267">
        <f>IF('[2]2026 március'!B$21=0,
    "",
    '[2]2026 március'!B$21
)</f>
        <v>1494490</v>
      </c>
      <c r="CI105" s="9"/>
    </row>
    <row r="106" spans="1:96" ht="14.25" customHeight="1">
      <c r="A106" s="141">
        <v>46102</v>
      </c>
      <c r="B106" s="142"/>
      <c r="C106" s="142"/>
      <c r="D106" s="142"/>
      <c r="E106" s="142"/>
      <c r="F106" s="142"/>
      <c r="G106" s="142"/>
      <c r="H106" s="142"/>
      <c r="I106" s="142"/>
      <c r="J106" s="143"/>
      <c r="K106" s="143"/>
      <c r="L106" s="146"/>
      <c r="M106" s="158"/>
      <c r="N106" s="381"/>
      <c r="O106" s="217"/>
      <c r="Q106" s="141">
        <v>46102</v>
      </c>
      <c r="R106" s="142"/>
      <c r="S106" s="142"/>
      <c r="T106" s="142"/>
      <c r="U106" s="142"/>
      <c r="V106" s="142"/>
      <c r="W106" s="142"/>
      <c r="X106" s="142"/>
      <c r="Y106" s="142"/>
      <c r="Z106" s="143"/>
      <c r="AA106" s="143"/>
      <c r="AB106" s="146"/>
      <c r="AC106" s="158"/>
      <c r="AD106" s="381"/>
      <c r="AE106" s="217"/>
      <c r="AG106" s="141">
        <v>46102</v>
      </c>
      <c r="AH106" s="142"/>
      <c r="AI106" s="142"/>
      <c r="AJ106" s="142"/>
      <c r="AK106" s="142"/>
      <c r="AL106" s="142"/>
      <c r="AM106" s="142"/>
      <c r="AN106" s="142"/>
      <c r="AO106" s="142"/>
      <c r="AP106" s="143"/>
      <c r="AQ106" s="143"/>
      <c r="AR106" s="146"/>
      <c r="AS106" s="158"/>
      <c r="AT106" s="381"/>
      <c r="AU106" s="217"/>
      <c r="BG106" s="158"/>
      <c r="BI106" s="141">
        <v>46102</v>
      </c>
      <c r="BJ106" s="142"/>
      <c r="BK106" s="142"/>
      <c r="BL106" s="142"/>
      <c r="BM106" s="142"/>
      <c r="BN106" s="142"/>
      <c r="BO106" s="142"/>
      <c r="BP106" s="142"/>
      <c r="BQ106" s="142"/>
      <c r="BR106" s="143"/>
      <c r="BS106" s="143"/>
      <c r="BT106" s="146"/>
      <c r="BU106" s="158"/>
      <c r="BV106" s="381"/>
      <c r="BW106" s="217"/>
      <c r="BY106" s="267" t="str">
        <f>IF('[2]2026 március'!B$22=0,
    "",
    '[2]2026 március'!B$22
)</f>
        <v/>
      </c>
      <c r="CI106" s="158"/>
    </row>
    <row r="107" spans="1:96" ht="14.25" customHeight="1">
      <c r="A107" s="141">
        <v>46103</v>
      </c>
      <c r="B107" s="142"/>
      <c r="C107" s="142"/>
      <c r="D107" s="142"/>
      <c r="E107" s="142"/>
      <c r="F107" s="142"/>
      <c r="G107" s="142"/>
      <c r="H107" s="142"/>
      <c r="I107" s="142"/>
      <c r="J107" s="143"/>
      <c r="K107" s="143"/>
      <c r="L107" s="146"/>
      <c r="M107" s="158"/>
      <c r="N107" s="381"/>
      <c r="O107" s="217"/>
      <c r="Q107" s="141">
        <v>46103</v>
      </c>
      <c r="R107" s="142"/>
      <c r="S107" s="142"/>
      <c r="T107" s="142"/>
      <c r="U107" s="142"/>
      <c r="V107" s="142"/>
      <c r="W107" s="142"/>
      <c r="X107" s="142"/>
      <c r="Y107" s="142"/>
      <c r="Z107" s="143"/>
      <c r="AA107" s="143"/>
      <c r="AB107" s="146"/>
      <c r="AC107" s="158"/>
      <c r="AD107" s="381"/>
      <c r="AE107" s="217"/>
      <c r="AG107" s="141">
        <v>46103</v>
      </c>
      <c r="AH107" s="142"/>
      <c r="AI107" s="142"/>
      <c r="AJ107" s="142"/>
      <c r="AK107" s="142"/>
      <c r="AL107" s="142"/>
      <c r="AM107" s="142"/>
      <c r="AN107" s="142"/>
      <c r="AO107" s="142"/>
      <c r="AP107" s="143"/>
      <c r="AQ107" s="143"/>
      <c r="AR107" s="146"/>
      <c r="AS107" s="158"/>
      <c r="AT107" s="381"/>
      <c r="AU107" s="217"/>
      <c r="BG107" s="158"/>
      <c r="BI107" s="141">
        <v>46103</v>
      </c>
      <c r="BJ107" s="142"/>
      <c r="BK107" s="142"/>
      <c r="BL107" s="142"/>
      <c r="BM107" s="142"/>
      <c r="BN107" s="142"/>
      <c r="BO107" s="142"/>
      <c r="BP107" s="142"/>
      <c r="BQ107" s="142"/>
      <c r="BR107" s="143"/>
      <c r="BS107" s="143"/>
      <c r="BT107" s="146"/>
      <c r="BU107" s="158"/>
      <c r="BV107" s="381"/>
      <c r="BW107" s="217"/>
      <c r="BY107" s="267" t="str">
        <f>IF('[2]2026 március'!B$23=0,
    "",
    '[2]2026 március'!B$23
)</f>
        <v/>
      </c>
      <c r="CI107" s="158"/>
    </row>
    <row r="108" spans="1:96" ht="14.25" customHeight="1">
      <c r="A108" s="141">
        <v>46104</v>
      </c>
      <c r="B108" s="11">
        <v>453250</v>
      </c>
      <c r="C108" s="11">
        <v>1900</v>
      </c>
      <c r="D108" s="11">
        <v>410560</v>
      </c>
      <c r="E108" s="11">
        <v>150</v>
      </c>
      <c r="F108" s="11"/>
      <c r="G108" s="11"/>
      <c r="H108" s="11">
        <v>412610</v>
      </c>
      <c r="I108" s="11">
        <v>412610</v>
      </c>
      <c r="J108" s="38" t="s">
        <v>519</v>
      </c>
      <c r="K108" s="38" t="s">
        <v>520</v>
      </c>
      <c r="L108" s="72">
        <v>148122467</v>
      </c>
      <c r="M108" s="9"/>
      <c r="N108" s="216"/>
      <c r="O108" s="214"/>
      <c r="Q108" s="141">
        <v>46104</v>
      </c>
      <c r="R108" s="11">
        <v>664880</v>
      </c>
      <c r="S108" s="11">
        <v>3850</v>
      </c>
      <c r="T108" s="11">
        <v>643540</v>
      </c>
      <c r="U108" s="11"/>
      <c r="V108" s="11"/>
      <c r="W108" s="11">
        <v>2280</v>
      </c>
      <c r="X108" s="11">
        <v>645110</v>
      </c>
      <c r="Y108" s="11">
        <v>645110</v>
      </c>
      <c r="Z108" s="38" t="s">
        <v>521</v>
      </c>
      <c r="AA108" s="38" t="s">
        <v>279</v>
      </c>
      <c r="AB108" s="72">
        <v>185306129</v>
      </c>
      <c r="AC108" s="9"/>
      <c r="AD108" s="216"/>
      <c r="AE108" s="214"/>
      <c r="AG108" s="141">
        <v>46104</v>
      </c>
      <c r="AH108" s="11">
        <v>350825</v>
      </c>
      <c r="AI108" s="11">
        <v>1490</v>
      </c>
      <c r="AJ108" s="11">
        <v>334828</v>
      </c>
      <c r="AK108" s="11"/>
      <c r="AL108" s="11"/>
      <c r="AM108" s="11"/>
      <c r="AN108" s="11">
        <v>336318</v>
      </c>
      <c r="AO108" s="11">
        <v>336318</v>
      </c>
      <c r="AP108" s="38" t="s">
        <v>522</v>
      </c>
      <c r="AQ108" s="38" t="s">
        <v>523</v>
      </c>
      <c r="AR108" s="72">
        <v>317109891</v>
      </c>
      <c r="AS108" s="9"/>
      <c r="AT108" s="216"/>
      <c r="AU108" s="214"/>
      <c r="BG108" s="9"/>
      <c r="BI108" s="141">
        <v>46104</v>
      </c>
      <c r="BJ108" s="11">
        <v>266000</v>
      </c>
      <c r="BK108" s="11">
        <v>870</v>
      </c>
      <c r="BL108" s="11">
        <v>257430</v>
      </c>
      <c r="BM108" s="11"/>
      <c r="BN108" s="11"/>
      <c r="BO108" s="11">
        <v>1990</v>
      </c>
      <c r="BP108" s="11">
        <v>256310</v>
      </c>
      <c r="BQ108" s="11">
        <v>256310</v>
      </c>
      <c r="BR108" s="38" t="s">
        <v>524</v>
      </c>
      <c r="BS108" s="38" t="s">
        <v>190</v>
      </c>
      <c r="BT108" s="72">
        <v>177513398</v>
      </c>
      <c r="BU108" s="9"/>
      <c r="BV108" s="216"/>
      <c r="BW108" s="214"/>
      <c r="BY108" s="267"/>
      <c r="CI108" s="9"/>
    </row>
    <row r="109" spans="1:96" ht="14.25" customHeight="1">
      <c r="A109" s="141">
        <v>46105</v>
      </c>
      <c r="B109" s="11">
        <v>464260</v>
      </c>
      <c r="C109" s="11">
        <v>650</v>
      </c>
      <c r="D109" s="11">
        <v>446835</v>
      </c>
      <c r="E109" s="11"/>
      <c r="F109" s="11"/>
      <c r="G109" s="11"/>
      <c r="H109" s="11">
        <v>447485</v>
      </c>
      <c r="I109" s="11">
        <v>447485</v>
      </c>
      <c r="J109" s="38" t="s">
        <v>525</v>
      </c>
      <c r="K109" s="38" t="s">
        <v>526</v>
      </c>
      <c r="L109" s="72">
        <v>148569952</v>
      </c>
      <c r="M109" s="9"/>
      <c r="N109" s="216"/>
      <c r="O109" s="214"/>
      <c r="Q109" s="141">
        <v>46105</v>
      </c>
      <c r="R109" s="11">
        <v>633425</v>
      </c>
      <c r="S109" s="11">
        <v>3040</v>
      </c>
      <c r="T109" s="11">
        <v>595310</v>
      </c>
      <c r="U109" s="11"/>
      <c r="V109" s="11"/>
      <c r="W109" s="11"/>
      <c r="X109" s="11">
        <v>598350</v>
      </c>
      <c r="Y109" s="11">
        <v>598350</v>
      </c>
      <c r="Z109" s="38" t="s">
        <v>527</v>
      </c>
      <c r="AA109" s="38" t="s">
        <v>283</v>
      </c>
      <c r="AB109" s="72">
        <v>185904479</v>
      </c>
      <c r="AC109" s="9"/>
      <c r="AD109" s="216"/>
      <c r="AE109" s="214"/>
      <c r="AG109" s="141">
        <v>46105</v>
      </c>
      <c r="AH109" s="11">
        <v>398375</v>
      </c>
      <c r="AI109" s="11">
        <v>2190</v>
      </c>
      <c r="AJ109" s="11">
        <v>371931</v>
      </c>
      <c r="AK109" s="11"/>
      <c r="AL109" s="11"/>
      <c r="AM109" s="11"/>
      <c r="AN109" s="11">
        <v>374121</v>
      </c>
      <c r="AO109" s="11">
        <v>374121</v>
      </c>
      <c r="AP109" s="38" t="s">
        <v>528</v>
      </c>
      <c r="AQ109" s="38" t="s">
        <v>529</v>
      </c>
      <c r="AR109" s="72">
        <v>317484012</v>
      </c>
      <c r="AS109" s="9"/>
      <c r="AT109" s="216"/>
      <c r="AU109" s="214"/>
      <c r="BG109" s="9"/>
      <c r="BI109" s="141">
        <v>46105</v>
      </c>
      <c r="BJ109" s="11">
        <v>330460</v>
      </c>
      <c r="BK109" s="11">
        <v>1350</v>
      </c>
      <c r="BL109" s="11">
        <v>316035</v>
      </c>
      <c r="BM109" s="11"/>
      <c r="BN109" s="11"/>
      <c r="BO109" s="11"/>
      <c r="BP109" s="11">
        <v>317385</v>
      </c>
      <c r="BQ109" s="11">
        <v>317385</v>
      </c>
      <c r="BR109" s="38" t="s">
        <v>530</v>
      </c>
      <c r="BS109" s="38" t="s">
        <v>191</v>
      </c>
      <c r="BT109" s="72">
        <v>177830783</v>
      </c>
      <c r="BU109" s="9"/>
      <c r="BV109" s="216"/>
      <c r="BW109" s="214"/>
      <c r="BY109" s="267">
        <f>IF('[2]2026 március'!B$25=0,
    "",
    '[2]2026 március'!B$25
)</f>
        <v>1826520</v>
      </c>
      <c r="CI109" s="9"/>
    </row>
    <row r="110" spans="1:96" ht="14.25" customHeight="1">
      <c r="A110" s="141">
        <v>46106</v>
      </c>
      <c r="B110" s="11">
        <v>414390</v>
      </c>
      <c r="C110" s="11">
        <v>2000</v>
      </c>
      <c r="D110" s="11">
        <v>386865</v>
      </c>
      <c r="E110" s="11"/>
      <c r="F110" s="11"/>
      <c r="G110" s="11"/>
      <c r="H110" s="11">
        <v>388865</v>
      </c>
      <c r="I110" s="11">
        <v>388865</v>
      </c>
      <c r="J110" s="38" t="s">
        <v>531</v>
      </c>
      <c r="K110" s="38" t="s">
        <v>532</v>
      </c>
      <c r="L110" s="72">
        <v>148958817</v>
      </c>
      <c r="M110" s="9"/>
      <c r="N110" s="216"/>
      <c r="O110" s="214"/>
      <c r="Q110" s="141">
        <v>46106</v>
      </c>
      <c r="R110" s="11">
        <v>656965</v>
      </c>
      <c r="S110" s="11">
        <v>3250</v>
      </c>
      <c r="T110" s="11">
        <v>622458</v>
      </c>
      <c r="U110" s="11"/>
      <c r="V110" s="11">
        <v>2</v>
      </c>
      <c r="W110" s="11">
        <v>1990</v>
      </c>
      <c r="X110" s="11">
        <v>623720</v>
      </c>
      <c r="Y110" s="11">
        <v>623720</v>
      </c>
      <c r="Z110" s="38" t="s">
        <v>533</v>
      </c>
      <c r="AA110" s="38" t="s">
        <v>287</v>
      </c>
      <c r="AB110" s="72">
        <v>186530189</v>
      </c>
      <c r="AC110" s="9"/>
      <c r="AD110" s="216"/>
      <c r="AE110" s="214"/>
      <c r="AG110" s="141">
        <v>46106</v>
      </c>
      <c r="AH110" s="11">
        <v>456145</v>
      </c>
      <c r="AI110" s="11">
        <v>2300</v>
      </c>
      <c r="AJ110" s="11">
        <v>434259</v>
      </c>
      <c r="AK110" s="11"/>
      <c r="AL110" s="11"/>
      <c r="AM110" s="11"/>
      <c r="AN110" s="11">
        <v>436559</v>
      </c>
      <c r="AO110" s="11">
        <v>436559</v>
      </c>
      <c r="AP110" s="38" t="s">
        <v>534</v>
      </c>
      <c r="AQ110" s="38" t="s">
        <v>535</v>
      </c>
      <c r="AR110" s="72">
        <v>317920571</v>
      </c>
      <c r="AS110" s="9"/>
      <c r="AT110" s="216"/>
      <c r="AU110" s="214"/>
      <c r="BG110" s="9"/>
      <c r="BI110" s="141">
        <v>46106</v>
      </c>
      <c r="BJ110" s="11">
        <v>287455</v>
      </c>
      <c r="BK110" s="11">
        <v>1150</v>
      </c>
      <c r="BL110" s="11">
        <v>279935</v>
      </c>
      <c r="BM110" s="11"/>
      <c r="BN110" s="11"/>
      <c r="BO110" s="11"/>
      <c r="BP110" s="11">
        <v>281085</v>
      </c>
      <c r="BQ110" s="11">
        <v>281085</v>
      </c>
      <c r="BR110" s="38" t="s">
        <v>404</v>
      </c>
      <c r="BS110" s="38" t="s">
        <v>192</v>
      </c>
      <c r="BT110" s="72">
        <v>178111868</v>
      </c>
      <c r="BU110" s="9"/>
      <c r="BV110" s="216"/>
      <c r="BW110" s="214"/>
      <c r="BY110" s="267">
        <f>IF('[2]2026 március'!B$26=0,
    "",
    '[2]2026 március'!B$26
)</f>
        <v>1814955</v>
      </c>
      <c r="CI110" s="9"/>
    </row>
    <row r="111" spans="1:96" ht="14.25" customHeight="1">
      <c r="A111" s="141">
        <v>46107</v>
      </c>
      <c r="B111" s="11">
        <v>391635</v>
      </c>
      <c r="C111" s="11">
        <v>1450</v>
      </c>
      <c r="D111" s="11">
        <v>347865</v>
      </c>
      <c r="E111" s="11"/>
      <c r="F111" s="11"/>
      <c r="G111" s="11"/>
      <c r="H111" s="11">
        <v>349315</v>
      </c>
      <c r="I111" s="11">
        <v>349315</v>
      </c>
      <c r="J111" s="38" t="s">
        <v>536</v>
      </c>
      <c r="K111" s="38" t="s">
        <v>537</v>
      </c>
      <c r="L111" s="72">
        <v>149308132</v>
      </c>
      <c r="M111" s="9"/>
      <c r="N111" s="216"/>
      <c r="O111" s="214"/>
      <c r="Q111" s="141">
        <v>46107</v>
      </c>
      <c r="R111" s="11">
        <v>703630</v>
      </c>
      <c r="S111" s="11">
        <v>3150</v>
      </c>
      <c r="T111" s="11">
        <v>646045</v>
      </c>
      <c r="U111" s="11"/>
      <c r="V111" s="11"/>
      <c r="W111" s="11"/>
      <c r="X111" s="11">
        <v>649195</v>
      </c>
      <c r="Y111" s="11">
        <v>649195</v>
      </c>
      <c r="Z111" s="38" t="s">
        <v>538</v>
      </c>
      <c r="AA111" s="38" t="s">
        <v>291</v>
      </c>
      <c r="AB111" s="72">
        <v>187179384</v>
      </c>
      <c r="AC111" s="9"/>
      <c r="AD111" s="216"/>
      <c r="AE111" s="214"/>
      <c r="AG111" s="141">
        <v>46107</v>
      </c>
      <c r="AH111" s="11">
        <v>355585</v>
      </c>
      <c r="AI111" s="11">
        <v>1350</v>
      </c>
      <c r="AJ111" s="11">
        <v>325130</v>
      </c>
      <c r="AK111" s="11"/>
      <c r="AL111" s="11"/>
      <c r="AM111" s="11"/>
      <c r="AN111" s="11">
        <v>326480</v>
      </c>
      <c r="AO111" s="11">
        <v>326480</v>
      </c>
      <c r="AP111" s="38" t="s">
        <v>539</v>
      </c>
      <c r="AQ111" s="38" t="s">
        <v>540</v>
      </c>
      <c r="AR111" s="72">
        <v>318247051</v>
      </c>
      <c r="AS111" s="9"/>
      <c r="AT111" s="216"/>
      <c r="AU111" s="214"/>
      <c r="BG111" s="9"/>
      <c r="BI111" s="141">
        <v>46107</v>
      </c>
      <c r="BJ111" s="11">
        <v>245210</v>
      </c>
      <c r="BK111" s="11">
        <v>1000</v>
      </c>
      <c r="BL111" s="11">
        <v>239795</v>
      </c>
      <c r="BM111" s="11"/>
      <c r="BN111" s="11"/>
      <c r="BO111" s="11"/>
      <c r="BP111" s="488">
        <v>240795</v>
      </c>
      <c r="BQ111" s="488">
        <v>226645</v>
      </c>
      <c r="BR111" s="38" t="s">
        <v>541</v>
      </c>
      <c r="BS111" s="38" t="s">
        <v>193</v>
      </c>
      <c r="BT111" s="72">
        <v>178352663</v>
      </c>
      <c r="BU111" s="9"/>
      <c r="BV111" s="216"/>
      <c r="BW111" s="215" t="s">
        <v>210</v>
      </c>
      <c r="BY111" s="267">
        <f>IF('[2]2026 március'!B$27=0,
    "",
    '[2]2026 március'!B$27
)</f>
        <v>1696060</v>
      </c>
      <c r="CI111" s="9"/>
    </row>
    <row r="112" spans="1:96" ht="14.25" customHeight="1">
      <c r="A112" s="141">
        <v>46108</v>
      </c>
      <c r="B112" s="11">
        <v>362020</v>
      </c>
      <c r="C112" s="11">
        <v>1900</v>
      </c>
      <c r="D112" s="11">
        <v>323410</v>
      </c>
      <c r="E112" s="11"/>
      <c r="F112" s="11"/>
      <c r="G112" s="11"/>
      <c r="H112" s="15">
        <v>325310</v>
      </c>
      <c r="I112" s="15">
        <v>337115</v>
      </c>
      <c r="J112" s="38" t="s">
        <v>542</v>
      </c>
      <c r="K112" s="38" t="s">
        <v>543</v>
      </c>
      <c r="L112" s="72">
        <v>149633442</v>
      </c>
      <c r="M112" s="9"/>
      <c r="N112" s="216"/>
      <c r="O112" s="214"/>
      <c r="Q112" s="141"/>
      <c r="R112" s="11"/>
      <c r="S112" s="11"/>
      <c r="T112" s="11"/>
      <c r="U112" s="11"/>
      <c r="V112" s="11"/>
      <c r="W112" s="11"/>
      <c r="X112" s="11"/>
      <c r="Y112" s="11"/>
      <c r="Z112" s="38"/>
      <c r="AA112" s="38"/>
      <c r="AB112" s="72"/>
      <c r="AC112" s="9"/>
      <c r="AD112" s="216"/>
      <c r="AE112" s="214"/>
      <c r="AG112" s="141"/>
      <c r="AH112" s="11"/>
      <c r="AI112" s="11"/>
      <c r="AJ112" s="11"/>
      <c r="AK112" s="11"/>
      <c r="AL112" s="11"/>
      <c r="AM112" s="11"/>
      <c r="AN112" s="11"/>
      <c r="AO112" s="11"/>
      <c r="AP112" s="38"/>
      <c r="AQ112" s="38"/>
      <c r="AR112" s="72"/>
      <c r="AS112" s="9"/>
      <c r="AT112" s="216"/>
      <c r="AU112" s="214"/>
      <c r="BG112" s="9"/>
      <c r="BI112" s="141"/>
      <c r="BJ112" s="11"/>
      <c r="BK112" s="11"/>
      <c r="BL112" s="11"/>
      <c r="BM112" s="11"/>
      <c r="BN112" s="11"/>
      <c r="BO112" s="11"/>
      <c r="BP112" s="11"/>
      <c r="BQ112" s="11"/>
      <c r="BR112" s="38"/>
      <c r="BS112" s="38"/>
      <c r="BT112" s="72"/>
      <c r="BU112" s="9"/>
      <c r="BV112" s="216"/>
      <c r="BW112" s="214"/>
      <c r="BY112" s="267"/>
      <c r="CI112" s="9"/>
    </row>
    <row r="113" spans="1:87" ht="14.25" customHeight="1">
      <c r="A113" s="141">
        <v>46108</v>
      </c>
      <c r="B113" s="11">
        <v>0</v>
      </c>
      <c r="C113" s="11">
        <v>0</v>
      </c>
      <c r="D113" s="11">
        <v>11805</v>
      </c>
      <c r="E113" s="11"/>
      <c r="F113" s="11"/>
      <c r="G113" s="11"/>
      <c r="H113" s="11">
        <v>11805</v>
      </c>
      <c r="I113" s="11"/>
      <c r="J113" s="38"/>
      <c r="K113" s="38" t="s">
        <v>544</v>
      </c>
      <c r="L113" s="72">
        <v>149645247</v>
      </c>
      <c r="M113" s="9"/>
      <c r="N113" s="216"/>
      <c r="O113" s="214"/>
      <c r="Q113" s="141">
        <v>46108</v>
      </c>
      <c r="R113" s="11">
        <v>596825</v>
      </c>
      <c r="S113" s="11">
        <v>3010</v>
      </c>
      <c r="T113" s="11">
        <v>539330</v>
      </c>
      <c r="U113" s="11"/>
      <c r="V113" s="11"/>
      <c r="W113" s="11"/>
      <c r="X113" s="11">
        <v>542340</v>
      </c>
      <c r="Y113" s="11">
        <v>542340</v>
      </c>
      <c r="Z113" s="38" t="s">
        <v>545</v>
      </c>
      <c r="AA113" s="38" t="s">
        <v>295</v>
      </c>
      <c r="AB113" s="72">
        <v>187721724</v>
      </c>
      <c r="AC113" s="9"/>
      <c r="AD113" s="216"/>
      <c r="AE113" s="214"/>
      <c r="AG113" s="141">
        <v>46108</v>
      </c>
      <c r="AH113" s="11">
        <v>348970</v>
      </c>
      <c r="AI113" s="11">
        <v>1300</v>
      </c>
      <c r="AJ113" s="11">
        <v>323261</v>
      </c>
      <c r="AK113" s="11"/>
      <c r="AL113" s="11"/>
      <c r="AM113" s="11"/>
      <c r="AN113" s="11">
        <v>324561</v>
      </c>
      <c r="AO113" s="11">
        <v>324561</v>
      </c>
      <c r="AP113" s="38" t="s">
        <v>546</v>
      </c>
      <c r="AQ113" s="38" t="s">
        <v>547</v>
      </c>
      <c r="AR113" s="72">
        <v>318571612</v>
      </c>
      <c r="AS113" s="9"/>
      <c r="AT113" s="216"/>
      <c r="AU113" s="214"/>
      <c r="BG113" s="9"/>
      <c r="BI113" s="141">
        <v>46108</v>
      </c>
      <c r="BJ113" s="11">
        <v>226680</v>
      </c>
      <c r="BK113" s="11">
        <v>800</v>
      </c>
      <c r="BL113" s="11">
        <v>206770</v>
      </c>
      <c r="BM113" s="11"/>
      <c r="BN113" s="11"/>
      <c r="BO113" s="11"/>
      <c r="BP113" s="11">
        <v>207570</v>
      </c>
      <c r="BQ113" s="11">
        <v>207570</v>
      </c>
      <c r="BR113" s="38" t="s">
        <v>548</v>
      </c>
      <c r="BS113" s="38" t="s">
        <v>194</v>
      </c>
      <c r="BT113" s="72">
        <v>178560233</v>
      </c>
      <c r="BU113" s="9"/>
      <c r="BV113" s="216"/>
      <c r="BW113" s="214"/>
      <c r="BY113" s="267">
        <f>IF('[2]2026 március'!B$28=0,
    "",
    '[2]2026 március'!B$28
)</f>
        <v>1534495</v>
      </c>
      <c r="CI113" s="9"/>
    </row>
    <row r="114" spans="1:87" ht="14.25" customHeight="1">
      <c r="A114" s="141">
        <v>46109</v>
      </c>
      <c r="B114" s="142"/>
      <c r="C114" s="142"/>
      <c r="D114" s="142"/>
      <c r="E114" s="142"/>
      <c r="F114" s="142"/>
      <c r="G114" s="142"/>
      <c r="H114" s="142"/>
      <c r="I114" s="142"/>
      <c r="J114" s="143"/>
      <c r="K114" s="143"/>
      <c r="L114" s="146"/>
      <c r="M114" s="158"/>
      <c r="N114" s="381"/>
      <c r="O114" s="217"/>
      <c r="Q114" s="141">
        <v>46109</v>
      </c>
      <c r="R114" s="142"/>
      <c r="S114" s="142"/>
      <c r="T114" s="142"/>
      <c r="U114" s="142"/>
      <c r="V114" s="142"/>
      <c r="W114" s="142"/>
      <c r="X114" s="142"/>
      <c r="Y114" s="142"/>
      <c r="Z114" s="143"/>
      <c r="AA114" s="143"/>
      <c r="AB114" s="146"/>
      <c r="AC114" s="158"/>
      <c r="AD114" s="381"/>
      <c r="AE114" s="217"/>
      <c r="AG114" s="141">
        <v>46109</v>
      </c>
      <c r="AH114" s="142"/>
      <c r="AI114" s="142"/>
      <c r="AJ114" s="142"/>
      <c r="AK114" s="142"/>
      <c r="AL114" s="142"/>
      <c r="AM114" s="142"/>
      <c r="AN114" s="142"/>
      <c r="AO114" s="142"/>
      <c r="AP114" s="143"/>
      <c r="AQ114" s="143"/>
      <c r="AR114" s="146"/>
      <c r="AS114" s="158"/>
      <c r="AT114" s="381"/>
      <c r="AU114" s="217"/>
      <c r="AV114" s="515"/>
      <c r="AW114" s="515"/>
      <c r="AX114" s="515"/>
      <c r="AY114" s="515"/>
      <c r="AZ114" s="515"/>
      <c r="BA114" s="515"/>
      <c r="BB114" s="515"/>
      <c r="BC114" s="515"/>
      <c r="BD114" s="515"/>
      <c r="BE114" s="515"/>
      <c r="BF114" s="515"/>
      <c r="BG114" s="158"/>
      <c r="BI114" s="141">
        <v>46109</v>
      </c>
      <c r="BJ114" s="142"/>
      <c r="BK114" s="142"/>
      <c r="BL114" s="142"/>
      <c r="BM114" s="142"/>
      <c r="BN114" s="142"/>
      <c r="BO114" s="142"/>
      <c r="BP114" s="142"/>
      <c r="BQ114" s="142"/>
      <c r="BR114" s="143"/>
      <c r="BS114" s="143"/>
      <c r="BT114" s="146"/>
      <c r="BU114" s="158"/>
      <c r="BV114" s="381"/>
      <c r="BW114" s="217"/>
      <c r="BY114" s="267" t="str">
        <f>IF('[2]2026 március'!B$29=0,
    "",
    '[2]2026 március'!B$29
)</f>
        <v/>
      </c>
      <c r="CI114" s="158"/>
    </row>
    <row r="115" spans="1:87" ht="14.25" customHeight="1">
      <c r="A115" s="141">
        <v>46110</v>
      </c>
      <c r="B115" s="142"/>
      <c r="C115" s="142"/>
      <c r="D115" s="142"/>
      <c r="E115" s="142"/>
      <c r="F115" s="142"/>
      <c r="G115" s="142"/>
      <c r="H115" s="142"/>
      <c r="I115" s="142"/>
      <c r="J115" s="143"/>
      <c r="K115" s="143"/>
      <c r="L115" s="146"/>
      <c r="M115" s="158"/>
      <c r="N115" s="381"/>
      <c r="O115" s="217"/>
      <c r="Q115" s="141">
        <v>46110</v>
      </c>
      <c r="R115" s="142"/>
      <c r="S115" s="142"/>
      <c r="T115" s="142"/>
      <c r="U115" s="142"/>
      <c r="V115" s="142"/>
      <c r="W115" s="142"/>
      <c r="X115" s="142"/>
      <c r="Y115" s="142"/>
      <c r="Z115" s="143"/>
      <c r="AA115" s="143"/>
      <c r="AB115" s="146"/>
      <c r="AC115" s="158"/>
      <c r="AD115" s="381"/>
      <c r="AE115" s="217"/>
      <c r="AG115" s="141">
        <v>46110</v>
      </c>
      <c r="AH115" s="142"/>
      <c r="AI115" s="142"/>
      <c r="AJ115" s="142"/>
      <c r="AK115" s="142"/>
      <c r="AL115" s="142"/>
      <c r="AM115" s="142"/>
      <c r="AN115" s="142"/>
      <c r="AO115" s="142"/>
      <c r="AP115" s="143"/>
      <c r="AQ115" s="143"/>
      <c r="AR115" s="146"/>
      <c r="AS115" s="158"/>
      <c r="AT115" s="381"/>
      <c r="AU115" s="217"/>
      <c r="BG115" s="158"/>
      <c r="BI115" s="141">
        <v>46110</v>
      </c>
      <c r="BJ115" s="142"/>
      <c r="BK115" s="142"/>
      <c r="BL115" s="142"/>
      <c r="BM115" s="142"/>
      <c r="BN115" s="142"/>
      <c r="BO115" s="142"/>
      <c r="BP115" s="142"/>
      <c r="BQ115" s="142"/>
      <c r="BR115" s="143"/>
      <c r="BS115" s="143"/>
      <c r="BT115" s="146"/>
      <c r="BU115" s="158"/>
      <c r="BV115" s="381"/>
      <c r="BW115" s="217"/>
      <c r="BY115" s="267" t="str">
        <f>IF('[2]2026 március'!B$30=0,
    "",
    '[2]2026 március'!B$30
)</f>
        <v/>
      </c>
      <c r="CI115" s="9"/>
    </row>
    <row r="116" spans="1:87" ht="14.25" customHeight="1">
      <c r="A116" s="141">
        <v>46111</v>
      </c>
      <c r="B116" s="11">
        <v>417870</v>
      </c>
      <c r="C116" s="11">
        <v>850</v>
      </c>
      <c r="D116" s="11">
        <v>402690</v>
      </c>
      <c r="E116" s="11"/>
      <c r="F116" s="11"/>
      <c r="G116" s="11"/>
      <c r="H116" s="11">
        <v>403540</v>
      </c>
      <c r="I116" s="11">
        <v>403540</v>
      </c>
      <c r="J116" s="38" t="s">
        <v>549</v>
      </c>
      <c r="K116" s="38" t="s">
        <v>550</v>
      </c>
      <c r="L116" s="72">
        <v>150048787</v>
      </c>
      <c r="M116" s="9"/>
      <c r="N116" s="216"/>
      <c r="O116" s="214"/>
      <c r="Q116" s="141">
        <v>46111</v>
      </c>
      <c r="R116" s="11">
        <v>555995</v>
      </c>
      <c r="S116" s="11">
        <v>2750</v>
      </c>
      <c r="T116" s="11">
        <v>534295</v>
      </c>
      <c r="U116" s="11"/>
      <c r="V116" s="11"/>
      <c r="W116" s="11"/>
      <c r="X116" s="11">
        <v>537045</v>
      </c>
      <c r="Y116" s="11">
        <v>537045</v>
      </c>
      <c r="Z116" s="38" t="s">
        <v>551</v>
      </c>
      <c r="AA116" s="38" t="s">
        <v>299</v>
      </c>
      <c r="AB116" s="72">
        <v>188258769</v>
      </c>
      <c r="AC116" s="9"/>
      <c r="AD116" s="216"/>
      <c r="AE116" s="214"/>
      <c r="AG116" s="141">
        <v>46111</v>
      </c>
      <c r="AH116" s="11">
        <v>329765</v>
      </c>
      <c r="AI116" s="11">
        <v>1150</v>
      </c>
      <c r="AJ116" s="11">
        <v>303761</v>
      </c>
      <c r="AK116" s="11"/>
      <c r="AL116" s="11"/>
      <c r="AM116" s="11"/>
      <c r="AN116" s="11">
        <v>304911</v>
      </c>
      <c r="AO116" s="11">
        <v>304911</v>
      </c>
      <c r="AP116" s="38" t="s">
        <v>552</v>
      </c>
      <c r="AQ116" s="38" t="s">
        <v>553</v>
      </c>
      <c r="AR116" s="72">
        <v>318876523</v>
      </c>
      <c r="AS116" s="9"/>
      <c r="AT116" s="216"/>
      <c r="AU116" s="214"/>
      <c r="BG116" s="9"/>
      <c r="BI116" s="141">
        <v>46111</v>
      </c>
      <c r="BJ116" s="11">
        <v>256130</v>
      </c>
      <c r="BK116" s="11">
        <v>1150</v>
      </c>
      <c r="BL116" s="11">
        <v>246960</v>
      </c>
      <c r="BM116" s="11"/>
      <c r="BN116" s="11"/>
      <c r="BO116" s="11"/>
      <c r="BP116" s="11">
        <v>248110</v>
      </c>
      <c r="BQ116" s="11">
        <v>248110</v>
      </c>
      <c r="BR116" s="38" t="s">
        <v>404</v>
      </c>
      <c r="BS116" s="38" t="s">
        <v>195</v>
      </c>
      <c r="BT116" s="72">
        <v>178808343</v>
      </c>
      <c r="BU116" s="9"/>
      <c r="BV116" s="216"/>
      <c r="BW116" s="214"/>
      <c r="BY116" s="267">
        <f>IF('[2]2026 március'!B$31=0,
    "",
    '[2]2026 március'!B$31
)</f>
        <v>1559760</v>
      </c>
      <c r="CI116" s="9"/>
    </row>
    <row r="117" spans="1:87" ht="14.25" customHeight="1">
      <c r="A117" s="141">
        <v>46112</v>
      </c>
      <c r="B117" s="11">
        <v>422240</v>
      </c>
      <c r="C117" s="11">
        <v>1100</v>
      </c>
      <c r="D117" s="11">
        <v>395247</v>
      </c>
      <c r="E117" s="11"/>
      <c r="F117" s="11"/>
      <c r="G117" s="11"/>
      <c r="H117" s="11">
        <v>396347</v>
      </c>
      <c r="I117" s="11">
        <v>396347</v>
      </c>
      <c r="J117" s="38" t="s">
        <v>554</v>
      </c>
      <c r="K117" s="38" t="s">
        <v>96</v>
      </c>
      <c r="L117" s="72">
        <v>150445134</v>
      </c>
      <c r="M117" s="9"/>
      <c r="N117" s="216"/>
      <c r="O117" s="214"/>
      <c r="Q117" s="141">
        <v>46112</v>
      </c>
      <c r="R117" s="11">
        <v>710530</v>
      </c>
      <c r="S117" s="11">
        <v>3250</v>
      </c>
      <c r="T117" s="11">
        <v>666670</v>
      </c>
      <c r="U117" s="11"/>
      <c r="V117" s="11"/>
      <c r="W117" s="11"/>
      <c r="X117" s="11">
        <v>669920</v>
      </c>
      <c r="Y117" s="11">
        <v>669920</v>
      </c>
      <c r="Z117" s="38" t="s">
        <v>555</v>
      </c>
      <c r="AA117" s="38" t="s">
        <v>98</v>
      </c>
      <c r="AB117" s="72">
        <v>188928689</v>
      </c>
      <c r="AC117" s="9"/>
      <c r="AD117" s="216"/>
      <c r="AE117" s="214"/>
      <c r="AG117" s="141">
        <v>46112</v>
      </c>
      <c r="AH117" s="11">
        <v>371075</v>
      </c>
      <c r="AI117" s="11">
        <v>1850</v>
      </c>
      <c r="AJ117" s="11">
        <v>351020</v>
      </c>
      <c r="AK117" s="11"/>
      <c r="AL117" s="11"/>
      <c r="AM117" s="11"/>
      <c r="AN117" s="11">
        <v>352870</v>
      </c>
      <c r="AO117" s="11">
        <v>352870</v>
      </c>
      <c r="AP117" s="38" t="s">
        <v>556</v>
      </c>
      <c r="AQ117" s="38" t="s">
        <v>557</v>
      </c>
      <c r="AR117" s="72">
        <v>319229393</v>
      </c>
      <c r="AS117" s="9"/>
      <c r="AT117" s="216"/>
      <c r="AU117" s="214"/>
      <c r="BG117" s="9"/>
      <c r="BI117" s="141">
        <v>46112</v>
      </c>
      <c r="BJ117" s="11">
        <v>360100</v>
      </c>
      <c r="BK117" s="11">
        <v>1500</v>
      </c>
      <c r="BL117" s="11">
        <v>330515</v>
      </c>
      <c r="BM117" s="11"/>
      <c r="BN117" s="11"/>
      <c r="BO117" s="11"/>
      <c r="BP117" s="11">
        <v>332015</v>
      </c>
      <c r="BQ117" s="11">
        <v>332015</v>
      </c>
      <c r="BR117" s="38" t="s">
        <v>558</v>
      </c>
      <c r="BS117" s="38" t="s">
        <v>196</v>
      </c>
      <c r="BT117" s="72">
        <v>179140358</v>
      </c>
      <c r="BU117" s="9"/>
      <c r="BV117" s="216"/>
      <c r="BW117" s="214"/>
      <c r="BY117" s="267">
        <f>IF('[2]2026 március'!B$32=0,
    "",
    '[2]2026 március'!B$32
)</f>
        <v>1863945</v>
      </c>
      <c r="CI117" s="9"/>
    </row>
    <row r="118" spans="1:87" ht="14.25" customHeight="1">
      <c r="A118" s="141"/>
      <c r="B118" s="11"/>
      <c r="C118" s="11"/>
      <c r="D118" s="11"/>
      <c r="E118" s="11"/>
      <c r="F118" s="11"/>
      <c r="G118" s="11"/>
      <c r="H118" s="11"/>
      <c r="I118" s="11"/>
      <c r="J118" s="205"/>
      <c r="K118" s="205"/>
      <c r="L118" s="206"/>
      <c r="M118" s="380"/>
      <c r="N118" s="216"/>
      <c r="O118" s="214"/>
      <c r="Q118" s="141"/>
      <c r="R118" s="11"/>
      <c r="S118" s="11"/>
      <c r="T118" s="11"/>
      <c r="U118" s="11"/>
      <c r="V118" s="11"/>
      <c r="W118" s="11"/>
      <c r="X118" s="11"/>
      <c r="Y118" s="11"/>
      <c r="Z118" s="205"/>
      <c r="AA118" s="205"/>
      <c r="AB118" s="206"/>
      <c r="AC118" s="380"/>
      <c r="AD118" s="216"/>
      <c r="AE118" s="214"/>
      <c r="AG118" s="141"/>
      <c r="AH118" s="11"/>
      <c r="AI118" s="11"/>
      <c r="AJ118" s="11"/>
      <c r="AK118" s="11"/>
      <c r="AL118" s="11"/>
      <c r="AM118" s="11"/>
      <c r="AN118" s="11"/>
      <c r="AO118" s="11"/>
      <c r="AP118" s="205"/>
      <c r="AQ118" s="205"/>
      <c r="AR118" s="206"/>
      <c r="AS118" s="380"/>
      <c r="AT118" s="216"/>
      <c r="AU118" s="214"/>
      <c r="BG118" s="9"/>
      <c r="BI118" s="141"/>
      <c r="BJ118" s="11"/>
      <c r="BK118" s="11"/>
      <c r="BL118" s="11"/>
      <c r="BM118" s="11"/>
      <c r="BN118" s="11"/>
      <c r="BO118" s="11"/>
      <c r="BP118" s="11"/>
      <c r="BQ118" s="11"/>
      <c r="BR118" s="205"/>
      <c r="BS118" s="205"/>
      <c r="BT118" s="206"/>
      <c r="BU118" s="380"/>
      <c r="BV118" s="216"/>
      <c r="BW118" s="214"/>
      <c r="BY118" s="267">
        <f>IF('[2]2026 március'!B$33=0,
    "",
    '[2]2026 március'!B$33
)</f>
        <v>37262640</v>
      </c>
      <c r="CI118" s="9"/>
    </row>
    <row r="119" spans="1:87" ht="14.25" customHeight="1">
      <c r="A119" s="18" t="s">
        <v>64</v>
      </c>
      <c r="B119" s="362"/>
      <c r="C119" s="19">
        <f>SUM(C86:C118)</f>
        <v>26000</v>
      </c>
      <c r="D119" s="19">
        <f>SUM(D86:D118)</f>
        <v>8932881</v>
      </c>
      <c r="E119" s="19">
        <f>SUM(E86:E118)</f>
        <v>150</v>
      </c>
      <c r="F119" s="19">
        <f>SUM(F86:F118)</f>
        <v>0</v>
      </c>
      <c r="G119" s="20">
        <f>SUM(G86:G118)</f>
        <v>7760</v>
      </c>
      <c r="H119" s="20">
        <f>SUM(H86:H118)</f>
        <v>8951271</v>
      </c>
      <c r="I119" s="39">
        <f>SUM(I86:I118)</f>
        <v>8951271</v>
      </c>
      <c r="J119" s="32"/>
      <c r="K119" s="373"/>
      <c r="L119" s="586">
        <v>150445134</v>
      </c>
      <c r="M119" s="242">
        <v>8959031</v>
      </c>
      <c r="N119" s="382"/>
      <c r="O119" s="214"/>
      <c r="Q119" s="18" t="s">
        <v>64</v>
      </c>
      <c r="R119" s="362"/>
      <c r="S119" s="19">
        <f>SUM(S86:S118)</f>
        <v>73070</v>
      </c>
      <c r="T119" s="19">
        <f>SUM(T86:T118)</f>
        <v>13232680</v>
      </c>
      <c r="U119" s="19">
        <f>SUM(U86:U118)</f>
        <v>50</v>
      </c>
      <c r="V119" s="19">
        <f>SUM(V86:V118)</f>
        <v>3</v>
      </c>
      <c r="W119" s="20">
        <f>SUM(W86:W118)</f>
        <v>10140</v>
      </c>
      <c r="X119" s="20">
        <f>SUM(X86:X118)</f>
        <v>13295663</v>
      </c>
      <c r="Y119" s="39">
        <f>SUM(Y86:Y118)</f>
        <v>13295663</v>
      </c>
      <c r="Z119" s="32"/>
      <c r="AA119" s="373"/>
      <c r="AB119" s="586">
        <v>188928689</v>
      </c>
      <c r="AC119" s="242">
        <v>13305803</v>
      </c>
      <c r="AD119" s="382"/>
      <c r="AE119" s="214"/>
      <c r="AG119" s="18" t="s">
        <v>64</v>
      </c>
      <c r="AH119" s="362"/>
      <c r="AI119" s="19">
        <f>SUM(AI86:AI118)</f>
        <v>39830</v>
      </c>
      <c r="AJ119" s="19">
        <f>SUM(AJ86:AJ118)</f>
        <v>7708396</v>
      </c>
      <c r="AK119" s="19">
        <f>SUM(AK86:AK118)</f>
        <v>50</v>
      </c>
      <c r="AL119" s="19">
        <f>SUM(AL86:AL118)</f>
        <v>0</v>
      </c>
      <c r="AM119" s="20">
        <f>SUM(AM86:AM118)</f>
        <v>0</v>
      </c>
      <c r="AN119" s="20">
        <f>SUM(AN86:AN118)</f>
        <v>7748276</v>
      </c>
      <c r="AO119" s="39">
        <f>SUM(AO86:AO118)</f>
        <v>7748276</v>
      </c>
      <c r="AP119" s="32"/>
      <c r="AQ119" s="373"/>
      <c r="AR119" s="586">
        <v>319229393</v>
      </c>
      <c r="AS119" s="54">
        <v>7748276</v>
      </c>
      <c r="AT119" s="382"/>
      <c r="AU119" s="214"/>
      <c r="BG119" s="9"/>
      <c r="BI119" s="18" t="s">
        <v>64</v>
      </c>
      <c r="BJ119" s="362"/>
      <c r="BK119" s="19">
        <f>SUM(BK86:BK118)</f>
        <v>22635</v>
      </c>
      <c r="BL119" s="19">
        <f>SUM(BL86:BL118)</f>
        <v>5174496</v>
      </c>
      <c r="BM119" s="19">
        <f>SUM(BM86:BM118)</f>
        <v>0</v>
      </c>
      <c r="BN119" s="19">
        <f>SUM(BN86:BN118)</f>
        <v>50</v>
      </c>
      <c r="BO119" s="20">
        <f>SUM(BO86:BO118)</f>
        <v>5870</v>
      </c>
      <c r="BP119" s="20">
        <f>SUM(BP86:BP118)</f>
        <v>5191311</v>
      </c>
      <c r="BQ119" s="39">
        <f>SUM(BQ86:BQ118)</f>
        <v>5177161</v>
      </c>
      <c r="BR119" s="32"/>
      <c r="BS119" s="373"/>
      <c r="BT119" s="586">
        <v>179140358</v>
      </c>
      <c r="BU119" s="242">
        <v>5197181</v>
      </c>
      <c r="BV119" s="382"/>
      <c r="BW119" s="214"/>
      <c r="BY119" s="267" t="str">
        <f>IF('[2]2026 március'!B$34=0,
    "",
    '[2]2026 március'!B$34
)</f>
        <v/>
      </c>
      <c r="CI119" s="9"/>
    </row>
    <row r="120" spans="1:87" ht="14.25" customHeight="1">
      <c r="A120" s="5"/>
      <c r="B120" s="11"/>
      <c r="C120" s="29">
        <f>C119+D119+E119+F119</f>
        <v>8959031</v>
      </c>
      <c r="D120" s="10"/>
      <c r="E120" s="10"/>
      <c r="F120" s="10"/>
      <c r="G120" s="47">
        <f>G119+H119</f>
        <v>8959031</v>
      </c>
      <c r="H120" s="10"/>
      <c r="I120" s="10"/>
      <c r="J120" s="33"/>
      <c r="K120" s="33"/>
      <c r="L120" s="414"/>
      <c r="M120" s="9"/>
      <c r="N120" s="382"/>
      <c r="O120" s="214"/>
      <c r="Q120" s="5"/>
      <c r="R120" s="11"/>
      <c r="S120" s="29">
        <f>S119+T119+U119+V119</f>
        <v>13305803</v>
      </c>
      <c r="T120" s="10"/>
      <c r="U120" s="10"/>
      <c r="V120" s="10"/>
      <c r="W120" s="47">
        <f>W119+X119</f>
        <v>13305803</v>
      </c>
      <c r="X120" s="10"/>
      <c r="Y120" s="10"/>
      <c r="Z120" s="33"/>
      <c r="AA120" s="33"/>
      <c r="AB120" s="414"/>
      <c r="AC120" s="9"/>
      <c r="AD120" s="382"/>
      <c r="AE120" s="214"/>
      <c r="AG120" s="5"/>
      <c r="AH120" s="11"/>
      <c r="AI120" s="29">
        <f>AI119+AJ119+AK119+AL119</f>
        <v>7748276</v>
      </c>
      <c r="AJ120" s="10"/>
      <c r="AK120" s="10"/>
      <c r="AL120" s="10"/>
      <c r="AM120" s="47">
        <f>AM119+AN119</f>
        <v>7748276</v>
      </c>
      <c r="AN120" s="10"/>
      <c r="AO120" s="10"/>
      <c r="AP120" s="33"/>
      <c r="AQ120" s="33"/>
      <c r="AR120" s="414"/>
      <c r="AS120" s="9"/>
      <c r="AT120" s="382"/>
      <c r="AU120" s="214"/>
      <c r="BG120" s="9"/>
      <c r="BI120" s="5"/>
      <c r="BJ120" s="11"/>
      <c r="BK120" s="29">
        <f>BK119+BL119+BM119+BN119</f>
        <v>5197181</v>
      </c>
      <c r="BL120" s="10"/>
      <c r="BM120" s="10"/>
      <c r="BN120" s="10"/>
      <c r="BO120" s="47">
        <f>BO119+BP119</f>
        <v>5197181</v>
      </c>
      <c r="BP120" s="10"/>
      <c r="BQ120" s="10"/>
      <c r="BR120" s="33"/>
      <c r="BS120" s="33"/>
      <c r="BT120" s="414"/>
      <c r="BU120" s="9"/>
      <c r="BV120" s="382"/>
      <c r="BW120" s="214"/>
      <c r="BY120" s="267" t="str">
        <f>IF('[2]2026 január'!B$35=0,
    "",
    '[2]2026 január'!B$35
)</f>
        <v/>
      </c>
    </row>
    <row r="121" spans="1:87" ht="14.25" customHeight="1">
      <c r="Q121" s="67"/>
      <c r="S121"/>
      <c r="T121"/>
      <c r="U121"/>
      <c r="V121"/>
      <c r="W121"/>
      <c r="X121"/>
      <c r="Y121"/>
      <c r="Z121"/>
      <c r="AA121"/>
      <c r="AB121" s="261"/>
      <c r="AC121" s="261"/>
      <c r="AD121" s="136"/>
      <c r="AE121" s="134"/>
      <c r="AG121" s="67"/>
      <c r="AH121" s="356"/>
      <c r="AI121"/>
      <c r="AJ121"/>
      <c r="AK121"/>
      <c r="AL121"/>
      <c r="AM121"/>
      <c r="AN121"/>
      <c r="AO121"/>
      <c r="AP121"/>
      <c r="AQ121"/>
      <c r="AR121" s="261"/>
      <c r="AS121" s="261"/>
      <c r="AT121" s="136"/>
      <c r="AU121" s="134"/>
      <c r="BI121" s="67"/>
      <c r="BR121"/>
      <c r="BT121" s="261"/>
      <c r="BU121" s="261"/>
      <c r="BV121" s="136"/>
      <c r="BW121" s="134"/>
    </row>
    <row r="122" spans="1:87" ht="14.25" customHeight="1">
      <c r="A122" s="403" t="s">
        <v>177</v>
      </c>
      <c r="B122" s="404"/>
      <c r="C122" s="405"/>
      <c r="D122" s="405"/>
      <c r="E122" s="405"/>
      <c r="F122" s="406"/>
      <c r="G122" s="406"/>
      <c r="H122" s="406"/>
      <c r="I122" s="406"/>
      <c r="J122" s="407"/>
      <c r="K122" s="408"/>
      <c r="Q122" s="403" t="s">
        <v>177</v>
      </c>
      <c r="R122" s="404"/>
      <c r="S122" s="405"/>
      <c r="T122" s="405"/>
      <c r="U122" s="405"/>
      <c r="V122" s="406"/>
      <c r="W122" s="406"/>
      <c r="X122" s="406"/>
      <c r="Y122" s="406"/>
      <c r="Z122" s="407"/>
      <c r="AA122" s="408"/>
      <c r="AB122" s="261"/>
      <c r="AC122" s="261"/>
      <c r="AD122" s="136"/>
      <c r="AE122" s="134"/>
      <c r="AG122" s="403" t="s">
        <v>177</v>
      </c>
      <c r="AH122" s="404"/>
      <c r="AI122" s="405"/>
      <c r="AJ122" s="405"/>
      <c r="AK122" s="405"/>
      <c r="AL122" s="406"/>
      <c r="AM122" s="406"/>
      <c r="AN122" s="406"/>
      <c r="AO122" s="406"/>
      <c r="AP122" s="407"/>
      <c r="AQ122" s="408"/>
      <c r="AR122" s="261"/>
      <c r="AS122" s="261"/>
      <c r="AT122" s="136"/>
      <c r="AU122" s="134"/>
      <c r="BI122" s="403" t="s">
        <v>177</v>
      </c>
      <c r="BJ122" s="404"/>
      <c r="BK122" s="405"/>
      <c r="BL122" s="405"/>
      <c r="BM122" s="405"/>
      <c r="BN122" s="406"/>
      <c r="BO122" s="406"/>
      <c r="BP122" s="406"/>
      <c r="BQ122" s="406"/>
      <c r="BR122" s="407"/>
      <c r="BS122" s="408"/>
      <c r="BT122" s="261"/>
      <c r="BU122" s="261"/>
      <c r="BV122" s="136"/>
      <c r="BW122" s="134"/>
    </row>
    <row r="123" spans="1:87" ht="14.25" customHeight="1">
      <c r="A123" s="409"/>
      <c r="B123" s="402"/>
      <c r="C123" s="402"/>
      <c r="D123" s="402"/>
      <c r="E123" s="402"/>
      <c r="F123" s="402"/>
      <c r="G123" s="396"/>
      <c r="H123" s="396"/>
      <c r="I123" s="396"/>
      <c r="J123" s="396"/>
      <c r="K123" s="410"/>
      <c r="Q123" s="409"/>
      <c r="R123" s="402"/>
      <c r="S123" s="402"/>
      <c r="T123" s="402"/>
      <c r="U123" s="402"/>
      <c r="V123" s="402"/>
      <c r="W123" s="396"/>
      <c r="X123" s="396"/>
      <c r="Y123" s="396"/>
      <c r="Z123" s="396"/>
      <c r="AA123" s="410"/>
      <c r="AB123" s="261"/>
      <c r="AC123" s="261"/>
      <c r="AD123" s="136"/>
      <c r="AE123" s="134"/>
      <c r="AG123" s="409"/>
      <c r="AH123" s="402"/>
      <c r="AI123" s="402"/>
      <c r="AJ123" s="402"/>
      <c r="AK123" s="402"/>
      <c r="AL123" s="402"/>
      <c r="AM123" s="396"/>
      <c r="AN123" s="396"/>
      <c r="AO123" s="396"/>
      <c r="AP123" s="396"/>
      <c r="AQ123" s="410"/>
      <c r="AR123" s="261"/>
      <c r="AS123" s="261"/>
      <c r="AT123" s="136"/>
      <c r="AU123" s="134"/>
      <c r="BI123" s="409"/>
      <c r="BJ123" s="402"/>
      <c r="BK123" s="402"/>
      <c r="BL123" s="402"/>
      <c r="BM123" s="402"/>
      <c r="BN123" s="402"/>
      <c r="BO123" s="396"/>
      <c r="BP123" s="396"/>
      <c r="BQ123" s="396"/>
      <c r="BR123" s="396"/>
      <c r="BS123" s="410"/>
      <c r="BT123" s="261"/>
      <c r="BU123" s="261"/>
      <c r="BV123" s="136"/>
      <c r="BW123" s="134"/>
    </row>
    <row r="124" spans="1:87" ht="14.25" customHeight="1">
      <c r="A124" s="628"/>
      <c r="B124" s="629"/>
      <c r="C124" s="629"/>
      <c r="D124" s="629"/>
      <c r="E124" s="629"/>
      <c r="F124" s="629"/>
      <c r="G124" s="411"/>
      <c r="H124" s="411"/>
      <c r="I124" s="411"/>
      <c r="J124" s="411"/>
      <c r="K124" s="412"/>
      <c r="Q124" s="628"/>
      <c r="R124" s="629"/>
      <c r="S124" s="629"/>
      <c r="T124" s="629"/>
      <c r="U124" s="629"/>
      <c r="V124" s="629"/>
      <c r="W124" s="411"/>
      <c r="X124" s="411"/>
      <c r="Y124" s="411"/>
      <c r="Z124" s="411"/>
      <c r="AA124" s="412"/>
      <c r="AB124" s="261"/>
      <c r="AC124" s="261"/>
      <c r="AD124" s="136"/>
      <c r="AE124" s="134"/>
      <c r="AG124" s="628"/>
      <c r="AH124" s="629"/>
      <c r="AI124" s="629"/>
      <c r="AJ124" s="629"/>
      <c r="AK124" s="629"/>
      <c r="AL124" s="629"/>
      <c r="AM124" s="411"/>
      <c r="AN124" s="411"/>
      <c r="AO124" s="411"/>
      <c r="AP124" s="411"/>
      <c r="AQ124" s="412"/>
      <c r="AR124" s="261"/>
      <c r="AS124" s="261"/>
      <c r="AT124" s="136"/>
      <c r="AU124" s="134"/>
      <c r="BI124" s="628"/>
      <c r="BJ124" s="629"/>
      <c r="BK124" s="629"/>
      <c r="BL124" s="629"/>
      <c r="BM124" s="629"/>
      <c r="BN124" s="629"/>
      <c r="BO124" s="411"/>
      <c r="BP124" s="411"/>
      <c r="BQ124" s="411"/>
      <c r="BR124" s="411"/>
      <c r="BS124" s="412"/>
      <c r="BT124" s="261"/>
      <c r="BU124" s="261"/>
      <c r="BV124" s="136"/>
      <c r="BW124" s="134"/>
    </row>
    <row r="125" spans="1:87" ht="14.25" customHeight="1">
      <c r="AH125" s="356"/>
    </row>
    <row r="126" spans="1:87" ht="14.25" customHeight="1">
      <c r="A126" s="66" t="s">
        <v>6</v>
      </c>
      <c r="B126" s="351"/>
      <c r="C126" s="26"/>
      <c r="D126" s="26"/>
      <c r="E126" s="26"/>
      <c r="F126" s="26"/>
      <c r="G126" s="26"/>
      <c r="H126" s="26"/>
      <c r="I126" s="26"/>
      <c r="J126" s="34"/>
      <c r="K126" s="349"/>
      <c r="L126" s="255"/>
      <c r="M126" s="157"/>
      <c r="N126" s="385"/>
      <c r="O126" s="384"/>
      <c r="Q126" s="66" t="s">
        <v>6</v>
      </c>
      <c r="R126" s="351"/>
      <c r="S126" s="26"/>
      <c r="T126" s="26"/>
      <c r="U126" s="26"/>
      <c r="V126" s="26"/>
      <c r="W126" s="26"/>
      <c r="X126" s="26"/>
      <c r="Y126" s="26"/>
      <c r="Z126" s="34"/>
      <c r="AA126" s="349"/>
      <c r="AB126" s="255"/>
      <c r="AC126" s="157"/>
      <c r="AD126" s="157"/>
      <c r="AE126" s="383"/>
      <c r="AG126" s="66" t="s">
        <v>559</v>
      </c>
      <c r="AH126" s="351"/>
      <c r="AI126" s="26"/>
      <c r="AJ126" s="26"/>
      <c r="AK126" s="26"/>
      <c r="AL126" s="26"/>
      <c r="AM126" s="26"/>
      <c r="AN126" s="26"/>
      <c r="AO126" s="26"/>
      <c r="AP126" s="34"/>
      <c r="AQ126" s="349"/>
      <c r="AR126" s="255"/>
      <c r="AS126" s="157"/>
      <c r="AT126" s="157"/>
      <c r="AU126" s="383"/>
      <c r="BG126" s="386"/>
      <c r="BI126" s="66" t="s">
        <v>6</v>
      </c>
      <c r="BJ126" s="351"/>
      <c r="BK126" s="26"/>
      <c r="BL126" s="26"/>
      <c r="BM126" s="26"/>
      <c r="BN126" s="26"/>
      <c r="BO126" s="26"/>
      <c r="BP126" s="26"/>
      <c r="BQ126" s="26"/>
      <c r="BR126" s="34"/>
      <c r="BS126" s="349"/>
      <c r="BT126" s="255"/>
      <c r="BU126" s="157"/>
      <c r="BV126" s="157"/>
      <c r="BW126" s="383"/>
      <c r="BY126" s="273" t="str">
        <f>'[2]2026 január'!B$1</f>
        <v>Novohost</v>
      </c>
      <c r="CI126" s="386"/>
    </row>
    <row r="127" spans="1:87" ht="14.25" customHeight="1">
      <c r="A127" s="141">
        <v>46113</v>
      </c>
      <c r="B127" s="553">
        <v>275210</v>
      </c>
      <c r="C127" s="553">
        <v>500</v>
      </c>
      <c r="D127" s="553">
        <v>245535</v>
      </c>
      <c r="E127" s="553"/>
      <c r="F127" s="553"/>
      <c r="G127" s="553"/>
      <c r="H127" s="553">
        <v>246035</v>
      </c>
      <c r="I127" s="553">
        <v>246035</v>
      </c>
      <c r="J127" s="554" t="s">
        <v>560</v>
      </c>
      <c r="K127" s="554" t="s">
        <v>561</v>
      </c>
      <c r="L127" s="559">
        <v>150691169</v>
      </c>
      <c r="M127" s="556"/>
      <c r="N127" s="557"/>
      <c r="O127" s="558"/>
      <c r="Q127" s="141">
        <v>46113</v>
      </c>
      <c r="R127" s="15">
        <v>608820</v>
      </c>
      <c r="S127" s="15">
        <v>2800</v>
      </c>
      <c r="T127" s="15">
        <v>568710</v>
      </c>
      <c r="U127" s="15"/>
      <c r="V127" s="15"/>
      <c r="W127" s="15">
        <v>1990</v>
      </c>
      <c r="X127" s="15">
        <v>569520</v>
      </c>
      <c r="Y127" s="15">
        <v>569520</v>
      </c>
      <c r="Z127" s="565" t="s">
        <v>484</v>
      </c>
      <c r="AA127" s="555">
        <v>448</v>
      </c>
      <c r="AB127" s="555">
        <v>189500199</v>
      </c>
      <c r="AC127" s="568"/>
      <c r="AD127" s="569"/>
      <c r="AE127" s="570"/>
      <c r="AG127" s="141">
        <v>46113</v>
      </c>
      <c r="AH127" s="11">
        <v>408190</v>
      </c>
      <c r="AI127" s="11">
        <v>1600</v>
      </c>
      <c r="AJ127" s="11">
        <v>389330</v>
      </c>
      <c r="AK127" s="11"/>
      <c r="AL127" s="11"/>
      <c r="AM127" s="11"/>
      <c r="AN127" s="11">
        <v>390930</v>
      </c>
      <c r="AO127" s="11">
        <v>390930</v>
      </c>
      <c r="AP127" s="38" t="s">
        <v>562</v>
      </c>
      <c r="AQ127" s="448">
        <v>1303</v>
      </c>
      <c r="AR127" s="603">
        <v>319620323</v>
      </c>
      <c r="AS127" s="9"/>
      <c r="AT127" s="216"/>
      <c r="AU127" s="214"/>
      <c r="BG127" s="196"/>
      <c r="BI127" s="141">
        <v>46113</v>
      </c>
      <c r="BJ127" s="15">
        <v>342965</v>
      </c>
      <c r="BK127" s="15">
        <v>1350</v>
      </c>
      <c r="BL127" s="15">
        <v>326270</v>
      </c>
      <c r="BM127" s="15"/>
      <c r="BN127" s="15"/>
      <c r="BO127" s="15"/>
      <c r="BP127" s="15">
        <v>327620</v>
      </c>
      <c r="BQ127" s="15">
        <v>327620</v>
      </c>
      <c r="BR127" s="565" t="s">
        <v>563</v>
      </c>
      <c r="BS127" s="559">
        <v>1053</v>
      </c>
      <c r="BT127" s="559">
        <v>179467978</v>
      </c>
      <c r="BU127" s="568"/>
      <c r="BV127" s="569"/>
      <c r="BW127" s="570"/>
      <c r="BY127" s="267" t="str">
        <f>IF('[2]2026 március'!B$2=0,
    "",
    '[2]2026 március'!B$2
)</f>
        <v/>
      </c>
      <c r="CI127" s="387"/>
    </row>
    <row r="128" spans="1:87" ht="14.25" customHeight="1">
      <c r="A128" s="141">
        <v>46114</v>
      </c>
      <c r="B128" s="553">
        <v>280130</v>
      </c>
      <c r="C128" s="553">
        <v>1050</v>
      </c>
      <c r="D128" s="553">
        <v>257120</v>
      </c>
      <c r="E128" s="553"/>
      <c r="F128" s="553"/>
      <c r="G128" s="553"/>
      <c r="H128" s="553">
        <v>258170</v>
      </c>
      <c r="I128" s="553">
        <v>258905</v>
      </c>
      <c r="J128" s="554" t="s">
        <v>564</v>
      </c>
      <c r="K128" s="554" t="s">
        <v>565</v>
      </c>
      <c r="L128" s="559">
        <v>150949339</v>
      </c>
      <c r="M128" s="556"/>
      <c r="N128" s="557"/>
      <c r="O128" s="558"/>
      <c r="Q128" s="141">
        <v>46114</v>
      </c>
      <c r="R128" s="15">
        <v>472080</v>
      </c>
      <c r="S128" s="15">
        <v>2590</v>
      </c>
      <c r="T128" s="15">
        <v>437905</v>
      </c>
      <c r="U128" s="15"/>
      <c r="V128" s="15"/>
      <c r="W128" s="15"/>
      <c r="X128" s="15">
        <v>440495</v>
      </c>
      <c r="Y128" s="15">
        <v>440495</v>
      </c>
      <c r="Z128" s="565" t="s">
        <v>566</v>
      </c>
      <c r="AA128" s="565" t="s">
        <v>567</v>
      </c>
      <c r="AB128" s="571">
        <v>189940694</v>
      </c>
      <c r="AC128" s="568"/>
      <c r="AD128" s="569"/>
      <c r="AE128" s="570"/>
      <c r="AG128" s="141">
        <v>46114</v>
      </c>
      <c r="AH128" s="11">
        <v>430145</v>
      </c>
      <c r="AI128" s="11">
        <v>1850</v>
      </c>
      <c r="AJ128" s="11">
        <v>410460</v>
      </c>
      <c r="AK128" s="11"/>
      <c r="AL128" s="11"/>
      <c r="AM128" s="11"/>
      <c r="AN128" s="11">
        <v>412310</v>
      </c>
      <c r="AO128" s="11">
        <v>412310</v>
      </c>
      <c r="AP128" s="38" t="s">
        <v>428</v>
      </c>
      <c r="AQ128" s="38" t="s">
        <v>568</v>
      </c>
      <c r="AR128" s="72">
        <v>320032633</v>
      </c>
      <c r="AS128" s="9"/>
      <c r="AT128" s="216"/>
      <c r="AU128" s="214"/>
      <c r="BG128" s="9"/>
      <c r="BI128" s="141">
        <v>46114</v>
      </c>
      <c r="BJ128" s="15"/>
      <c r="BK128" s="15"/>
      <c r="BL128" s="15"/>
      <c r="BM128" s="15"/>
      <c r="BN128" s="15"/>
      <c r="BO128" s="15"/>
      <c r="BP128" s="15"/>
      <c r="BQ128" s="15"/>
      <c r="BR128" s="565"/>
      <c r="BS128" s="565" t="s">
        <v>198</v>
      </c>
      <c r="BT128" s="571">
        <v>179467978</v>
      </c>
      <c r="BU128" s="568"/>
      <c r="BV128" s="569"/>
      <c r="BW128" s="570"/>
      <c r="BY128" s="267">
        <f>IF('[2]2026 március'!B$3=0,
    "",
    '[2]2026 március'!B$3
)</f>
        <v>1553235</v>
      </c>
      <c r="CI128" s="9"/>
    </row>
    <row r="129" spans="1:96" ht="14.25" customHeight="1">
      <c r="A129" s="141"/>
      <c r="B129" s="553"/>
      <c r="C129" s="553"/>
      <c r="D129" s="553"/>
      <c r="E129" s="553"/>
      <c r="F129" s="553"/>
      <c r="G129" s="553"/>
      <c r="H129" s="553"/>
      <c r="I129" s="553"/>
      <c r="J129" s="554"/>
      <c r="K129" s="554"/>
      <c r="L129" s="559"/>
      <c r="M129" s="556"/>
      <c r="N129" s="557"/>
      <c r="O129" s="558"/>
      <c r="Q129" s="141"/>
      <c r="R129" s="15"/>
      <c r="S129" s="15"/>
      <c r="T129" s="15"/>
      <c r="U129" s="15"/>
      <c r="V129" s="15"/>
      <c r="W129" s="15"/>
      <c r="X129" s="15"/>
      <c r="Y129" s="15"/>
      <c r="Z129" s="565"/>
      <c r="AA129" s="565"/>
      <c r="AB129" s="571"/>
      <c r="AC129" s="568"/>
      <c r="AD129" s="569"/>
      <c r="AE129" s="570"/>
      <c r="AG129" s="141"/>
      <c r="AH129" s="11"/>
      <c r="AI129" s="11"/>
      <c r="AJ129" s="11"/>
      <c r="AK129" s="11"/>
      <c r="AL129" s="11"/>
      <c r="AM129" s="11"/>
      <c r="AN129" s="11"/>
      <c r="AO129" s="11"/>
      <c r="AP129" s="38"/>
      <c r="AQ129" s="38"/>
      <c r="AR129" s="72"/>
      <c r="AS129" s="9"/>
      <c r="AT129" s="216"/>
      <c r="AU129" s="214"/>
      <c r="BG129" s="9"/>
      <c r="BI129" s="141">
        <v>46114</v>
      </c>
      <c r="BJ129" s="15">
        <v>226070</v>
      </c>
      <c r="BK129" s="15">
        <v>218130</v>
      </c>
      <c r="BL129" s="15">
        <v>900</v>
      </c>
      <c r="BM129" s="15"/>
      <c r="BN129" s="15"/>
      <c r="BO129" s="15"/>
      <c r="BP129" s="15">
        <v>219030</v>
      </c>
      <c r="BQ129" s="15">
        <v>219030</v>
      </c>
      <c r="BR129" s="565" t="s">
        <v>569</v>
      </c>
      <c r="BS129" s="565" t="s">
        <v>199</v>
      </c>
      <c r="BT129" s="571">
        <v>179687008</v>
      </c>
      <c r="BU129" s="568"/>
      <c r="BV129" s="569"/>
      <c r="BW129" s="570"/>
      <c r="BY129" s="267"/>
      <c r="CI129" s="9"/>
    </row>
    <row r="130" spans="1:96" ht="14.25" customHeight="1">
      <c r="A130" s="141">
        <v>46115</v>
      </c>
      <c r="B130" s="548"/>
      <c r="C130" s="548"/>
      <c r="D130" s="548"/>
      <c r="E130" s="548"/>
      <c r="F130" s="548"/>
      <c r="G130" s="548"/>
      <c r="H130" s="548"/>
      <c r="I130" s="548"/>
      <c r="J130" s="529"/>
      <c r="K130" s="529"/>
      <c r="L130" s="552"/>
      <c r="M130" s="549"/>
      <c r="N130" s="550"/>
      <c r="O130" s="551"/>
      <c r="Q130" s="141">
        <v>46115</v>
      </c>
      <c r="R130" s="142"/>
      <c r="S130" s="142"/>
      <c r="T130" s="142"/>
      <c r="U130" s="142"/>
      <c r="V130" s="142"/>
      <c r="W130" s="142"/>
      <c r="X130" s="142"/>
      <c r="Y130" s="142"/>
      <c r="Z130" s="143"/>
      <c r="AA130" s="143"/>
      <c r="AB130" s="146"/>
      <c r="AC130" s="158"/>
      <c r="AD130" s="381"/>
      <c r="AE130" s="217"/>
      <c r="AG130" s="141">
        <v>46115</v>
      </c>
      <c r="AH130" s="142"/>
      <c r="AI130" s="142"/>
      <c r="AJ130" s="142"/>
      <c r="AK130" s="142"/>
      <c r="AL130" s="142"/>
      <c r="AM130" s="142"/>
      <c r="AN130" s="142"/>
      <c r="AO130" s="142"/>
      <c r="AP130" s="143"/>
      <c r="AQ130" s="143"/>
      <c r="AR130" s="146"/>
      <c r="AS130" s="158"/>
      <c r="AT130" s="381"/>
      <c r="AU130" s="217"/>
      <c r="AV130" s="515"/>
      <c r="AW130" s="515"/>
      <c r="AX130" s="515"/>
      <c r="AY130" s="515"/>
      <c r="AZ130" s="515"/>
      <c r="BA130" s="515"/>
      <c r="BB130" s="515"/>
      <c r="BC130" s="515"/>
      <c r="BD130" s="515"/>
      <c r="BE130" s="515"/>
      <c r="BF130" s="515"/>
      <c r="BG130" s="158"/>
      <c r="BI130" s="141">
        <v>46115</v>
      </c>
      <c r="BJ130" s="142"/>
      <c r="BK130" s="142"/>
      <c r="BL130" s="142"/>
      <c r="BM130" s="142"/>
      <c r="BN130" s="142"/>
      <c r="BO130" s="142"/>
      <c r="BP130" s="142"/>
      <c r="BQ130" s="142"/>
      <c r="BR130" s="143"/>
      <c r="BS130" s="143"/>
      <c r="BT130" s="146"/>
      <c r="BU130" s="158"/>
      <c r="BV130" s="381"/>
      <c r="BW130" s="217"/>
      <c r="BY130" s="267"/>
      <c r="CI130" s="9"/>
    </row>
    <row r="131" spans="1:96" ht="14.25" customHeight="1">
      <c r="A131" s="141">
        <v>46116</v>
      </c>
      <c r="B131" s="548"/>
      <c r="C131" s="548"/>
      <c r="D131" s="548"/>
      <c r="E131" s="548"/>
      <c r="F131" s="548"/>
      <c r="G131" s="548"/>
      <c r="H131" s="548"/>
      <c r="I131" s="548"/>
      <c r="J131" s="529"/>
      <c r="K131" s="529"/>
      <c r="L131" s="552"/>
      <c r="M131" s="549"/>
      <c r="N131" s="550"/>
      <c r="O131" s="551"/>
      <c r="Q131" s="141">
        <v>46116</v>
      </c>
      <c r="R131" s="142"/>
      <c r="S131" s="142"/>
      <c r="T131" s="142"/>
      <c r="U131" s="142"/>
      <c r="V131" s="142"/>
      <c r="W131" s="142"/>
      <c r="X131" s="142"/>
      <c r="Y131" s="142"/>
      <c r="Z131" s="143"/>
      <c r="AA131" s="143"/>
      <c r="AB131" s="146"/>
      <c r="AC131" s="158"/>
      <c r="AD131" s="381"/>
      <c r="AE131" s="217"/>
      <c r="AG131" s="141">
        <v>46116</v>
      </c>
      <c r="AH131" s="142"/>
      <c r="AI131" s="142"/>
      <c r="AJ131" s="142"/>
      <c r="AK131" s="142"/>
      <c r="AL131" s="142"/>
      <c r="AM131" s="142"/>
      <c r="AN131" s="142"/>
      <c r="AO131" s="142"/>
      <c r="AP131" s="143"/>
      <c r="AQ131" s="143"/>
      <c r="AR131" s="146"/>
      <c r="AS131" s="158"/>
      <c r="AT131" s="381"/>
      <c r="AU131" s="217"/>
      <c r="AV131" s="515"/>
      <c r="AW131" s="515"/>
      <c r="AX131" s="515"/>
      <c r="AY131" s="515"/>
      <c r="AZ131" s="515"/>
      <c r="BA131" s="515"/>
      <c r="BB131" s="515"/>
      <c r="BC131" s="515"/>
      <c r="BD131" s="515"/>
      <c r="BE131" s="515"/>
      <c r="BF131" s="515"/>
      <c r="BG131" s="158"/>
      <c r="BI131" s="141">
        <v>46116</v>
      </c>
      <c r="BJ131" s="142"/>
      <c r="BK131" s="142"/>
      <c r="BL131" s="142"/>
      <c r="BM131" s="142"/>
      <c r="BN131" s="142"/>
      <c r="BO131" s="142"/>
      <c r="BP131" s="142"/>
      <c r="BQ131" s="142"/>
      <c r="BR131" s="143"/>
      <c r="BS131" s="143"/>
      <c r="BT131" s="146"/>
      <c r="BU131" s="158"/>
      <c r="BV131" s="381"/>
      <c r="BW131" s="217"/>
      <c r="BY131" s="267">
        <f>IF('[2]2026 március'!B$5=0,
    "",
    '[2]2026 március'!B$5
)</f>
        <v>1730620</v>
      </c>
      <c r="CI131" s="9"/>
    </row>
    <row r="132" spans="1:96" ht="14.25" customHeight="1">
      <c r="A132" s="141">
        <v>46117</v>
      </c>
      <c r="B132" s="548"/>
      <c r="C132" s="548"/>
      <c r="D132" s="548"/>
      <c r="E132" s="548"/>
      <c r="F132" s="548"/>
      <c r="G132" s="548"/>
      <c r="H132" s="548"/>
      <c r="I132" s="548"/>
      <c r="J132" s="529"/>
      <c r="K132" s="529"/>
      <c r="L132" s="552"/>
      <c r="M132" s="549"/>
      <c r="N132" s="550"/>
      <c r="O132" s="551"/>
      <c r="Q132" s="141">
        <v>46117</v>
      </c>
      <c r="R132" s="142"/>
      <c r="S132" s="142"/>
      <c r="T132" s="142"/>
      <c r="U132" s="142"/>
      <c r="V132" s="142"/>
      <c r="W132" s="142"/>
      <c r="X132" s="142"/>
      <c r="Y132" s="142"/>
      <c r="Z132" s="143"/>
      <c r="AA132" s="143"/>
      <c r="AB132" s="146"/>
      <c r="AC132" s="158"/>
      <c r="AD132" s="381"/>
      <c r="AE132" s="217"/>
      <c r="AG132" s="141">
        <v>46117</v>
      </c>
      <c r="AH132" s="142"/>
      <c r="AI132" s="142"/>
      <c r="AJ132" s="142"/>
      <c r="AK132" s="142"/>
      <c r="AL132" s="142"/>
      <c r="AM132" s="142"/>
      <c r="AN132" s="142"/>
      <c r="AO132" s="142"/>
      <c r="AP132" s="143"/>
      <c r="AQ132" s="143"/>
      <c r="AR132" s="146"/>
      <c r="AS132" s="158"/>
      <c r="AT132" s="381"/>
      <c r="AU132" s="217"/>
      <c r="AV132" s="515"/>
      <c r="AW132" s="515"/>
      <c r="AX132" s="515"/>
      <c r="AY132" s="515"/>
      <c r="AZ132" s="515"/>
      <c r="BA132" s="515"/>
      <c r="BB132" s="515"/>
      <c r="BC132" s="515"/>
      <c r="BD132" s="515"/>
      <c r="BE132" s="515"/>
      <c r="BF132" s="515"/>
      <c r="BG132" s="158"/>
      <c r="BI132" s="141">
        <v>46117</v>
      </c>
      <c r="BJ132" s="142"/>
      <c r="BK132" s="142"/>
      <c r="BL132" s="142"/>
      <c r="BM132" s="142"/>
      <c r="BN132" s="142"/>
      <c r="BO132" s="142"/>
      <c r="BP132" s="142"/>
      <c r="BQ132" s="142"/>
      <c r="BR132" s="143"/>
      <c r="BS132" s="143"/>
      <c r="BT132" s="146"/>
      <c r="BU132" s="158"/>
      <c r="BV132" s="381"/>
      <c r="BW132" s="217"/>
      <c r="BY132" s="498">
        <v>1762195</v>
      </c>
      <c r="CI132" s="9"/>
    </row>
    <row r="133" spans="1:96" ht="14.25" customHeight="1">
      <c r="A133" s="141">
        <v>46118</v>
      </c>
      <c r="B133" s="548"/>
      <c r="C133" s="548"/>
      <c r="D133" s="548"/>
      <c r="E133" s="548"/>
      <c r="F133" s="548"/>
      <c r="G133" s="548"/>
      <c r="H133" s="548"/>
      <c r="I133" s="548"/>
      <c r="J133" s="529"/>
      <c r="K133" s="529"/>
      <c r="L133" s="552"/>
      <c r="M133" s="549"/>
      <c r="N133" s="550"/>
      <c r="O133" s="551"/>
      <c r="Q133" s="141">
        <v>46118</v>
      </c>
      <c r="R133" s="142"/>
      <c r="S133" s="142"/>
      <c r="T133" s="142"/>
      <c r="U133" s="142"/>
      <c r="V133" s="142"/>
      <c r="W133" s="142"/>
      <c r="X133" s="142"/>
      <c r="Y133" s="142"/>
      <c r="Z133" s="143"/>
      <c r="AA133" s="143"/>
      <c r="AB133" s="146"/>
      <c r="AC133" s="158"/>
      <c r="AD133" s="381"/>
      <c r="AE133" s="217"/>
      <c r="AG133" s="141">
        <v>46118</v>
      </c>
      <c r="AH133" s="142"/>
      <c r="AI133" s="142"/>
      <c r="AJ133" s="142"/>
      <c r="AK133" s="142"/>
      <c r="AL133" s="142"/>
      <c r="AM133" s="142"/>
      <c r="AN133" s="142"/>
      <c r="AO133" s="142"/>
      <c r="AP133" s="143"/>
      <c r="AQ133" s="143"/>
      <c r="AR133" s="146"/>
      <c r="AS133" s="158"/>
      <c r="AT133" s="381"/>
      <c r="AU133" s="217"/>
      <c r="AV133" s="515"/>
      <c r="AW133" s="515"/>
      <c r="AX133" s="515"/>
      <c r="AY133" s="515"/>
      <c r="AZ133" s="515"/>
      <c r="BA133" s="515"/>
      <c r="BB133" s="515"/>
      <c r="BC133" s="515"/>
      <c r="BD133" s="515"/>
      <c r="BE133" s="515"/>
      <c r="BF133" s="515"/>
      <c r="BG133" s="158"/>
      <c r="BI133" s="141">
        <v>46118</v>
      </c>
      <c r="BJ133" s="142"/>
      <c r="BK133" s="142"/>
      <c r="BL133" s="142"/>
      <c r="BM133" s="142"/>
      <c r="BN133" s="142"/>
      <c r="BO133" s="142"/>
      <c r="BP133" s="142"/>
      <c r="BQ133" s="142"/>
      <c r="BR133" s="143"/>
      <c r="BS133" s="143"/>
      <c r="BT133" s="146"/>
      <c r="BU133" s="158"/>
      <c r="BV133" s="381"/>
      <c r="BW133" s="217"/>
      <c r="BY133" s="267">
        <f>IF('[2]2026 március'!B$7=0,
    "",
    '[2]2026 március'!B$7
)</f>
        <v>1393560</v>
      </c>
      <c r="CI133" s="9"/>
    </row>
    <row r="134" spans="1:96" ht="14.25" customHeight="1">
      <c r="A134" s="141">
        <v>46119</v>
      </c>
      <c r="B134" s="553"/>
      <c r="C134" s="553"/>
      <c r="D134" s="553"/>
      <c r="E134" s="553"/>
      <c r="F134" s="553"/>
      <c r="G134" s="553"/>
      <c r="H134" s="553"/>
      <c r="I134" s="553"/>
      <c r="J134" s="554"/>
      <c r="K134" s="554"/>
      <c r="L134" s="560"/>
      <c r="M134" s="556"/>
      <c r="N134" s="557"/>
      <c r="O134" s="558"/>
      <c r="Q134" s="141">
        <v>46119</v>
      </c>
      <c r="R134" s="15"/>
      <c r="S134" s="15"/>
      <c r="T134" s="15"/>
      <c r="U134" s="15"/>
      <c r="V134" s="15"/>
      <c r="W134" s="15"/>
      <c r="X134" s="15"/>
      <c r="Y134" s="15"/>
      <c r="Z134" s="565"/>
      <c r="AA134" s="565"/>
      <c r="AB134" s="572"/>
      <c r="AC134" s="568"/>
      <c r="AD134" s="569"/>
      <c r="AE134" s="570"/>
      <c r="AG134" s="141">
        <v>46119</v>
      </c>
      <c r="AH134" s="11"/>
      <c r="AI134" s="11"/>
      <c r="AJ134" s="11"/>
      <c r="AK134" s="11"/>
      <c r="AL134" s="11"/>
      <c r="AM134" s="11"/>
      <c r="AN134" s="11"/>
      <c r="AO134" s="11"/>
      <c r="AP134" s="38"/>
      <c r="AQ134" s="38"/>
      <c r="AR134" s="250"/>
      <c r="AS134" s="9"/>
      <c r="AT134" s="216"/>
      <c r="AU134" s="214"/>
      <c r="BG134" s="9"/>
      <c r="BI134" s="141">
        <v>46119</v>
      </c>
      <c r="BJ134" s="15"/>
      <c r="BK134" s="15"/>
      <c r="BL134" s="15"/>
      <c r="BM134" s="15"/>
      <c r="BN134" s="15"/>
      <c r="BO134" s="15"/>
      <c r="BP134" s="15"/>
      <c r="BQ134" s="15"/>
      <c r="BR134" s="565"/>
      <c r="BS134" s="565"/>
      <c r="BT134" s="572"/>
      <c r="BU134" s="568"/>
      <c r="BV134" s="569"/>
      <c r="BW134" s="570"/>
      <c r="BY134" s="267" t="str">
        <f>IF('[2]2026 március'!B$8=0,
    "",
    '[2]2026 március'!B$8
)</f>
        <v/>
      </c>
      <c r="CI134" s="158"/>
    </row>
    <row r="135" spans="1:96" ht="14.25" customHeight="1">
      <c r="A135" s="141">
        <v>46120</v>
      </c>
      <c r="B135" s="553"/>
      <c r="C135" s="553"/>
      <c r="D135" s="553"/>
      <c r="E135" s="553"/>
      <c r="F135" s="553"/>
      <c r="G135" s="553"/>
      <c r="H135" s="553"/>
      <c r="I135" s="553"/>
      <c r="J135" s="554"/>
      <c r="K135" s="554"/>
      <c r="L135" s="560"/>
      <c r="M135" s="556"/>
      <c r="N135" s="557"/>
      <c r="O135" s="558"/>
      <c r="Q135" s="141">
        <v>46120</v>
      </c>
      <c r="R135" s="15"/>
      <c r="S135" s="15"/>
      <c r="T135" s="15"/>
      <c r="U135" s="15"/>
      <c r="V135" s="15"/>
      <c r="W135" s="15"/>
      <c r="X135" s="15"/>
      <c r="Y135" s="15"/>
      <c r="Z135" s="565"/>
      <c r="AA135" s="565"/>
      <c r="AB135" s="572"/>
      <c r="AC135" s="568"/>
      <c r="AD135" s="569"/>
      <c r="AE135" s="570"/>
      <c r="AG135" s="141">
        <v>46120</v>
      </c>
      <c r="AH135" s="11"/>
      <c r="AI135" s="11"/>
      <c r="AJ135" s="11"/>
      <c r="AK135" s="11"/>
      <c r="AL135" s="11"/>
      <c r="AM135" s="11"/>
      <c r="AN135" s="11"/>
      <c r="AO135" s="11"/>
      <c r="AP135" s="38"/>
      <c r="AQ135" s="38"/>
      <c r="AR135" s="250"/>
      <c r="AS135" s="9"/>
      <c r="AT135" s="216"/>
      <c r="AU135" s="214"/>
      <c r="BG135" s="9"/>
      <c r="BI135" s="141">
        <v>46120</v>
      </c>
      <c r="BJ135" s="15"/>
      <c r="BK135" s="15"/>
      <c r="BL135" s="15"/>
      <c r="BM135" s="15"/>
      <c r="BN135" s="15"/>
      <c r="BO135" s="15"/>
      <c r="BP135" s="15"/>
      <c r="BQ135" s="15"/>
      <c r="BR135" s="565"/>
      <c r="BS135" s="565"/>
      <c r="BT135" s="572"/>
      <c r="BU135" s="568"/>
      <c r="BV135" s="569"/>
      <c r="BW135" s="570"/>
      <c r="BY135" s="267" t="str">
        <f>IF('[2]2026 március'!B$9=0,
    "",
    '[2]2026 március'!B$9
)</f>
        <v/>
      </c>
      <c r="CI135" s="158"/>
    </row>
    <row r="136" spans="1:96" ht="14.25" customHeight="1">
      <c r="A136" s="141">
        <v>46121</v>
      </c>
      <c r="B136" s="553"/>
      <c r="C136" s="553"/>
      <c r="D136" s="553"/>
      <c r="E136" s="553"/>
      <c r="F136" s="553"/>
      <c r="G136" s="553"/>
      <c r="H136" s="553"/>
      <c r="I136" s="553"/>
      <c r="J136" s="554"/>
      <c r="K136" s="554"/>
      <c r="L136" s="559"/>
      <c r="M136" s="556"/>
      <c r="N136" s="557"/>
      <c r="O136" s="558"/>
      <c r="Q136" s="141">
        <v>46121</v>
      </c>
      <c r="R136" s="15"/>
      <c r="S136" s="15"/>
      <c r="T136" s="15"/>
      <c r="U136" s="15"/>
      <c r="V136" s="15"/>
      <c r="W136" s="15"/>
      <c r="X136" s="15"/>
      <c r="Y136" s="15"/>
      <c r="Z136" s="565"/>
      <c r="AA136" s="565"/>
      <c r="AB136" s="571"/>
      <c r="AC136" s="568"/>
      <c r="AD136" s="569"/>
      <c r="AE136" s="570"/>
      <c r="AG136" s="141">
        <v>46121</v>
      </c>
      <c r="AH136" s="11"/>
      <c r="AI136" s="11"/>
      <c r="AJ136" s="11"/>
      <c r="AK136" s="11"/>
      <c r="AL136" s="11"/>
      <c r="AM136" s="11"/>
      <c r="AN136" s="11"/>
      <c r="AO136" s="11"/>
      <c r="AP136" s="38"/>
      <c r="AQ136" s="38"/>
      <c r="AR136" s="72"/>
      <c r="AS136" s="9"/>
      <c r="AT136" s="216"/>
      <c r="AU136" s="214"/>
      <c r="BG136" s="9"/>
      <c r="BI136" s="141">
        <v>46121</v>
      </c>
      <c r="BJ136" s="15"/>
      <c r="BK136" s="15"/>
      <c r="BL136" s="15"/>
      <c r="BM136" s="15"/>
      <c r="BN136" s="15"/>
      <c r="BO136" s="15"/>
      <c r="BP136" s="15"/>
      <c r="BQ136" s="15"/>
      <c r="BR136" s="565"/>
      <c r="BS136" s="565"/>
      <c r="BT136" s="571"/>
      <c r="BU136" s="568"/>
      <c r="BV136" s="569"/>
      <c r="BW136" s="570"/>
      <c r="BY136" s="498">
        <v>1517080</v>
      </c>
      <c r="CI136" s="9"/>
    </row>
    <row r="137" spans="1:96" ht="14.25" customHeight="1">
      <c r="A137" s="141">
        <v>46122</v>
      </c>
      <c r="B137" s="553"/>
      <c r="C137" s="553"/>
      <c r="D137" s="553"/>
      <c r="E137" s="553"/>
      <c r="F137" s="553"/>
      <c r="G137" s="553"/>
      <c r="H137" s="553"/>
      <c r="I137" s="553"/>
      <c r="J137" s="554"/>
      <c r="K137" s="554"/>
      <c r="L137" s="559"/>
      <c r="M137" s="556"/>
      <c r="N137" s="557"/>
      <c r="O137" s="558"/>
      <c r="Q137" s="141">
        <v>46122</v>
      </c>
      <c r="R137" s="15"/>
      <c r="S137" s="15"/>
      <c r="T137" s="15"/>
      <c r="U137" s="15"/>
      <c r="V137" s="15"/>
      <c r="W137" s="15"/>
      <c r="X137" s="15"/>
      <c r="Y137" s="15"/>
      <c r="Z137" s="565"/>
      <c r="AA137" s="565"/>
      <c r="AB137" s="571"/>
      <c r="AC137" s="568"/>
      <c r="AD137" s="569"/>
      <c r="AE137" s="570"/>
      <c r="AG137" s="141">
        <v>46122</v>
      </c>
      <c r="AH137" s="11"/>
      <c r="AI137" s="11"/>
      <c r="AJ137" s="11"/>
      <c r="AK137" s="11"/>
      <c r="AL137" s="11"/>
      <c r="AM137" s="11"/>
      <c r="AN137" s="11"/>
      <c r="AO137" s="11"/>
      <c r="AP137" s="38"/>
      <c r="AQ137" s="38"/>
      <c r="AR137" s="72"/>
      <c r="AS137" s="9"/>
      <c r="AT137" s="216"/>
      <c r="AU137" s="214"/>
      <c r="BG137" s="9"/>
      <c r="BI137" s="141">
        <v>46122</v>
      </c>
      <c r="BJ137" s="15"/>
      <c r="BK137" s="15"/>
      <c r="BL137" s="15"/>
      <c r="BM137" s="15"/>
      <c r="BN137" s="15"/>
      <c r="BO137" s="15"/>
      <c r="BP137" s="15"/>
      <c r="BQ137" s="15"/>
      <c r="BR137" s="565"/>
      <c r="BS137" s="565"/>
      <c r="BT137" s="571"/>
      <c r="BU137" s="568"/>
      <c r="BV137" s="569"/>
      <c r="BW137" s="570"/>
      <c r="BY137" s="267">
        <f>IF('[2]2026 március'!B$11=0,
    "",
    '[2]2026 március'!B$11
)</f>
        <v>1886050</v>
      </c>
      <c r="CI137" s="9"/>
    </row>
    <row r="138" spans="1:96" ht="15" customHeight="1">
      <c r="A138" s="141">
        <v>46123</v>
      </c>
      <c r="B138" s="548"/>
      <c r="C138" s="548"/>
      <c r="D138" s="548"/>
      <c r="E138" s="548"/>
      <c r="F138" s="548"/>
      <c r="G138" s="548"/>
      <c r="H138" s="548"/>
      <c r="I138" s="548"/>
      <c r="J138" s="529"/>
      <c r="K138" s="529"/>
      <c r="L138" s="552"/>
      <c r="M138" s="549"/>
      <c r="N138" s="550"/>
      <c r="O138" s="551"/>
      <c r="Q138" s="141">
        <v>46123</v>
      </c>
      <c r="R138" s="142"/>
      <c r="S138" s="142"/>
      <c r="T138" s="142"/>
      <c r="U138" s="142"/>
      <c r="V138" s="142"/>
      <c r="W138" s="142"/>
      <c r="X138" s="142"/>
      <c r="Y138" s="142"/>
      <c r="Z138" s="143"/>
      <c r="AA138" s="143"/>
      <c r="AB138" s="146"/>
      <c r="AC138" s="158"/>
      <c r="AD138" s="381"/>
      <c r="AE138" s="217"/>
      <c r="AG138" s="141">
        <v>46123</v>
      </c>
      <c r="AH138" s="142"/>
      <c r="AI138" s="142"/>
      <c r="AJ138" s="142"/>
      <c r="AK138" s="142"/>
      <c r="AL138" s="142"/>
      <c r="AM138" s="142"/>
      <c r="AN138" s="142"/>
      <c r="AO138" s="142"/>
      <c r="AP138" s="143"/>
      <c r="AQ138" s="143"/>
      <c r="AR138" s="146"/>
      <c r="AS138" s="158"/>
      <c r="AT138" s="381"/>
      <c r="AU138" s="217"/>
      <c r="AV138" s="515"/>
      <c r="AW138" s="515"/>
      <c r="AX138" s="515"/>
      <c r="AY138" s="515"/>
      <c r="AZ138" s="515"/>
      <c r="BA138" s="515"/>
      <c r="BB138" s="515"/>
      <c r="BC138" s="515"/>
      <c r="BD138" s="515"/>
      <c r="BE138" s="515"/>
      <c r="BF138" s="515"/>
      <c r="BG138" s="158"/>
      <c r="BI138" s="141">
        <v>46123</v>
      </c>
      <c r="BJ138" s="142"/>
      <c r="BK138" s="142"/>
      <c r="BL138" s="142"/>
      <c r="BM138" s="142"/>
      <c r="BN138" s="142"/>
      <c r="BO138" s="142"/>
      <c r="BP138" s="142"/>
      <c r="BQ138" s="142"/>
      <c r="BR138" s="143"/>
      <c r="BS138" s="143"/>
      <c r="BT138" s="146"/>
      <c r="BU138" s="158"/>
      <c r="BV138" s="381"/>
      <c r="BW138" s="217"/>
      <c r="BY138" s="498">
        <v>1854550</v>
      </c>
      <c r="CI138" s="9"/>
    </row>
    <row r="139" spans="1:96" ht="15" customHeight="1">
      <c r="A139" s="141">
        <v>46124</v>
      </c>
      <c r="B139" s="548"/>
      <c r="C139" s="548"/>
      <c r="D139" s="548"/>
      <c r="E139" s="548"/>
      <c r="F139" s="548"/>
      <c r="G139" s="548"/>
      <c r="H139" s="548"/>
      <c r="I139" s="548"/>
      <c r="J139" s="529"/>
      <c r="K139" s="529"/>
      <c r="L139" s="552"/>
      <c r="M139" s="564"/>
      <c r="N139" s="550"/>
      <c r="O139" s="551"/>
      <c r="Q139" s="141">
        <v>46124</v>
      </c>
      <c r="R139" s="142"/>
      <c r="S139" s="142"/>
      <c r="T139" s="142"/>
      <c r="U139" s="142"/>
      <c r="V139" s="142"/>
      <c r="W139" s="142"/>
      <c r="X139" s="142"/>
      <c r="Y139" s="142"/>
      <c r="Z139" s="143"/>
      <c r="AA139" s="143"/>
      <c r="AB139" s="146"/>
      <c r="AC139" s="547"/>
      <c r="AD139" s="381"/>
      <c r="AE139" s="217"/>
      <c r="AG139" s="141">
        <v>46124</v>
      </c>
      <c r="AH139" s="142"/>
      <c r="AI139" s="142"/>
      <c r="AJ139" s="142"/>
      <c r="AK139" s="142"/>
      <c r="AL139" s="142"/>
      <c r="AM139" s="142"/>
      <c r="AN139" s="142"/>
      <c r="AO139" s="142"/>
      <c r="AP139" s="143"/>
      <c r="AQ139" s="143"/>
      <c r="AR139" s="146"/>
      <c r="AS139" s="547"/>
      <c r="AT139" s="381"/>
      <c r="AU139" s="217"/>
      <c r="AV139" s="515"/>
      <c r="AW139" s="515"/>
      <c r="AX139" s="515"/>
      <c r="AY139" s="515"/>
      <c r="AZ139" s="515"/>
      <c r="BA139" s="515"/>
      <c r="BB139" s="515"/>
      <c r="BC139" s="515"/>
      <c r="BD139" s="515"/>
      <c r="BE139" s="515"/>
      <c r="BF139" s="515"/>
      <c r="BG139" s="158"/>
      <c r="BI139" s="141">
        <v>46124</v>
      </c>
      <c r="BJ139" s="142"/>
      <c r="BK139" s="142"/>
      <c r="BL139" s="142"/>
      <c r="BM139" s="142"/>
      <c r="BN139" s="142"/>
      <c r="BO139" s="142"/>
      <c r="BP139" s="142"/>
      <c r="BQ139" s="142"/>
      <c r="BR139" s="143"/>
      <c r="BS139" s="143"/>
      <c r="BT139" s="146"/>
      <c r="BU139" s="547"/>
      <c r="BV139" s="381"/>
      <c r="BW139" s="217"/>
      <c r="BY139" s="267">
        <f>IF('[2]2026 március'!B$13=0,
    "",
    '[2]2026 március'!B$13
)</f>
        <v>1762235</v>
      </c>
      <c r="CI139" s="9"/>
    </row>
    <row r="140" spans="1:96" ht="15" customHeight="1">
      <c r="A140" s="141">
        <v>46125</v>
      </c>
      <c r="B140" s="553"/>
      <c r="C140" s="553"/>
      <c r="D140" s="553"/>
      <c r="E140" s="553"/>
      <c r="F140" s="553"/>
      <c r="G140" s="553"/>
      <c r="H140" s="553"/>
      <c r="I140" s="553"/>
      <c r="J140" s="554"/>
      <c r="K140" s="554"/>
      <c r="L140" s="559"/>
      <c r="M140" s="556"/>
      <c r="N140" s="557"/>
      <c r="O140" s="558"/>
      <c r="Q140" s="141">
        <v>46125</v>
      </c>
      <c r="R140" s="15"/>
      <c r="S140" s="15"/>
      <c r="T140" s="15"/>
      <c r="U140" s="15"/>
      <c r="V140" s="15"/>
      <c r="W140" s="15"/>
      <c r="X140" s="15"/>
      <c r="Y140" s="15"/>
      <c r="Z140" s="565"/>
      <c r="AA140" s="565"/>
      <c r="AB140" s="571"/>
      <c r="AC140" s="568"/>
      <c r="AD140" s="569"/>
      <c r="AE140" s="570"/>
      <c r="AG140" s="141">
        <v>46125</v>
      </c>
      <c r="AH140" s="11"/>
      <c r="AI140" s="11"/>
      <c r="AJ140" s="11"/>
      <c r="AK140" s="11"/>
      <c r="AL140" s="11"/>
      <c r="AM140" s="11"/>
      <c r="AN140" s="11"/>
      <c r="AO140" s="11"/>
      <c r="AP140" s="38"/>
      <c r="AQ140" s="38"/>
      <c r="AR140" s="72"/>
      <c r="AS140" s="9"/>
      <c r="AT140" s="216"/>
      <c r="AU140" s="214"/>
      <c r="BG140" s="9"/>
      <c r="BI140" s="141">
        <v>46125</v>
      </c>
      <c r="BJ140" s="15"/>
      <c r="BK140" s="15"/>
      <c r="BL140" s="15"/>
      <c r="BM140" s="15"/>
      <c r="BN140" s="15"/>
      <c r="BO140" s="15"/>
      <c r="BP140" s="15"/>
      <c r="BQ140" s="15"/>
      <c r="BR140" s="565"/>
      <c r="BS140" s="565"/>
      <c r="BT140" s="571"/>
      <c r="BU140" s="568"/>
      <c r="BV140" s="569"/>
      <c r="BW140" s="570"/>
      <c r="BY140" s="498">
        <v>1406390</v>
      </c>
      <c r="CI140" s="9"/>
    </row>
    <row r="141" spans="1:96" ht="15" customHeight="1">
      <c r="A141" s="141">
        <v>46126</v>
      </c>
      <c r="B141" s="553"/>
      <c r="C141" s="553"/>
      <c r="D141" s="553"/>
      <c r="E141" s="553"/>
      <c r="F141" s="553"/>
      <c r="G141" s="553"/>
      <c r="H141" s="553"/>
      <c r="I141" s="553"/>
      <c r="J141" s="554"/>
      <c r="K141" s="554"/>
      <c r="L141" s="559"/>
      <c r="M141" s="556"/>
      <c r="N141" s="557"/>
      <c r="O141" s="558"/>
      <c r="Q141" s="141">
        <v>46126</v>
      </c>
      <c r="R141" s="15"/>
      <c r="S141" s="15"/>
      <c r="T141" s="15"/>
      <c r="U141" s="15"/>
      <c r="V141" s="15"/>
      <c r="W141" s="15"/>
      <c r="X141" s="15"/>
      <c r="Y141" s="15"/>
      <c r="Z141" s="565"/>
      <c r="AA141" s="565"/>
      <c r="AB141" s="571"/>
      <c r="AC141" s="568"/>
      <c r="AD141" s="569"/>
      <c r="AE141" s="570"/>
      <c r="AG141" s="141">
        <v>46126</v>
      </c>
      <c r="AH141" s="11"/>
      <c r="AI141" s="11"/>
      <c r="AJ141" s="11"/>
      <c r="AK141" s="11"/>
      <c r="AL141" s="11"/>
      <c r="AM141" s="11"/>
      <c r="AN141" s="11"/>
      <c r="AO141" s="11"/>
      <c r="AP141" s="38"/>
      <c r="AQ141" s="38"/>
      <c r="AR141" s="72"/>
      <c r="AS141" s="9"/>
      <c r="AT141" s="216"/>
      <c r="AU141" s="214"/>
      <c r="BG141" s="9"/>
      <c r="BI141" s="141">
        <v>46126</v>
      </c>
      <c r="BJ141" s="15"/>
      <c r="BK141" s="15"/>
      <c r="BL141" s="15"/>
      <c r="BM141" s="15"/>
      <c r="BN141" s="15"/>
      <c r="BO141" s="15"/>
      <c r="BP141" s="15"/>
      <c r="BQ141" s="15"/>
      <c r="BR141" s="565"/>
      <c r="BS141" s="565"/>
      <c r="BT141" s="571"/>
      <c r="BU141" s="568"/>
      <c r="BV141" s="569"/>
      <c r="BW141" s="570"/>
      <c r="BY141" s="267" t="str">
        <f>IF('[2]2026 március'!B$15=0,
    "",
    '[2]2026 március'!B$15
)</f>
        <v/>
      </c>
      <c r="CI141" s="158"/>
      <c r="CR141" t="s">
        <v>205</v>
      </c>
    </row>
    <row r="142" spans="1:96" ht="15" customHeight="1">
      <c r="A142" s="141">
        <v>46127</v>
      </c>
      <c r="B142" s="553"/>
      <c r="C142" s="553"/>
      <c r="D142" s="553"/>
      <c r="E142" s="553"/>
      <c r="F142" s="553"/>
      <c r="G142" s="553"/>
      <c r="H142" s="553"/>
      <c r="I142" s="553"/>
      <c r="J142" s="554"/>
      <c r="K142" s="554"/>
      <c r="L142" s="559"/>
      <c r="M142" s="556"/>
      <c r="N142" s="557"/>
      <c r="O142" s="558"/>
      <c r="Q142" s="141">
        <v>46127</v>
      </c>
      <c r="R142" s="15"/>
      <c r="S142" s="15"/>
      <c r="T142" s="15"/>
      <c r="U142" s="15"/>
      <c r="V142" s="15"/>
      <c r="W142" s="15"/>
      <c r="X142" s="15"/>
      <c r="Y142" s="15"/>
      <c r="Z142" s="565"/>
      <c r="AA142" s="565"/>
      <c r="AB142" s="571"/>
      <c r="AC142" s="568"/>
      <c r="AD142" s="569"/>
      <c r="AE142" s="570"/>
      <c r="AG142" s="141">
        <v>46127</v>
      </c>
      <c r="AH142" s="11"/>
      <c r="AI142" s="11"/>
      <c r="AJ142" s="11"/>
      <c r="AK142" s="11"/>
      <c r="AL142" s="11"/>
      <c r="AM142" s="11"/>
      <c r="AN142" s="11"/>
      <c r="AO142" s="11"/>
      <c r="AP142" s="38"/>
      <c r="AQ142" s="38"/>
      <c r="AR142" s="72"/>
      <c r="AS142" s="9"/>
      <c r="AT142" s="216"/>
      <c r="AU142" s="214"/>
      <c r="BG142" s="9"/>
      <c r="BI142" s="141">
        <v>46127</v>
      </c>
      <c r="BJ142" s="15"/>
      <c r="BK142" s="15"/>
      <c r="BL142" s="15"/>
      <c r="BM142" s="15"/>
      <c r="BN142" s="15"/>
      <c r="BO142" s="15"/>
      <c r="BP142" s="15"/>
      <c r="BQ142" s="15"/>
      <c r="BR142" s="565"/>
      <c r="BS142" s="565"/>
      <c r="BT142" s="571"/>
      <c r="BU142" s="568"/>
      <c r="BV142" s="569"/>
      <c r="BW142" s="570"/>
      <c r="BY142" s="267" t="str">
        <f>IF('[2]2026 március'!B$16=0,
    "",
    '[2]2026 március'!B$16
)</f>
        <v/>
      </c>
      <c r="CI142" s="158"/>
    </row>
    <row r="143" spans="1:96" ht="15" customHeight="1">
      <c r="A143" s="141">
        <v>46128</v>
      </c>
      <c r="B143" s="553"/>
      <c r="C143" s="553"/>
      <c r="D143" s="553"/>
      <c r="E143" s="553"/>
      <c r="F143" s="553"/>
      <c r="G143" s="553"/>
      <c r="H143" s="553"/>
      <c r="I143" s="553"/>
      <c r="J143" s="554"/>
      <c r="K143" s="554"/>
      <c r="L143" s="559"/>
      <c r="M143" s="556"/>
      <c r="N143" s="557"/>
      <c r="O143" s="558"/>
      <c r="Q143" s="141">
        <v>46128</v>
      </c>
      <c r="R143" s="15"/>
      <c r="S143" s="15"/>
      <c r="T143" s="15"/>
      <c r="U143" s="15"/>
      <c r="V143" s="15"/>
      <c r="W143" s="15"/>
      <c r="X143" s="15"/>
      <c r="Y143" s="15"/>
      <c r="Z143" s="565"/>
      <c r="AA143" s="565"/>
      <c r="AB143" s="571"/>
      <c r="AC143" s="568"/>
      <c r="AD143" s="569"/>
      <c r="AE143" s="570"/>
      <c r="AG143" s="141">
        <v>46128</v>
      </c>
      <c r="AH143" s="11"/>
      <c r="AI143" s="11"/>
      <c r="AJ143" s="11"/>
      <c r="AK143" s="11"/>
      <c r="AL143" s="11"/>
      <c r="AM143" s="11"/>
      <c r="AN143" s="11"/>
      <c r="AO143" s="11"/>
      <c r="AP143" s="38"/>
      <c r="AQ143" s="38"/>
      <c r="AR143" s="72"/>
      <c r="AS143" s="9"/>
      <c r="AT143" s="216"/>
      <c r="AU143" s="214"/>
      <c r="BG143" s="9"/>
      <c r="BI143" s="141">
        <v>46128</v>
      </c>
      <c r="BJ143" s="15"/>
      <c r="BK143" s="15"/>
      <c r="BL143" s="15"/>
      <c r="BM143" s="15"/>
      <c r="BN143" s="15"/>
      <c r="BO143" s="15"/>
      <c r="BP143" s="15"/>
      <c r="BQ143" s="15"/>
      <c r="BR143" s="565"/>
      <c r="BS143" s="565"/>
      <c r="BT143" s="571"/>
      <c r="BU143" s="568"/>
      <c r="BV143" s="569"/>
      <c r="BW143" s="570"/>
      <c r="BY143" s="267">
        <f>IF('[2]2026 március'!B$17=0,
    "",
    '[2]2026 március'!B$17
)</f>
        <v>1656855</v>
      </c>
      <c r="CI143" s="9"/>
    </row>
    <row r="144" spans="1:96" ht="15" customHeight="1">
      <c r="A144" s="141">
        <v>46129</v>
      </c>
      <c r="B144" s="553"/>
      <c r="C144" s="553"/>
      <c r="D144" s="553"/>
      <c r="E144" s="553"/>
      <c r="F144" s="553"/>
      <c r="G144" s="553"/>
      <c r="H144" s="553"/>
      <c r="I144" s="553"/>
      <c r="J144" s="554"/>
      <c r="K144" s="554"/>
      <c r="L144" s="559"/>
      <c r="M144" s="556"/>
      <c r="N144" s="557"/>
      <c r="O144" s="558"/>
      <c r="Q144" s="141">
        <v>46129</v>
      </c>
      <c r="R144" s="15"/>
      <c r="S144" s="15"/>
      <c r="T144" s="15"/>
      <c r="U144" s="15"/>
      <c r="V144" s="15"/>
      <c r="W144" s="15"/>
      <c r="X144" s="15"/>
      <c r="Y144" s="15"/>
      <c r="Z144" s="565"/>
      <c r="AA144" s="565"/>
      <c r="AB144" s="571"/>
      <c r="AC144" s="568"/>
      <c r="AD144" s="569"/>
      <c r="AE144" s="570"/>
      <c r="AG144" s="141">
        <v>46129</v>
      </c>
      <c r="AH144" s="11"/>
      <c r="AI144" s="11"/>
      <c r="AJ144" s="11"/>
      <c r="AK144" s="11"/>
      <c r="AL144" s="11"/>
      <c r="AM144" s="11"/>
      <c r="AN144" s="11"/>
      <c r="AO144" s="11"/>
      <c r="AP144" s="38"/>
      <c r="AQ144" s="38"/>
      <c r="AR144" s="72"/>
      <c r="AS144" s="9"/>
      <c r="AT144" s="216"/>
      <c r="AU144" s="214"/>
      <c r="BG144" s="9"/>
      <c r="BI144" s="141">
        <v>46129</v>
      </c>
      <c r="BJ144" s="15"/>
      <c r="BK144" s="15"/>
      <c r="BL144" s="15"/>
      <c r="BM144" s="15"/>
      <c r="BN144" s="15"/>
      <c r="BO144" s="15"/>
      <c r="BP144" s="15"/>
      <c r="BQ144" s="15"/>
      <c r="BR144" s="565"/>
      <c r="BS144" s="565"/>
      <c r="BT144" s="571"/>
      <c r="BU144" s="568"/>
      <c r="BV144" s="569"/>
      <c r="BW144" s="570"/>
      <c r="BY144" s="498">
        <v>1858150</v>
      </c>
      <c r="CI144" s="9"/>
    </row>
    <row r="145" spans="1:87" ht="15" customHeight="1">
      <c r="A145" s="141">
        <v>46130</v>
      </c>
      <c r="B145" s="548"/>
      <c r="C145" s="548"/>
      <c r="D145" s="548"/>
      <c r="E145" s="548"/>
      <c r="F145" s="548"/>
      <c r="G145" s="548"/>
      <c r="H145" s="548"/>
      <c r="I145" s="548"/>
      <c r="J145" s="529"/>
      <c r="K145" s="529"/>
      <c r="L145" s="552"/>
      <c r="M145" s="549"/>
      <c r="N145" s="550"/>
      <c r="O145" s="551"/>
      <c r="Q145" s="141">
        <v>46130</v>
      </c>
      <c r="R145" s="142"/>
      <c r="S145" s="142"/>
      <c r="T145" s="142"/>
      <c r="U145" s="142"/>
      <c r="V145" s="142"/>
      <c r="W145" s="142"/>
      <c r="X145" s="142"/>
      <c r="Y145" s="142"/>
      <c r="Z145" s="143"/>
      <c r="AA145" s="143"/>
      <c r="AB145" s="146"/>
      <c r="AC145" s="158"/>
      <c r="AD145" s="381"/>
      <c r="AE145" s="217"/>
      <c r="AG145" s="141">
        <v>46130</v>
      </c>
      <c r="AH145" s="142"/>
      <c r="AI145" s="142"/>
      <c r="AJ145" s="142"/>
      <c r="AK145" s="142"/>
      <c r="AL145" s="142"/>
      <c r="AM145" s="142"/>
      <c r="AN145" s="142"/>
      <c r="AO145" s="142"/>
      <c r="AP145" s="143"/>
      <c r="AQ145" s="143"/>
      <c r="AR145" s="146"/>
      <c r="AS145" s="158"/>
      <c r="AT145" s="381"/>
      <c r="AU145" s="217"/>
      <c r="AV145" s="515"/>
      <c r="AW145" s="515"/>
      <c r="AX145" s="515"/>
      <c r="AY145" s="515"/>
      <c r="AZ145" s="515"/>
      <c r="BA145" s="515"/>
      <c r="BB145" s="515"/>
      <c r="BC145" s="515"/>
      <c r="BD145" s="515"/>
      <c r="BE145" s="515"/>
      <c r="BF145" s="515"/>
      <c r="BG145" s="158"/>
      <c r="BI145" s="141">
        <v>46130</v>
      </c>
      <c r="BJ145" s="142"/>
      <c r="BK145" s="142"/>
      <c r="BL145" s="142"/>
      <c r="BM145" s="142"/>
      <c r="BN145" s="142"/>
      <c r="BO145" s="142"/>
      <c r="BP145" s="142"/>
      <c r="BQ145" s="142"/>
      <c r="BR145" s="143"/>
      <c r="BS145" s="143"/>
      <c r="BT145" s="146"/>
      <c r="BU145" s="158"/>
      <c r="BV145" s="381"/>
      <c r="BW145" s="217"/>
      <c r="BY145" s="267">
        <f>IF('[2]2026 március'!B$19=0,
    "",
    '[2]2026 március'!B$19
)</f>
        <v>1824700</v>
      </c>
      <c r="CI145" s="9"/>
    </row>
    <row r="146" spans="1:87" ht="15" customHeight="1">
      <c r="A146" s="141">
        <v>46131</v>
      </c>
      <c r="B146" s="548"/>
      <c r="C146" s="548"/>
      <c r="D146" s="548"/>
      <c r="E146" s="548"/>
      <c r="F146" s="548"/>
      <c r="G146" s="548"/>
      <c r="H146" s="548"/>
      <c r="I146" s="548"/>
      <c r="J146" s="529"/>
      <c r="K146" s="529"/>
      <c r="L146" s="552"/>
      <c r="M146" s="549"/>
      <c r="N146" s="550"/>
      <c r="O146" s="551"/>
      <c r="Q146" s="141">
        <v>46131</v>
      </c>
      <c r="R146" s="142"/>
      <c r="S146" s="142"/>
      <c r="T146" s="142"/>
      <c r="U146" s="142"/>
      <c r="V146" s="142"/>
      <c r="W146" s="142"/>
      <c r="X146" s="142"/>
      <c r="Y146" s="142"/>
      <c r="Z146" s="143"/>
      <c r="AA146" s="143"/>
      <c r="AB146" s="146"/>
      <c r="AC146" s="158"/>
      <c r="AD146" s="381"/>
      <c r="AE146" s="217"/>
      <c r="AG146" s="141">
        <v>46131</v>
      </c>
      <c r="AH146" s="142"/>
      <c r="AI146" s="142"/>
      <c r="AJ146" s="142"/>
      <c r="AK146" s="142"/>
      <c r="AL146" s="142"/>
      <c r="AM146" s="142"/>
      <c r="AN146" s="142"/>
      <c r="AO146" s="142"/>
      <c r="AP146" s="143"/>
      <c r="AQ146" s="143"/>
      <c r="AR146" s="146"/>
      <c r="AS146" s="158"/>
      <c r="AT146" s="381"/>
      <c r="AU146" s="217"/>
      <c r="AV146" s="515"/>
      <c r="AW146" s="515"/>
      <c r="AX146" s="515"/>
      <c r="AY146" s="515"/>
      <c r="AZ146" s="515"/>
      <c r="BA146" s="515"/>
      <c r="BB146" s="515"/>
      <c r="BC146" s="515"/>
      <c r="BD146" s="515"/>
      <c r="BE146" s="515"/>
      <c r="BF146" s="515"/>
      <c r="BG146" s="158"/>
      <c r="BI146" s="141">
        <v>46131</v>
      </c>
      <c r="BJ146" s="142"/>
      <c r="BK146" s="142"/>
      <c r="BL146" s="142"/>
      <c r="BM146" s="142"/>
      <c r="BN146" s="142"/>
      <c r="BO146" s="142"/>
      <c r="BP146" s="142"/>
      <c r="BQ146" s="142"/>
      <c r="BR146" s="143"/>
      <c r="BS146" s="143"/>
      <c r="BT146" s="146"/>
      <c r="BU146" s="158"/>
      <c r="BV146" s="381"/>
      <c r="BW146" s="217"/>
      <c r="BY146" s="267">
        <f>IF('[2]2026 március'!B$20=0,
    "",
    '[2]2026 március'!B$20
)</f>
        <v>1595095</v>
      </c>
      <c r="CI146" s="9"/>
    </row>
    <row r="147" spans="1:87" ht="15" customHeight="1">
      <c r="A147" s="141">
        <v>46132</v>
      </c>
      <c r="B147" s="553"/>
      <c r="C147" s="553"/>
      <c r="D147" s="553"/>
      <c r="E147" s="553"/>
      <c r="F147" s="553"/>
      <c r="G147" s="553"/>
      <c r="H147" s="553"/>
      <c r="I147" s="553"/>
      <c r="J147" s="554"/>
      <c r="K147" s="554"/>
      <c r="L147" s="559"/>
      <c r="M147" s="556"/>
      <c r="N147" s="557"/>
      <c r="O147" s="558"/>
      <c r="Q147" s="141">
        <v>46132</v>
      </c>
      <c r="R147" s="15"/>
      <c r="S147" s="15"/>
      <c r="T147" s="15"/>
      <c r="U147" s="15"/>
      <c r="V147" s="15"/>
      <c r="W147" s="15"/>
      <c r="X147" s="15"/>
      <c r="Y147" s="15"/>
      <c r="Z147" s="565"/>
      <c r="AA147" s="565"/>
      <c r="AB147" s="571"/>
      <c r="AC147" s="568"/>
      <c r="AD147" s="569"/>
      <c r="AE147" s="570"/>
      <c r="AG147" s="141">
        <v>46132</v>
      </c>
      <c r="AH147" s="11"/>
      <c r="AI147" s="11"/>
      <c r="AJ147" s="11"/>
      <c r="AK147" s="11"/>
      <c r="AL147" s="11"/>
      <c r="AM147" s="11"/>
      <c r="AN147" s="11"/>
      <c r="AO147" s="11"/>
      <c r="AP147" s="38"/>
      <c r="AQ147" s="38"/>
      <c r="AR147" s="72"/>
      <c r="AS147" s="9"/>
      <c r="AT147" s="216"/>
      <c r="AU147" s="214"/>
      <c r="BG147" s="9"/>
      <c r="BI147" s="141">
        <v>46132</v>
      </c>
      <c r="BJ147" s="15"/>
      <c r="BK147" s="15"/>
      <c r="BL147" s="15"/>
      <c r="BM147" s="15"/>
      <c r="BN147" s="15"/>
      <c r="BO147" s="15"/>
      <c r="BP147" s="15"/>
      <c r="BQ147" s="15"/>
      <c r="BR147" s="565"/>
      <c r="BS147" s="565"/>
      <c r="BT147" s="571"/>
      <c r="BU147" s="568"/>
      <c r="BV147" s="569"/>
      <c r="BW147" s="570"/>
      <c r="BY147" s="267">
        <f>IF('[2]2026 március'!B$21=0,
    "",
    '[2]2026 március'!B$21
)</f>
        <v>1494490</v>
      </c>
      <c r="CI147" s="9"/>
    </row>
    <row r="148" spans="1:87" ht="15" customHeight="1">
      <c r="A148" s="141">
        <v>46133</v>
      </c>
      <c r="B148" s="553"/>
      <c r="C148" s="553"/>
      <c r="D148" s="553"/>
      <c r="E148" s="553"/>
      <c r="F148" s="553"/>
      <c r="G148" s="553"/>
      <c r="H148" s="553"/>
      <c r="I148" s="553"/>
      <c r="J148" s="554"/>
      <c r="K148" s="554"/>
      <c r="L148" s="559"/>
      <c r="M148" s="556"/>
      <c r="N148" s="557"/>
      <c r="O148" s="558"/>
      <c r="Q148" s="141">
        <v>46133</v>
      </c>
      <c r="R148" s="15"/>
      <c r="S148" s="15"/>
      <c r="T148" s="15"/>
      <c r="U148" s="15"/>
      <c r="V148" s="15"/>
      <c r="W148" s="15"/>
      <c r="X148" s="15"/>
      <c r="Y148" s="15"/>
      <c r="Z148" s="565"/>
      <c r="AA148" s="565"/>
      <c r="AB148" s="571"/>
      <c r="AC148" s="568"/>
      <c r="AD148" s="569"/>
      <c r="AE148" s="570"/>
      <c r="AG148" s="141">
        <v>46133</v>
      </c>
      <c r="AH148" s="11"/>
      <c r="AI148" s="11"/>
      <c r="AJ148" s="11"/>
      <c r="AK148" s="11"/>
      <c r="AL148" s="11"/>
      <c r="AM148" s="11"/>
      <c r="AN148" s="11"/>
      <c r="AO148" s="11"/>
      <c r="AP148" s="38"/>
      <c r="AQ148" s="38"/>
      <c r="AR148" s="72"/>
      <c r="AS148" s="9"/>
      <c r="AT148" s="216"/>
      <c r="AU148" s="214"/>
      <c r="BG148" s="9"/>
      <c r="BI148" s="141">
        <v>46133</v>
      </c>
      <c r="BJ148" s="15"/>
      <c r="BK148" s="15"/>
      <c r="BL148" s="15"/>
      <c r="BM148" s="15"/>
      <c r="BN148" s="15"/>
      <c r="BO148" s="15"/>
      <c r="BP148" s="15"/>
      <c r="BQ148" s="15"/>
      <c r="BR148" s="565"/>
      <c r="BS148" s="565"/>
      <c r="BT148" s="571"/>
      <c r="BU148" s="568"/>
      <c r="BV148" s="569"/>
      <c r="BW148" s="570"/>
      <c r="BY148" s="267" t="str">
        <f>IF('[2]2026 március'!B$22=0,
    "",
    '[2]2026 március'!B$22
)</f>
        <v/>
      </c>
      <c r="CI148" s="158"/>
    </row>
    <row r="149" spans="1:87" ht="15" customHeight="1">
      <c r="A149" s="141">
        <v>46134</v>
      </c>
      <c r="B149" s="553"/>
      <c r="C149" s="553"/>
      <c r="D149" s="553"/>
      <c r="E149" s="553"/>
      <c r="F149" s="553"/>
      <c r="G149" s="553"/>
      <c r="H149" s="553"/>
      <c r="I149" s="553"/>
      <c r="J149" s="554"/>
      <c r="K149" s="554"/>
      <c r="L149" s="559"/>
      <c r="M149" s="556"/>
      <c r="N149" s="557"/>
      <c r="O149" s="558"/>
      <c r="Q149" s="141">
        <v>46134</v>
      </c>
      <c r="R149" s="15"/>
      <c r="S149" s="15"/>
      <c r="T149" s="15"/>
      <c r="U149" s="15"/>
      <c r="V149" s="15"/>
      <c r="W149" s="15"/>
      <c r="X149" s="15"/>
      <c r="Y149" s="15"/>
      <c r="Z149" s="565"/>
      <c r="AA149" s="565"/>
      <c r="AB149" s="571"/>
      <c r="AC149" s="568"/>
      <c r="AD149" s="569"/>
      <c r="AE149" s="570"/>
      <c r="AG149" s="141">
        <v>46134</v>
      </c>
      <c r="AH149" s="11"/>
      <c r="AI149" s="11"/>
      <c r="AJ149" s="11"/>
      <c r="AK149" s="11"/>
      <c r="AL149" s="11"/>
      <c r="AM149" s="11"/>
      <c r="AN149" s="11"/>
      <c r="AO149" s="11"/>
      <c r="AP149" s="38"/>
      <c r="AQ149" s="38"/>
      <c r="AR149" s="72"/>
      <c r="AS149" s="9"/>
      <c r="AT149" s="216"/>
      <c r="AU149" s="214"/>
      <c r="BG149" s="9"/>
      <c r="BI149" s="141">
        <v>46134</v>
      </c>
      <c r="BJ149" s="15"/>
      <c r="BK149" s="15"/>
      <c r="BL149" s="15"/>
      <c r="BM149" s="15"/>
      <c r="BN149" s="15"/>
      <c r="BO149" s="15"/>
      <c r="BP149" s="15"/>
      <c r="BQ149" s="15"/>
      <c r="BR149" s="565"/>
      <c r="BS149" s="565"/>
      <c r="BT149" s="571"/>
      <c r="BU149" s="568"/>
      <c r="BV149" s="569"/>
      <c r="BW149" s="570"/>
      <c r="BY149" s="267" t="str">
        <f>IF('[2]2026 március'!B$23=0,
    "",
    '[2]2026 március'!B$23
)</f>
        <v/>
      </c>
      <c r="CI149" s="158"/>
    </row>
    <row r="150" spans="1:87" ht="15" customHeight="1">
      <c r="A150" s="141">
        <v>46135</v>
      </c>
      <c r="B150" s="553"/>
      <c r="C150" s="553"/>
      <c r="D150" s="553"/>
      <c r="E150" s="553"/>
      <c r="F150" s="553"/>
      <c r="G150" s="553"/>
      <c r="H150" s="553"/>
      <c r="I150" s="553"/>
      <c r="J150" s="554"/>
      <c r="K150" s="554"/>
      <c r="L150" s="559"/>
      <c r="M150" s="556"/>
      <c r="N150" s="557"/>
      <c r="O150" s="558"/>
      <c r="Q150" s="141">
        <v>46135</v>
      </c>
      <c r="R150" s="15"/>
      <c r="S150" s="15"/>
      <c r="T150" s="15"/>
      <c r="U150" s="15"/>
      <c r="V150" s="15"/>
      <c r="W150" s="15"/>
      <c r="X150" s="15"/>
      <c r="Y150" s="15"/>
      <c r="Z150" s="565"/>
      <c r="AA150" s="565"/>
      <c r="AB150" s="571"/>
      <c r="AC150" s="568"/>
      <c r="AD150" s="569"/>
      <c r="AE150" s="570"/>
      <c r="AG150" s="141">
        <v>46135</v>
      </c>
      <c r="AH150" s="11"/>
      <c r="AI150" s="11"/>
      <c r="AJ150" s="11"/>
      <c r="AK150" s="11"/>
      <c r="AL150" s="11"/>
      <c r="AM150" s="11"/>
      <c r="AN150" s="11"/>
      <c r="AO150" s="11"/>
      <c r="AP150" s="38"/>
      <c r="AQ150" s="38"/>
      <c r="AR150" s="72"/>
      <c r="AS150" s="9"/>
      <c r="AT150" s="216"/>
      <c r="AU150" s="214"/>
      <c r="BG150" s="9"/>
      <c r="BI150" s="141">
        <v>46135</v>
      </c>
      <c r="BJ150" s="15"/>
      <c r="BK150" s="15"/>
      <c r="BL150" s="15"/>
      <c r="BM150" s="15"/>
      <c r="BN150" s="15"/>
      <c r="BO150" s="15"/>
      <c r="BP150" s="15"/>
      <c r="BQ150" s="15"/>
      <c r="BR150" s="565"/>
      <c r="BS150" s="565"/>
      <c r="BT150" s="571"/>
      <c r="BU150" s="568"/>
      <c r="BV150" s="569"/>
      <c r="BW150" s="570"/>
      <c r="BY150" s="267"/>
      <c r="CI150" s="9"/>
    </row>
    <row r="151" spans="1:87" ht="15" customHeight="1">
      <c r="A151" s="141">
        <v>46136</v>
      </c>
      <c r="B151" s="553"/>
      <c r="C151" s="553"/>
      <c r="D151" s="553"/>
      <c r="E151" s="553"/>
      <c r="F151" s="553"/>
      <c r="G151" s="553"/>
      <c r="H151" s="553"/>
      <c r="I151" s="553"/>
      <c r="J151" s="554"/>
      <c r="K151" s="554"/>
      <c r="L151" s="559"/>
      <c r="M151" s="556"/>
      <c r="N151" s="557"/>
      <c r="O151" s="558"/>
      <c r="Q151" s="141">
        <v>46136</v>
      </c>
      <c r="R151" s="15"/>
      <c r="S151" s="15"/>
      <c r="T151" s="15"/>
      <c r="U151" s="15"/>
      <c r="V151" s="15"/>
      <c r="W151" s="15"/>
      <c r="X151" s="15"/>
      <c r="Y151" s="15"/>
      <c r="Z151" s="565"/>
      <c r="AA151" s="565"/>
      <c r="AB151" s="571"/>
      <c r="AC151" s="568"/>
      <c r="AD151" s="569"/>
      <c r="AE151" s="570"/>
      <c r="AG151" s="141">
        <v>46136</v>
      </c>
      <c r="AH151" s="11"/>
      <c r="AI151" s="11"/>
      <c r="AJ151" s="11"/>
      <c r="AK151" s="11"/>
      <c r="AL151" s="11"/>
      <c r="AM151" s="11"/>
      <c r="AN151" s="11"/>
      <c r="AO151" s="11"/>
      <c r="AP151" s="38"/>
      <c r="AQ151" s="38"/>
      <c r="AR151" s="72"/>
      <c r="AS151" s="9"/>
      <c r="AT151" s="216"/>
      <c r="AU151" s="214"/>
      <c r="BG151" s="9"/>
      <c r="BI151" s="141">
        <v>46136</v>
      </c>
      <c r="BJ151" s="15"/>
      <c r="BK151" s="15"/>
      <c r="BL151" s="15"/>
      <c r="BM151" s="15"/>
      <c r="BN151" s="15"/>
      <c r="BO151" s="15"/>
      <c r="BP151" s="15"/>
      <c r="BQ151" s="15"/>
      <c r="BR151" s="565"/>
      <c r="BS151" s="565"/>
      <c r="BT151" s="571"/>
      <c r="BU151" s="568"/>
      <c r="BV151" s="569"/>
      <c r="BW151" s="570"/>
      <c r="BY151" s="267">
        <f>IF('[2]2026 március'!B$25=0,
    "",
    '[2]2026 március'!B$25
)</f>
        <v>1826520</v>
      </c>
      <c r="CI151" s="9"/>
    </row>
    <row r="152" spans="1:87" ht="15" customHeight="1">
      <c r="A152" s="141">
        <v>46137</v>
      </c>
      <c r="B152" s="548"/>
      <c r="C152" s="548"/>
      <c r="D152" s="548"/>
      <c r="E152" s="548"/>
      <c r="F152" s="548"/>
      <c r="G152" s="548"/>
      <c r="H152" s="548"/>
      <c r="I152" s="548"/>
      <c r="J152" s="529"/>
      <c r="K152" s="529"/>
      <c r="L152" s="552"/>
      <c r="M152" s="549"/>
      <c r="N152" s="550"/>
      <c r="O152" s="551"/>
      <c r="Q152" s="141">
        <v>46137</v>
      </c>
      <c r="R152" s="142"/>
      <c r="S152" s="142"/>
      <c r="T152" s="142"/>
      <c r="U152" s="142"/>
      <c r="V152" s="142"/>
      <c r="W152" s="142"/>
      <c r="X152" s="142"/>
      <c r="Y152" s="142"/>
      <c r="Z152" s="143"/>
      <c r="AA152" s="143"/>
      <c r="AB152" s="146"/>
      <c r="AC152" s="158"/>
      <c r="AD152" s="381"/>
      <c r="AE152" s="217"/>
      <c r="AG152" s="141">
        <v>46137</v>
      </c>
      <c r="AH152" s="142"/>
      <c r="AI152" s="142"/>
      <c r="AJ152" s="142"/>
      <c r="AK152" s="142"/>
      <c r="AL152" s="142"/>
      <c r="AM152" s="142"/>
      <c r="AN152" s="142"/>
      <c r="AO152" s="142"/>
      <c r="AP152" s="143"/>
      <c r="AQ152" s="143"/>
      <c r="AR152" s="146"/>
      <c r="AS152" s="158"/>
      <c r="AT152" s="381"/>
      <c r="AU152" s="217"/>
      <c r="AV152" s="515"/>
      <c r="AW152" s="515"/>
      <c r="AX152" s="515"/>
      <c r="AY152" s="515"/>
      <c r="AZ152" s="515"/>
      <c r="BA152" s="515"/>
      <c r="BB152" s="515"/>
      <c r="BC152" s="515"/>
      <c r="BD152" s="515"/>
      <c r="BE152" s="515"/>
      <c r="BF152" s="515"/>
      <c r="BG152" s="158"/>
      <c r="BI152" s="141">
        <v>46137</v>
      </c>
      <c r="BJ152" s="142"/>
      <c r="BK152" s="142"/>
      <c r="BL152" s="142"/>
      <c r="BM152" s="142"/>
      <c r="BN152" s="142"/>
      <c r="BO152" s="142"/>
      <c r="BP152" s="142"/>
      <c r="BQ152" s="142"/>
      <c r="BR152" s="143"/>
      <c r="BS152" s="143"/>
      <c r="BT152" s="146"/>
      <c r="BU152" s="158"/>
      <c r="BV152" s="381"/>
      <c r="BW152" s="217"/>
      <c r="BY152" s="267">
        <f>IF('[2]2026 március'!B$26=0,
    "",
    '[2]2026 március'!B$26
)</f>
        <v>1814955</v>
      </c>
      <c r="CI152" s="9"/>
    </row>
    <row r="153" spans="1:87" ht="15" customHeight="1">
      <c r="A153" s="141">
        <v>46138</v>
      </c>
      <c r="B153" s="548"/>
      <c r="C153" s="548"/>
      <c r="D153" s="548"/>
      <c r="E153" s="548"/>
      <c r="F153" s="548"/>
      <c r="G153" s="548"/>
      <c r="H153" s="548"/>
      <c r="I153" s="548"/>
      <c r="J153" s="529"/>
      <c r="K153" s="529"/>
      <c r="L153" s="552"/>
      <c r="M153" s="549"/>
      <c r="N153" s="550"/>
      <c r="O153" s="551"/>
      <c r="Q153" s="141">
        <v>46138</v>
      </c>
      <c r="R153" s="142"/>
      <c r="S153" s="142"/>
      <c r="T153" s="142"/>
      <c r="U153" s="142"/>
      <c r="V153" s="142"/>
      <c r="W153" s="142"/>
      <c r="X153" s="142"/>
      <c r="Y153" s="142"/>
      <c r="Z153" s="143"/>
      <c r="AA153" s="143"/>
      <c r="AB153" s="146"/>
      <c r="AC153" s="158"/>
      <c r="AD153" s="381"/>
      <c r="AE153" s="217"/>
      <c r="AG153" s="141">
        <v>46138</v>
      </c>
      <c r="AH153" s="142"/>
      <c r="AI153" s="142"/>
      <c r="AJ153" s="142"/>
      <c r="AK153" s="142"/>
      <c r="AL153" s="142"/>
      <c r="AM153" s="142"/>
      <c r="AN153" s="142"/>
      <c r="AO153" s="142"/>
      <c r="AP153" s="143"/>
      <c r="AQ153" s="143"/>
      <c r="AR153" s="146"/>
      <c r="AS153" s="158"/>
      <c r="AT153" s="381"/>
      <c r="AU153" s="217"/>
      <c r="AV153" s="515"/>
      <c r="AW153" s="515"/>
      <c r="AX153" s="515"/>
      <c r="AY153" s="515"/>
      <c r="AZ153" s="515"/>
      <c r="BA153" s="515"/>
      <c r="BB153" s="515"/>
      <c r="BC153" s="515"/>
      <c r="BD153" s="515"/>
      <c r="BE153" s="515"/>
      <c r="BF153" s="515"/>
      <c r="BG153" s="158"/>
      <c r="BI153" s="141">
        <v>46138</v>
      </c>
      <c r="BJ153" s="142"/>
      <c r="BK153" s="142"/>
      <c r="BL153" s="142"/>
      <c r="BM153" s="142"/>
      <c r="BN153" s="142"/>
      <c r="BO153" s="142"/>
      <c r="BP153" s="142"/>
      <c r="BQ153" s="142"/>
      <c r="BR153" s="143"/>
      <c r="BS153" s="143"/>
      <c r="BT153" s="146"/>
      <c r="BU153" s="158"/>
      <c r="BV153" s="381"/>
      <c r="BW153" s="217"/>
      <c r="BY153" s="267">
        <f>IF('[2]2026 március'!B$27=0,
    "",
    '[2]2026 március'!B$27
)</f>
        <v>1696060</v>
      </c>
      <c r="CI153" s="9"/>
    </row>
    <row r="154" spans="1:87" ht="15" customHeight="1">
      <c r="A154" s="141">
        <v>46139</v>
      </c>
      <c r="B154" s="553"/>
      <c r="C154" s="553"/>
      <c r="D154" s="553"/>
      <c r="E154" s="553"/>
      <c r="F154" s="553"/>
      <c r="G154" s="553"/>
      <c r="H154" s="553"/>
      <c r="I154" s="553"/>
      <c r="J154" s="554"/>
      <c r="K154" s="554"/>
      <c r="L154" s="559"/>
      <c r="M154" s="556"/>
      <c r="N154" s="557"/>
      <c r="O154" s="558"/>
      <c r="Q154" s="141">
        <v>46139</v>
      </c>
      <c r="R154" s="15"/>
      <c r="S154" s="15"/>
      <c r="T154" s="15"/>
      <c r="U154" s="15"/>
      <c r="V154" s="15"/>
      <c r="W154" s="15"/>
      <c r="X154" s="15"/>
      <c r="Y154" s="15"/>
      <c r="Z154" s="565"/>
      <c r="AA154" s="565"/>
      <c r="AB154" s="571"/>
      <c r="AC154" s="568"/>
      <c r="AD154" s="569"/>
      <c r="AE154" s="570"/>
      <c r="AG154" s="141">
        <v>46139</v>
      </c>
      <c r="AH154" s="11"/>
      <c r="AI154" s="11"/>
      <c r="AJ154" s="11"/>
      <c r="AK154" s="11"/>
      <c r="AL154" s="11"/>
      <c r="AM154" s="11"/>
      <c r="AN154" s="11"/>
      <c r="AO154" s="11"/>
      <c r="AP154" s="38"/>
      <c r="AQ154" s="38"/>
      <c r="AR154" s="72"/>
      <c r="AS154" s="9"/>
      <c r="AT154" s="216"/>
      <c r="AU154" s="214"/>
      <c r="BG154" s="9"/>
      <c r="BI154" s="141">
        <v>46139</v>
      </c>
      <c r="BJ154" s="15"/>
      <c r="BK154" s="15"/>
      <c r="BL154" s="15"/>
      <c r="BM154" s="15"/>
      <c r="BN154" s="15"/>
      <c r="BO154" s="15"/>
      <c r="BP154" s="15"/>
      <c r="BQ154" s="15"/>
      <c r="BR154" s="565"/>
      <c r="BS154" s="565"/>
      <c r="BT154" s="571"/>
      <c r="BU154" s="568"/>
      <c r="BV154" s="569"/>
      <c r="BW154" s="570"/>
      <c r="BY154" s="267">
        <f>IF('[2]2026 március'!B$28=0,
    "",
    '[2]2026 március'!B$28
)</f>
        <v>1534495</v>
      </c>
      <c r="CI154" s="9"/>
    </row>
    <row r="155" spans="1:87" ht="15" customHeight="1">
      <c r="A155" s="141">
        <v>46140</v>
      </c>
      <c r="B155" s="553"/>
      <c r="C155" s="553"/>
      <c r="D155" s="553"/>
      <c r="E155" s="553"/>
      <c r="F155" s="553"/>
      <c r="G155" s="553"/>
      <c r="H155" s="553"/>
      <c r="I155" s="553"/>
      <c r="J155" s="554"/>
      <c r="K155" s="554"/>
      <c r="L155" s="559"/>
      <c r="M155" s="556"/>
      <c r="N155" s="557"/>
      <c r="O155" s="558"/>
      <c r="Q155" s="141">
        <v>46140</v>
      </c>
      <c r="R155" s="15"/>
      <c r="S155" s="15"/>
      <c r="T155" s="15"/>
      <c r="U155" s="15"/>
      <c r="V155" s="15"/>
      <c r="W155" s="15"/>
      <c r="X155" s="15"/>
      <c r="Y155" s="15"/>
      <c r="Z155" s="565"/>
      <c r="AA155" s="565"/>
      <c r="AB155" s="571"/>
      <c r="AC155" s="568"/>
      <c r="AD155" s="569"/>
      <c r="AE155" s="570"/>
      <c r="AG155" s="141">
        <v>46140</v>
      </c>
      <c r="AH155" s="11"/>
      <c r="AI155" s="11"/>
      <c r="AJ155" s="11"/>
      <c r="AK155" s="11"/>
      <c r="AL155" s="11"/>
      <c r="AM155" s="11"/>
      <c r="AN155" s="11"/>
      <c r="AO155" s="11"/>
      <c r="AP155" s="38"/>
      <c r="AQ155" s="38"/>
      <c r="AR155" s="72"/>
      <c r="AS155" s="9"/>
      <c r="AT155" s="216"/>
      <c r="AU155" s="214"/>
      <c r="BG155" s="9"/>
      <c r="BI155" s="141">
        <v>46140</v>
      </c>
      <c r="BJ155" s="15"/>
      <c r="BK155" s="15"/>
      <c r="BL155" s="15"/>
      <c r="BM155" s="15"/>
      <c r="BN155" s="15"/>
      <c r="BO155" s="15"/>
      <c r="BP155" s="15"/>
      <c r="BQ155" s="15"/>
      <c r="BR155" s="565"/>
      <c r="BS155" s="565"/>
      <c r="BT155" s="571"/>
      <c r="BU155" s="568"/>
      <c r="BV155" s="569"/>
      <c r="BW155" s="570"/>
      <c r="BY155" s="267" t="str">
        <f>IF('[2]2026 március'!B$29=0,
    "",
    '[2]2026 március'!B$29
)</f>
        <v/>
      </c>
      <c r="CI155" s="158"/>
    </row>
    <row r="156" spans="1:87" ht="15" customHeight="1">
      <c r="A156" s="141">
        <v>46141</v>
      </c>
      <c r="B156" s="553"/>
      <c r="C156" s="553"/>
      <c r="D156" s="553"/>
      <c r="E156" s="553"/>
      <c r="F156" s="553"/>
      <c r="G156" s="553"/>
      <c r="H156" s="553"/>
      <c r="I156" s="553"/>
      <c r="J156" s="554"/>
      <c r="K156" s="554"/>
      <c r="L156" s="559"/>
      <c r="M156" s="556"/>
      <c r="N156" s="557"/>
      <c r="O156" s="558"/>
      <c r="Q156" s="141">
        <v>46141</v>
      </c>
      <c r="R156" s="15"/>
      <c r="S156" s="15"/>
      <c r="T156" s="15"/>
      <c r="U156" s="15"/>
      <c r="V156" s="15"/>
      <c r="W156" s="15"/>
      <c r="X156" s="15"/>
      <c r="Y156" s="15"/>
      <c r="Z156" s="565"/>
      <c r="AA156" s="565"/>
      <c r="AB156" s="571"/>
      <c r="AC156" s="568"/>
      <c r="AD156" s="569"/>
      <c r="AE156" s="570"/>
      <c r="AG156" s="141">
        <v>46141</v>
      </c>
      <c r="AH156" s="11"/>
      <c r="AI156" s="11"/>
      <c r="AJ156" s="11"/>
      <c r="AK156" s="11"/>
      <c r="AL156" s="11"/>
      <c r="AM156" s="11"/>
      <c r="AN156" s="11"/>
      <c r="AO156" s="11"/>
      <c r="AP156" s="38"/>
      <c r="AQ156" s="38"/>
      <c r="AR156" s="72"/>
      <c r="AS156" s="9"/>
      <c r="AT156" s="216"/>
      <c r="AU156" s="214"/>
      <c r="BG156" s="9"/>
      <c r="BI156" s="141">
        <v>46141</v>
      </c>
      <c r="BJ156" s="15"/>
      <c r="BK156" s="15"/>
      <c r="BL156" s="15"/>
      <c r="BM156" s="15"/>
      <c r="BN156" s="15"/>
      <c r="BO156" s="15"/>
      <c r="BP156" s="15"/>
      <c r="BQ156" s="15"/>
      <c r="BR156" s="565"/>
      <c r="BS156" s="565"/>
      <c r="BT156" s="571"/>
      <c r="BU156" s="568"/>
      <c r="BV156" s="569"/>
      <c r="BW156" s="570"/>
      <c r="BY156" s="267" t="str">
        <f>IF('[2]2026 március'!B$30=0,
    "",
    '[2]2026 március'!B$30
)</f>
        <v/>
      </c>
      <c r="CI156" s="9"/>
    </row>
    <row r="157" spans="1:87" ht="15" customHeight="1">
      <c r="A157" s="141">
        <v>46142</v>
      </c>
      <c r="B157" s="553"/>
      <c r="C157" s="553"/>
      <c r="D157" s="553"/>
      <c r="E157" s="553"/>
      <c r="F157" s="553"/>
      <c r="G157" s="553"/>
      <c r="H157" s="553"/>
      <c r="I157" s="553"/>
      <c r="J157" s="554"/>
      <c r="K157" s="554"/>
      <c r="L157" s="559"/>
      <c r="M157" s="556"/>
      <c r="N157" s="557"/>
      <c r="O157" s="558"/>
      <c r="Q157" s="141">
        <v>46142</v>
      </c>
      <c r="R157" s="15"/>
      <c r="S157" s="15"/>
      <c r="T157" s="15"/>
      <c r="U157" s="15"/>
      <c r="V157" s="15"/>
      <c r="W157" s="15"/>
      <c r="X157" s="15"/>
      <c r="Y157" s="15"/>
      <c r="Z157" s="565"/>
      <c r="AA157" s="565"/>
      <c r="AB157" s="571"/>
      <c r="AC157" s="568"/>
      <c r="AD157" s="569"/>
      <c r="AE157" s="570"/>
      <c r="AG157" s="141">
        <v>46142</v>
      </c>
      <c r="AH157" s="11"/>
      <c r="AI157" s="11"/>
      <c r="AJ157" s="11"/>
      <c r="AK157" s="11"/>
      <c r="AL157" s="11"/>
      <c r="AM157" s="11"/>
      <c r="AN157" s="11"/>
      <c r="AO157" s="11"/>
      <c r="AP157" s="38"/>
      <c r="AQ157" s="38"/>
      <c r="AR157" s="72"/>
      <c r="AS157" s="9"/>
      <c r="AT157" s="216"/>
      <c r="AU157" s="214"/>
      <c r="BG157" s="9"/>
      <c r="BI157" s="141">
        <v>46142</v>
      </c>
      <c r="BJ157" s="11"/>
      <c r="BK157" s="11"/>
      <c r="BL157" s="11"/>
      <c r="BM157" s="11"/>
      <c r="BN157" s="11"/>
      <c r="BO157" s="11"/>
      <c r="BP157" s="11"/>
      <c r="BQ157" s="11"/>
      <c r="BR157" s="38"/>
      <c r="BS157" s="38"/>
      <c r="BT157" s="72"/>
      <c r="BU157" s="9"/>
      <c r="BV157" s="216"/>
      <c r="BW157" s="214"/>
      <c r="BY157" s="267">
        <f>IF('[2]2026 március'!B$31=0,
    "",
    '[2]2026 március'!B$31
)</f>
        <v>1559760</v>
      </c>
      <c r="CI157" s="9"/>
    </row>
    <row r="158" spans="1:87" ht="15" customHeight="1">
      <c r="A158" s="141"/>
      <c r="B158" s="553"/>
      <c r="C158" s="553"/>
      <c r="D158" s="553"/>
      <c r="E158" s="553"/>
      <c r="F158" s="553"/>
      <c r="G158" s="553"/>
      <c r="H158" s="553"/>
      <c r="I158" s="553"/>
      <c r="J158" s="554"/>
      <c r="K158" s="554"/>
      <c r="L158" s="559"/>
      <c r="M158" s="556"/>
      <c r="N158" s="557"/>
      <c r="O158" s="558"/>
      <c r="Q158" s="141"/>
      <c r="R158" s="15"/>
      <c r="S158" s="15"/>
      <c r="T158" s="15"/>
      <c r="U158" s="15"/>
      <c r="V158" s="15"/>
      <c r="W158" s="15"/>
      <c r="X158" s="15"/>
      <c r="Y158" s="15"/>
      <c r="Z158" s="565"/>
      <c r="AA158" s="565"/>
      <c r="AB158" s="571"/>
      <c r="AC158" s="568"/>
      <c r="AD158" s="569"/>
      <c r="AE158" s="570"/>
      <c r="AG158" s="141"/>
      <c r="AH158" s="11"/>
      <c r="AI158" s="11"/>
      <c r="AJ158" s="11"/>
      <c r="AK158" s="11"/>
      <c r="AL158" s="11"/>
      <c r="AM158" s="11"/>
      <c r="AN158" s="11"/>
      <c r="AO158" s="11"/>
      <c r="AP158" s="38"/>
      <c r="AQ158" s="38"/>
      <c r="AR158" s="72"/>
      <c r="AS158" s="9"/>
      <c r="AT158" s="216"/>
      <c r="AU158" s="214"/>
      <c r="BG158" s="9"/>
      <c r="BI158" s="141"/>
      <c r="BJ158" s="11"/>
      <c r="BK158" s="11"/>
      <c r="BL158" s="11"/>
      <c r="BM158" s="11"/>
      <c r="BN158" s="11"/>
      <c r="BO158" s="11"/>
      <c r="BP158" s="11"/>
      <c r="BQ158" s="11"/>
      <c r="BR158" s="38"/>
      <c r="BS158" s="38"/>
      <c r="BT158" s="72"/>
      <c r="BU158" s="9"/>
      <c r="BV158" s="216"/>
      <c r="BW158" s="214"/>
      <c r="BY158" s="267">
        <f>IF('[2]2026 március'!B$32=0,
    "",
    '[2]2026 március'!B$32
)</f>
        <v>1863945</v>
      </c>
      <c r="CI158" s="9"/>
    </row>
    <row r="159" spans="1:87" ht="15" customHeight="1">
      <c r="A159" s="141"/>
      <c r="B159" s="553"/>
      <c r="C159" s="553"/>
      <c r="D159" s="553"/>
      <c r="E159" s="553"/>
      <c r="F159" s="553"/>
      <c r="G159" s="553"/>
      <c r="H159" s="553"/>
      <c r="I159" s="553"/>
      <c r="J159" s="561"/>
      <c r="K159" s="561"/>
      <c r="L159" s="562"/>
      <c r="M159" s="563"/>
      <c r="N159" s="557"/>
      <c r="O159" s="558"/>
      <c r="Q159" s="141"/>
      <c r="R159" s="15"/>
      <c r="S159" s="15"/>
      <c r="T159" s="15"/>
      <c r="U159" s="15"/>
      <c r="V159" s="15"/>
      <c r="W159" s="15"/>
      <c r="X159" s="15"/>
      <c r="Y159" s="15"/>
      <c r="Z159" s="574"/>
      <c r="AA159" s="574"/>
      <c r="AB159" s="575"/>
      <c r="AC159" s="576"/>
      <c r="AD159" s="569"/>
      <c r="AE159" s="570"/>
      <c r="AG159" s="141"/>
      <c r="AH159" s="11"/>
      <c r="AI159" s="11"/>
      <c r="AJ159" s="11"/>
      <c r="AK159" s="11"/>
      <c r="AL159" s="11"/>
      <c r="AM159" s="11"/>
      <c r="AN159" s="11"/>
      <c r="AO159" s="11"/>
      <c r="AP159" s="205"/>
      <c r="AQ159" s="205"/>
      <c r="AR159" s="206"/>
      <c r="AS159" s="380"/>
      <c r="AT159" s="216"/>
      <c r="AU159" s="214"/>
      <c r="BG159" s="9"/>
      <c r="BI159" s="141"/>
      <c r="BJ159" s="11"/>
      <c r="BK159" s="11"/>
      <c r="BL159" s="11"/>
      <c r="BM159" s="11"/>
      <c r="BN159" s="11"/>
      <c r="BO159" s="11"/>
      <c r="BP159" s="11"/>
      <c r="BQ159" s="11"/>
      <c r="BR159" s="205"/>
      <c r="BS159" s="205"/>
      <c r="BT159" s="206"/>
      <c r="BU159" s="380"/>
      <c r="BV159" s="216"/>
      <c r="BW159" s="214"/>
      <c r="BY159" s="267"/>
      <c r="CI159" s="9"/>
    </row>
    <row r="160" spans="1:87" ht="15" customHeight="1">
      <c r="A160" s="141"/>
      <c r="B160" s="553"/>
      <c r="C160" s="553"/>
      <c r="D160" s="553"/>
      <c r="E160" s="553"/>
      <c r="F160" s="553"/>
      <c r="G160" s="553"/>
      <c r="H160" s="553"/>
      <c r="I160" s="553"/>
      <c r="J160" s="561"/>
      <c r="K160" s="561"/>
      <c r="L160" s="562"/>
      <c r="M160" s="563"/>
      <c r="N160" s="557"/>
      <c r="O160" s="558"/>
      <c r="Q160" s="141"/>
      <c r="R160" s="15"/>
      <c r="S160" s="15"/>
      <c r="T160" s="15"/>
      <c r="U160" s="15"/>
      <c r="V160" s="15"/>
      <c r="W160" s="15"/>
      <c r="X160" s="15"/>
      <c r="Y160" s="15"/>
      <c r="Z160" s="574"/>
      <c r="AA160" s="574"/>
      <c r="AB160" s="575"/>
      <c r="AC160" s="576"/>
      <c r="AD160" s="569"/>
      <c r="AE160" s="570"/>
      <c r="AG160" s="141"/>
      <c r="AH160" s="11"/>
      <c r="AI160" s="11"/>
      <c r="AJ160" s="11"/>
      <c r="AK160" s="11"/>
      <c r="AL160" s="11"/>
      <c r="AM160" s="11"/>
      <c r="AN160" s="11"/>
      <c r="AO160" s="11"/>
      <c r="AP160" s="205"/>
      <c r="AQ160" s="205"/>
      <c r="AR160" s="206"/>
      <c r="AS160" s="380"/>
      <c r="AT160" s="216"/>
      <c r="AU160" s="214"/>
      <c r="BG160" s="9"/>
      <c r="BI160" s="141"/>
      <c r="BJ160" s="11"/>
      <c r="BK160" s="11"/>
      <c r="BL160" s="11"/>
      <c r="BM160" s="11"/>
      <c r="BN160" s="11"/>
      <c r="BO160" s="11"/>
      <c r="BP160" s="11"/>
      <c r="BQ160" s="11"/>
      <c r="BR160" s="205"/>
      <c r="BS160" s="205"/>
      <c r="BT160" s="206"/>
      <c r="BU160" s="380"/>
      <c r="BV160" s="216"/>
      <c r="BW160" s="214"/>
      <c r="BY160" s="267">
        <f>IF('[2]2026 március'!B$33=0,
    "",
    '[2]2026 március'!B$33
)</f>
        <v>37262640</v>
      </c>
      <c r="CI160" s="9"/>
    </row>
    <row r="161" spans="1:87" ht="15" customHeight="1">
      <c r="A161" s="18" t="s">
        <v>64</v>
      </c>
      <c r="B161" s="362"/>
      <c r="C161" s="19">
        <f>SUM(C127:C160)</f>
        <v>1550</v>
      </c>
      <c r="D161" s="19">
        <f>SUM(D127:D160)</f>
        <v>502655</v>
      </c>
      <c r="E161" s="19">
        <f>SUM(E127:E160)</f>
        <v>0</v>
      </c>
      <c r="F161" s="19">
        <f>SUM(F127:F160)</f>
        <v>0</v>
      </c>
      <c r="G161" s="20">
        <f>SUM(G127:G160)</f>
        <v>0</v>
      </c>
      <c r="H161" s="20">
        <f>SUM(H127:H160)</f>
        <v>504205</v>
      </c>
      <c r="I161" s="39">
        <f>SUM(I127:I160)</f>
        <v>504940</v>
      </c>
      <c r="J161" s="32"/>
      <c r="K161" s="373"/>
      <c r="L161" s="252"/>
      <c r="M161" s="9"/>
      <c r="N161" s="382"/>
      <c r="O161" s="214"/>
      <c r="Q161" s="18" t="s">
        <v>64</v>
      </c>
      <c r="R161" s="362"/>
      <c r="S161" s="19">
        <f>SUM(S127:S160)</f>
        <v>5390</v>
      </c>
      <c r="T161" s="19">
        <f>SUM(T127:T160)</f>
        <v>1006615</v>
      </c>
      <c r="U161" s="19">
        <f>SUM(U127:U160)</f>
        <v>0</v>
      </c>
      <c r="V161" s="19">
        <f>SUM(V127:V160)</f>
        <v>0</v>
      </c>
      <c r="W161" s="20">
        <f>SUM(W127:W160)</f>
        <v>1990</v>
      </c>
      <c r="X161" s="20">
        <f>SUM(X127:X160)</f>
        <v>1010015</v>
      </c>
      <c r="Y161" s="39">
        <f>SUM(Y127:Y160)</f>
        <v>1010015</v>
      </c>
      <c r="Z161" s="32"/>
      <c r="AA161" s="373"/>
      <c r="AB161" s="252"/>
      <c r="AC161" s="9"/>
      <c r="AD161" s="382"/>
      <c r="AE161" s="214"/>
      <c r="AG161" s="18" t="s">
        <v>64</v>
      </c>
      <c r="AH161" s="362"/>
      <c r="AI161" s="19">
        <f>SUM(AI127:AI160)</f>
        <v>3450</v>
      </c>
      <c r="AJ161" s="19">
        <f>SUM(AJ127:AJ160)</f>
        <v>799790</v>
      </c>
      <c r="AK161" s="19">
        <f>SUM(AK127:AK160)</f>
        <v>0</v>
      </c>
      <c r="AL161" s="19">
        <f>SUM(AL127:AL160)</f>
        <v>0</v>
      </c>
      <c r="AM161" s="20">
        <f>SUM(AM127:AM160)</f>
        <v>0</v>
      </c>
      <c r="AN161" s="20">
        <f>SUM(AN127:AN160)</f>
        <v>803240</v>
      </c>
      <c r="AO161" s="39">
        <f>SUM(AO127:AO160)</f>
        <v>803240</v>
      </c>
      <c r="AP161" s="32"/>
      <c r="AQ161" s="373"/>
      <c r="AR161" s="252"/>
      <c r="AS161" s="9"/>
      <c r="AT161" s="382"/>
      <c r="AU161" s="214"/>
      <c r="BG161" s="9"/>
      <c r="BI161" s="18" t="s">
        <v>64</v>
      </c>
      <c r="BJ161" s="362"/>
      <c r="BK161" s="19">
        <f>SUM(BK127:BK160)</f>
        <v>219480</v>
      </c>
      <c r="BL161" s="19">
        <f>SUM(BL127:BL160)</f>
        <v>327170</v>
      </c>
      <c r="BM161" s="19">
        <f>SUM(BM127:BM160)</f>
        <v>0</v>
      </c>
      <c r="BN161" s="19">
        <f>SUM(BN127:BN160)</f>
        <v>0</v>
      </c>
      <c r="BO161" s="20">
        <f>SUM(BO127:BO160)</f>
        <v>0</v>
      </c>
      <c r="BP161" s="20">
        <f>SUM(BP127:BP160)</f>
        <v>546650</v>
      </c>
      <c r="BQ161" s="39">
        <f>SUM(BQ127:BQ160)</f>
        <v>546650</v>
      </c>
      <c r="BR161" s="32"/>
      <c r="BS161" s="373"/>
      <c r="BT161" s="252"/>
      <c r="BU161" s="9"/>
      <c r="BV161" s="382"/>
      <c r="BW161" s="214"/>
      <c r="BY161" s="267" t="str">
        <f>IF('[2]2026 március'!B$34=0,
    "",
    '[2]2026 március'!B$34
)</f>
        <v/>
      </c>
      <c r="CI161" s="9"/>
    </row>
    <row r="162" spans="1:87" ht="15" customHeight="1">
      <c r="A162" s="5"/>
      <c r="B162" s="11"/>
      <c r="C162" s="29">
        <f>C161+D161+E161+F161</f>
        <v>504205</v>
      </c>
      <c r="D162" s="10"/>
      <c r="E162" s="10"/>
      <c r="F162" s="10"/>
      <c r="G162" s="47">
        <f>G161+H161</f>
        <v>504205</v>
      </c>
      <c r="H162" s="10"/>
      <c r="I162" s="10"/>
      <c r="J162" s="33"/>
      <c r="K162" s="33"/>
      <c r="L162" s="414"/>
      <c r="M162" s="9"/>
      <c r="N162" s="382"/>
      <c r="O162" s="214"/>
      <c r="Q162" s="5"/>
      <c r="R162" s="11"/>
      <c r="S162" s="29">
        <f>S161+T161+U161+V161</f>
        <v>1012005</v>
      </c>
      <c r="T162" s="10"/>
      <c r="U162" s="10"/>
      <c r="V162" s="10"/>
      <c r="W162" s="47">
        <f>W161+X161</f>
        <v>1012005</v>
      </c>
      <c r="X162" s="10"/>
      <c r="Y162" s="10"/>
      <c r="Z162" s="33"/>
      <c r="AA162" s="33"/>
      <c r="AB162" s="414"/>
      <c r="AC162" s="9"/>
      <c r="AD162" s="382"/>
      <c r="AE162" s="214"/>
      <c r="AG162" s="5"/>
      <c r="AH162" s="11"/>
      <c r="AI162" s="29">
        <f>AI161+AJ161+AK161+AL161</f>
        <v>803240</v>
      </c>
      <c r="AJ162" s="10"/>
      <c r="AK162" s="10"/>
      <c r="AL162" s="10"/>
      <c r="AM162" s="47">
        <f>AM161+AN161</f>
        <v>803240</v>
      </c>
      <c r="AN162" s="10"/>
      <c r="AO162" s="10"/>
      <c r="AP162" s="33"/>
      <c r="AQ162" s="33"/>
      <c r="AR162" s="414"/>
      <c r="AS162" s="9"/>
      <c r="AT162" s="382"/>
      <c r="AU162" s="214"/>
      <c r="BG162" s="9"/>
      <c r="BI162" s="5"/>
      <c r="BJ162" s="11"/>
      <c r="BK162" s="29">
        <f>SUM(BK161:BN161)</f>
        <v>546650</v>
      </c>
      <c r="BL162" s="10"/>
      <c r="BM162" s="10"/>
      <c r="BN162" s="10"/>
      <c r="BO162" s="47">
        <f>SUM(BO161:BP161)</f>
        <v>546650</v>
      </c>
      <c r="BP162" s="10"/>
      <c r="BQ162" s="10"/>
      <c r="BR162" s="33"/>
      <c r="BS162" s="33"/>
      <c r="BT162" s="414"/>
      <c r="BU162" s="9"/>
      <c r="BV162" s="382"/>
      <c r="BW162" s="214"/>
      <c r="BY162" s="267" t="str">
        <f>IF('[2]2026 január'!B$35=0,
    "",
    '[2]2026 január'!B$35
)</f>
        <v/>
      </c>
    </row>
    <row r="163" spans="1:87" ht="15" customHeight="1">
      <c r="Q163" s="67"/>
      <c r="S163"/>
      <c r="T163"/>
      <c r="U163"/>
      <c r="V163"/>
      <c r="W163"/>
      <c r="X163"/>
      <c r="Y163"/>
      <c r="Z163"/>
      <c r="AA163"/>
      <c r="AB163" s="261"/>
      <c r="AC163" s="261"/>
      <c r="AD163" s="136"/>
      <c r="AE163" s="134"/>
      <c r="AG163" s="67"/>
      <c r="AH163" s="356"/>
      <c r="AI163"/>
      <c r="AJ163"/>
      <c r="AK163"/>
      <c r="AL163"/>
      <c r="AM163"/>
      <c r="AN163"/>
      <c r="AO163"/>
      <c r="AP163"/>
      <c r="AQ163"/>
      <c r="AR163" s="261"/>
      <c r="AS163" s="261"/>
      <c r="AT163" s="136"/>
      <c r="AU163" s="134"/>
      <c r="BI163" s="67"/>
      <c r="BR163"/>
      <c r="BT163" s="261"/>
      <c r="BU163" s="261"/>
      <c r="BV163" s="136"/>
      <c r="BW163" s="134"/>
    </row>
    <row r="164" spans="1:87" ht="15" customHeight="1">
      <c r="A164" s="403" t="s">
        <v>177</v>
      </c>
      <c r="B164" s="404"/>
      <c r="C164" s="405"/>
      <c r="D164" s="405"/>
      <c r="E164" s="405"/>
      <c r="F164" s="406"/>
      <c r="G164" s="406"/>
      <c r="H164" s="406"/>
      <c r="I164" s="406"/>
      <c r="J164" s="407"/>
      <c r="K164" s="408"/>
      <c r="Q164" s="403" t="s">
        <v>177</v>
      </c>
      <c r="R164" s="404"/>
      <c r="S164" s="405"/>
      <c r="T164" s="405"/>
      <c r="U164" s="405"/>
      <c r="V164" s="406"/>
      <c r="W164" s="406"/>
      <c r="X164" s="406"/>
      <c r="Y164" s="406"/>
      <c r="Z164" s="407"/>
      <c r="AA164" s="408"/>
      <c r="AB164" s="261"/>
      <c r="AC164" s="261"/>
      <c r="AD164" s="136"/>
      <c r="AE164" s="134"/>
      <c r="AG164" s="403" t="s">
        <v>177</v>
      </c>
      <c r="AH164" s="404"/>
      <c r="AI164" s="405"/>
      <c r="AJ164" s="405"/>
      <c r="AK164" s="405"/>
      <c r="AL164" s="406"/>
      <c r="AM164" s="406"/>
      <c r="AN164" s="406"/>
      <c r="AO164" s="406"/>
      <c r="AP164" s="407"/>
      <c r="AQ164" s="408"/>
      <c r="AR164" s="261"/>
      <c r="AS164" s="261"/>
      <c r="AT164" s="136"/>
      <c r="AU164" s="134"/>
      <c r="BI164" s="403" t="s">
        <v>177</v>
      </c>
      <c r="BJ164" s="404"/>
      <c r="BK164" s="405"/>
      <c r="BL164" s="405"/>
      <c r="BM164" s="405"/>
      <c r="BN164" s="406"/>
      <c r="BO164" s="406"/>
      <c r="BP164" s="406"/>
      <c r="BQ164" s="406"/>
      <c r="BR164" s="407"/>
      <c r="BS164" s="408"/>
      <c r="BT164" s="261"/>
      <c r="BU164" s="261"/>
      <c r="BV164" s="136"/>
      <c r="BW164" s="134"/>
    </row>
    <row r="165" spans="1:87" ht="15" customHeight="1">
      <c r="A165" s="409"/>
      <c r="B165" s="402"/>
      <c r="C165" s="402"/>
      <c r="D165" s="402"/>
      <c r="E165" s="402"/>
      <c r="F165" s="402"/>
      <c r="G165" s="396"/>
      <c r="H165" s="396"/>
      <c r="I165" s="396"/>
      <c r="J165" s="396"/>
      <c r="K165" s="410"/>
      <c r="Q165" s="409"/>
      <c r="R165" s="402"/>
      <c r="S165" s="402"/>
      <c r="T165" s="402"/>
      <c r="U165" s="402"/>
      <c r="V165" s="402"/>
      <c r="W165" s="396"/>
      <c r="X165" s="396"/>
      <c r="Y165" s="396"/>
      <c r="Z165" s="396"/>
      <c r="AA165" s="410"/>
      <c r="AB165" s="261"/>
      <c r="AC165" s="261"/>
      <c r="AD165" s="136"/>
      <c r="AE165" s="134"/>
      <c r="AG165" s="409"/>
      <c r="AH165" s="402"/>
      <c r="AI165" s="402"/>
      <c r="AJ165" s="402"/>
      <c r="AK165" s="402"/>
      <c r="AL165" s="402"/>
      <c r="AM165" s="396"/>
      <c r="AN165" s="396"/>
      <c r="AO165" s="396"/>
      <c r="AP165" s="396"/>
      <c r="AQ165" s="410"/>
      <c r="AR165" s="261"/>
      <c r="AS165" s="261"/>
      <c r="AT165" s="136"/>
      <c r="AU165" s="134"/>
      <c r="BI165" s="409"/>
      <c r="BJ165" s="402"/>
      <c r="BK165" s="402"/>
      <c r="BL165" s="402"/>
      <c r="BM165" s="402"/>
      <c r="BN165" s="402"/>
      <c r="BO165" s="396"/>
      <c r="BP165" s="396"/>
      <c r="BQ165" s="396"/>
      <c r="BR165" s="396"/>
      <c r="BS165" s="410"/>
      <c r="BT165" s="261"/>
      <c r="BU165" s="261"/>
      <c r="BV165" s="136"/>
      <c r="BW165" s="134"/>
    </row>
    <row r="166" spans="1:87" ht="15" customHeight="1">
      <c r="A166" s="628"/>
      <c r="B166" s="629"/>
      <c r="C166" s="629"/>
      <c r="D166" s="629"/>
      <c r="E166" s="629"/>
      <c r="F166" s="629"/>
      <c r="G166" s="411"/>
      <c r="H166" s="411"/>
      <c r="I166" s="411"/>
      <c r="J166" s="411"/>
      <c r="K166" s="412"/>
      <c r="Q166" s="628"/>
      <c r="R166" s="629"/>
      <c r="S166" s="629"/>
      <c r="T166" s="629"/>
      <c r="U166" s="629"/>
      <c r="V166" s="629"/>
      <c r="W166" s="411"/>
      <c r="X166" s="411"/>
      <c r="Y166" s="411"/>
      <c r="Z166" s="411"/>
      <c r="AA166" s="412"/>
      <c r="AB166" s="261"/>
      <c r="AC166" s="261"/>
      <c r="AD166" s="136"/>
      <c r="AE166" s="134"/>
      <c r="AG166" s="628"/>
      <c r="AH166" s="629"/>
      <c r="AI166" s="629"/>
      <c r="AJ166" s="629"/>
      <c r="AK166" s="629"/>
      <c r="AL166" s="629"/>
      <c r="AM166" s="411"/>
      <c r="AN166" s="411"/>
      <c r="AO166" s="411"/>
      <c r="AP166" s="411"/>
      <c r="AQ166" s="412"/>
      <c r="AR166" s="261"/>
      <c r="AS166" s="261"/>
      <c r="AT166" s="136"/>
      <c r="AU166" s="134"/>
      <c r="BI166" s="628"/>
      <c r="BJ166" s="629"/>
      <c r="BK166" s="629"/>
      <c r="BL166" s="629"/>
      <c r="BM166" s="629"/>
      <c r="BN166" s="629"/>
      <c r="BO166" s="411"/>
      <c r="BP166" s="411"/>
      <c r="BQ166" s="411"/>
      <c r="BR166" s="411"/>
      <c r="BS166" s="412"/>
      <c r="BT166" s="261"/>
      <c r="BU166" s="261"/>
      <c r="BV166" s="136"/>
      <c r="BW166" s="134"/>
    </row>
    <row r="167" spans="1:87" ht="15" customHeight="1">
      <c r="AH167" s="356"/>
    </row>
    <row r="168" spans="1:87" ht="15" customHeight="1">
      <c r="AH168" s="356"/>
    </row>
    <row r="169" spans="1:87" ht="15" customHeight="1">
      <c r="AH169" s="356"/>
    </row>
    <row r="170" spans="1:87" ht="15" customHeight="1">
      <c r="AH170" s="356"/>
    </row>
    <row r="171" spans="1:87" ht="15" customHeight="1">
      <c r="AH171" s="356"/>
    </row>
    <row r="172" spans="1:87" ht="15" customHeight="1">
      <c r="AH172" s="356"/>
    </row>
    <row r="173" spans="1:87" ht="15" customHeight="1">
      <c r="AH173" s="356"/>
    </row>
    <row r="174" spans="1:87" ht="15" customHeight="1">
      <c r="AH174" s="356"/>
    </row>
    <row r="175" spans="1:87" ht="15" customHeight="1">
      <c r="AH175" s="356"/>
    </row>
    <row r="176" spans="1:87" ht="15" customHeight="1">
      <c r="AH176" s="356"/>
    </row>
    <row r="177" spans="34:34" ht="15" customHeight="1">
      <c r="AH177" s="356"/>
    </row>
    <row r="178" spans="34:34" ht="15" customHeight="1">
      <c r="AH178" s="356"/>
    </row>
    <row r="179" spans="34:34" ht="15" customHeight="1">
      <c r="AH179" s="356"/>
    </row>
    <row r="180" spans="34:34" ht="15" customHeight="1">
      <c r="AH180" s="356"/>
    </row>
    <row r="181" spans="34:34" ht="15" customHeight="1">
      <c r="AH181" s="356"/>
    </row>
    <row r="182" spans="34:34" ht="15" customHeight="1">
      <c r="AH182" s="356"/>
    </row>
    <row r="183" spans="34:34" ht="15" customHeight="1">
      <c r="AH183" s="356"/>
    </row>
    <row r="184" spans="34:34" ht="15" customHeight="1">
      <c r="AH184" s="356"/>
    </row>
    <row r="185" spans="34:34" ht="15" customHeight="1">
      <c r="AH185" s="356"/>
    </row>
    <row r="186" spans="34:34" ht="15" customHeight="1">
      <c r="AH186" s="356"/>
    </row>
    <row r="187" spans="34:34" ht="15" customHeight="1">
      <c r="AH187" s="356"/>
    </row>
    <row r="188" spans="34:34" ht="15" customHeight="1">
      <c r="AH188" s="356"/>
    </row>
    <row r="189" spans="34:34" ht="15" customHeight="1">
      <c r="AH189" s="356"/>
    </row>
    <row r="190" spans="34:34" ht="15" customHeight="1">
      <c r="AH190" s="356"/>
    </row>
    <row r="191" spans="34:34" ht="15" customHeight="1">
      <c r="AH191" s="356"/>
    </row>
    <row r="192" spans="34:34" ht="15" customHeight="1">
      <c r="AH192" s="356"/>
    </row>
    <row r="193" spans="34:34" ht="15" customHeight="1">
      <c r="AH193" s="356"/>
    </row>
    <row r="194" spans="34:34" ht="15" customHeight="1">
      <c r="AH194" s="356"/>
    </row>
    <row r="195" spans="34:34" ht="15" customHeight="1">
      <c r="AH195" s="356"/>
    </row>
    <row r="196" spans="34:34" ht="15" customHeight="1">
      <c r="AH196" s="356"/>
    </row>
    <row r="197" spans="34:34" ht="15" customHeight="1">
      <c r="AH197" s="356"/>
    </row>
    <row r="198" spans="34:34" ht="15" customHeight="1">
      <c r="AH198" s="356"/>
    </row>
    <row r="199" spans="34:34" ht="15" customHeight="1">
      <c r="AH199" s="356"/>
    </row>
    <row r="200" spans="34:34" ht="15" customHeight="1">
      <c r="AH200" s="356"/>
    </row>
    <row r="201" spans="34:34" ht="15" customHeight="1">
      <c r="AH201" s="356"/>
    </row>
    <row r="202" spans="34:34" ht="15" customHeight="1">
      <c r="AH202" s="356"/>
    </row>
    <row r="203" spans="34:34" ht="15" customHeight="1">
      <c r="AH203" s="356"/>
    </row>
    <row r="204" spans="34:34" ht="15" customHeight="1">
      <c r="AH204" s="356"/>
    </row>
    <row r="205" spans="34:34" ht="15" customHeight="1">
      <c r="AH205" s="356"/>
    </row>
    <row r="206" spans="34:34" ht="15" customHeight="1">
      <c r="AH206" s="356"/>
    </row>
    <row r="207" spans="34:34" ht="15" customHeight="1">
      <c r="AH207" s="356"/>
    </row>
    <row r="208" spans="34:34" ht="15" customHeight="1">
      <c r="AH208" s="356"/>
    </row>
    <row r="209" spans="34:34" ht="15" customHeight="1">
      <c r="AH209" s="356"/>
    </row>
    <row r="210" spans="34:34" ht="15" customHeight="1">
      <c r="AH210" s="356"/>
    </row>
    <row r="211" spans="34:34" ht="15" customHeight="1">
      <c r="AH211" s="356"/>
    </row>
    <row r="212" spans="34:34" ht="15" customHeight="1">
      <c r="AH212" s="356"/>
    </row>
    <row r="213" spans="34:34" ht="15" customHeight="1">
      <c r="AH213" s="356"/>
    </row>
    <row r="214" spans="34:34" ht="15" customHeight="1">
      <c r="AH214" s="356"/>
    </row>
    <row r="215" spans="34:34" ht="15" customHeight="1">
      <c r="AH215" s="356"/>
    </row>
    <row r="216" spans="34:34" ht="15" customHeight="1">
      <c r="AH216" s="356"/>
    </row>
    <row r="217" spans="34:34" ht="15" customHeight="1">
      <c r="AH217" s="356"/>
    </row>
    <row r="218" spans="34:34" ht="15" customHeight="1">
      <c r="AH218" s="356"/>
    </row>
    <row r="219" spans="34:34" ht="15" customHeight="1">
      <c r="AH219" s="356"/>
    </row>
    <row r="220" spans="34:34" ht="15" customHeight="1">
      <c r="AH220" s="356"/>
    </row>
    <row r="221" spans="34:34" ht="15" customHeight="1">
      <c r="AH221" s="356"/>
    </row>
    <row r="222" spans="34:34" ht="15" customHeight="1">
      <c r="AH222" s="356"/>
    </row>
    <row r="223" spans="34:34" ht="15" customHeight="1">
      <c r="AH223" s="356"/>
    </row>
    <row r="224" spans="34:34" ht="15" customHeight="1">
      <c r="AH224" s="356"/>
    </row>
    <row r="225" spans="34:34" ht="15" customHeight="1">
      <c r="AH225" s="356"/>
    </row>
    <row r="226" spans="34:34" ht="15" customHeight="1">
      <c r="AH226" s="356"/>
    </row>
    <row r="227" spans="34:34" ht="15" customHeight="1">
      <c r="AH227" s="356"/>
    </row>
    <row r="228" spans="34:34" ht="15" customHeight="1">
      <c r="AH228" s="356"/>
    </row>
    <row r="229" spans="34:34" ht="15" customHeight="1">
      <c r="AH229" s="356"/>
    </row>
    <row r="230" spans="34:34" ht="15" customHeight="1">
      <c r="AH230" s="356"/>
    </row>
    <row r="231" spans="34:34" ht="15" customHeight="1">
      <c r="AH231" s="356"/>
    </row>
    <row r="232" spans="34:34" ht="15" customHeight="1">
      <c r="AH232" s="356"/>
    </row>
    <row r="233" spans="34:34" ht="15" customHeight="1">
      <c r="AH233" s="356"/>
    </row>
    <row r="234" spans="34:34" ht="15" customHeight="1">
      <c r="AH234" s="356"/>
    </row>
    <row r="235" spans="34:34" ht="15" customHeight="1">
      <c r="AH235" s="356"/>
    </row>
    <row r="236" spans="34:34" ht="15" customHeight="1">
      <c r="AH236" s="356"/>
    </row>
    <row r="237" spans="34:34" ht="15" customHeight="1">
      <c r="AH237" s="356"/>
    </row>
    <row r="238" spans="34:34" ht="15" customHeight="1">
      <c r="AH238" s="356"/>
    </row>
    <row r="239" spans="34:34" ht="15" customHeight="1">
      <c r="AH239" s="356"/>
    </row>
    <row r="240" spans="34:34" ht="15" customHeight="1">
      <c r="AH240" s="356"/>
    </row>
    <row r="241" spans="34:34" ht="15" customHeight="1">
      <c r="AH241" s="356"/>
    </row>
    <row r="242" spans="34:34" ht="15" customHeight="1">
      <c r="AH242" s="356"/>
    </row>
    <row r="243" spans="34:34" ht="15" customHeight="1">
      <c r="AH243" s="356"/>
    </row>
    <row r="244" spans="34:34" ht="15" customHeight="1">
      <c r="AH244" s="356"/>
    </row>
    <row r="245" spans="34:34" ht="15" customHeight="1">
      <c r="AH245" s="356"/>
    </row>
    <row r="246" spans="34:34" ht="15" customHeight="1">
      <c r="AH246" s="356"/>
    </row>
    <row r="247" spans="34:34" ht="15" customHeight="1">
      <c r="AH247" s="356"/>
    </row>
    <row r="248" spans="34:34" ht="15" customHeight="1">
      <c r="AH248" s="356"/>
    </row>
    <row r="249" spans="34:34" ht="15" customHeight="1">
      <c r="AH249" s="356"/>
    </row>
    <row r="250" spans="34:34" ht="15" customHeight="1">
      <c r="AH250" s="356"/>
    </row>
    <row r="251" spans="34:34" ht="15" customHeight="1">
      <c r="AH251" s="356"/>
    </row>
    <row r="252" spans="34:34" ht="15" customHeight="1">
      <c r="AH252" s="356"/>
    </row>
    <row r="253" spans="34:34" ht="15" customHeight="1">
      <c r="AH253" s="356"/>
    </row>
    <row r="254" spans="34:34" ht="15" customHeight="1">
      <c r="AH254" s="356"/>
    </row>
    <row r="255" spans="34:34" ht="15" customHeight="1">
      <c r="AH255" s="356"/>
    </row>
    <row r="256" spans="34:34" ht="15" customHeight="1">
      <c r="AH256" s="356"/>
    </row>
    <row r="257" spans="34:34" ht="15" customHeight="1">
      <c r="AH257" s="356"/>
    </row>
    <row r="258" spans="34:34" ht="15" customHeight="1">
      <c r="AH258" s="356"/>
    </row>
    <row r="259" spans="34:34" ht="15" customHeight="1">
      <c r="AH259" s="356"/>
    </row>
    <row r="260" spans="34:34" ht="15" customHeight="1">
      <c r="AH260" s="356"/>
    </row>
    <row r="261" spans="34:34" ht="15" customHeight="1">
      <c r="AH261" s="356"/>
    </row>
    <row r="262" spans="34:34" ht="15" customHeight="1">
      <c r="AH262" s="356"/>
    </row>
    <row r="263" spans="34:34" ht="15" customHeight="1">
      <c r="AH263" s="356"/>
    </row>
    <row r="264" spans="34:34" ht="15" customHeight="1">
      <c r="AH264" s="356"/>
    </row>
    <row r="265" spans="34:34" ht="15" customHeight="1">
      <c r="AH265" s="356"/>
    </row>
    <row r="266" spans="34:34" ht="15" customHeight="1">
      <c r="AH266" s="356"/>
    </row>
    <row r="267" spans="34:34" ht="15" customHeight="1">
      <c r="AH267" s="356"/>
    </row>
    <row r="268" spans="34:34" ht="15" customHeight="1">
      <c r="AH268" s="356"/>
    </row>
    <row r="269" spans="34:34" ht="15" customHeight="1">
      <c r="AH269" s="356"/>
    </row>
    <row r="270" spans="34:34" ht="15" customHeight="1">
      <c r="AH270" s="356"/>
    </row>
    <row r="271" spans="34:34" ht="15" customHeight="1">
      <c r="AH271" s="356"/>
    </row>
    <row r="272" spans="34:34" ht="15" customHeight="1">
      <c r="AH272" s="356"/>
    </row>
    <row r="273" spans="34:34" ht="15" customHeight="1">
      <c r="AH273" s="356"/>
    </row>
    <row r="274" spans="34:34" ht="15" customHeight="1">
      <c r="AH274" s="356"/>
    </row>
    <row r="275" spans="34:34" ht="15" customHeight="1">
      <c r="AH275" s="356"/>
    </row>
    <row r="276" spans="34:34" ht="15" customHeight="1">
      <c r="AH276" s="356"/>
    </row>
    <row r="277" spans="34:34" ht="15" customHeight="1">
      <c r="AH277" s="356"/>
    </row>
    <row r="278" spans="34:34" ht="15" customHeight="1">
      <c r="AH278" s="356"/>
    </row>
    <row r="279" spans="34:34" ht="15" customHeight="1">
      <c r="AH279" s="356"/>
    </row>
    <row r="280" spans="34:34" ht="15" customHeight="1">
      <c r="AH280" s="356"/>
    </row>
    <row r="281" spans="34:34" ht="15" customHeight="1">
      <c r="AH281" s="356"/>
    </row>
    <row r="282" spans="34:34" ht="15" customHeight="1">
      <c r="AH282" s="356"/>
    </row>
    <row r="283" spans="34:34" ht="15" customHeight="1">
      <c r="AH283" s="356"/>
    </row>
    <row r="284" spans="34:34" ht="15" customHeight="1">
      <c r="AH284" s="356"/>
    </row>
    <row r="285" spans="34:34" ht="15" customHeight="1">
      <c r="AH285" s="356"/>
    </row>
    <row r="286" spans="34:34" ht="15" customHeight="1">
      <c r="AH286" s="356"/>
    </row>
    <row r="287" spans="34:34" ht="15" customHeight="1">
      <c r="AH287" s="356"/>
    </row>
    <row r="288" spans="34:34" ht="15" customHeight="1">
      <c r="AH288" s="356"/>
    </row>
    <row r="289" spans="34:34" ht="15" customHeight="1">
      <c r="AH289" s="356"/>
    </row>
    <row r="290" spans="34:34" ht="15" customHeight="1">
      <c r="AH290" s="356"/>
    </row>
    <row r="291" spans="34:34" ht="15" customHeight="1">
      <c r="AH291" s="356"/>
    </row>
    <row r="292" spans="34:34" ht="15" customHeight="1">
      <c r="AH292" s="356"/>
    </row>
    <row r="293" spans="34:34" ht="15" customHeight="1">
      <c r="AH293" s="356"/>
    </row>
    <row r="294" spans="34:34" ht="15" customHeight="1">
      <c r="AH294" s="356"/>
    </row>
    <row r="295" spans="34:34" ht="15" customHeight="1">
      <c r="AH295" s="356"/>
    </row>
    <row r="296" spans="34:34" ht="15" customHeight="1">
      <c r="AH296" s="356"/>
    </row>
    <row r="297" spans="34:34" ht="15" customHeight="1">
      <c r="AH297" s="356"/>
    </row>
    <row r="298" spans="34:34" ht="15" customHeight="1">
      <c r="AH298" s="356"/>
    </row>
    <row r="299" spans="34:34" ht="15" customHeight="1">
      <c r="AH299" s="356"/>
    </row>
    <row r="300" spans="34:34" ht="15" customHeight="1">
      <c r="AH300" s="356"/>
    </row>
    <row r="301" spans="34:34" ht="15" customHeight="1">
      <c r="AH301" s="356"/>
    </row>
    <row r="302" spans="34:34" ht="15" customHeight="1">
      <c r="AH302" s="356"/>
    </row>
    <row r="303" spans="34:34" ht="15" customHeight="1">
      <c r="AH303" s="356"/>
    </row>
    <row r="304" spans="34:34" ht="15" customHeight="1">
      <c r="AH304" s="356"/>
    </row>
    <row r="305" spans="34:34" ht="15" customHeight="1">
      <c r="AH305" s="356"/>
    </row>
    <row r="306" spans="34:34" ht="15" customHeight="1">
      <c r="AH306" s="356"/>
    </row>
    <row r="307" spans="34:34" ht="15" customHeight="1">
      <c r="AH307" s="356"/>
    </row>
    <row r="308" spans="34:34" ht="15" customHeight="1">
      <c r="AH308" s="356"/>
    </row>
    <row r="309" spans="34:34" ht="15" customHeight="1">
      <c r="AH309" s="356"/>
    </row>
    <row r="310" spans="34:34" ht="15" customHeight="1">
      <c r="AH310" s="356"/>
    </row>
    <row r="311" spans="34:34" ht="15" customHeight="1">
      <c r="AH311" s="356"/>
    </row>
    <row r="312" spans="34:34" ht="15" customHeight="1">
      <c r="AH312" s="356"/>
    </row>
    <row r="313" spans="34:34" ht="15" customHeight="1">
      <c r="AH313" s="356"/>
    </row>
    <row r="314" spans="34:34" ht="15" customHeight="1">
      <c r="AH314" s="356"/>
    </row>
    <row r="315" spans="34:34" ht="15" customHeight="1">
      <c r="AH315" s="356"/>
    </row>
    <row r="316" spans="34:34" ht="15" customHeight="1">
      <c r="AH316" s="356"/>
    </row>
    <row r="317" spans="34:34" ht="15" customHeight="1">
      <c r="AH317" s="356"/>
    </row>
    <row r="318" spans="34:34" ht="15" customHeight="1">
      <c r="AH318" s="356"/>
    </row>
    <row r="319" spans="34:34" ht="15" customHeight="1">
      <c r="AH319" s="356"/>
    </row>
    <row r="320" spans="34:34" ht="15" customHeight="1">
      <c r="AH320" s="356"/>
    </row>
    <row r="321" spans="34:34" ht="15" customHeight="1">
      <c r="AH321" s="356"/>
    </row>
    <row r="322" spans="34:34" ht="15" customHeight="1">
      <c r="AH322" s="356"/>
    </row>
    <row r="323" spans="34:34" ht="15" customHeight="1">
      <c r="AH323" s="356"/>
    </row>
    <row r="324" spans="34:34" ht="15" customHeight="1">
      <c r="AH324" s="356"/>
    </row>
    <row r="325" spans="34:34" ht="15" customHeight="1">
      <c r="AH325" s="356"/>
    </row>
    <row r="326" spans="34:34" ht="15" customHeight="1">
      <c r="AH326" s="356"/>
    </row>
    <row r="327" spans="34:34" ht="15" customHeight="1">
      <c r="AH327" s="356"/>
    </row>
    <row r="328" spans="34:34" ht="15" customHeight="1">
      <c r="AH328" s="356"/>
    </row>
    <row r="329" spans="34:34" ht="15" customHeight="1">
      <c r="AH329" s="356"/>
    </row>
    <row r="330" spans="34:34" ht="15" customHeight="1">
      <c r="AH330" s="356"/>
    </row>
    <row r="331" spans="34:34" ht="15" customHeight="1">
      <c r="AH331" s="356"/>
    </row>
    <row r="332" spans="34:34" ht="15" customHeight="1">
      <c r="AH332" s="356"/>
    </row>
    <row r="333" spans="34:34" ht="15" customHeight="1">
      <c r="AH333" s="356"/>
    </row>
    <row r="334" spans="34:34" ht="15" customHeight="1">
      <c r="AH334" s="356"/>
    </row>
    <row r="335" spans="34:34" ht="15" customHeight="1">
      <c r="AH335" s="356"/>
    </row>
    <row r="336" spans="34:34" ht="15" customHeight="1">
      <c r="AH336" s="356"/>
    </row>
    <row r="337" spans="34:34" ht="15" customHeight="1">
      <c r="AH337" s="356"/>
    </row>
    <row r="338" spans="34:34" ht="15" customHeight="1">
      <c r="AH338" s="356"/>
    </row>
    <row r="339" spans="34:34" ht="15" customHeight="1">
      <c r="AH339" s="356"/>
    </row>
    <row r="340" spans="34:34" ht="15" customHeight="1">
      <c r="AH340" s="356"/>
    </row>
    <row r="341" spans="34:34" ht="15" customHeight="1">
      <c r="AH341" s="356"/>
    </row>
    <row r="342" spans="34:34" ht="15" customHeight="1">
      <c r="AH342" s="356"/>
    </row>
    <row r="343" spans="34:34" ht="15" customHeight="1">
      <c r="AH343" s="356"/>
    </row>
    <row r="344" spans="34:34" ht="15" customHeight="1">
      <c r="AH344" s="356"/>
    </row>
    <row r="345" spans="34:34" ht="15" customHeight="1">
      <c r="AH345" s="356"/>
    </row>
    <row r="346" spans="34:34" ht="15" customHeight="1">
      <c r="AH346" s="356"/>
    </row>
    <row r="347" spans="34:34" ht="15" customHeight="1">
      <c r="AH347" s="356"/>
    </row>
    <row r="348" spans="34:34" ht="15" customHeight="1">
      <c r="AH348" s="356"/>
    </row>
    <row r="349" spans="34:34" ht="15" customHeight="1">
      <c r="AH349" s="356"/>
    </row>
    <row r="350" spans="34:34" ht="15" customHeight="1">
      <c r="AH350" s="356"/>
    </row>
    <row r="351" spans="34:34" ht="15" customHeight="1">
      <c r="AH351" s="356"/>
    </row>
    <row r="352" spans="34:34" ht="15" customHeight="1">
      <c r="AH352" s="356"/>
    </row>
    <row r="353" spans="34:34" ht="15" customHeight="1">
      <c r="AH353" s="356"/>
    </row>
    <row r="354" spans="34:34" ht="15" customHeight="1">
      <c r="AH354" s="356"/>
    </row>
    <row r="355" spans="34:34" ht="15" customHeight="1">
      <c r="AH355" s="356"/>
    </row>
    <row r="356" spans="34:34" ht="15" customHeight="1">
      <c r="AH356" s="356"/>
    </row>
    <row r="357" spans="34:34" ht="15" customHeight="1">
      <c r="AH357" s="356"/>
    </row>
    <row r="358" spans="34:34" ht="15" customHeight="1">
      <c r="AH358" s="356"/>
    </row>
    <row r="359" spans="34:34" ht="15" customHeight="1">
      <c r="AH359" s="356"/>
    </row>
    <row r="360" spans="34:34" ht="15" customHeight="1">
      <c r="AH360" s="356"/>
    </row>
    <row r="361" spans="34:34" ht="15" customHeight="1">
      <c r="AH361" s="356"/>
    </row>
    <row r="362" spans="34:34" ht="15" customHeight="1">
      <c r="AH362" s="356"/>
    </row>
    <row r="363" spans="34:34" ht="15" customHeight="1">
      <c r="AH363" s="356"/>
    </row>
    <row r="364" spans="34:34" ht="15" customHeight="1">
      <c r="AH364" s="356"/>
    </row>
    <row r="365" spans="34:34" ht="15" customHeight="1">
      <c r="AH365" s="356"/>
    </row>
    <row r="366" spans="34:34" ht="15" customHeight="1">
      <c r="AH366" s="356"/>
    </row>
    <row r="367" spans="34:34" ht="15" customHeight="1">
      <c r="AH367" s="356"/>
    </row>
    <row r="368" spans="34:34" ht="15" customHeight="1">
      <c r="AH368" s="356"/>
    </row>
    <row r="369" spans="34:34" ht="15" customHeight="1">
      <c r="AH369" s="356"/>
    </row>
    <row r="370" spans="34:34" ht="15" customHeight="1">
      <c r="AH370" s="356"/>
    </row>
    <row r="371" spans="34:34" ht="15" customHeight="1">
      <c r="AH371" s="356"/>
    </row>
    <row r="372" spans="34:34" ht="15" customHeight="1">
      <c r="AH372" s="356"/>
    </row>
    <row r="373" spans="34:34" ht="15" customHeight="1">
      <c r="AH373" s="356"/>
    </row>
    <row r="374" spans="34:34" ht="15" customHeight="1">
      <c r="AH374" s="356"/>
    </row>
    <row r="375" spans="34:34" ht="15" customHeight="1">
      <c r="AH375" s="356"/>
    </row>
    <row r="376" spans="34:34" ht="15" customHeight="1">
      <c r="AH376" s="356"/>
    </row>
    <row r="377" spans="34:34" ht="15" customHeight="1">
      <c r="AH377" s="356"/>
    </row>
    <row r="378" spans="34:34" ht="15" customHeight="1">
      <c r="AH378" s="356"/>
    </row>
    <row r="379" spans="34:34" ht="15" customHeight="1">
      <c r="AH379" s="356"/>
    </row>
    <row r="380" spans="34:34" ht="15" customHeight="1">
      <c r="AH380" s="356"/>
    </row>
    <row r="381" spans="34:34" ht="15" customHeight="1">
      <c r="AH381" s="356"/>
    </row>
    <row r="382" spans="34:34" ht="15" customHeight="1">
      <c r="AH382" s="356"/>
    </row>
    <row r="383" spans="34:34" ht="15" customHeight="1">
      <c r="AH383" s="356"/>
    </row>
    <row r="384" spans="34:34" ht="15" customHeight="1">
      <c r="AH384" s="356"/>
    </row>
    <row r="385" spans="34:34" ht="15" customHeight="1">
      <c r="AH385" s="356"/>
    </row>
    <row r="386" spans="34:34" ht="15" customHeight="1">
      <c r="AH386" s="356"/>
    </row>
    <row r="387" spans="34:34" ht="15" customHeight="1">
      <c r="AH387" s="356"/>
    </row>
    <row r="388" spans="34:34" ht="15" customHeight="1">
      <c r="AH388" s="356"/>
    </row>
    <row r="389" spans="34:34" ht="15" customHeight="1">
      <c r="AH389" s="356"/>
    </row>
    <row r="390" spans="34:34" ht="15" customHeight="1">
      <c r="AH390" s="356"/>
    </row>
    <row r="391" spans="34:34" ht="15" customHeight="1">
      <c r="AH391" s="356"/>
    </row>
    <row r="392" spans="34:34" ht="15" customHeight="1">
      <c r="AH392" s="356"/>
    </row>
    <row r="393" spans="34:34" ht="15" customHeight="1">
      <c r="AH393" s="356"/>
    </row>
    <row r="394" spans="34:34" ht="15" customHeight="1">
      <c r="AH394" s="356"/>
    </row>
    <row r="395" spans="34:34" ht="15" customHeight="1">
      <c r="AH395" s="356"/>
    </row>
    <row r="396" spans="34:34" ht="15" customHeight="1">
      <c r="AH396" s="356"/>
    </row>
    <row r="397" spans="34:34" ht="15" customHeight="1">
      <c r="AH397" s="356"/>
    </row>
    <row r="398" spans="34:34" ht="15" customHeight="1">
      <c r="AH398" s="356"/>
    </row>
    <row r="399" spans="34:34" ht="15" customHeight="1">
      <c r="AH399" s="356"/>
    </row>
    <row r="400" spans="34:34" ht="15" customHeight="1">
      <c r="AH400" s="356"/>
    </row>
    <row r="401" spans="34:34" ht="15" customHeight="1">
      <c r="AH401" s="356"/>
    </row>
    <row r="402" spans="34:34" ht="15" customHeight="1">
      <c r="AH402" s="356"/>
    </row>
    <row r="403" spans="34:34" ht="15" customHeight="1">
      <c r="AH403" s="356"/>
    </row>
    <row r="404" spans="34:34" ht="15" customHeight="1">
      <c r="AH404" s="356"/>
    </row>
    <row r="405" spans="34:34" ht="15" customHeight="1">
      <c r="AH405" s="356"/>
    </row>
    <row r="406" spans="34:34" ht="15" customHeight="1">
      <c r="AH406" s="356"/>
    </row>
    <row r="407" spans="34:34" ht="15" customHeight="1">
      <c r="AH407" s="356"/>
    </row>
    <row r="408" spans="34:34" ht="15" customHeight="1">
      <c r="AH408" s="356"/>
    </row>
    <row r="409" spans="34:34" ht="15" customHeight="1">
      <c r="AH409" s="356"/>
    </row>
    <row r="410" spans="34:34" ht="15" customHeight="1">
      <c r="AH410" s="356"/>
    </row>
    <row r="411" spans="34:34" ht="15" customHeight="1">
      <c r="AH411" s="356"/>
    </row>
    <row r="412" spans="34:34" ht="15" customHeight="1">
      <c r="AH412" s="356"/>
    </row>
    <row r="413" spans="34:34" ht="15" customHeight="1">
      <c r="AH413" s="356"/>
    </row>
    <row r="414" spans="34:34" ht="15" customHeight="1">
      <c r="AH414" s="356"/>
    </row>
    <row r="415" spans="34:34" ht="15" customHeight="1">
      <c r="AH415" s="356"/>
    </row>
    <row r="416" spans="34:34" ht="15" customHeight="1">
      <c r="AH416" s="356"/>
    </row>
    <row r="417" spans="34:34" ht="15" customHeight="1">
      <c r="AH417" s="356"/>
    </row>
    <row r="418" spans="34:34" ht="15" customHeight="1">
      <c r="AH418" s="356"/>
    </row>
    <row r="419" spans="34:34" ht="15" customHeight="1">
      <c r="AH419" s="356"/>
    </row>
    <row r="420" spans="34:34" ht="15" customHeight="1">
      <c r="AH420" s="356"/>
    </row>
    <row r="421" spans="34:34" ht="15" customHeight="1">
      <c r="AH421" s="356"/>
    </row>
    <row r="422" spans="34:34" ht="15" customHeight="1">
      <c r="AH422" s="356"/>
    </row>
    <row r="423" spans="34:34" ht="15" customHeight="1">
      <c r="AH423" s="356"/>
    </row>
    <row r="424" spans="34:34" ht="15" customHeight="1">
      <c r="AH424" s="356"/>
    </row>
    <row r="425" spans="34:34" ht="15" customHeight="1">
      <c r="AH425" s="356"/>
    </row>
    <row r="426" spans="34:34" ht="15" customHeight="1">
      <c r="AH426" s="356"/>
    </row>
    <row r="427" spans="34:34" ht="15" customHeight="1">
      <c r="AH427" s="356"/>
    </row>
    <row r="428" spans="34:34" ht="15" customHeight="1">
      <c r="AH428" s="356"/>
    </row>
    <row r="429" spans="34:34" ht="15" customHeight="1">
      <c r="AH429" s="356"/>
    </row>
    <row r="430" spans="34:34" ht="15" customHeight="1">
      <c r="AH430" s="356"/>
    </row>
    <row r="431" spans="34:34" ht="15" customHeight="1">
      <c r="AH431" s="356"/>
    </row>
    <row r="432" spans="34:34" ht="15" customHeight="1">
      <c r="AH432" s="356"/>
    </row>
    <row r="433" spans="34:34" ht="15" customHeight="1">
      <c r="AH433" s="356"/>
    </row>
    <row r="434" spans="34:34" ht="15" customHeight="1">
      <c r="AH434" s="356"/>
    </row>
    <row r="435" spans="34:34" ht="15" customHeight="1">
      <c r="AH435" s="356"/>
    </row>
    <row r="436" spans="34:34" ht="15" customHeight="1">
      <c r="AH436" s="356"/>
    </row>
    <row r="437" spans="34:34" ht="15" customHeight="1">
      <c r="AH437" s="356"/>
    </row>
    <row r="438" spans="34:34" ht="15" customHeight="1">
      <c r="AH438" s="356"/>
    </row>
    <row r="439" spans="34:34" ht="15" customHeight="1">
      <c r="AH439" s="356"/>
    </row>
    <row r="440" spans="34:34" ht="15" customHeight="1">
      <c r="AH440" s="356"/>
    </row>
    <row r="441" spans="34:34" ht="15" customHeight="1">
      <c r="AH441" s="356"/>
    </row>
    <row r="442" spans="34:34" ht="15" customHeight="1">
      <c r="AH442" s="356"/>
    </row>
    <row r="443" spans="34:34" ht="15" customHeight="1">
      <c r="AH443" s="356"/>
    </row>
    <row r="444" spans="34:34" ht="15" customHeight="1">
      <c r="AH444" s="356"/>
    </row>
    <row r="445" spans="34:34" ht="15" customHeight="1">
      <c r="AH445" s="356"/>
    </row>
    <row r="446" spans="34:34" ht="15" customHeight="1">
      <c r="AH446" s="356"/>
    </row>
    <row r="447" spans="34:34" ht="15" customHeight="1">
      <c r="AH447" s="356"/>
    </row>
    <row r="448" spans="34:34" ht="15" customHeight="1">
      <c r="AH448" s="356"/>
    </row>
    <row r="449" spans="34:34" ht="15" customHeight="1">
      <c r="AH449" s="356"/>
    </row>
    <row r="450" spans="34:34" ht="15" customHeight="1">
      <c r="AH450" s="356"/>
    </row>
    <row r="451" spans="34:34" ht="15" customHeight="1">
      <c r="AH451" s="356"/>
    </row>
    <row r="452" spans="34:34" ht="15" customHeight="1">
      <c r="AH452" s="356"/>
    </row>
    <row r="453" spans="34:34" ht="15" customHeight="1">
      <c r="AH453" s="356"/>
    </row>
    <row r="454" spans="34:34" ht="15" customHeight="1">
      <c r="AH454" s="356"/>
    </row>
    <row r="455" spans="34:34" ht="15" customHeight="1">
      <c r="AH455" s="356"/>
    </row>
    <row r="456" spans="34:34" ht="15" customHeight="1">
      <c r="AH456" s="356"/>
    </row>
    <row r="457" spans="34:34" ht="15" customHeight="1">
      <c r="AH457" s="356"/>
    </row>
    <row r="458" spans="34:34" ht="15" customHeight="1">
      <c r="AH458" s="356"/>
    </row>
    <row r="459" spans="34:34" ht="15" customHeight="1">
      <c r="AH459" s="356"/>
    </row>
    <row r="460" spans="34:34" ht="15" customHeight="1">
      <c r="AH460" s="356"/>
    </row>
    <row r="461" spans="34:34" ht="15" customHeight="1">
      <c r="AH461" s="356"/>
    </row>
    <row r="462" spans="34:34" ht="15" customHeight="1">
      <c r="AH462" s="356"/>
    </row>
    <row r="463" spans="34:34" ht="15" customHeight="1">
      <c r="AH463" s="356"/>
    </row>
  </sheetData>
  <sheetProtection formatCells="0" formatColumns="0" formatRows="0" insertColumns="0" insertRows="0"/>
  <protectedRanges>
    <protectedRange sqref="A37:A39 AQ38:AS38 AD37:AF39 AP39:BI39 BS37:CF39 AT37:BI38 AG38:AG39 A43 O40:P42 AE40:AF42 BH40:BH42 BW40:CF42 C37:P38 C39:Q39 C43:Q43 S43:AG43 S39:AC39 AI38:AO39 AI43:BI43 BK39:BR39 BK37:BQ38 BK43:CF43 A78 N79:O84 C78:I78 Q78 AD78:AF84 AE45:AF77 S78:AC78 AF44 AS79:BG84 AG79 AI79:AR79 BI78 BU78:BU84 BV79:CF84 BK78:BT78 BW44:BX77 BV78:BX78 BZ78:CF78 BZ44:CI77 A83:A84 C83:M84 L80:M82 Q82:Q84 S82:AC84 AB79:AC81 AR80:AR82 AG83:AG84 AI83:AR84 BI82:BI84 BT79:BT81 BK82:BT84 AU44:BG78 O44:O78 A125 C125:M125 AI125:AS125 A121 N121:O125 C121:M121 BK125:BU125 BX85:BX120 BZ120:CF120 BZ85:CI119 L122:M124 Q125 S125:AG125 BI125 AV85:BG120 O85:O120 AF85:AF124 Q121 AD121:AE124 S121:AC121 AB122:AC124 AE86:AE120 AG121 AT121:BG125 AI121:AS121 AR122:AS124 AU86:AU120 BI121 BV121:CF125 BK121:BU121 BT122:BU124 BW86:BW120 J79:M79 AS167:AS263 A167:A266 C167:M266 AQ167:AR264 AP167:AP267 AG167:AG264 AI167:AO264 BR167:BR266 BS167:BT263 BK167:BQ263 AD167:AF261 BU167:BU262 Q167:Q266 S167:AC266 BI167:BI263 A163 N163:O261 C163:M163 BX126:BX162 BZ162:CF162 BZ126:CI161 L164:M166 BH44:BH260 AV126:BG162 P44:P260 O126:O162 AF126:AF166 Q163 AD163:AE166 S163:AC163 AB164:AC166 AE127:AE162 AG163 AT163:BG261 AI163:AS163 AR164:AS166 AU127:AU162 BI163 BV163:CF260 BK163:BU163 BT164:BU166 BW127:BW162" name="Range1"/>
    <protectedRange sqref="I1:J1 BB1 Y1:Z1 AO1:AP1 BR1" name="Range2"/>
    <protectedRange sqref="N2:P2 AD2:AF2 AT2:BI2 BK2:BX2" name="Range1_2"/>
    <protectedRange sqref="BQ1" name="Range2_1_1"/>
    <protectedRange sqref="CC2:CT2" name="Range1_2_1_1"/>
    <protectedRange sqref="B37:B39 B43 R37:R39 R43 AH37:AH39 AH43 BJ37:BJ39 BJ43 B78 R78 AH79 BJ78 B83:B84 R82:R84 AH83:AH84 BJ82:BJ84 B125 AH125 B121 R125 BJ125 R121 AH121 BJ121 B167:B506 AH167:AH463 R167:R505 BJ167:BJ505 B163 R163 AH163 BJ163" name="Range1_1"/>
    <protectedRange sqref="B1 R1 AH1 BJ1" name="Range1_1_1"/>
  </protectedRanges>
  <mergeCells count="13">
    <mergeCell ref="A166:F166"/>
    <mergeCell ref="Q166:V166"/>
    <mergeCell ref="AG166:AL166"/>
    <mergeCell ref="BI166:BN166"/>
    <mergeCell ref="Q124:V124"/>
    <mergeCell ref="BI124:BN124"/>
    <mergeCell ref="A124:F124"/>
    <mergeCell ref="AG124:AL124"/>
    <mergeCell ref="AU40:AX40"/>
    <mergeCell ref="A82:F82"/>
    <mergeCell ref="Q81:V81"/>
    <mergeCell ref="AG82:AL82"/>
    <mergeCell ref="BI81:BN81"/>
  </mergeCells>
  <conditionalFormatting sqref="A2 M3:M34 C2:M2 C44:N74 J75:N78 C75:I77 A44:A77 B44:B75 AG76:AG77 AG44:AT75 AP76:AT78 AI76:AO77">
    <cfRule type="containsText" dxfId="1034" priority="407" stopIfTrue="1" operator="containsText" text="ELTÉRÉS!">
      <formula>NOT(ISERROR(SEARCH("ELTÉRÉS!",A2)))</formula>
    </cfRule>
    <cfRule type="containsText" dxfId="1033" priority="408" stopIfTrue="1" operator="containsText" text="STIMMEL!">
      <formula>NOT(ISERROR(SEARCH("STIMMEL!",A2)))</formula>
    </cfRule>
  </conditionalFormatting>
  <conditionalFormatting sqref="A2 M3:M34 C2:M2 C44:N74 J75:N78 C75:I77 A44:A77 B44:B75 AG76:AG77 AG44:AT75 AP76:AT78 AI76:AO77">
    <cfRule type="cellIs" dxfId="1032" priority="406" operator="equal">
      <formula>0.01</formula>
    </cfRule>
  </conditionalFormatting>
  <conditionalFormatting sqref="Q2 S2:AC2">
    <cfRule type="containsText" dxfId="1031" priority="404" stopIfTrue="1" operator="containsText" text="ELTÉRÉS!">
      <formula>NOT(ISERROR(SEARCH("ELTÉRÉS!",Q2)))</formula>
    </cfRule>
    <cfRule type="containsText" dxfId="1030" priority="405" stopIfTrue="1" operator="containsText" text="STIMMEL!">
      <formula>NOT(ISERROR(SEARCH("STIMMEL!",Q2)))</formula>
    </cfRule>
  </conditionalFormatting>
  <conditionalFormatting sqref="Q2 S2:AC2">
    <cfRule type="cellIs" dxfId="1029" priority="403" operator="equal">
      <formula>0.01</formula>
    </cfRule>
  </conditionalFormatting>
  <conditionalFormatting sqref="AG2 AI2:AS2">
    <cfRule type="containsText" dxfId="1028" priority="401" stopIfTrue="1" operator="containsText" text="ELTÉRÉS!">
      <formula>NOT(ISERROR(SEARCH("ELTÉRÉS!",AG2)))</formula>
    </cfRule>
    <cfRule type="containsText" dxfId="1027" priority="402" stopIfTrue="1" operator="containsText" text="STIMMEL!">
      <formula>NOT(ISERROR(SEARCH("STIMMEL!",AG2)))</formula>
    </cfRule>
  </conditionalFormatting>
  <conditionalFormatting sqref="AG2 AI2:AS2">
    <cfRule type="cellIs" dxfId="1026" priority="400" operator="equal">
      <formula>0.01</formula>
    </cfRule>
  </conditionalFormatting>
  <conditionalFormatting sqref="A3:A34 C3:L34">
    <cfRule type="containsText" dxfId="1025" priority="398" stopIfTrue="1" operator="containsText" text="ELTÉRÉS!">
      <formula>NOT(ISERROR(SEARCH("ELTÉRÉS!",A3)))</formula>
    </cfRule>
    <cfRule type="containsText" dxfId="1024" priority="399" stopIfTrue="1" operator="containsText" text="STIMMEL!">
      <formula>NOT(ISERROR(SEARCH("STIMMEL!",A3)))</formula>
    </cfRule>
  </conditionalFormatting>
  <conditionalFormatting sqref="A3:A34 C3:L34">
    <cfRule type="cellIs" dxfId="1023" priority="397" operator="equal">
      <formula>0.01</formula>
    </cfRule>
  </conditionalFormatting>
  <conditionalFormatting sqref="AC3:AC34">
    <cfRule type="containsText" dxfId="1022" priority="395" stopIfTrue="1" operator="containsText" text="ELTÉRÉS!">
      <formula>NOT(ISERROR(SEARCH("ELTÉRÉS!",AC3)))</formula>
    </cfRule>
    <cfRule type="containsText" dxfId="1021" priority="396" stopIfTrue="1" operator="containsText" text="STIMMEL!">
      <formula>NOT(ISERROR(SEARCH("STIMMEL!",AC3)))</formula>
    </cfRule>
  </conditionalFormatting>
  <conditionalFormatting sqref="AC3:AC34">
    <cfRule type="cellIs" dxfId="1020" priority="394" operator="equal">
      <formula>0.01</formula>
    </cfRule>
  </conditionalFormatting>
  <conditionalFormatting sqref="Q3:Q34 S3:AB34">
    <cfRule type="containsText" dxfId="1019" priority="392" stopIfTrue="1" operator="containsText" text="ELTÉRÉS!">
      <formula>NOT(ISERROR(SEARCH("ELTÉRÉS!",Q3)))</formula>
    </cfRule>
    <cfRule type="containsText" dxfId="1018" priority="393" stopIfTrue="1" operator="containsText" text="STIMMEL!">
      <formula>NOT(ISERROR(SEARCH("STIMMEL!",Q3)))</formula>
    </cfRule>
  </conditionalFormatting>
  <conditionalFormatting sqref="Q3:Q34 S3:AB34">
    <cfRule type="cellIs" dxfId="1017" priority="391" operator="equal">
      <formula>0.01</formula>
    </cfRule>
  </conditionalFormatting>
  <conditionalFormatting sqref="AS3:AS34">
    <cfRule type="containsText" dxfId="1016" priority="389" stopIfTrue="1" operator="containsText" text="ELTÉRÉS!">
      <formula>NOT(ISERROR(SEARCH("ELTÉRÉS!",AS3)))</formula>
    </cfRule>
    <cfRule type="containsText" dxfId="1015" priority="390" stopIfTrue="1" operator="containsText" text="STIMMEL!">
      <formula>NOT(ISERROR(SEARCH("STIMMEL!",AS3)))</formula>
    </cfRule>
  </conditionalFormatting>
  <conditionalFormatting sqref="AS3:AS34">
    <cfRule type="cellIs" dxfId="1014" priority="388" operator="equal">
      <formula>0.01</formula>
    </cfRule>
  </conditionalFormatting>
  <conditionalFormatting sqref="AG3:AG34 AI3:AR34">
    <cfRule type="containsText" dxfId="1013" priority="386" stopIfTrue="1" operator="containsText" text="ELTÉRÉS!">
      <formula>NOT(ISERROR(SEARCH("ELTÉRÉS!",AG3)))</formula>
    </cfRule>
    <cfRule type="containsText" dxfId="1012" priority="387" stopIfTrue="1" operator="containsText" text="STIMMEL!">
      <formula>NOT(ISERROR(SEARCH("STIMMEL!",AG3)))</formula>
    </cfRule>
  </conditionalFormatting>
  <conditionalFormatting sqref="AG3:AG34 AI3:AR34">
    <cfRule type="cellIs" dxfId="1011" priority="385" operator="equal">
      <formula>0.01</formula>
    </cfRule>
  </conditionalFormatting>
  <conditionalFormatting sqref="BU3:BU34">
    <cfRule type="containsText" dxfId="1010" priority="383" stopIfTrue="1" operator="containsText" text="ELTÉRÉS!">
      <formula>NOT(ISERROR(SEARCH("ELTÉRÉS!",BU3)))</formula>
    </cfRule>
    <cfRule type="containsText" dxfId="1009" priority="384" stopIfTrue="1" operator="containsText" text="STIMMEL!">
      <formula>NOT(ISERROR(SEARCH("STIMMEL!",BU3)))</formula>
    </cfRule>
  </conditionalFormatting>
  <conditionalFormatting sqref="BU3:BU34">
    <cfRule type="cellIs" dxfId="1008" priority="382" operator="equal">
      <formula>0.01</formula>
    </cfRule>
  </conditionalFormatting>
  <conditionalFormatting sqref="BI3:BI34 BK3:BT34">
    <cfRule type="containsText" dxfId="1007" priority="380" stopIfTrue="1" operator="containsText" text="ELTÉRÉS!">
      <formula>NOT(ISERROR(SEARCH("ELTÉRÉS!",BI3)))</formula>
    </cfRule>
    <cfRule type="containsText" dxfId="1006" priority="381" stopIfTrue="1" operator="containsText" text="STIMMEL!">
      <formula>NOT(ISERROR(SEARCH("STIMMEL!",BI3)))</formula>
    </cfRule>
  </conditionalFormatting>
  <conditionalFormatting sqref="BI3:BI34 BK3:BT34">
    <cfRule type="cellIs" dxfId="1005" priority="379" operator="equal">
      <formula>0.01</formula>
    </cfRule>
  </conditionalFormatting>
  <conditionalFormatting sqref="M40:N42">
    <cfRule type="containsText" dxfId="1004" priority="377" stopIfTrue="1" operator="containsText" text="ELTÉRÉS!">
      <formula>NOT(ISERROR(SEARCH("ELTÉRÉS!",M40)))</formula>
    </cfRule>
    <cfRule type="containsText" dxfId="1003" priority="378" stopIfTrue="1" operator="containsText" text="STIMMEL!">
      <formula>NOT(ISERROR(SEARCH("STIMMEL!",M40)))</formula>
    </cfRule>
  </conditionalFormatting>
  <conditionalFormatting sqref="M40:N42">
    <cfRule type="cellIs" dxfId="1002" priority="376" operator="equal">
      <formula>0.01</formula>
    </cfRule>
  </conditionalFormatting>
  <conditionalFormatting sqref="AC40:AD42">
    <cfRule type="containsText" dxfId="1001" priority="374" stopIfTrue="1" operator="containsText" text="ELTÉRÉS!">
      <formula>NOT(ISERROR(SEARCH("ELTÉRÉS!",AC40)))</formula>
    </cfRule>
    <cfRule type="containsText" dxfId="1000" priority="375" stopIfTrue="1" operator="containsText" text="STIMMEL!">
      <formula>NOT(ISERROR(SEARCH("STIMMEL!",AC40)))</formula>
    </cfRule>
  </conditionalFormatting>
  <conditionalFormatting sqref="AC40:AD42">
    <cfRule type="cellIs" dxfId="999" priority="373" operator="equal">
      <formula>0.01</formula>
    </cfRule>
  </conditionalFormatting>
  <conditionalFormatting sqref="AS41:AT42 AX41:BG42 AS40:AU40 AY40:BG40">
    <cfRule type="containsText" dxfId="998" priority="371" stopIfTrue="1" operator="containsText" text="ELTÉRÉS!">
      <formula>NOT(ISERROR(SEARCH("ELTÉRÉS!",AS40)))</formula>
    </cfRule>
    <cfRule type="containsText" dxfId="997" priority="372" stopIfTrue="1" operator="containsText" text="STIMMEL!">
      <formula>NOT(ISERROR(SEARCH("STIMMEL!",AS40)))</formula>
    </cfRule>
  </conditionalFormatting>
  <conditionalFormatting sqref="AS41:AT42 AX41:BG42 AS40:AU40 AY40:BG40">
    <cfRule type="cellIs" dxfId="996" priority="370" operator="equal">
      <formula>0.01</formula>
    </cfRule>
  </conditionalFormatting>
  <conditionalFormatting sqref="BU40:BV42">
    <cfRule type="containsText" dxfId="995" priority="368" stopIfTrue="1" operator="containsText" text="ELTÉRÉS!">
      <formula>NOT(ISERROR(SEARCH("ELTÉRÉS!",BU40)))</formula>
    </cfRule>
    <cfRule type="containsText" dxfId="994" priority="369" stopIfTrue="1" operator="containsText" text="STIMMEL!">
      <formula>NOT(ISERROR(SEARCH("STIMMEL!",BU40)))</formula>
    </cfRule>
  </conditionalFormatting>
  <conditionalFormatting sqref="BU40:BV42">
    <cfRule type="cellIs" dxfId="993" priority="367" operator="equal">
      <formula>0.01</formula>
    </cfRule>
  </conditionalFormatting>
  <conditionalFormatting sqref="BT40:BT42">
    <cfRule type="containsText" dxfId="992" priority="365" stopIfTrue="1" operator="containsText" text="ELTÉRÉS!">
      <formula>NOT(ISERROR(SEARCH("ELTÉRÉS!",BT40)))</formula>
    </cfRule>
    <cfRule type="containsText" dxfId="991" priority="366" stopIfTrue="1" operator="containsText" text="STIMMEL!">
      <formula>NOT(ISERROR(SEARCH("STIMMEL!",BT40)))</formula>
    </cfRule>
  </conditionalFormatting>
  <conditionalFormatting sqref="BT40:BT42">
    <cfRule type="cellIs" dxfId="990" priority="364" operator="equal">
      <formula>0.01</formula>
    </cfRule>
  </conditionalFormatting>
  <conditionalFormatting sqref="AG40 AK41:AR42 AL40:AR40">
    <cfRule type="containsText" dxfId="989" priority="362" stopIfTrue="1" operator="containsText" text="ELTÉRÉS!">
      <formula>NOT(ISERROR(SEARCH("ELTÉRÉS!",AG40)))</formula>
    </cfRule>
    <cfRule type="containsText" dxfId="988" priority="363" stopIfTrue="1" operator="containsText" text="STIMMEL!">
      <formula>NOT(ISERROR(SEARCH("STIMMEL!",AG40)))</formula>
    </cfRule>
  </conditionalFormatting>
  <conditionalFormatting sqref="AG40 AK41:AR42 AL40:AR40">
    <cfRule type="cellIs" dxfId="987" priority="361" operator="equal">
      <formula>0.01</formula>
    </cfRule>
  </conditionalFormatting>
  <conditionalFormatting sqref="AB40:AB42">
    <cfRule type="containsText" dxfId="986" priority="359" stopIfTrue="1" operator="containsText" text="ELTÉRÉS!">
      <formula>NOT(ISERROR(SEARCH("ELTÉRÉS!",AB40)))</formula>
    </cfRule>
    <cfRule type="containsText" dxfId="985" priority="360" stopIfTrue="1" operator="containsText" text="STIMMEL!">
      <formula>NOT(ISERROR(SEARCH("STIMMEL!",AB40)))</formula>
    </cfRule>
  </conditionalFormatting>
  <conditionalFormatting sqref="AB40:AB42">
    <cfRule type="cellIs" dxfId="984" priority="358" operator="equal">
      <formula>0.01</formula>
    </cfRule>
  </conditionalFormatting>
  <conditionalFormatting sqref="L40:L42">
    <cfRule type="containsText" dxfId="983" priority="356" stopIfTrue="1" operator="containsText" text="ELTÉRÉS!">
      <formula>NOT(ISERROR(SEARCH("ELTÉRÉS!",L40)))</formula>
    </cfRule>
    <cfRule type="containsText" dxfId="982" priority="357" stopIfTrue="1" operator="containsText" text="STIMMEL!">
      <formula>NOT(ISERROR(SEARCH("STIMMEL!",L40)))</formula>
    </cfRule>
  </conditionalFormatting>
  <conditionalFormatting sqref="L40:L42">
    <cfRule type="cellIs" dxfId="981" priority="355" operator="equal">
      <formula>0.01</formula>
    </cfRule>
  </conditionalFormatting>
  <conditionalFormatting sqref="B2:B34">
    <cfRule type="containsText" dxfId="980" priority="353" stopIfTrue="1" operator="containsText" text="ELTÉRÉS!">
      <formula>NOT(ISERROR(SEARCH("ELTÉRÉS!",B2)))</formula>
    </cfRule>
    <cfRule type="containsText" dxfId="979" priority="354" stopIfTrue="1" operator="containsText" text="STIMMEL!">
      <formula>NOT(ISERROR(SEARCH("STIMMEL!",B2)))</formula>
    </cfRule>
  </conditionalFormatting>
  <conditionalFormatting sqref="B2:B34">
    <cfRule type="cellIs" dxfId="978" priority="352" operator="equal">
      <formula>0.01</formula>
    </cfRule>
  </conditionalFormatting>
  <conditionalFormatting sqref="R2:R34">
    <cfRule type="containsText" dxfId="977" priority="347" stopIfTrue="1" operator="containsText" text="ELTÉRÉS!">
      <formula>NOT(ISERROR(SEARCH("ELTÉRÉS!",R2)))</formula>
    </cfRule>
    <cfRule type="containsText" dxfId="976" priority="348" stopIfTrue="1" operator="containsText" text="STIMMEL!">
      <formula>NOT(ISERROR(SEARCH("STIMMEL!",R2)))</formula>
    </cfRule>
  </conditionalFormatting>
  <conditionalFormatting sqref="R2:R34">
    <cfRule type="cellIs" dxfId="975" priority="346" operator="equal">
      <formula>0.01</formula>
    </cfRule>
  </conditionalFormatting>
  <conditionalFormatting sqref="AH2:AH34">
    <cfRule type="containsText" dxfId="974" priority="341" stopIfTrue="1" operator="containsText" text="ELTÉRÉS!">
      <formula>NOT(ISERROR(SEARCH("ELTÉRÉS!",AH2)))</formula>
    </cfRule>
    <cfRule type="containsText" dxfId="973" priority="342" stopIfTrue="1" operator="containsText" text="STIMMEL!">
      <formula>NOT(ISERROR(SEARCH("STIMMEL!",AH2)))</formula>
    </cfRule>
  </conditionalFormatting>
  <conditionalFormatting sqref="AH2:AH34">
    <cfRule type="cellIs" dxfId="972" priority="340" operator="equal">
      <formula>0.01</formula>
    </cfRule>
  </conditionalFormatting>
  <conditionalFormatting sqref="AH40">
    <cfRule type="containsText" dxfId="971" priority="338" stopIfTrue="1" operator="containsText" text="ELTÉRÉS!">
      <formula>NOT(ISERROR(SEARCH("ELTÉRÉS!",AH40)))</formula>
    </cfRule>
    <cfRule type="containsText" dxfId="970" priority="339" stopIfTrue="1" operator="containsText" text="STIMMEL!">
      <formula>NOT(ISERROR(SEARCH("STIMMEL!",AH40)))</formula>
    </cfRule>
  </conditionalFormatting>
  <conditionalFormatting sqref="AH40">
    <cfRule type="cellIs" dxfId="969" priority="337" operator="equal">
      <formula>0.01</formula>
    </cfRule>
  </conditionalFormatting>
  <conditionalFormatting sqref="BJ2:BJ34">
    <cfRule type="containsText" dxfId="968" priority="335" stopIfTrue="1" operator="containsText" text="ELTÉRÉS!">
      <formula>NOT(ISERROR(SEARCH("ELTÉRÉS!",BJ2)))</formula>
    </cfRule>
    <cfRule type="containsText" dxfId="967" priority="336" stopIfTrue="1" operator="containsText" text="STIMMEL!">
      <formula>NOT(ISERROR(SEARCH("STIMMEL!",BJ2)))</formula>
    </cfRule>
  </conditionalFormatting>
  <conditionalFormatting sqref="BJ2:BJ34">
    <cfRule type="cellIs" dxfId="966" priority="334" operator="equal">
      <formula>0.01</formula>
    </cfRule>
  </conditionalFormatting>
  <conditionalFormatting sqref="Q44:Q77 S44:AD77">
    <cfRule type="containsText" dxfId="965" priority="323" stopIfTrue="1" operator="containsText" text="ELTÉRÉS!">
      <formula>NOT(ISERROR(SEARCH("ELTÉRÉS!",Q44)))</formula>
    </cfRule>
    <cfRule type="containsText" dxfId="964" priority="324" stopIfTrue="1" operator="containsText" text="STIMMEL!">
      <formula>NOT(ISERROR(SEARCH("STIMMEL!",Q44)))</formula>
    </cfRule>
  </conditionalFormatting>
  <conditionalFormatting sqref="Q44:Q77 S44:AD77">
    <cfRule type="cellIs" dxfId="963" priority="322" operator="equal">
      <formula>0.01</formula>
    </cfRule>
  </conditionalFormatting>
  <conditionalFormatting sqref="R44:R75">
    <cfRule type="containsText" dxfId="962" priority="320" stopIfTrue="1" operator="containsText" text="ELTÉRÉS!">
      <formula>NOT(ISERROR(SEARCH("ELTÉRÉS!",R44)))</formula>
    </cfRule>
    <cfRule type="containsText" dxfId="961" priority="321" stopIfTrue="1" operator="containsText" text="STIMMEL!">
      <formula>NOT(ISERROR(SEARCH("STIMMEL!",R44)))</formula>
    </cfRule>
  </conditionalFormatting>
  <conditionalFormatting sqref="R44:R75">
    <cfRule type="cellIs" dxfId="960" priority="319" operator="equal">
      <formula>0.01</formula>
    </cfRule>
  </conditionalFormatting>
  <conditionalFormatting sqref="AE44">
    <cfRule type="containsText" dxfId="959" priority="317" stopIfTrue="1" operator="containsText" text="ELTÉRÉS!">
      <formula>NOT(ISERROR(SEARCH("ELTÉRÉS!",AE44)))</formula>
    </cfRule>
    <cfRule type="containsText" dxfId="958" priority="318" stopIfTrue="1" operator="containsText" text="STIMMEL!">
      <formula>NOT(ISERROR(SEARCH("STIMMEL!",AE44)))</formula>
    </cfRule>
  </conditionalFormatting>
  <conditionalFormatting sqref="AE44">
    <cfRule type="cellIs" dxfId="957" priority="316" operator="equal">
      <formula>0.01</formula>
    </cfRule>
  </conditionalFormatting>
  <conditionalFormatting sqref="BK44:BV77 BI44:BI77">
    <cfRule type="containsText" dxfId="956" priority="299" stopIfTrue="1" operator="containsText" text="ELTÉRÉS!">
      <formula>NOT(ISERROR(SEARCH("ELTÉRÉS!",BI44)))</formula>
    </cfRule>
    <cfRule type="containsText" dxfId="955" priority="300" stopIfTrue="1" operator="containsText" text="STIMMEL!">
      <formula>NOT(ISERROR(SEARCH("STIMMEL!",BI44)))</formula>
    </cfRule>
  </conditionalFormatting>
  <conditionalFormatting sqref="BK44:BV77 BI44:BI77">
    <cfRule type="cellIs" dxfId="954" priority="298" operator="equal">
      <formula>0.01</formula>
    </cfRule>
  </conditionalFormatting>
  <conditionalFormatting sqref="BJ44:BJ75">
    <cfRule type="containsText" dxfId="953" priority="296" stopIfTrue="1" operator="containsText" text="ELTÉRÉS!">
      <formula>NOT(ISERROR(SEARCH("ELTÉRÉS!",BJ44)))</formula>
    </cfRule>
    <cfRule type="containsText" dxfId="952" priority="297" stopIfTrue="1" operator="containsText" text="STIMMEL!">
      <formula>NOT(ISERROR(SEARCH("STIMMEL!",BJ44)))</formula>
    </cfRule>
  </conditionalFormatting>
  <conditionalFormatting sqref="BJ44:BJ75">
    <cfRule type="cellIs" dxfId="951" priority="295" operator="equal">
      <formula>0.01</formula>
    </cfRule>
  </conditionalFormatting>
  <conditionalFormatting sqref="F40:K40">
    <cfRule type="containsText" dxfId="950" priority="293" stopIfTrue="1" operator="containsText" text="ELTÉRÉS!">
      <formula>NOT(ISERROR(SEARCH("ELTÉRÉS!",F40)))</formula>
    </cfRule>
    <cfRule type="containsText" dxfId="949" priority="294" stopIfTrue="1" operator="containsText" text="STIMMEL!">
      <formula>NOT(ISERROR(SEARCH("STIMMEL!",F40)))</formula>
    </cfRule>
  </conditionalFormatting>
  <conditionalFormatting sqref="F40:K40">
    <cfRule type="cellIs" dxfId="948" priority="292" operator="equal">
      <formula>0.01</formula>
    </cfRule>
  </conditionalFormatting>
  <conditionalFormatting sqref="A40">
    <cfRule type="containsText" dxfId="947" priority="290" stopIfTrue="1" operator="containsText" text="ELTÉRÉS!">
      <formula>NOT(ISERROR(SEARCH("ELTÉRÉS!",A40)))</formula>
    </cfRule>
    <cfRule type="containsText" dxfId="946" priority="291" stopIfTrue="1" operator="containsText" text="STIMMEL!">
      <formula>NOT(ISERROR(SEARCH("STIMMEL!",A40)))</formula>
    </cfRule>
  </conditionalFormatting>
  <conditionalFormatting sqref="A40">
    <cfRule type="cellIs" dxfId="945" priority="289" operator="equal">
      <formula>0.01</formula>
    </cfRule>
  </conditionalFormatting>
  <conditionalFormatting sqref="B40">
    <cfRule type="containsText" dxfId="944" priority="287" stopIfTrue="1" operator="containsText" text="ELTÉRÉS!">
      <formula>NOT(ISERROR(SEARCH("ELTÉRÉS!",B40)))</formula>
    </cfRule>
    <cfRule type="containsText" dxfId="943" priority="288" stopIfTrue="1" operator="containsText" text="STIMMEL!">
      <formula>NOT(ISERROR(SEARCH("STIMMEL!",B40)))</formula>
    </cfRule>
  </conditionalFormatting>
  <conditionalFormatting sqref="B40">
    <cfRule type="cellIs" dxfId="942" priority="286" operator="equal">
      <formula>0.01</formula>
    </cfRule>
  </conditionalFormatting>
  <conditionalFormatting sqref="V40:AA40">
    <cfRule type="containsText" dxfId="941" priority="284" stopIfTrue="1" operator="containsText" text="ELTÉRÉS!">
      <formula>NOT(ISERROR(SEARCH("ELTÉRÉS!",V40)))</formula>
    </cfRule>
    <cfRule type="containsText" dxfId="940" priority="285" stopIfTrue="1" operator="containsText" text="STIMMEL!">
      <formula>NOT(ISERROR(SEARCH("STIMMEL!",V40)))</formula>
    </cfRule>
  </conditionalFormatting>
  <conditionalFormatting sqref="V40:AA40">
    <cfRule type="cellIs" dxfId="939" priority="283" operator="equal">
      <formula>0.01</formula>
    </cfRule>
  </conditionalFormatting>
  <conditionalFormatting sqref="Q40">
    <cfRule type="containsText" dxfId="938" priority="281" stopIfTrue="1" operator="containsText" text="ELTÉRÉS!">
      <formula>NOT(ISERROR(SEARCH("ELTÉRÉS!",Q40)))</formula>
    </cfRule>
    <cfRule type="containsText" dxfId="937" priority="282" stopIfTrue="1" operator="containsText" text="STIMMEL!">
      <formula>NOT(ISERROR(SEARCH("STIMMEL!",Q40)))</formula>
    </cfRule>
  </conditionalFormatting>
  <conditionalFormatting sqref="Q40">
    <cfRule type="cellIs" dxfId="936" priority="280" operator="equal">
      <formula>0.01</formula>
    </cfRule>
  </conditionalFormatting>
  <conditionalFormatting sqref="R40">
    <cfRule type="containsText" dxfId="935" priority="278" stopIfTrue="1" operator="containsText" text="ELTÉRÉS!">
      <formula>NOT(ISERROR(SEARCH("ELTÉRÉS!",R40)))</formula>
    </cfRule>
    <cfRule type="containsText" dxfId="934" priority="279" stopIfTrue="1" operator="containsText" text="STIMMEL!">
      <formula>NOT(ISERROR(SEARCH("STIMMEL!",R40)))</formula>
    </cfRule>
  </conditionalFormatting>
  <conditionalFormatting sqref="R40">
    <cfRule type="cellIs" dxfId="933" priority="277" operator="equal">
      <formula>0.01</formula>
    </cfRule>
  </conditionalFormatting>
  <conditionalFormatting sqref="BN40:BS40">
    <cfRule type="containsText" dxfId="932" priority="275" stopIfTrue="1" operator="containsText" text="ELTÉRÉS!">
      <formula>NOT(ISERROR(SEARCH("ELTÉRÉS!",BN40)))</formula>
    </cfRule>
    <cfRule type="containsText" dxfId="931" priority="276" stopIfTrue="1" operator="containsText" text="STIMMEL!">
      <formula>NOT(ISERROR(SEARCH("STIMMEL!",BN40)))</formula>
    </cfRule>
  </conditionalFormatting>
  <conditionalFormatting sqref="BN40:BS40">
    <cfRule type="cellIs" dxfId="930" priority="274" operator="equal">
      <formula>0.01</formula>
    </cfRule>
  </conditionalFormatting>
  <conditionalFormatting sqref="BI40">
    <cfRule type="containsText" dxfId="929" priority="272" stopIfTrue="1" operator="containsText" text="ELTÉRÉS!">
      <formula>NOT(ISERROR(SEARCH("ELTÉRÉS!",BI40)))</formula>
    </cfRule>
    <cfRule type="containsText" dxfId="928" priority="273" stopIfTrue="1" operator="containsText" text="STIMMEL!">
      <formula>NOT(ISERROR(SEARCH("STIMMEL!",BI40)))</formula>
    </cfRule>
  </conditionalFormatting>
  <conditionalFormatting sqref="BI40">
    <cfRule type="cellIs" dxfId="927" priority="271" operator="equal">
      <formula>0.01</formula>
    </cfRule>
  </conditionalFormatting>
  <conditionalFormatting sqref="BJ40">
    <cfRule type="containsText" dxfId="926" priority="269" stopIfTrue="1" operator="containsText" text="ELTÉRÉS!">
      <formula>NOT(ISERROR(SEARCH("ELTÉRÉS!",BJ40)))</formula>
    </cfRule>
    <cfRule type="containsText" dxfId="925" priority="270" stopIfTrue="1" operator="containsText" text="STIMMEL!">
      <formula>NOT(ISERROR(SEARCH("STIMMEL!",BJ40)))</formula>
    </cfRule>
  </conditionalFormatting>
  <conditionalFormatting sqref="BJ40">
    <cfRule type="cellIs" dxfId="924" priority="268" operator="equal">
      <formula>0.01</formula>
    </cfRule>
  </conditionalFormatting>
  <conditionalFormatting sqref="F80:K80">
    <cfRule type="containsText" dxfId="923" priority="266" stopIfTrue="1" operator="containsText" text="ELTÉRÉS!">
      <formula>NOT(ISERROR(SEARCH("ELTÉRÉS!",F80)))</formula>
    </cfRule>
    <cfRule type="containsText" dxfId="922" priority="267" stopIfTrue="1" operator="containsText" text="STIMMEL!">
      <formula>NOT(ISERROR(SEARCH("STIMMEL!",F80)))</formula>
    </cfRule>
  </conditionalFormatting>
  <conditionalFormatting sqref="F80:K80">
    <cfRule type="cellIs" dxfId="921" priority="265" operator="equal">
      <formula>0.01</formula>
    </cfRule>
  </conditionalFormatting>
  <conditionalFormatting sqref="A80">
    <cfRule type="containsText" dxfId="920" priority="263" stopIfTrue="1" operator="containsText" text="ELTÉRÉS!">
      <formula>NOT(ISERROR(SEARCH("ELTÉRÉS!",A80)))</formula>
    </cfRule>
    <cfRule type="containsText" dxfId="919" priority="264" stopIfTrue="1" operator="containsText" text="STIMMEL!">
      <formula>NOT(ISERROR(SEARCH("STIMMEL!",A80)))</formula>
    </cfRule>
  </conditionalFormatting>
  <conditionalFormatting sqref="A80">
    <cfRule type="cellIs" dxfId="918" priority="262" operator="equal">
      <formula>0.01</formula>
    </cfRule>
  </conditionalFormatting>
  <conditionalFormatting sqref="B80">
    <cfRule type="containsText" dxfId="917" priority="260" stopIfTrue="1" operator="containsText" text="ELTÉRÉS!">
      <formula>NOT(ISERROR(SEARCH("ELTÉRÉS!",B80)))</formula>
    </cfRule>
    <cfRule type="containsText" dxfId="916" priority="261" stopIfTrue="1" operator="containsText" text="STIMMEL!">
      <formula>NOT(ISERROR(SEARCH("STIMMEL!",B80)))</formula>
    </cfRule>
  </conditionalFormatting>
  <conditionalFormatting sqref="B80">
    <cfRule type="cellIs" dxfId="915" priority="259" operator="equal">
      <formula>0.01</formula>
    </cfRule>
  </conditionalFormatting>
  <conditionalFormatting sqref="V79:AA79">
    <cfRule type="containsText" dxfId="914" priority="257" stopIfTrue="1" operator="containsText" text="ELTÉRÉS!">
      <formula>NOT(ISERROR(SEARCH("ELTÉRÉS!",V79)))</formula>
    </cfRule>
    <cfRule type="containsText" dxfId="913" priority="258" stopIfTrue="1" operator="containsText" text="STIMMEL!">
      <formula>NOT(ISERROR(SEARCH("STIMMEL!",V79)))</formula>
    </cfRule>
  </conditionalFormatting>
  <conditionalFormatting sqref="V79:AA79">
    <cfRule type="cellIs" dxfId="912" priority="256" operator="equal">
      <formula>0.01</formula>
    </cfRule>
  </conditionalFormatting>
  <conditionalFormatting sqref="Q79">
    <cfRule type="containsText" dxfId="911" priority="254" stopIfTrue="1" operator="containsText" text="ELTÉRÉS!">
      <formula>NOT(ISERROR(SEARCH("ELTÉRÉS!",Q79)))</formula>
    </cfRule>
    <cfRule type="containsText" dxfId="910" priority="255" stopIfTrue="1" operator="containsText" text="STIMMEL!">
      <formula>NOT(ISERROR(SEARCH("STIMMEL!",Q79)))</formula>
    </cfRule>
  </conditionalFormatting>
  <conditionalFormatting sqref="Q79">
    <cfRule type="cellIs" dxfId="909" priority="253" operator="equal">
      <formula>0.01</formula>
    </cfRule>
  </conditionalFormatting>
  <conditionalFormatting sqref="R79">
    <cfRule type="containsText" dxfId="908" priority="251" stopIfTrue="1" operator="containsText" text="ELTÉRÉS!">
      <formula>NOT(ISERROR(SEARCH("ELTÉRÉS!",R79)))</formula>
    </cfRule>
    <cfRule type="containsText" dxfId="907" priority="252" stopIfTrue="1" operator="containsText" text="STIMMEL!">
      <formula>NOT(ISERROR(SEARCH("STIMMEL!",R79)))</formula>
    </cfRule>
  </conditionalFormatting>
  <conditionalFormatting sqref="R79">
    <cfRule type="cellIs" dxfId="906" priority="250" operator="equal">
      <formula>0.01</formula>
    </cfRule>
  </conditionalFormatting>
  <conditionalFormatting sqref="AL80:AQ80">
    <cfRule type="containsText" dxfId="905" priority="248" stopIfTrue="1" operator="containsText" text="ELTÉRÉS!">
      <formula>NOT(ISERROR(SEARCH("ELTÉRÉS!",AL80)))</formula>
    </cfRule>
    <cfRule type="containsText" dxfId="904" priority="249" stopIfTrue="1" operator="containsText" text="STIMMEL!">
      <formula>NOT(ISERROR(SEARCH("STIMMEL!",AL80)))</formula>
    </cfRule>
  </conditionalFormatting>
  <conditionalFormatting sqref="AL80:AQ80">
    <cfRule type="cellIs" dxfId="903" priority="247" operator="equal">
      <formula>0.01</formula>
    </cfRule>
  </conditionalFormatting>
  <conditionalFormatting sqref="AG80">
    <cfRule type="containsText" dxfId="902" priority="245" stopIfTrue="1" operator="containsText" text="ELTÉRÉS!">
      <formula>NOT(ISERROR(SEARCH("ELTÉRÉS!",AG80)))</formula>
    </cfRule>
    <cfRule type="containsText" dxfId="901" priority="246" stopIfTrue="1" operator="containsText" text="STIMMEL!">
      <formula>NOT(ISERROR(SEARCH("STIMMEL!",AG80)))</formula>
    </cfRule>
  </conditionalFormatting>
  <conditionalFormatting sqref="AG80">
    <cfRule type="cellIs" dxfId="900" priority="244" operator="equal">
      <formula>0.01</formula>
    </cfRule>
  </conditionalFormatting>
  <conditionalFormatting sqref="AH80">
    <cfRule type="containsText" dxfId="899" priority="242" stopIfTrue="1" operator="containsText" text="ELTÉRÉS!">
      <formula>NOT(ISERROR(SEARCH("ELTÉRÉS!",AH80)))</formula>
    </cfRule>
    <cfRule type="containsText" dxfId="898" priority="243" stopIfTrue="1" operator="containsText" text="STIMMEL!">
      <formula>NOT(ISERROR(SEARCH("STIMMEL!",AH80)))</formula>
    </cfRule>
  </conditionalFormatting>
  <conditionalFormatting sqref="AH80">
    <cfRule type="cellIs" dxfId="897" priority="241" operator="equal">
      <formula>0.01</formula>
    </cfRule>
  </conditionalFormatting>
  <conditionalFormatting sqref="BN79:BS79">
    <cfRule type="containsText" dxfId="896" priority="239" stopIfTrue="1" operator="containsText" text="ELTÉRÉS!">
      <formula>NOT(ISERROR(SEARCH("ELTÉRÉS!",BN79)))</formula>
    </cfRule>
    <cfRule type="containsText" dxfId="895" priority="240" stopIfTrue="1" operator="containsText" text="STIMMEL!">
      <formula>NOT(ISERROR(SEARCH("STIMMEL!",BN79)))</formula>
    </cfRule>
  </conditionalFormatting>
  <conditionalFormatting sqref="BN79:BS79">
    <cfRule type="cellIs" dxfId="894" priority="238" operator="equal">
      <formula>0.01</formula>
    </cfRule>
  </conditionalFormatting>
  <conditionalFormatting sqref="BI79">
    <cfRule type="containsText" dxfId="893" priority="236" stopIfTrue="1" operator="containsText" text="ELTÉRÉS!">
      <formula>NOT(ISERROR(SEARCH("ELTÉRÉS!",BI79)))</formula>
    </cfRule>
    <cfRule type="containsText" dxfId="892" priority="237" stopIfTrue="1" operator="containsText" text="STIMMEL!">
      <formula>NOT(ISERROR(SEARCH("STIMMEL!",BI79)))</formula>
    </cfRule>
  </conditionalFormatting>
  <conditionalFormatting sqref="BI79">
    <cfRule type="cellIs" dxfId="891" priority="235" operator="equal">
      <formula>0.01</formula>
    </cfRule>
  </conditionalFormatting>
  <conditionalFormatting sqref="BJ79">
    <cfRule type="containsText" dxfId="890" priority="233" stopIfTrue="1" operator="containsText" text="ELTÉRÉS!">
      <formula>NOT(ISERROR(SEARCH("ELTÉRÉS!",BJ79)))</formula>
    </cfRule>
    <cfRule type="containsText" dxfId="889" priority="234" stopIfTrue="1" operator="containsText" text="STIMMEL!">
      <formula>NOT(ISERROR(SEARCH("STIMMEL!",BJ79)))</formula>
    </cfRule>
  </conditionalFormatting>
  <conditionalFormatting sqref="BJ79">
    <cfRule type="cellIs" dxfId="888" priority="232" operator="equal">
      <formula>0.01</formula>
    </cfRule>
  </conditionalFormatting>
  <conditionalFormatting sqref="B85:B118 A85:A120 C85:N120">
    <cfRule type="containsText" dxfId="887" priority="230" stopIfTrue="1" operator="containsText" text="ELTÉRÉS!">
      <formula>NOT(ISERROR(SEARCH("ELTÉRÉS!",A85)))</formula>
    </cfRule>
    <cfRule type="containsText" dxfId="886" priority="231" stopIfTrue="1" operator="containsText" text="STIMMEL!">
      <formula>NOT(ISERROR(SEARCH("STIMMEL!",A85)))</formula>
    </cfRule>
  </conditionalFormatting>
  <conditionalFormatting sqref="B85:B118 A85:A120 C85:N120">
    <cfRule type="cellIs" dxfId="885" priority="229" operator="equal">
      <formula>0.01</formula>
    </cfRule>
  </conditionalFormatting>
  <conditionalFormatting sqref="S85:AD85 Q85">
    <cfRule type="containsText" dxfId="884" priority="227" stopIfTrue="1" operator="containsText" text="ELTÉRÉS!">
      <formula>NOT(ISERROR(SEARCH("ELTÉRÉS!",Q85)))</formula>
    </cfRule>
    <cfRule type="containsText" dxfId="883" priority="228" stopIfTrue="1" operator="containsText" text="STIMMEL!">
      <formula>NOT(ISERROR(SEARCH("STIMMEL!",Q85)))</formula>
    </cfRule>
  </conditionalFormatting>
  <conditionalFormatting sqref="S85:AD85 Q85">
    <cfRule type="cellIs" dxfId="882" priority="226" operator="equal">
      <formula>0.01</formula>
    </cfRule>
  </conditionalFormatting>
  <conditionalFormatting sqref="R85">
    <cfRule type="containsText" dxfId="881" priority="224" stopIfTrue="1" operator="containsText" text="ELTÉRÉS!">
      <formula>NOT(ISERROR(SEARCH("ELTÉRÉS!",R85)))</formula>
    </cfRule>
    <cfRule type="containsText" dxfId="880" priority="225" stopIfTrue="1" operator="containsText" text="STIMMEL!">
      <formula>NOT(ISERROR(SEARCH("STIMMEL!",R85)))</formula>
    </cfRule>
  </conditionalFormatting>
  <conditionalFormatting sqref="R85">
    <cfRule type="cellIs" dxfId="879" priority="223" operator="equal">
      <formula>0.01</formula>
    </cfRule>
  </conditionalFormatting>
  <conditionalFormatting sqref="AE85">
    <cfRule type="containsText" dxfId="878" priority="221" stopIfTrue="1" operator="containsText" text="ELTÉRÉS!">
      <formula>NOT(ISERROR(SEARCH("ELTÉRÉS!",AE85)))</formula>
    </cfRule>
    <cfRule type="containsText" dxfId="877" priority="222" stopIfTrue="1" operator="containsText" text="STIMMEL!">
      <formula>NOT(ISERROR(SEARCH("STIMMEL!",AE85)))</formula>
    </cfRule>
  </conditionalFormatting>
  <conditionalFormatting sqref="AE85">
    <cfRule type="cellIs" dxfId="876" priority="220" operator="equal">
      <formula>0.01</formula>
    </cfRule>
  </conditionalFormatting>
  <conditionalFormatting sqref="F122:K122">
    <cfRule type="containsText" dxfId="875" priority="212" stopIfTrue="1" operator="containsText" text="ELTÉRÉS!">
      <formula>NOT(ISERROR(SEARCH("ELTÉRÉS!",F122)))</formula>
    </cfRule>
    <cfRule type="containsText" dxfId="874" priority="213" stopIfTrue="1" operator="containsText" text="STIMMEL!">
      <formula>NOT(ISERROR(SEARCH("STIMMEL!",F122)))</formula>
    </cfRule>
  </conditionalFormatting>
  <conditionalFormatting sqref="F122:K122">
    <cfRule type="cellIs" dxfId="873" priority="211" operator="equal">
      <formula>0.01</formula>
    </cfRule>
  </conditionalFormatting>
  <conditionalFormatting sqref="A122">
    <cfRule type="containsText" dxfId="872" priority="209" stopIfTrue="1" operator="containsText" text="ELTÉRÉS!">
      <formula>NOT(ISERROR(SEARCH("ELTÉRÉS!",A122)))</formula>
    </cfRule>
    <cfRule type="containsText" dxfId="871" priority="210" stopIfTrue="1" operator="containsText" text="STIMMEL!">
      <formula>NOT(ISERROR(SEARCH("STIMMEL!",A122)))</formula>
    </cfRule>
  </conditionalFormatting>
  <conditionalFormatting sqref="A122">
    <cfRule type="cellIs" dxfId="870" priority="208" operator="equal">
      <formula>0.01</formula>
    </cfRule>
  </conditionalFormatting>
  <conditionalFormatting sqref="B122">
    <cfRule type="containsText" dxfId="869" priority="206" stopIfTrue="1" operator="containsText" text="ELTÉRÉS!">
      <formula>NOT(ISERROR(SEARCH("ELTÉRÉS!",B122)))</formula>
    </cfRule>
    <cfRule type="containsText" dxfId="868" priority="207" stopIfTrue="1" operator="containsText" text="STIMMEL!">
      <formula>NOT(ISERROR(SEARCH("STIMMEL!",B122)))</formula>
    </cfRule>
  </conditionalFormatting>
  <conditionalFormatting sqref="B122">
    <cfRule type="cellIs" dxfId="867" priority="205" operator="equal">
      <formula>0.01</formula>
    </cfRule>
  </conditionalFormatting>
  <conditionalFormatting sqref="R86:R118 Q86:Q120 S86:AD120">
    <cfRule type="containsText" dxfId="866" priority="176" stopIfTrue="1" operator="containsText" text="ELTÉRÉS!">
      <formula>NOT(ISERROR(SEARCH("ELTÉRÉS!",Q86)))</formula>
    </cfRule>
    <cfRule type="containsText" dxfId="865" priority="177" stopIfTrue="1" operator="containsText" text="STIMMEL!">
      <formula>NOT(ISERROR(SEARCH("STIMMEL!",Q86)))</formula>
    </cfRule>
  </conditionalFormatting>
  <conditionalFormatting sqref="R86:R118 Q86:Q120 S86:AD120">
    <cfRule type="cellIs" dxfId="864" priority="175" operator="equal">
      <formula>0.01</formula>
    </cfRule>
  </conditionalFormatting>
  <conditionalFormatting sqref="V122:AA122">
    <cfRule type="containsText" dxfId="863" priority="173" stopIfTrue="1" operator="containsText" text="ELTÉRÉS!">
      <formula>NOT(ISERROR(SEARCH("ELTÉRÉS!",V122)))</formula>
    </cfRule>
    <cfRule type="containsText" dxfId="862" priority="174" stopIfTrue="1" operator="containsText" text="STIMMEL!">
      <formula>NOT(ISERROR(SEARCH("STIMMEL!",V122)))</formula>
    </cfRule>
  </conditionalFormatting>
  <conditionalFormatting sqref="V122:AA122">
    <cfRule type="cellIs" dxfId="861" priority="172" operator="equal">
      <formula>0.01</formula>
    </cfRule>
  </conditionalFormatting>
  <conditionalFormatting sqref="Q122">
    <cfRule type="containsText" dxfId="860" priority="170" stopIfTrue="1" operator="containsText" text="ELTÉRÉS!">
      <formula>NOT(ISERROR(SEARCH("ELTÉRÉS!",Q122)))</formula>
    </cfRule>
    <cfRule type="containsText" dxfId="859" priority="171" stopIfTrue="1" operator="containsText" text="STIMMEL!">
      <formula>NOT(ISERROR(SEARCH("STIMMEL!",Q122)))</formula>
    </cfRule>
  </conditionalFormatting>
  <conditionalFormatting sqref="Q122">
    <cfRule type="cellIs" dxfId="858" priority="169" operator="equal">
      <formula>0.01</formula>
    </cfRule>
  </conditionalFormatting>
  <conditionalFormatting sqref="R122">
    <cfRule type="containsText" dxfId="857" priority="167" stopIfTrue="1" operator="containsText" text="ELTÉRÉS!">
      <formula>NOT(ISERROR(SEARCH("ELTÉRÉS!",R122)))</formula>
    </cfRule>
    <cfRule type="containsText" dxfId="856" priority="168" stopIfTrue="1" operator="containsText" text="STIMMEL!">
      <formula>NOT(ISERROR(SEARCH("STIMMEL!",R122)))</formula>
    </cfRule>
  </conditionalFormatting>
  <conditionalFormatting sqref="R122">
    <cfRule type="cellIs" dxfId="855" priority="166" operator="equal">
      <formula>0.01</formula>
    </cfRule>
  </conditionalFormatting>
  <conditionalFormatting sqref="AI85:AT85 AG85">
    <cfRule type="containsText" dxfId="854" priority="122" stopIfTrue="1" operator="containsText" text="ELTÉRÉS!">
      <formula>NOT(ISERROR(SEARCH("ELTÉRÉS!",AG85)))</formula>
    </cfRule>
    <cfRule type="containsText" dxfId="853" priority="123" stopIfTrue="1" operator="containsText" text="STIMMEL!">
      <formula>NOT(ISERROR(SEARCH("STIMMEL!",AG85)))</formula>
    </cfRule>
  </conditionalFormatting>
  <conditionalFormatting sqref="AI85:AT85 AG85">
    <cfRule type="cellIs" dxfId="852" priority="121" operator="equal">
      <formula>0.01</formula>
    </cfRule>
  </conditionalFormatting>
  <conditionalFormatting sqref="AH85">
    <cfRule type="containsText" dxfId="851" priority="119" stopIfTrue="1" operator="containsText" text="ELTÉRÉS!">
      <formula>NOT(ISERROR(SEARCH("ELTÉRÉS!",AH85)))</formula>
    </cfRule>
    <cfRule type="containsText" dxfId="850" priority="120" stopIfTrue="1" operator="containsText" text="STIMMEL!">
      <formula>NOT(ISERROR(SEARCH("STIMMEL!",AH85)))</formula>
    </cfRule>
  </conditionalFormatting>
  <conditionalFormatting sqref="AH85">
    <cfRule type="cellIs" dxfId="849" priority="118" operator="equal">
      <formula>0.01</formula>
    </cfRule>
  </conditionalFormatting>
  <conditionalFormatting sqref="AU85">
    <cfRule type="containsText" dxfId="848" priority="116" stopIfTrue="1" operator="containsText" text="ELTÉRÉS!">
      <formula>NOT(ISERROR(SEARCH("ELTÉRÉS!",AU85)))</formula>
    </cfRule>
    <cfRule type="containsText" dxfId="847" priority="117" stopIfTrue="1" operator="containsText" text="STIMMEL!">
      <formula>NOT(ISERROR(SEARCH("STIMMEL!",AU85)))</formula>
    </cfRule>
  </conditionalFormatting>
  <conditionalFormatting sqref="AU85">
    <cfRule type="cellIs" dxfId="846" priority="115" operator="equal">
      <formula>0.01</formula>
    </cfRule>
  </conditionalFormatting>
  <conditionalFormatting sqref="AH86:AH118 AG86:AG120 AI86:AT120">
    <cfRule type="containsText" dxfId="845" priority="113" stopIfTrue="1" operator="containsText" text="ELTÉRÉS!">
      <formula>NOT(ISERROR(SEARCH("ELTÉRÉS!",AG86)))</formula>
    </cfRule>
    <cfRule type="containsText" dxfId="844" priority="114" stopIfTrue="1" operator="containsText" text="STIMMEL!">
      <formula>NOT(ISERROR(SEARCH("STIMMEL!",AG86)))</formula>
    </cfRule>
  </conditionalFormatting>
  <conditionalFormatting sqref="AH86:AH118 AG86:AG120 AI86:AT120">
    <cfRule type="cellIs" dxfId="843" priority="112" operator="equal">
      <formula>0.01</formula>
    </cfRule>
  </conditionalFormatting>
  <conditionalFormatting sqref="AL122:AQ122">
    <cfRule type="containsText" dxfId="842" priority="110" stopIfTrue="1" operator="containsText" text="ELTÉRÉS!">
      <formula>NOT(ISERROR(SEARCH("ELTÉRÉS!",AL122)))</formula>
    </cfRule>
    <cfRule type="containsText" dxfId="841" priority="111" stopIfTrue="1" operator="containsText" text="STIMMEL!">
      <formula>NOT(ISERROR(SEARCH("STIMMEL!",AL122)))</formula>
    </cfRule>
  </conditionalFormatting>
  <conditionalFormatting sqref="AL122:AQ122">
    <cfRule type="cellIs" dxfId="840" priority="109" operator="equal">
      <formula>0.01</formula>
    </cfRule>
  </conditionalFormatting>
  <conditionalFormatting sqref="AG122">
    <cfRule type="containsText" dxfId="839" priority="107" stopIfTrue="1" operator="containsText" text="ELTÉRÉS!">
      <formula>NOT(ISERROR(SEARCH("ELTÉRÉS!",AG122)))</formula>
    </cfRule>
    <cfRule type="containsText" dxfId="838" priority="108" stopIfTrue="1" operator="containsText" text="STIMMEL!">
      <formula>NOT(ISERROR(SEARCH("STIMMEL!",AG122)))</formula>
    </cfRule>
  </conditionalFormatting>
  <conditionalFormatting sqref="AG122">
    <cfRule type="cellIs" dxfId="837" priority="106" operator="equal">
      <formula>0.01</formula>
    </cfRule>
  </conditionalFormatting>
  <conditionalFormatting sqref="AH122">
    <cfRule type="containsText" dxfId="836" priority="104" stopIfTrue="1" operator="containsText" text="ELTÉRÉS!">
      <formula>NOT(ISERROR(SEARCH("ELTÉRÉS!",AH122)))</formula>
    </cfRule>
    <cfRule type="containsText" dxfId="835" priority="105" stopIfTrue="1" operator="containsText" text="STIMMEL!">
      <formula>NOT(ISERROR(SEARCH("STIMMEL!",AH122)))</formula>
    </cfRule>
  </conditionalFormatting>
  <conditionalFormatting sqref="AH122">
    <cfRule type="cellIs" dxfId="834" priority="103" operator="equal">
      <formula>0.01</formula>
    </cfRule>
  </conditionalFormatting>
  <conditionalFormatting sqref="BK85:BV85 BI85">
    <cfRule type="containsText" dxfId="833" priority="101" stopIfTrue="1" operator="containsText" text="ELTÉRÉS!">
      <formula>NOT(ISERROR(SEARCH("ELTÉRÉS!",BI85)))</formula>
    </cfRule>
    <cfRule type="containsText" dxfId="832" priority="102" stopIfTrue="1" operator="containsText" text="STIMMEL!">
      <formula>NOT(ISERROR(SEARCH("STIMMEL!",BI85)))</formula>
    </cfRule>
  </conditionalFormatting>
  <conditionalFormatting sqref="BK85:BV85 BI85">
    <cfRule type="cellIs" dxfId="831" priority="100" operator="equal">
      <formula>0.01</formula>
    </cfRule>
  </conditionalFormatting>
  <conditionalFormatting sqref="BJ85">
    <cfRule type="containsText" dxfId="830" priority="98" stopIfTrue="1" operator="containsText" text="ELTÉRÉS!">
      <formula>NOT(ISERROR(SEARCH("ELTÉRÉS!",BJ85)))</formula>
    </cfRule>
    <cfRule type="containsText" dxfId="829" priority="99" stopIfTrue="1" operator="containsText" text="STIMMEL!">
      <formula>NOT(ISERROR(SEARCH("STIMMEL!",BJ85)))</formula>
    </cfRule>
  </conditionalFormatting>
  <conditionalFormatting sqref="BJ85">
    <cfRule type="cellIs" dxfId="828" priority="97" operator="equal">
      <formula>0.01</formula>
    </cfRule>
  </conditionalFormatting>
  <conditionalFormatting sqref="BW85">
    <cfRule type="containsText" dxfId="827" priority="95" stopIfTrue="1" operator="containsText" text="ELTÉRÉS!">
      <formula>NOT(ISERROR(SEARCH("ELTÉRÉS!",BW85)))</formula>
    </cfRule>
    <cfRule type="containsText" dxfId="826" priority="96" stopIfTrue="1" operator="containsText" text="STIMMEL!">
      <formula>NOT(ISERROR(SEARCH("STIMMEL!",BW85)))</formula>
    </cfRule>
  </conditionalFormatting>
  <conditionalFormatting sqref="BW85">
    <cfRule type="cellIs" dxfId="825" priority="94" operator="equal">
      <formula>0.01</formula>
    </cfRule>
  </conditionalFormatting>
  <conditionalFormatting sqref="BJ86:BJ118 BI86:BI120 BK86:BV120">
    <cfRule type="containsText" dxfId="824" priority="92" stopIfTrue="1" operator="containsText" text="ELTÉRÉS!">
      <formula>NOT(ISERROR(SEARCH("ELTÉRÉS!",BI86)))</formula>
    </cfRule>
    <cfRule type="containsText" dxfId="823" priority="93" stopIfTrue="1" operator="containsText" text="STIMMEL!">
      <formula>NOT(ISERROR(SEARCH("STIMMEL!",BI86)))</formula>
    </cfRule>
  </conditionalFormatting>
  <conditionalFormatting sqref="BJ86:BJ118 BI86:BI120 BK86:BV120">
    <cfRule type="cellIs" dxfId="822" priority="91" operator="equal">
      <formula>0.01</formula>
    </cfRule>
  </conditionalFormatting>
  <conditionalFormatting sqref="BN122:BS122">
    <cfRule type="containsText" dxfId="821" priority="89" stopIfTrue="1" operator="containsText" text="ELTÉRÉS!">
      <formula>NOT(ISERROR(SEARCH("ELTÉRÉS!",BN122)))</formula>
    </cfRule>
    <cfRule type="containsText" dxfId="820" priority="90" stopIfTrue="1" operator="containsText" text="STIMMEL!">
      <formula>NOT(ISERROR(SEARCH("STIMMEL!",BN122)))</formula>
    </cfRule>
  </conditionalFormatting>
  <conditionalFormatting sqref="BN122:BS122">
    <cfRule type="cellIs" dxfId="819" priority="88" operator="equal">
      <formula>0.01</formula>
    </cfRule>
  </conditionalFormatting>
  <conditionalFormatting sqref="BI122">
    <cfRule type="containsText" dxfId="818" priority="86" stopIfTrue="1" operator="containsText" text="ELTÉRÉS!">
      <formula>NOT(ISERROR(SEARCH("ELTÉRÉS!",BI122)))</formula>
    </cfRule>
    <cfRule type="containsText" dxfId="817" priority="87" stopIfTrue="1" operator="containsText" text="STIMMEL!">
      <formula>NOT(ISERROR(SEARCH("STIMMEL!",BI122)))</formula>
    </cfRule>
  </conditionalFormatting>
  <conditionalFormatting sqref="BI122">
    <cfRule type="cellIs" dxfId="816" priority="85" operator="equal">
      <formula>0.01</formula>
    </cfRule>
  </conditionalFormatting>
  <conditionalFormatting sqref="BJ122">
    <cfRule type="containsText" dxfId="815" priority="83" stopIfTrue="1" operator="containsText" text="ELTÉRÉS!">
      <formula>NOT(ISERROR(SEARCH("ELTÉRÉS!",BJ122)))</formula>
    </cfRule>
    <cfRule type="containsText" dxfId="814" priority="84" stopIfTrue="1" operator="containsText" text="STIMMEL!">
      <formula>NOT(ISERROR(SEARCH("STIMMEL!",BJ122)))</formula>
    </cfRule>
  </conditionalFormatting>
  <conditionalFormatting sqref="BJ122">
    <cfRule type="cellIs" dxfId="813" priority="82" operator="equal">
      <formula>0.01</formula>
    </cfRule>
  </conditionalFormatting>
  <conditionalFormatting sqref="B126:B160 C126:N162 A126:A162">
    <cfRule type="containsText" dxfId="812" priority="80" stopIfTrue="1" operator="containsText" text="ELTÉRÉS!">
      <formula>NOT(ISERROR(SEARCH("ELTÉRÉS!",A126)))</formula>
    </cfRule>
    <cfRule type="containsText" dxfId="811" priority="81" stopIfTrue="1" operator="containsText" text="STIMMEL!">
      <formula>NOT(ISERROR(SEARCH("STIMMEL!",A126)))</formula>
    </cfRule>
  </conditionalFormatting>
  <conditionalFormatting sqref="B126:B160 C126:N162 A126:A162">
    <cfRule type="cellIs" dxfId="810" priority="79" operator="equal">
      <formula>0.01</formula>
    </cfRule>
  </conditionalFormatting>
  <conditionalFormatting sqref="S126:AD126 Q126">
    <cfRule type="containsText" dxfId="809" priority="77" stopIfTrue="1" operator="containsText" text="ELTÉRÉS!">
      <formula>NOT(ISERROR(SEARCH("ELTÉRÉS!",Q126)))</formula>
    </cfRule>
    <cfRule type="containsText" dxfId="808" priority="78" stopIfTrue="1" operator="containsText" text="STIMMEL!">
      <formula>NOT(ISERROR(SEARCH("STIMMEL!",Q126)))</formula>
    </cfRule>
  </conditionalFormatting>
  <conditionalFormatting sqref="S126:AD126 Q126">
    <cfRule type="cellIs" dxfId="807" priority="76" operator="equal">
      <formula>0.01</formula>
    </cfRule>
  </conditionalFormatting>
  <conditionalFormatting sqref="R126">
    <cfRule type="containsText" dxfId="806" priority="74" stopIfTrue="1" operator="containsText" text="ELTÉRÉS!">
      <formula>NOT(ISERROR(SEARCH("ELTÉRÉS!",R126)))</formula>
    </cfRule>
    <cfRule type="containsText" dxfId="805" priority="75" stopIfTrue="1" operator="containsText" text="STIMMEL!">
      <formula>NOT(ISERROR(SEARCH("STIMMEL!",R126)))</formula>
    </cfRule>
  </conditionalFormatting>
  <conditionalFormatting sqref="R126">
    <cfRule type="cellIs" dxfId="804" priority="73" operator="equal">
      <formula>0.01</formula>
    </cfRule>
  </conditionalFormatting>
  <conditionalFormatting sqref="AE126">
    <cfRule type="containsText" dxfId="803" priority="71" stopIfTrue="1" operator="containsText" text="ELTÉRÉS!">
      <formula>NOT(ISERROR(SEARCH("ELTÉRÉS!",AE126)))</formula>
    </cfRule>
    <cfRule type="containsText" dxfId="802" priority="72" stopIfTrue="1" operator="containsText" text="STIMMEL!">
      <formula>NOT(ISERROR(SEARCH("STIMMEL!",AE126)))</formula>
    </cfRule>
  </conditionalFormatting>
  <conditionalFormatting sqref="AE126">
    <cfRule type="cellIs" dxfId="801" priority="70" operator="equal">
      <formula>0.01</formula>
    </cfRule>
  </conditionalFormatting>
  <conditionalFormatting sqref="F164:K164">
    <cfRule type="containsText" dxfId="800" priority="68" stopIfTrue="1" operator="containsText" text="ELTÉRÉS!">
      <formula>NOT(ISERROR(SEARCH("ELTÉRÉS!",F164)))</formula>
    </cfRule>
    <cfRule type="containsText" dxfId="799" priority="69" stopIfTrue="1" operator="containsText" text="STIMMEL!">
      <formula>NOT(ISERROR(SEARCH("STIMMEL!",F164)))</formula>
    </cfRule>
  </conditionalFormatting>
  <conditionalFormatting sqref="F164:K164">
    <cfRule type="cellIs" dxfId="798" priority="67" operator="equal">
      <formula>0.01</formula>
    </cfRule>
  </conditionalFormatting>
  <conditionalFormatting sqref="A164">
    <cfRule type="containsText" dxfId="797" priority="65" stopIfTrue="1" operator="containsText" text="ELTÉRÉS!">
      <formula>NOT(ISERROR(SEARCH("ELTÉRÉS!",A164)))</formula>
    </cfRule>
    <cfRule type="containsText" dxfId="796" priority="66" stopIfTrue="1" operator="containsText" text="STIMMEL!">
      <formula>NOT(ISERROR(SEARCH("STIMMEL!",A164)))</formula>
    </cfRule>
  </conditionalFormatting>
  <conditionalFormatting sqref="A164">
    <cfRule type="cellIs" dxfId="795" priority="64" operator="equal">
      <formula>0.01</formula>
    </cfRule>
  </conditionalFormatting>
  <conditionalFormatting sqref="B164">
    <cfRule type="containsText" dxfId="794" priority="62" stopIfTrue="1" operator="containsText" text="ELTÉRÉS!">
      <formula>NOT(ISERROR(SEARCH("ELTÉRÉS!",B164)))</formula>
    </cfRule>
    <cfRule type="containsText" dxfId="793" priority="63" stopIfTrue="1" operator="containsText" text="STIMMEL!">
      <formula>NOT(ISERROR(SEARCH("STIMMEL!",B164)))</formula>
    </cfRule>
  </conditionalFormatting>
  <conditionalFormatting sqref="B164">
    <cfRule type="cellIs" dxfId="792" priority="61" operator="equal">
      <formula>0.01</formula>
    </cfRule>
  </conditionalFormatting>
  <conditionalFormatting sqref="R127:R160 S127:AD162 Q127:Q162">
    <cfRule type="containsText" dxfId="791" priority="59" stopIfTrue="1" operator="containsText" text="ELTÉRÉS!">
      <formula>NOT(ISERROR(SEARCH("ELTÉRÉS!",Q127)))</formula>
    </cfRule>
    <cfRule type="containsText" dxfId="790" priority="60" stopIfTrue="1" operator="containsText" text="STIMMEL!">
      <formula>NOT(ISERROR(SEARCH("STIMMEL!",Q127)))</formula>
    </cfRule>
  </conditionalFormatting>
  <conditionalFormatting sqref="R127:R160 S127:AD162 Q127:Q162">
    <cfRule type="cellIs" dxfId="789" priority="58" operator="equal">
      <formula>0.01</formula>
    </cfRule>
  </conditionalFormatting>
  <conditionalFormatting sqref="V164:AA164">
    <cfRule type="containsText" dxfId="788" priority="56" stopIfTrue="1" operator="containsText" text="ELTÉRÉS!">
      <formula>NOT(ISERROR(SEARCH("ELTÉRÉS!",V164)))</formula>
    </cfRule>
    <cfRule type="containsText" dxfId="787" priority="57" stopIfTrue="1" operator="containsText" text="STIMMEL!">
      <formula>NOT(ISERROR(SEARCH("STIMMEL!",V164)))</formula>
    </cfRule>
  </conditionalFormatting>
  <conditionalFormatting sqref="V164:AA164">
    <cfRule type="cellIs" dxfId="786" priority="55" operator="equal">
      <formula>0.01</formula>
    </cfRule>
  </conditionalFormatting>
  <conditionalFormatting sqref="Q164">
    <cfRule type="containsText" dxfId="785" priority="53" stopIfTrue="1" operator="containsText" text="ELTÉRÉS!">
      <formula>NOT(ISERROR(SEARCH("ELTÉRÉS!",Q164)))</formula>
    </cfRule>
    <cfRule type="containsText" dxfId="784" priority="54" stopIfTrue="1" operator="containsText" text="STIMMEL!">
      <formula>NOT(ISERROR(SEARCH("STIMMEL!",Q164)))</formula>
    </cfRule>
  </conditionalFormatting>
  <conditionalFormatting sqref="Q164">
    <cfRule type="cellIs" dxfId="783" priority="52" operator="equal">
      <formula>0.01</formula>
    </cfRule>
  </conditionalFormatting>
  <conditionalFormatting sqref="R164">
    <cfRule type="containsText" dxfId="782" priority="50" stopIfTrue="1" operator="containsText" text="ELTÉRÉS!">
      <formula>NOT(ISERROR(SEARCH("ELTÉRÉS!",R164)))</formula>
    </cfRule>
    <cfRule type="containsText" dxfId="781" priority="51" stopIfTrue="1" operator="containsText" text="STIMMEL!">
      <formula>NOT(ISERROR(SEARCH("STIMMEL!",R164)))</formula>
    </cfRule>
  </conditionalFormatting>
  <conditionalFormatting sqref="R164">
    <cfRule type="cellIs" dxfId="780" priority="49" operator="equal">
      <formula>0.01</formula>
    </cfRule>
  </conditionalFormatting>
  <conditionalFormatting sqref="AI126:AT126 AG126">
    <cfRule type="containsText" dxfId="779" priority="47" stopIfTrue="1" operator="containsText" text="ELTÉRÉS!">
      <formula>NOT(ISERROR(SEARCH("ELTÉRÉS!",AG126)))</formula>
    </cfRule>
    <cfRule type="containsText" dxfId="778" priority="48" stopIfTrue="1" operator="containsText" text="STIMMEL!">
      <formula>NOT(ISERROR(SEARCH("STIMMEL!",AG126)))</formula>
    </cfRule>
  </conditionalFormatting>
  <conditionalFormatting sqref="AI126:AT126 AG126">
    <cfRule type="cellIs" dxfId="777" priority="46" operator="equal">
      <formula>0.01</formula>
    </cfRule>
  </conditionalFormatting>
  <conditionalFormatting sqref="AH126">
    <cfRule type="containsText" dxfId="776" priority="44" stopIfTrue="1" operator="containsText" text="ELTÉRÉS!">
      <formula>NOT(ISERROR(SEARCH("ELTÉRÉS!",AH126)))</formula>
    </cfRule>
    <cfRule type="containsText" dxfId="775" priority="45" stopIfTrue="1" operator="containsText" text="STIMMEL!">
      <formula>NOT(ISERROR(SEARCH("STIMMEL!",AH126)))</formula>
    </cfRule>
  </conditionalFormatting>
  <conditionalFormatting sqref="AH126">
    <cfRule type="cellIs" dxfId="774" priority="43" operator="equal">
      <formula>0.01</formula>
    </cfRule>
  </conditionalFormatting>
  <conditionalFormatting sqref="AU126">
    <cfRule type="containsText" dxfId="773" priority="41" stopIfTrue="1" operator="containsText" text="ELTÉRÉS!">
      <formula>NOT(ISERROR(SEARCH("ELTÉRÉS!",AU126)))</formula>
    </cfRule>
    <cfRule type="containsText" dxfId="772" priority="42" stopIfTrue="1" operator="containsText" text="STIMMEL!">
      <formula>NOT(ISERROR(SEARCH("STIMMEL!",AU126)))</formula>
    </cfRule>
  </conditionalFormatting>
  <conditionalFormatting sqref="AU126">
    <cfRule type="cellIs" dxfId="771" priority="40" operator="equal">
      <formula>0.01</formula>
    </cfRule>
  </conditionalFormatting>
  <conditionalFormatting sqref="AH127:AT160 AG127:AG162 AI162:AT162 AP161:AT161">
    <cfRule type="containsText" dxfId="770" priority="38" stopIfTrue="1" operator="containsText" text="ELTÉRÉS!">
      <formula>NOT(ISERROR(SEARCH("ELTÉRÉS!",AG127)))</formula>
    </cfRule>
    <cfRule type="containsText" dxfId="769" priority="39" stopIfTrue="1" operator="containsText" text="STIMMEL!">
      <formula>NOT(ISERROR(SEARCH("STIMMEL!",AG127)))</formula>
    </cfRule>
  </conditionalFormatting>
  <conditionalFormatting sqref="AH127:AT160 AG127:AG162 AI162:AT162 AP161:AT161">
    <cfRule type="cellIs" dxfId="768" priority="37" operator="equal">
      <formula>0.01</formula>
    </cfRule>
  </conditionalFormatting>
  <conditionalFormatting sqref="AL164:AQ164">
    <cfRule type="containsText" dxfId="767" priority="35" stopIfTrue="1" operator="containsText" text="ELTÉRÉS!">
      <formula>NOT(ISERROR(SEARCH("ELTÉRÉS!",AL164)))</formula>
    </cfRule>
    <cfRule type="containsText" dxfId="766" priority="36" stopIfTrue="1" operator="containsText" text="STIMMEL!">
      <formula>NOT(ISERROR(SEARCH("STIMMEL!",AL164)))</formula>
    </cfRule>
  </conditionalFormatting>
  <conditionalFormatting sqref="AL164:AQ164">
    <cfRule type="cellIs" dxfId="765" priority="34" operator="equal">
      <formula>0.01</formula>
    </cfRule>
  </conditionalFormatting>
  <conditionalFormatting sqref="AG164">
    <cfRule type="containsText" dxfId="764" priority="32" stopIfTrue="1" operator="containsText" text="ELTÉRÉS!">
      <formula>NOT(ISERROR(SEARCH("ELTÉRÉS!",AG164)))</formula>
    </cfRule>
    <cfRule type="containsText" dxfId="763" priority="33" stopIfTrue="1" operator="containsText" text="STIMMEL!">
      <formula>NOT(ISERROR(SEARCH("STIMMEL!",AG164)))</formula>
    </cfRule>
  </conditionalFormatting>
  <conditionalFormatting sqref="AG164">
    <cfRule type="cellIs" dxfId="762" priority="31" operator="equal">
      <formula>0.01</formula>
    </cfRule>
  </conditionalFormatting>
  <conditionalFormatting sqref="AH164">
    <cfRule type="containsText" dxfId="761" priority="29" stopIfTrue="1" operator="containsText" text="ELTÉRÉS!">
      <formula>NOT(ISERROR(SEARCH("ELTÉRÉS!",AH164)))</formula>
    </cfRule>
    <cfRule type="containsText" dxfId="760" priority="30" stopIfTrue="1" operator="containsText" text="STIMMEL!">
      <formula>NOT(ISERROR(SEARCH("STIMMEL!",AH164)))</formula>
    </cfRule>
  </conditionalFormatting>
  <conditionalFormatting sqref="AH164">
    <cfRule type="cellIs" dxfId="759" priority="28" operator="equal">
      <formula>0.01</formula>
    </cfRule>
  </conditionalFormatting>
  <conditionalFormatting sqref="BK126:BV126 BI126">
    <cfRule type="containsText" dxfId="758" priority="26" stopIfTrue="1" operator="containsText" text="ELTÉRÉS!">
      <formula>NOT(ISERROR(SEARCH("ELTÉRÉS!",BI126)))</formula>
    </cfRule>
    <cfRule type="containsText" dxfId="757" priority="27" stopIfTrue="1" operator="containsText" text="STIMMEL!">
      <formula>NOT(ISERROR(SEARCH("STIMMEL!",BI126)))</formula>
    </cfRule>
  </conditionalFormatting>
  <conditionalFormatting sqref="BK126:BV126 BI126">
    <cfRule type="cellIs" dxfId="756" priority="25" operator="equal">
      <formula>0.01</formula>
    </cfRule>
  </conditionalFormatting>
  <conditionalFormatting sqref="BJ126">
    <cfRule type="containsText" dxfId="755" priority="23" stopIfTrue="1" operator="containsText" text="ELTÉRÉS!">
      <formula>NOT(ISERROR(SEARCH("ELTÉRÉS!",BJ126)))</formula>
    </cfRule>
    <cfRule type="containsText" dxfId="754" priority="24" stopIfTrue="1" operator="containsText" text="STIMMEL!">
      <formula>NOT(ISERROR(SEARCH("STIMMEL!",BJ126)))</formula>
    </cfRule>
  </conditionalFormatting>
  <conditionalFormatting sqref="BJ126">
    <cfRule type="cellIs" dxfId="753" priority="22" operator="equal">
      <formula>0.01</formula>
    </cfRule>
  </conditionalFormatting>
  <conditionalFormatting sqref="BW126">
    <cfRule type="containsText" dxfId="752" priority="20" stopIfTrue="1" operator="containsText" text="ELTÉRÉS!">
      <formula>NOT(ISERROR(SEARCH("ELTÉRÉS!",BW126)))</formula>
    </cfRule>
    <cfRule type="containsText" dxfId="751" priority="21" stopIfTrue="1" operator="containsText" text="STIMMEL!">
      <formula>NOT(ISERROR(SEARCH("STIMMEL!",BW126)))</formula>
    </cfRule>
  </conditionalFormatting>
  <conditionalFormatting sqref="BW126">
    <cfRule type="cellIs" dxfId="750" priority="19" operator="equal">
      <formula>0.01</formula>
    </cfRule>
  </conditionalFormatting>
  <conditionalFormatting sqref="BJ127:BV160 BI127:BI162 BK162:BV162 BR161:BV161">
    <cfRule type="containsText" dxfId="749" priority="17" stopIfTrue="1" operator="containsText" text="ELTÉRÉS!">
      <formula>NOT(ISERROR(SEARCH("ELTÉRÉS!",BI127)))</formula>
    </cfRule>
    <cfRule type="containsText" dxfId="748" priority="18" stopIfTrue="1" operator="containsText" text="STIMMEL!">
      <formula>NOT(ISERROR(SEARCH("STIMMEL!",BI127)))</formula>
    </cfRule>
  </conditionalFormatting>
  <conditionalFormatting sqref="BJ127:BV160 BI127:BI162 BK162:BV162 BR161:BV161">
    <cfRule type="cellIs" dxfId="747" priority="16" operator="equal">
      <formula>0.01</formula>
    </cfRule>
  </conditionalFormatting>
  <conditionalFormatting sqref="BN164:BS164">
    <cfRule type="containsText" dxfId="746" priority="14" stopIfTrue="1" operator="containsText" text="ELTÉRÉS!">
      <formula>NOT(ISERROR(SEARCH("ELTÉRÉS!",BN164)))</formula>
    </cfRule>
    <cfRule type="containsText" dxfId="745" priority="15" stopIfTrue="1" operator="containsText" text="STIMMEL!">
      <formula>NOT(ISERROR(SEARCH("STIMMEL!",BN164)))</formula>
    </cfRule>
  </conditionalFormatting>
  <conditionalFormatting sqref="BN164:BS164">
    <cfRule type="cellIs" dxfId="744" priority="13" operator="equal">
      <formula>0.01</formula>
    </cfRule>
  </conditionalFormatting>
  <conditionalFormatting sqref="BI164">
    <cfRule type="containsText" dxfId="743" priority="11" stopIfTrue="1" operator="containsText" text="ELTÉRÉS!">
      <formula>NOT(ISERROR(SEARCH("ELTÉRÉS!",BI164)))</formula>
    </cfRule>
    <cfRule type="containsText" dxfId="742" priority="12" stopIfTrue="1" operator="containsText" text="STIMMEL!">
      <formula>NOT(ISERROR(SEARCH("STIMMEL!",BI164)))</formula>
    </cfRule>
  </conditionalFormatting>
  <conditionalFormatting sqref="BI164">
    <cfRule type="cellIs" dxfId="741" priority="10" operator="equal">
      <formula>0.01</formula>
    </cfRule>
  </conditionalFormatting>
  <conditionalFormatting sqref="BJ164">
    <cfRule type="containsText" dxfId="740" priority="8" stopIfTrue="1" operator="containsText" text="ELTÉRÉS!">
      <formula>NOT(ISERROR(SEARCH("ELTÉRÉS!",BJ164)))</formula>
    </cfRule>
    <cfRule type="containsText" dxfId="739" priority="9" stopIfTrue="1" operator="containsText" text="STIMMEL!">
      <formula>NOT(ISERROR(SEARCH("STIMMEL!",BJ164)))</formula>
    </cfRule>
  </conditionalFormatting>
  <conditionalFormatting sqref="BJ164">
    <cfRule type="cellIs" dxfId="738" priority="7" operator="equal">
      <formula>0.01</formula>
    </cfRule>
  </conditionalFormatting>
  <conditionalFormatting sqref="AI161:AO161">
    <cfRule type="containsText" dxfId="737" priority="5" stopIfTrue="1" operator="containsText" text="ELTÉRÉS!">
      <formula>NOT(ISERROR(SEARCH("ELTÉRÉS!",AI161)))</formula>
    </cfRule>
    <cfRule type="containsText" dxfId="736" priority="6" stopIfTrue="1" operator="containsText" text="STIMMEL!">
      <formula>NOT(ISERROR(SEARCH("STIMMEL!",AI161)))</formula>
    </cfRule>
  </conditionalFormatting>
  <conditionalFormatting sqref="AI161:AO161">
    <cfRule type="cellIs" dxfId="735" priority="4" operator="equal">
      <formula>0.01</formula>
    </cfRule>
  </conditionalFormatting>
  <conditionalFormatting sqref="BK161:BQ161">
    <cfRule type="containsText" dxfId="734" priority="2" stopIfTrue="1" operator="containsText" text="ELTÉRÉS!">
      <formula>NOT(ISERROR(SEARCH("ELTÉRÉS!",BK161)))</formula>
    </cfRule>
    <cfRule type="containsText" dxfId="733" priority="3" stopIfTrue="1" operator="containsText" text="STIMMEL!">
      <formula>NOT(ISERROR(SEARCH("STIMMEL!",BK161)))</formula>
    </cfRule>
  </conditionalFormatting>
  <conditionalFormatting sqref="BK161:BQ161">
    <cfRule type="cellIs" dxfId="732" priority="1" operator="equal">
      <formula>0.01</formula>
    </cfRule>
  </conditionalFormatting>
  <pageMargins left="0.7" right="0.7" top="0.75" bottom="0.75" header="0.3" footer="0.3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E876-28DB-4415-9E7F-78F517C17FA9}">
  <dimension ref="A1:AK459"/>
  <sheetViews>
    <sheetView workbookViewId="0">
      <pane ySplit="1" topLeftCell="A97" activePane="bottomLeft" state="frozen"/>
      <selection pane="bottomLeft" activeCell="L118" sqref="L118"/>
    </sheetView>
  </sheetViews>
  <sheetFormatPr defaultRowHeight="15" customHeight="1"/>
  <cols>
    <col min="1" max="1" width="16" style="62" customWidth="1"/>
    <col min="2" max="2" width="16" style="356" customWidth="1"/>
    <col min="3" max="3" width="11.42578125" style="4" customWidth="1"/>
    <col min="4" max="4" width="13.7109375" style="4" customWidth="1"/>
    <col min="5" max="5" width="11.7109375" style="4" customWidth="1"/>
    <col min="6" max="6" width="11.85546875" style="4" customWidth="1"/>
    <col min="7" max="7" width="11.42578125" style="4" customWidth="1"/>
    <col min="8" max="8" width="13.42578125" style="4" customWidth="1"/>
    <col min="9" max="9" width="11.7109375" style="4" customWidth="1"/>
    <col min="10" max="10" width="11.28515625" style="35" customWidth="1"/>
    <col min="11" max="11" width="18.85546875" style="41" customWidth="1"/>
    <col min="12" max="12" width="18" style="53" customWidth="1"/>
    <col min="13" max="13" width="9.42578125" customWidth="1"/>
    <col min="14" max="14" width="15.85546875" customWidth="1"/>
    <col min="16" max="16" width="12.85546875" customWidth="1"/>
    <col min="17" max="19" width="12.85546875" hidden="1" customWidth="1"/>
    <col min="20" max="21" width="0" hidden="1" customWidth="1"/>
    <col min="22" max="22" width="12.5703125" hidden="1" customWidth="1"/>
    <col min="23" max="23" width="18.7109375" hidden="1" customWidth="1"/>
    <col min="24" max="24" width="13.42578125" hidden="1" customWidth="1"/>
    <col min="25" max="25" width="11" style="218" hidden="1" customWidth="1"/>
    <col min="26" max="32" width="0" hidden="1" customWidth="1"/>
    <col min="33" max="33" width="13.140625" hidden="1" customWidth="1"/>
  </cols>
  <sheetData>
    <row r="1" spans="1:37" ht="33.75" customHeight="1">
      <c r="A1" s="156" t="s">
        <v>570</v>
      </c>
      <c r="B1" s="350" t="s">
        <v>147</v>
      </c>
      <c r="C1" s="3">
        <v>0</v>
      </c>
      <c r="D1" s="3">
        <v>0.05</v>
      </c>
      <c r="E1" s="3">
        <v>0.18</v>
      </c>
      <c r="F1" s="3">
        <v>0.27</v>
      </c>
      <c r="G1" s="2" t="s">
        <v>148</v>
      </c>
      <c r="H1" s="2" t="s">
        <v>149</v>
      </c>
      <c r="I1" s="40" t="s">
        <v>150</v>
      </c>
      <c r="J1" s="31" t="s">
        <v>222</v>
      </c>
      <c r="K1" s="227" t="s">
        <v>152</v>
      </c>
      <c r="L1" s="61" t="s">
        <v>153</v>
      </c>
      <c r="M1" s="44" t="s">
        <v>154</v>
      </c>
      <c r="N1" s="44" t="s">
        <v>155</v>
      </c>
      <c r="P1" s="209" t="s">
        <v>147</v>
      </c>
      <c r="Q1" s="209" t="s">
        <v>571</v>
      </c>
      <c r="R1" s="209" t="s">
        <v>572</v>
      </c>
      <c r="S1" s="209" t="s">
        <v>156</v>
      </c>
    </row>
    <row r="2" spans="1:37" ht="21">
      <c r="A2" s="66" t="s">
        <v>3</v>
      </c>
      <c r="B2" s="351"/>
      <c r="C2" s="26"/>
      <c r="D2" s="26"/>
      <c r="E2" s="26"/>
      <c r="F2" s="26"/>
      <c r="G2" s="26"/>
      <c r="H2" s="26"/>
      <c r="I2" s="26"/>
      <c r="J2" s="26"/>
      <c r="K2" s="349"/>
      <c r="L2" s="26"/>
      <c r="M2" s="27"/>
      <c r="N2" s="183"/>
      <c r="O2" s="26"/>
      <c r="P2" s="209" t="str">
        <f>'[3]2026 január'!B$1</f>
        <v>Novohost</v>
      </c>
      <c r="Q2" s="209" t="str">
        <f>'[3]2026 január'!G1</f>
        <v>Tartalék kiadás</v>
      </c>
      <c r="R2" s="209" t="str">
        <f>'[3]2026 január'!W1</f>
        <v>Kivét</v>
      </c>
      <c r="S2" s="209" t="s">
        <v>156</v>
      </c>
      <c r="T2" s="26"/>
      <c r="U2" s="34"/>
      <c r="V2" s="209" t="str">
        <f>'[3]2026 január'!S1</f>
        <v>Pénztár nyitó</v>
      </c>
      <c r="W2" s="209" t="str">
        <f>'[3]2026 január'!T1</f>
        <v>pénztár kp bevétel</v>
      </c>
      <c r="X2" s="209" t="str">
        <f>'[3]2026 január'!U1</f>
        <v>Egyéb bevétel</v>
      </c>
      <c r="Y2" s="209" t="str">
        <f>'[3]2026 január'!V1</f>
        <v>Költött</v>
      </c>
      <c r="Z2" s="209" t="str">
        <f>'[3]2026 január'!W1</f>
        <v>Kivét</v>
      </c>
      <c r="AA2" s="209" t="str">
        <f>'[3]2026 január'!X1</f>
        <v>Eltérés</v>
      </c>
      <c r="AB2" s="209" t="str">
        <f>'[3]2026 január'!Y1</f>
        <v>Záró</v>
      </c>
      <c r="AC2" s="209" t="str">
        <f>'[3]2026 január'!Z1</f>
        <v>Megjegyzések</v>
      </c>
      <c r="AD2" s="209">
        <f>'[3]2026 január'!AA1</f>
        <v>0</v>
      </c>
      <c r="AE2" s="209">
        <f>'[3]2026 január'!AB1</f>
        <v>0</v>
      </c>
      <c r="AF2" s="209">
        <f>'[3]2026 január'!AC1</f>
        <v>0</v>
      </c>
      <c r="AG2" s="209" t="str">
        <f>'[3]2026 január'!AD1</f>
        <v>Egyéb kiadás</v>
      </c>
      <c r="AH2" s="27"/>
      <c r="AI2" s="27"/>
      <c r="AJ2" s="27"/>
      <c r="AK2" s="27"/>
    </row>
    <row r="3" spans="1:37" ht="14.25" customHeight="1">
      <c r="A3" s="141">
        <v>46023</v>
      </c>
      <c r="B3" s="142"/>
      <c r="C3" s="142"/>
      <c r="D3" s="142"/>
      <c r="E3" s="142"/>
      <c r="F3" s="142"/>
      <c r="G3" s="142"/>
      <c r="H3" s="142"/>
      <c r="I3" s="142"/>
      <c r="J3" s="142"/>
      <c r="K3" s="146"/>
      <c r="L3" s="144"/>
      <c r="M3" s="150"/>
      <c r="N3" s="153"/>
      <c r="O3" s="41"/>
      <c r="P3" s="220" t="str">
        <f>IF('[3]2026 január'!B$2=0,
    "",
    '[3]2026 január'!B$2
)</f>
        <v/>
      </c>
      <c r="Q3" s="220" t="str">
        <f>IF(OR('[3]2026 január'!G2=0,
       ISBLANK('[3]2026 január'!G2)),
    "",
    '[3]2026 január'!G2
)</f>
        <v/>
      </c>
      <c r="R3" s="41">
        <f>'[3]2026 január'!W2</f>
        <v>0</v>
      </c>
      <c r="S3" s="41" t="e">
        <f>P3-Q3-R3-G3-H3</f>
        <v>#VALUE!</v>
      </c>
      <c r="T3" s="41"/>
      <c r="U3" s="4"/>
      <c r="V3" s="220">
        <f>IF('[3]2026 január'!S2=0,
    "",
    '[3]2026 január'!S2
)</f>
        <v>-6793</v>
      </c>
      <c r="W3" s="220" t="str">
        <f>IF('[3]2026 január'!T2=0,
    "",
    '[3]2026 január'!T2
)</f>
        <v/>
      </c>
      <c r="X3" s="220" t="str">
        <f>IF('[3]2026 január'!U2=0,
    "",
    '[3]2026 január'!U2
)</f>
        <v/>
      </c>
      <c r="Y3" s="220" t="str">
        <f>IF('[3]2026 január'!V2=0,
    "",
    '[3]2026 január'!V2
)</f>
        <v/>
      </c>
      <c r="Z3" s="220" t="str">
        <f>IF('[3]2026 január'!W2=0,
    "",
    '[3]2026 január'!W2
)</f>
        <v/>
      </c>
      <c r="AA3" s="220" t="str">
        <f>IF('[3]2026 január'!X2=0,
    "",
    '[3]2026 január'!X2
)</f>
        <v/>
      </c>
      <c r="AB3" s="220">
        <f>IF('[3]2026 január'!Y2=0,
    "",
    '[3]2026 január'!Y2
)</f>
        <v>-6793</v>
      </c>
      <c r="AC3" s="220" t="str">
        <f>IF('[3]2026 január'!Z2=0,
    "",
    '[3]2026 január'!Z2
)</f>
        <v/>
      </c>
      <c r="AD3" s="220" t="str">
        <f>IF('[3]2026 január'!AA2=0,
    "",
    '[3]2026 január'!AA2
)</f>
        <v/>
      </c>
      <c r="AE3" s="220" t="str">
        <f>IF('[3]2026 január'!AB2=0,
    "",
    '[3]2026 január'!AB2
)</f>
        <v/>
      </c>
      <c r="AF3" s="220" t="str">
        <f>IF('[3]2026 január'!AC2=0,
    "",
    '[3]2026 január'!AC2
)</f>
        <v/>
      </c>
      <c r="AG3" s="220" t="str">
        <f>IF('[3]2026 január'!AD2=0,
    "",
    '[3]2026 január'!AD2
)</f>
        <v/>
      </c>
      <c r="AH3" s="220" t="str">
        <f>IF('[3]2026 január'!AE$2=0,
    "",
    '[3]2026 január'!AE$2
)</f>
        <v/>
      </c>
      <c r="AI3" s="220" t="str">
        <f>IF('[3]2026 január'!AF2=0,
    "",
    '[3]2026 január'!AF2
)</f>
        <v/>
      </c>
      <c r="AJ3" s="220" t="str">
        <f>IF('[3]2026 január'!AG2=0,
    "",
    '[3]2026 január'!AG2
)</f>
        <v/>
      </c>
      <c r="AK3" s="220" t="str">
        <f>IF('[3]2026 január'!AH2=0,
    "",
    '[3]2026 január'!AH2
)</f>
        <v/>
      </c>
    </row>
    <row r="4" spans="1:37" ht="14.25" customHeight="1">
      <c r="A4" s="141">
        <v>46024</v>
      </c>
      <c r="B4" s="142"/>
      <c r="C4" s="142"/>
      <c r="D4" s="142"/>
      <c r="E4" s="142"/>
      <c r="F4" s="142"/>
      <c r="G4" s="142"/>
      <c r="H4" s="142"/>
      <c r="I4" s="142"/>
      <c r="J4" s="142"/>
      <c r="K4" s="146"/>
      <c r="L4" s="144"/>
      <c r="M4" s="150"/>
      <c r="N4" s="153"/>
      <c r="O4" s="41"/>
      <c r="P4" s="220" t="str">
        <f>IF('[3]2026 január'!B$3=0,
    "",
    '[3]2026 január'!B$3
)</f>
        <v/>
      </c>
      <c r="Q4" s="220" t="str">
        <f>IF(OR('[3]2026 január'!G3=0,
       ISBLANK('[3]2026 január'!G3)),
    "",
    '[3]2026 január'!G3
)</f>
        <v/>
      </c>
      <c r="R4" s="41">
        <f>'[3]2026 január'!W3</f>
        <v>0</v>
      </c>
      <c r="S4" s="41"/>
      <c r="T4" s="41"/>
      <c r="U4" s="4"/>
      <c r="V4" s="220">
        <f>IF('[3]2026 január'!S3=0,
    "",
    '[3]2026 január'!S3
)</f>
        <v>-6793</v>
      </c>
      <c r="W4" s="220" t="str">
        <f>IF('[3]2026 január'!T3=0,
    "",
    '[3]2026 január'!T3
)</f>
        <v/>
      </c>
      <c r="X4" s="220" t="str">
        <f>IF('[3]2026 január'!U3=0,
    "",
    '[3]2026 január'!U3
)</f>
        <v/>
      </c>
      <c r="Y4" s="220" t="str">
        <f>IF('[3]2026 január'!V3=0,
    "",
    '[3]2026 január'!V3
)</f>
        <v/>
      </c>
      <c r="Z4" s="220" t="str">
        <f>IF('[3]2026 január'!W3=0,
    "",
    '[3]2026 január'!W3
)</f>
        <v/>
      </c>
      <c r="AA4" s="220" t="str">
        <f>IF('[3]2026 január'!X3=0,
    "",
    '[3]2026 január'!X3
)</f>
        <v/>
      </c>
      <c r="AB4" s="220">
        <f>IF('[3]2026 január'!Y3=0,
    "",
    '[3]2026 január'!Y3
)</f>
        <v>-6793</v>
      </c>
      <c r="AC4" s="220" t="str">
        <f>IF('[3]2026 január'!Z3=0,
    "",
    '[3]2026 január'!Z3
)</f>
        <v/>
      </c>
      <c r="AD4" s="220" t="str">
        <f>IF('[3]2026 január'!AA3=0,
    "",
    '[3]2026 január'!AA3
)</f>
        <v/>
      </c>
      <c r="AE4" s="220" t="str">
        <f>IF('[3]2026 január'!AB3=0,
    "",
    '[3]2026 január'!AB3
)</f>
        <v/>
      </c>
      <c r="AF4" s="220" t="str">
        <f>IF('[3]2026 január'!AC3=0,
    "",
    '[3]2026 január'!AC3
)</f>
        <v/>
      </c>
      <c r="AG4" s="220" t="str">
        <f>IF('[3]2026 január'!AD3=0,
    "",
    '[3]2026 január'!AD3
)</f>
        <v/>
      </c>
      <c r="AH4" s="220" t="str">
        <f>IF('[3]2026 január'!AE$3=0,
    "",
    '[3]2026 január'!AE$3
)</f>
        <v/>
      </c>
      <c r="AI4" s="220" t="str">
        <f>IF('[3]2026 január'!AF3=0,
    "",
    '[3]2026 január'!AF3
)</f>
        <v/>
      </c>
      <c r="AJ4" s="220" t="str">
        <f>IF('[3]2026 január'!AG3=0,
    "",
    '[3]2026 január'!AG3
)</f>
        <v/>
      </c>
      <c r="AK4" s="220" t="str">
        <f>IF('[3]2026 január'!AH3=0,
    "",
    '[3]2026 január'!AH3
)</f>
        <v/>
      </c>
    </row>
    <row r="5" spans="1:37" ht="14.25" customHeight="1">
      <c r="A5" s="141">
        <v>46025</v>
      </c>
      <c r="B5" s="142"/>
      <c r="C5" s="142"/>
      <c r="D5" s="142"/>
      <c r="E5" s="142"/>
      <c r="F5" s="142"/>
      <c r="G5" s="142"/>
      <c r="H5" s="142"/>
      <c r="I5" s="142"/>
      <c r="J5" s="142"/>
      <c r="K5" s="146"/>
      <c r="L5" s="146"/>
      <c r="M5" s="151"/>
      <c r="N5" s="153"/>
      <c r="O5" s="41"/>
      <c r="P5" s="220" t="str">
        <f>IF('[3]2026 január'!B$4=0,
    "",
    '[3]2026 január'!B$4
)</f>
        <v/>
      </c>
      <c r="Q5" s="220" t="str">
        <f>IF(OR('[3]2026 január'!G4=0,
       ISBLANK('[3]2026 január'!G4)),
    "",
    '[3]2026 január'!G4
)</f>
        <v/>
      </c>
      <c r="R5" s="41">
        <f>'[3]2026 január'!W4</f>
        <v>0</v>
      </c>
      <c r="S5" s="41"/>
      <c r="T5" s="41"/>
      <c r="U5" s="4"/>
      <c r="V5" s="220">
        <f>IF('[3]2026 január'!S4=0,
    "",
    '[3]2026 január'!S4
)</f>
        <v>-6793</v>
      </c>
      <c r="W5" s="220" t="str">
        <f>IF('[3]2026 január'!T4=0,
    "",
    '[3]2026 január'!T4
)</f>
        <v/>
      </c>
      <c r="X5" s="220" t="str">
        <f>IF('[3]2026 január'!U4=0,
    "",
    '[3]2026 január'!U4
)</f>
        <v/>
      </c>
      <c r="Y5" s="220" t="str">
        <f>IF('[3]2026 január'!V4=0,
    "",
    '[3]2026 január'!V4
)</f>
        <v/>
      </c>
      <c r="Z5" s="220" t="str">
        <f>IF('[3]2026 január'!W4=0,
    "",
    '[3]2026 január'!W4
)</f>
        <v/>
      </c>
      <c r="AA5" s="220" t="str">
        <f>IF('[3]2026 január'!X4=0,
    "",
    '[3]2026 január'!X4
)</f>
        <v/>
      </c>
      <c r="AB5" s="220">
        <f>IF('[3]2026 január'!Y4=0,
    "",
    '[3]2026 január'!Y4
)</f>
        <v>-6793</v>
      </c>
      <c r="AC5" s="220" t="str">
        <f>IF('[3]2026 január'!Z4=0,
    "",
    '[3]2026 január'!Z4
)</f>
        <v/>
      </c>
      <c r="AD5" s="220" t="str">
        <f>IF('[3]2026 január'!AA4=0,
    "",
    '[3]2026 január'!AA4
)</f>
        <v/>
      </c>
      <c r="AE5" s="220" t="str">
        <f>IF('[3]2026 január'!AB4=0,
    "",
    '[3]2026 január'!AB4
)</f>
        <v/>
      </c>
      <c r="AF5" s="220" t="str">
        <f>IF('[3]2026 január'!AC4=0,
    "",
    '[3]2026 január'!AC4
)</f>
        <v/>
      </c>
      <c r="AG5" s="220" t="str">
        <f>IF('[3]2026 január'!AD4=0,
    "",
    '[3]2026 január'!AD4
)</f>
        <v/>
      </c>
      <c r="AH5" s="220" t="str">
        <f>IF('[3]2026 január'!AE$4=0,
    "",
    '[3]2026 január'!AE$4
)</f>
        <v/>
      </c>
      <c r="AI5" s="220" t="str">
        <f>IF('[3]2026 január'!AF4=0,
    "",
    '[3]2026 január'!AF4
)</f>
        <v/>
      </c>
      <c r="AJ5" s="220" t="str">
        <f>IF('[3]2026 január'!AG4=0,
    "",
    '[3]2026 január'!AG4
)</f>
        <v/>
      </c>
      <c r="AK5" s="220" t="str">
        <f>IF('[3]2026 január'!AH4=0,
    "",
    '[3]2026 január'!AH4
)</f>
        <v/>
      </c>
    </row>
    <row r="6" spans="1:37" ht="14.25" customHeight="1">
      <c r="A6" s="141">
        <v>46026</v>
      </c>
      <c r="B6" s="142"/>
      <c r="C6" s="142"/>
      <c r="D6" s="142"/>
      <c r="E6" s="142"/>
      <c r="F6" s="142"/>
      <c r="G6" s="142"/>
      <c r="H6" s="142"/>
      <c r="I6" s="142"/>
      <c r="J6" s="142"/>
      <c r="K6" s="146"/>
      <c r="L6" s="146"/>
      <c r="M6" s="369"/>
      <c r="N6" s="153"/>
      <c r="O6" s="41"/>
      <c r="P6" s="220" t="str">
        <f>IF('[3]2026 január'!B$5=0,
    "",
    '[3]2026 január'!B$5
)</f>
        <v/>
      </c>
      <c r="Q6" s="220" t="str">
        <f>IF(OR('[3]2026 január'!G5=0,
       ISBLANK('[3]2026 január'!G5)),
    "",
    '[3]2026 január'!G5
)</f>
        <v/>
      </c>
      <c r="R6" s="41">
        <f>'[3]2026 január'!W5</f>
        <v>0</v>
      </c>
      <c r="S6" s="41"/>
      <c r="T6" s="41"/>
      <c r="U6" s="4"/>
      <c r="V6" s="220">
        <f>IF('[3]2026 január'!S5=0,
    "",
    '[3]2026 január'!S5
)</f>
        <v>-6793</v>
      </c>
      <c r="W6" s="220" t="str">
        <f>IF('[3]2026 január'!T5=0,
    "",
    '[3]2026 január'!T5
)</f>
        <v/>
      </c>
      <c r="X6" s="220" t="str">
        <f>IF('[3]2026 január'!U5=0,
    "",
    '[3]2026 január'!U5
)</f>
        <v/>
      </c>
      <c r="Y6" s="220" t="str">
        <f>IF('[3]2026 január'!V5=0,
    "",
    '[3]2026 január'!V5
)</f>
        <v/>
      </c>
      <c r="Z6" s="220" t="str">
        <f>IF('[3]2026 január'!W5=0,
    "",
    '[3]2026 január'!W5
)</f>
        <v/>
      </c>
      <c r="AA6" s="220" t="str">
        <f>IF('[3]2026 január'!X5=0,
    "",
    '[3]2026 január'!X5
)</f>
        <v/>
      </c>
      <c r="AB6" s="220">
        <f>IF('[3]2026 január'!Y5=0,
    "",
    '[3]2026 január'!Y5
)</f>
        <v>-6793</v>
      </c>
      <c r="AC6" s="220" t="str">
        <f>IF('[3]2026 január'!Z5=0,
    "",
    '[3]2026 január'!Z5
)</f>
        <v/>
      </c>
      <c r="AD6" s="220" t="str">
        <f>IF('[3]2026 január'!AA5=0,
    "",
    '[3]2026 január'!AA5
)</f>
        <v/>
      </c>
      <c r="AE6" s="220" t="str">
        <f>IF('[3]2026 január'!AB5=0,
    "",
    '[3]2026 január'!AB5
)</f>
        <v/>
      </c>
      <c r="AF6" s="220" t="str">
        <f>IF('[3]2026 január'!AC5=0,
    "",
    '[3]2026 január'!AC5
)</f>
        <v/>
      </c>
      <c r="AG6" s="220" t="str">
        <f>IF('[3]2026 január'!AD5=0,
    "",
    '[3]2026 január'!AD5
)</f>
        <v/>
      </c>
      <c r="AH6" s="220" t="str">
        <f>IF('[3]2026 január'!AE$5=0,
    "",
    '[3]2026 január'!AE$5
)</f>
        <v/>
      </c>
      <c r="AI6" s="220" t="str">
        <f>IF('[3]2026 január'!AF5=0,
    "",
    '[3]2026 január'!AF5
)</f>
        <v/>
      </c>
      <c r="AJ6" s="220" t="str">
        <f>IF('[3]2026 január'!AG5=0,
    "",
    '[3]2026 január'!AG5
)</f>
        <v/>
      </c>
      <c r="AK6" s="220" t="str">
        <f>IF('[3]2026 január'!AH5=0,
    "",
    '[3]2026 január'!AH5
)</f>
        <v/>
      </c>
    </row>
    <row r="7" spans="1:37" ht="14.25" customHeight="1">
      <c r="A7" s="5">
        <v>46027</v>
      </c>
      <c r="B7" s="11">
        <v>85880</v>
      </c>
      <c r="C7" s="11">
        <v>50</v>
      </c>
      <c r="D7" s="11">
        <v>72430</v>
      </c>
      <c r="E7" s="11">
        <v>2290</v>
      </c>
      <c r="F7" s="11">
        <v>6030</v>
      </c>
      <c r="G7" s="11">
        <v>2100</v>
      </c>
      <c r="H7" s="11">
        <v>78700</v>
      </c>
      <c r="I7" s="11">
        <v>78700</v>
      </c>
      <c r="J7" s="347">
        <v>1747</v>
      </c>
      <c r="K7" s="72">
        <v>203428540</v>
      </c>
      <c r="L7" s="72"/>
      <c r="M7" s="370"/>
      <c r="N7" s="148"/>
      <c r="O7" s="41"/>
      <c r="P7" s="220">
        <f>IF('[3]2026 január'!B$6=0,
    "",
    '[3]2026 január'!B$6
)</f>
        <v>85880</v>
      </c>
      <c r="Q7" s="220" t="str">
        <f>IF(OR('[3]2026 január'!G6=0,
       ISBLANK('[3]2026 január'!G6)),
    "",
    '[3]2026 január'!G6
)</f>
        <v/>
      </c>
      <c r="R7" s="41">
        <f>'[3]2026 január'!W6</f>
        <v>0</v>
      </c>
      <c r="S7" s="41"/>
      <c r="T7" s="41"/>
      <c r="U7" s="4"/>
      <c r="V7" s="220">
        <f>IF('[3]2026 január'!S6=0,
    "",
    '[3]2026 január'!S6
)</f>
        <v>-6793</v>
      </c>
      <c r="W7" s="220">
        <f>IF('[3]2026 január'!T6=0,
    "",
    '[3]2026 január'!T6
)</f>
        <v>7180</v>
      </c>
      <c r="X7" s="220" t="str">
        <f>IF('[3]2026 január'!U6=0,
    "",
    '[3]2026 január'!U6
)</f>
        <v/>
      </c>
      <c r="Y7" s="220" t="str">
        <f>IF('[3]2026 január'!V6=0,
    "",
    '[3]2026 január'!V6
)</f>
        <v/>
      </c>
      <c r="Z7" s="220" t="str">
        <f>IF('[3]2026 január'!W6=0,
    "",
    '[3]2026 január'!W6
)</f>
        <v/>
      </c>
      <c r="AA7" s="220" t="str">
        <f>IF('[3]2026 január'!X6=0,
    "",
    '[3]2026 január'!X6
)</f>
        <v/>
      </c>
      <c r="AB7" s="220">
        <f>IF('[3]2026 január'!Y6=0,
    "",
    '[3]2026 január'!Y6
)</f>
        <v>387</v>
      </c>
      <c r="AC7" s="220" t="str">
        <f>IF('[3]2026 január'!Z6=0,
    "",
    '[3]2026 január'!Z6
)</f>
        <v/>
      </c>
      <c r="AD7" s="220" t="str">
        <f>IF('[3]2026 január'!AA6=0,
    "",
    '[3]2026 január'!AA6
)</f>
        <v/>
      </c>
      <c r="AE7" s="220" t="str">
        <f>IF('[3]2026 január'!AB6=0,
    "",
    '[3]2026 január'!AB6
)</f>
        <v/>
      </c>
      <c r="AF7" s="220" t="str">
        <f>IF('[3]2026 január'!AC6=0,
    "",
    '[3]2026 január'!AC6
)</f>
        <v/>
      </c>
      <c r="AG7" s="220" t="str">
        <f>IF('[3]2026 január'!AD6=0,
    "",
    '[3]2026 január'!AD6
)</f>
        <v/>
      </c>
      <c r="AH7" s="220" t="str">
        <f>IF('[3]2026 január'!AE$6=0,
    "",
    '[3]2026 január'!AE$6
)</f>
        <v/>
      </c>
      <c r="AI7" s="220" t="str">
        <f>IF('[3]2026 január'!AF6=0,
    "",
    '[3]2026 január'!AF6
)</f>
        <v/>
      </c>
      <c r="AJ7" s="220" t="str">
        <f>IF('[3]2026 január'!AG6=0,
    "",
    '[3]2026 január'!AG6
)</f>
        <v/>
      </c>
      <c r="AK7" s="220" t="str">
        <f>IF('[3]2026 január'!AH6=0,
    "",
    '[3]2026 január'!AH6
)</f>
        <v/>
      </c>
    </row>
    <row r="8" spans="1:37" ht="14.25" customHeight="1">
      <c r="A8" s="5">
        <v>46028</v>
      </c>
      <c r="B8" s="11">
        <v>171325</v>
      </c>
      <c r="C8" s="11">
        <v>0</v>
      </c>
      <c r="D8" s="11">
        <v>149038</v>
      </c>
      <c r="E8" s="11">
        <v>6177</v>
      </c>
      <c r="F8" s="11">
        <v>15180</v>
      </c>
      <c r="G8" s="11">
        <v>17410</v>
      </c>
      <c r="H8" s="11">
        <v>152475</v>
      </c>
      <c r="I8" s="11">
        <v>152475</v>
      </c>
      <c r="J8" s="33" t="s">
        <v>573</v>
      </c>
      <c r="K8" s="72">
        <v>203598935</v>
      </c>
      <c r="L8" s="72"/>
      <c r="M8" s="421">
        <v>510</v>
      </c>
      <c r="N8" s="457" t="s">
        <v>300</v>
      </c>
      <c r="O8" s="41"/>
      <c r="P8" s="220">
        <f>IF('[3]2026 január'!B$7=0,
    "",
    '[3]2026 január'!B$7
)</f>
        <v>171325</v>
      </c>
      <c r="Q8" s="220" t="str">
        <f>IF(OR('[3]2026 január'!G7=0,
       ISBLANK('[3]2026 január'!G7)),
    "",
    '[3]2026 január'!G7
)</f>
        <v/>
      </c>
      <c r="R8" s="41">
        <f>'[3]2026 január'!W7</f>
        <v>0</v>
      </c>
      <c r="S8" s="41"/>
      <c r="T8" s="41"/>
      <c r="U8" s="4"/>
      <c r="V8" s="220">
        <f>IF('[3]2026 január'!S7=0,
    "",
    '[3]2026 január'!S7
)</f>
        <v>387</v>
      </c>
      <c r="W8" s="220">
        <f>IF('[3]2026 január'!T7=0,
    "",
    '[3]2026 január'!T7
)</f>
        <v>18850</v>
      </c>
      <c r="X8" s="220" t="str">
        <f>IF('[3]2026 január'!U7=0,
    "",
    '[3]2026 január'!U7
)</f>
        <v/>
      </c>
      <c r="Y8" s="220" t="str">
        <f>IF('[3]2026 január'!V7=0,
    "",
    '[3]2026 január'!V7
)</f>
        <v/>
      </c>
      <c r="Z8" s="220" t="str">
        <f>IF('[3]2026 január'!W7=0,
    "",
    '[3]2026 január'!W7
)</f>
        <v/>
      </c>
      <c r="AA8" s="220" t="str">
        <f>IF('[3]2026 január'!X7=0,
    "",
    '[3]2026 január'!X7
)</f>
        <v/>
      </c>
      <c r="AB8" s="220">
        <f>IF('[3]2026 január'!Y7=0,
    "",
    '[3]2026 január'!Y7
)</f>
        <v>19237</v>
      </c>
      <c r="AC8" s="220" t="str">
        <f>IF('[3]2026 január'!Z7=0,
    "",
    '[3]2026 január'!Z7
)</f>
        <v/>
      </c>
      <c r="AD8" s="220" t="str">
        <f>IF('[3]2026 január'!AA7=0,
    "",
    '[3]2026 január'!AA7
)</f>
        <v/>
      </c>
      <c r="AE8" s="220" t="str">
        <f>IF('[3]2026 január'!AB7=0,
    "",
    '[3]2026 január'!AB7
)</f>
        <v/>
      </c>
      <c r="AF8" s="220" t="str">
        <f>IF('[3]2026 január'!AC7=0,
    "",
    '[3]2026 január'!AC7
)</f>
        <v/>
      </c>
      <c r="AG8" s="220" t="str">
        <f>IF('[3]2026 január'!AD7=0,
    "",
    '[3]2026 január'!AD7
)</f>
        <v/>
      </c>
      <c r="AH8" s="220" t="str">
        <f>IF('[3]2026 január'!AE$7=0,
    "",
    '[3]2026 január'!AE$7
)</f>
        <v/>
      </c>
      <c r="AI8" s="220" t="str">
        <f>IF('[3]2026 január'!AF7=0,
    "",
    '[3]2026 január'!AF7
)</f>
        <v/>
      </c>
      <c r="AJ8" s="220" t="str">
        <f>IF('[3]2026 január'!AG7=0,
    "",
    '[3]2026 január'!AG7
)</f>
        <v/>
      </c>
      <c r="AK8" s="220" t="str">
        <f>IF('[3]2026 január'!AH7=0,
    "",
    '[3]2026 január'!AH7
)</f>
        <v/>
      </c>
    </row>
    <row r="9" spans="1:37" ht="14.25" customHeight="1">
      <c r="A9" s="5">
        <v>46029</v>
      </c>
      <c r="B9" s="11">
        <v>148130</v>
      </c>
      <c r="C9" s="11">
        <v>0</v>
      </c>
      <c r="D9" s="11">
        <v>128225</v>
      </c>
      <c r="E9" s="11">
        <v>1240</v>
      </c>
      <c r="F9" s="11">
        <v>17620</v>
      </c>
      <c r="G9" s="11">
        <v>10350</v>
      </c>
      <c r="H9" s="11">
        <v>136735</v>
      </c>
      <c r="I9" s="11">
        <v>136735</v>
      </c>
      <c r="J9" s="33" t="s">
        <v>574</v>
      </c>
      <c r="K9" s="72">
        <v>203746020</v>
      </c>
      <c r="L9" s="72"/>
      <c r="M9" s="370"/>
      <c r="N9" s="149"/>
      <c r="O9" s="41"/>
      <c r="P9" s="220">
        <f>IF('[3]2026 január'!B$8=0,
    "",
    '[3]2026 január'!B$8
)</f>
        <v>148130</v>
      </c>
      <c r="Q9" s="220" t="str">
        <f>IF(OR('[3]2026 január'!G8=0,
       ISBLANK('[3]2026 január'!G8)),
    "",
    '[3]2026 január'!G8
)</f>
        <v/>
      </c>
      <c r="R9" s="41">
        <f>'[3]2026 január'!W8</f>
        <v>0</v>
      </c>
      <c r="S9" s="41"/>
      <c r="T9" s="41"/>
      <c r="U9" s="4"/>
      <c r="V9" s="220">
        <f>IF('[3]2026 január'!S8=0,
    "",
    '[3]2026 január'!S8
)</f>
        <v>19237</v>
      </c>
      <c r="W9" s="220">
        <f>IF('[3]2026 január'!T8=0,
    "",
    '[3]2026 január'!T8
)</f>
        <v>11395</v>
      </c>
      <c r="X9" s="220" t="str">
        <f>IF('[3]2026 január'!U8=0,
    "",
    '[3]2026 január'!U8
)</f>
        <v/>
      </c>
      <c r="Y9" s="220" t="str">
        <f>IF('[3]2026 január'!V8=0,
    "",
    '[3]2026 január'!V8
)</f>
        <v/>
      </c>
      <c r="Z9" s="220" t="str">
        <f>IF('[3]2026 január'!W8=0,
    "",
    '[3]2026 január'!W8
)</f>
        <v/>
      </c>
      <c r="AA9" s="220" t="str">
        <f>IF('[3]2026 január'!X8=0,
    "",
    '[3]2026 január'!X8
)</f>
        <v/>
      </c>
      <c r="AB9" s="220">
        <f>IF('[3]2026 január'!Y8=0,
    "",
    '[3]2026 január'!Y8
)</f>
        <v>30632</v>
      </c>
      <c r="AC9" s="220" t="str">
        <f>IF('[3]2026 január'!Z8=0,
    "",
    '[3]2026 január'!Z8
)</f>
        <v/>
      </c>
      <c r="AD9" s="220" t="str">
        <f>IF('[3]2026 január'!AA8=0,
    "",
    '[3]2026 január'!AA8
)</f>
        <v/>
      </c>
      <c r="AE9" s="220" t="str">
        <f>IF('[3]2026 január'!AB8=0,
    "",
    '[3]2026 január'!AB8
)</f>
        <v/>
      </c>
      <c r="AF9" s="220" t="str">
        <f>IF('[3]2026 január'!AC8=0,
    "",
    '[3]2026 január'!AC8
)</f>
        <v/>
      </c>
      <c r="AG9" s="220" t="str">
        <f>IF('[3]2026 január'!AD8=0,
    "",
    '[3]2026 január'!AD8
)</f>
        <v/>
      </c>
      <c r="AH9" s="220" t="str">
        <f>IF('[3]2026 január'!AE$8=0,
    "",
    '[3]2026 január'!AE$8
)</f>
        <v/>
      </c>
      <c r="AI9" s="220" t="str">
        <f>IF('[3]2026 január'!AF8=0,
    "",
    '[3]2026 január'!AF8
)</f>
        <v/>
      </c>
      <c r="AJ9" s="220" t="str">
        <f>IF('[3]2026 január'!AG8=0,
    "",
    '[3]2026 január'!AG8
)</f>
        <v/>
      </c>
      <c r="AK9" s="220" t="str">
        <f>IF('[3]2026 január'!AH8=0,
    "",
    '[3]2026 január'!AH8
)</f>
        <v/>
      </c>
    </row>
    <row r="10" spans="1:37" ht="14.25" customHeight="1">
      <c r="A10" s="5">
        <v>46030</v>
      </c>
      <c r="B10" s="11">
        <v>173760</v>
      </c>
      <c r="C10" s="11">
        <v>750</v>
      </c>
      <c r="D10" s="11">
        <v>141790</v>
      </c>
      <c r="E10" s="11">
        <v>2750</v>
      </c>
      <c r="F10" s="11">
        <v>28860</v>
      </c>
      <c r="G10" s="11">
        <v>21050</v>
      </c>
      <c r="H10" s="11">
        <v>153100</v>
      </c>
      <c r="I10" s="11">
        <v>153100</v>
      </c>
      <c r="J10" s="33" t="s">
        <v>575</v>
      </c>
      <c r="K10" s="72">
        <v>203920170</v>
      </c>
      <c r="L10" s="72"/>
      <c r="M10" s="370"/>
      <c r="N10" s="148"/>
      <c r="O10" s="41"/>
      <c r="P10" s="220">
        <f>IF('[3]2026 január'!B$9=0,
    "",
    '[3]2026 január'!B$9
)</f>
        <v>173760</v>
      </c>
      <c r="Q10" s="220" t="str">
        <f>IF(OR('[3]2026 január'!G9=0,
       ISBLANK('[3]2026 január'!G9)),
    "",
    '[3]2026 január'!G9
)</f>
        <v/>
      </c>
      <c r="R10" s="41">
        <f>'[3]2026 január'!W9</f>
        <v>0</v>
      </c>
      <c r="S10" s="41"/>
      <c r="T10" s="41"/>
      <c r="U10" s="4"/>
      <c r="V10" s="220">
        <f>IF('[3]2026 január'!S9=0,
    "",
    '[3]2026 január'!S9
)</f>
        <v>30632</v>
      </c>
      <c r="W10" s="220">
        <f>IF('[3]2026 január'!T9=0,
    "",
    '[3]2026 január'!T9
)</f>
        <v>20660</v>
      </c>
      <c r="X10" s="220" t="str">
        <f>IF('[3]2026 január'!U9=0,
    "",
    '[3]2026 január'!U9
)</f>
        <v/>
      </c>
      <c r="Y10" s="220" t="str">
        <f>IF('[3]2026 január'!V9=0,
    "",
    '[3]2026 január'!V9
)</f>
        <v/>
      </c>
      <c r="Z10" s="220" t="str">
        <f>IF('[3]2026 január'!W9=0,
    "",
    '[3]2026 január'!W9
)</f>
        <v/>
      </c>
      <c r="AA10" s="220" t="str">
        <f>IF('[3]2026 január'!X9=0,
    "",
    '[3]2026 január'!X9
)</f>
        <v/>
      </c>
      <c r="AB10" s="220">
        <f>IF('[3]2026 január'!Y9=0,
    "",
    '[3]2026 január'!Y9
)</f>
        <v>51292</v>
      </c>
      <c r="AC10" s="220" t="str">
        <f>IF('[3]2026 január'!Z9=0,
    "",
    '[3]2026 január'!Z9
)</f>
        <v/>
      </c>
      <c r="AD10" s="220" t="str">
        <f>IF('[3]2026 január'!AA9=0,
    "",
    '[3]2026 január'!AA9
)</f>
        <v/>
      </c>
      <c r="AE10" s="220" t="str">
        <f>IF('[3]2026 január'!AB9=0,
    "",
    '[3]2026 január'!AB9
)</f>
        <v/>
      </c>
      <c r="AF10" s="220" t="str">
        <f>IF('[3]2026 január'!AC9=0,
    "",
    '[3]2026 január'!AC9
)</f>
        <v/>
      </c>
      <c r="AG10" s="220" t="str">
        <f>IF('[3]2026 január'!AD9=0,
    "",
    '[3]2026 január'!AD9
)</f>
        <v/>
      </c>
      <c r="AH10" s="220" t="str">
        <f>IF('[3]2026 január'!AE$9=0,
    "",
    '[3]2026 január'!AE$9
)</f>
        <v/>
      </c>
      <c r="AI10" s="220" t="str">
        <f>IF('[3]2026 január'!AF9=0,
    "",
    '[3]2026 január'!AF9
)</f>
        <v/>
      </c>
      <c r="AJ10" s="220" t="str">
        <f>IF('[3]2026 január'!AG9=0,
    "",
    '[3]2026 január'!AG9
)</f>
        <v/>
      </c>
      <c r="AK10" s="220" t="str">
        <f>IF('[3]2026 január'!AH9=0,
    "",
    '[3]2026 január'!AH9
)</f>
        <v/>
      </c>
    </row>
    <row r="11" spans="1:37" ht="14.25" customHeight="1">
      <c r="A11" s="5">
        <v>46031</v>
      </c>
      <c r="B11" s="11">
        <v>99485</v>
      </c>
      <c r="C11" s="11">
        <v>300</v>
      </c>
      <c r="D11" s="11">
        <v>86295</v>
      </c>
      <c r="E11" s="11">
        <v>8490</v>
      </c>
      <c r="F11" s="11">
        <v>5150</v>
      </c>
      <c r="G11" s="11">
        <v>9620</v>
      </c>
      <c r="H11" s="11">
        <v>90615</v>
      </c>
      <c r="I11" s="11">
        <v>90615</v>
      </c>
      <c r="J11" s="33" t="s">
        <v>576</v>
      </c>
      <c r="K11" s="72">
        <v>204020405</v>
      </c>
      <c r="L11" s="72"/>
      <c r="M11" s="370"/>
      <c r="N11" s="148"/>
      <c r="O11" s="41"/>
      <c r="P11" s="220">
        <f>IF('[3]2026 január'!B$10=0,
    "",
    '[3]2026 január'!B$10
)</f>
        <v>99485</v>
      </c>
      <c r="Q11" s="220" t="str">
        <f>IF(OR('[3]2026 január'!G10=0,
       ISBLANK('[3]2026 január'!G10)),
    "",
    '[3]2026 január'!G10
)</f>
        <v/>
      </c>
      <c r="R11" s="41">
        <f>'[3]2026 január'!W10</f>
        <v>0</v>
      </c>
      <c r="S11" s="41"/>
      <c r="T11" s="41"/>
      <c r="U11" s="4"/>
      <c r="V11" s="220">
        <f>IF('[3]2026 január'!S10=0,
    "",
    '[3]2026 január'!S10
)</f>
        <v>51292</v>
      </c>
      <c r="W11" s="220">
        <f>IF('[3]2026 január'!T10=0,
    "",
    '[3]2026 január'!T10
)</f>
        <v>8870</v>
      </c>
      <c r="X11" s="220" t="str">
        <f>IF('[3]2026 január'!U10=0,
    "",
    '[3]2026 január'!U10
)</f>
        <v/>
      </c>
      <c r="Y11" s="220" t="str">
        <f>IF('[3]2026 január'!V10=0,
    "",
    '[3]2026 január'!V10
)</f>
        <v/>
      </c>
      <c r="Z11" s="220" t="str">
        <f>IF('[3]2026 január'!W10=0,
    "",
    '[3]2026 január'!W10
)</f>
        <v/>
      </c>
      <c r="AA11" s="220" t="str">
        <f>IF('[3]2026 január'!X10=0,
    "",
    '[3]2026 január'!X10
)</f>
        <v/>
      </c>
      <c r="AB11" s="220">
        <f>IF('[3]2026 január'!Y10=0,
    "",
    '[3]2026 január'!Y10
)</f>
        <v>60162</v>
      </c>
      <c r="AC11" s="220" t="str">
        <f>IF('[3]2026 január'!Z10=0,
    "",
    '[3]2026 január'!Z10
)</f>
        <v/>
      </c>
      <c r="AD11" s="220" t="str">
        <f>IF('[3]2026 január'!AA10=0,
    "",
    '[3]2026 január'!AA10
)</f>
        <v/>
      </c>
      <c r="AE11" s="220" t="str">
        <f>IF('[3]2026 január'!AB10=0,
    "",
    '[3]2026 január'!AB10
)</f>
        <v/>
      </c>
      <c r="AF11" s="220" t="str">
        <f>IF('[3]2026 január'!AC10=0,
    "",
    '[3]2026 január'!AC10
)</f>
        <v/>
      </c>
      <c r="AG11" s="220" t="str">
        <f>IF('[3]2026 január'!AD10=0,
    "",
    '[3]2026 január'!AD10
)</f>
        <v/>
      </c>
      <c r="AH11" s="220" t="str">
        <f>IF('[3]2026 január'!AE$10=0,
    "",
    '[3]2026 január'!AE$10
)</f>
        <v/>
      </c>
      <c r="AI11" s="220" t="str">
        <f>IF('[3]2026 január'!AF10=0,
    "",
    '[3]2026 január'!AF10
)</f>
        <v/>
      </c>
      <c r="AJ11" s="220" t="str">
        <f>IF('[3]2026 január'!AG10=0,
    "",
    '[3]2026 január'!AG10
)</f>
        <v/>
      </c>
      <c r="AK11" s="220" t="str">
        <f>IF('[3]2026 január'!AH10=0,
    "",
    '[3]2026 január'!AH10
)</f>
        <v/>
      </c>
    </row>
    <row r="12" spans="1:37" ht="14.25" customHeight="1">
      <c r="A12" s="141">
        <v>46032</v>
      </c>
      <c r="B12" s="142">
        <v>29770</v>
      </c>
      <c r="C12" s="142">
        <v>0</v>
      </c>
      <c r="D12" s="142">
        <v>28370</v>
      </c>
      <c r="E12" s="142">
        <v>1050</v>
      </c>
      <c r="F12" s="142">
        <v>350</v>
      </c>
      <c r="G12" s="142">
        <v>3360</v>
      </c>
      <c r="H12" s="142">
        <v>26410</v>
      </c>
      <c r="I12" s="142">
        <v>26410</v>
      </c>
      <c r="J12" s="198" t="s">
        <v>577</v>
      </c>
      <c r="K12" s="146">
        <v>204050175</v>
      </c>
      <c r="L12" s="146"/>
      <c r="M12" s="369"/>
      <c r="N12" s="153"/>
      <c r="O12" s="41"/>
      <c r="P12" s="220">
        <f>IF('[3]2026 január'!B$11=0,
    "",
    '[3]2026 január'!B$11
)</f>
        <v>29770</v>
      </c>
      <c r="Q12" s="220" t="str">
        <f>IF(OR('[3]2026 január'!G11=0,
       ISBLANK('[3]2026 január'!G11)),
    "",
    '[3]2026 január'!G11
)</f>
        <v/>
      </c>
      <c r="R12" s="41">
        <f>'[3]2026 január'!W11</f>
        <v>0</v>
      </c>
      <c r="S12" s="41"/>
      <c r="T12" s="41"/>
      <c r="U12" s="4"/>
      <c r="V12" s="220">
        <f>IF('[3]2026 január'!S11=0,
    "",
    '[3]2026 január'!S11
)</f>
        <v>60162</v>
      </c>
      <c r="W12" s="220">
        <f>IF('[3]2026 január'!T11=0,
    "",
    '[3]2026 január'!T11
)</f>
        <v>3360</v>
      </c>
      <c r="X12" s="220" t="str">
        <f>IF('[3]2026 január'!U11=0,
    "",
    '[3]2026 január'!U11
)</f>
        <v/>
      </c>
      <c r="Y12" s="220" t="str">
        <f>IF('[3]2026 január'!V11=0,
    "",
    '[3]2026 január'!V11
)</f>
        <v/>
      </c>
      <c r="Z12" s="220" t="str">
        <f>IF('[3]2026 január'!W11=0,
    "",
    '[3]2026 január'!W11
)</f>
        <v/>
      </c>
      <c r="AA12" s="220" t="str">
        <f>IF('[3]2026 január'!X11=0,
    "",
    '[3]2026 január'!X11
)</f>
        <v/>
      </c>
      <c r="AB12" s="220">
        <f>IF('[3]2026 január'!Y11=0,
    "",
    '[3]2026 január'!Y11
)</f>
        <v>63522</v>
      </c>
      <c r="AC12" s="220" t="str">
        <f>IF('[3]2026 január'!Z11=0,
    "",
    '[3]2026 január'!Z11
)</f>
        <v/>
      </c>
      <c r="AD12" s="220" t="str">
        <f>IF('[3]2026 január'!AA11=0,
    "",
    '[3]2026 január'!AA11
)</f>
        <v/>
      </c>
      <c r="AE12" s="220" t="str">
        <f>IF('[3]2026 január'!AB11=0,
    "",
    '[3]2026 január'!AB11
)</f>
        <v/>
      </c>
      <c r="AF12" s="220" t="str">
        <f>IF('[3]2026 január'!AC11=0,
    "",
    '[3]2026 január'!AC11
)</f>
        <v/>
      </c>
      <c r="AG12" s="220" t="str">
        <f>IF('[3]2026 január'!AD11=0,
    "",
    '[3]2026 január'!AD11
)</f>
        <v/>
      </c>
      <c r="AH12" s="220" t="str">
        <f>IF('[3]2026 január'!AE$11=0,
    "",
    '[3]2026 január'!AE$11
)</f>
        <v/>
      </c>
      <c r="AI12" s="220" t="str">
        <f>IF('[3]2026 január'!AF11=0,
    "",
    '[3]2026 január'!AF11
)</f>
        <v/>
      </c>
      <c r="AJ12" s="220" t="str">
        <f>IF('[3]2026 január'!AG11=0,
    "",
    '[3]2026 január'!AG11
)</f>
        <v/>
      </c>
      <c r="AK12" s="220" t="str">
        <f>IF('[3]2026 január'!AH11=0,
    "",
    '[3]2026 január'!AH11
)</f>
        <v/>
      </c>
    </row>
    <row r="13" spans="1:37" ht="14.25" customHeight="1">
      <c r="A13" s="141">
        <v>46033</v>
      </c>
      <c r="B13" s="142"/>
      <c r="C13" s="142"/>
      <c r="D13" s="142"/>
      <c r="E13" s="142"/>
      <c r="F13" s="142"/>
      <c r="G13" s="142"/>
      <c r="H13" s="142"/>
      <c r="I13" s="142"/>
      <c r="J13" s="198"/>
      <c r="K13" s="363"/>
      <c r="L13" s="146"/>
      <c r="M13" s="369"/>
      <c r="N13" s="153"/>
      <c r="O13" s="41"/>
      <c r="P13" s="220" t="str">
        <f>IF('[3]2026 január'!B$12=0,
    "",
    '[3]2026 január'!B$12
)</f>
        <v/>
      </c>
      <c r="Q13" s="220" t="str">
        <f>IF(OR('[3]2026 január'!G12=0,
       ISBLANK('[3]2026 január'!G12)),
    "",
    '[3]2026 január'!G12
)</f>
        <v/>
      </c>
      <c r="R13" s="41">
        <f>'[3]2026 január'!W12</f>
        <v>0</v>
      </c>
      <c r="S13" s="41"/>
      <c r="T13" s="41"/>
      <c r="U13" s="4"/>
      <c r="V13" s="220">
        <f>IF('[3]2026 január'!S12=0,
    "",
    '[3]2026 január'!S12
)</f>
        <v>63522</v>
      </c>
      <c r="W13" s="220" t="str">
        <f>IF('[3]2026 január'!T12=0,
    "",
    '[3]2026 január'!T12
)</f>
        <v/>
      </c>
      <c r="X13" s="220" t="str">
        <f>IF('[3]2026 január'!U12=0,
    "",
    '[3]2026 január'!U12
)</f>
        <v/>
      </c>
      <c r="Y13" s="220" t="str">
        <f>IF('[3]2026 január'!V12=0,
    "",
    '[3]2026 január'!V12
)</f>
        <v/>
      </c>
      <c r="Z13" s="220" t="str">
        <f>IF('[3]2026 január'!W12=0,
    "",
    '[3]2026 január'!W12
)</f>
        <v/>
      </c>
      <c r="AA13" s="220" t="str">
        <f>IF('[3]2026 január'!X12=0,
    "",
    '[3]2026 január'!X12
)</f>
        <v/>
      </c>
      <c r="AB13" s="220">
        <f>IF('[3]2026 január'!Y12=0,
    "",
    '[3]2026 január'!Y12
)</f>
        <v>63522</v>
      </c>
      <c r="AC13" s="220" t="str">
        <f>IF('[3]2026 január'!Z12=0,
    "",
    '[3]2026 január'!Z12
)</f>
        <v/>
      </c>
      <c r="AD13" s="220" t="str">
        <f>IF('[3]2026 január'!AA12=0,
    "",
    '[3]2026 január'!AA12
)</f>
        <v/>
      </c>
      <c r="AE13" s="220" t="str">
        <f>IF('[3]2026 január'!AB12=0,
    "",
    '[3]2026 január'!AB12
)</f>
        <v/>
      </c>
      <c r="AF13" s="220" t="str">
        <f>IF('[3]2026 január'!AC12=0,
    "",
    '[3]2026 január'!AC12
)</f>
        <v/>
      </c>
      <c r="AG13" s="220" t="str">
        <f>IF('[3]2026 január'!AD12=0,
    "",
    '[3]2026 január'!AD12
)</f>
        <v/>
      </c>
      <c r="AH13" s="220" t="str">
        <f>IF('[3]2026 január'!AE$12=0,
    "",
    '[3]2026 január'!AE$12
)</f>
        <v/>
      </c>
      <c r="AI13" s="220" t="str">
        <f>IF('[3]2026 január'!AF12=0,
    "",
    '[3]2026 január'!AF12
)</f>
        <v/>
      </c>
      <c r="AJ13" s="220" t="str">
        <f>IF('[3]2026 január'!AG12=0,
    "",
    '[3]2026 január'!AG12
)</f>
        <v/>
      </c>
      <c r="AK13" s="220" t="str">
        <f>IF('[3]2026 január'!AH12=0,
    "",
    '[3]2026 január'!AH12
)</f>
        <v/>
      </c>
    </row>
    <row r="14" spans="1:37" ht="14.25" customHeight="1">
      <c r="A14" s="5">
        <v>46034</v>
      </c>
      <c r="B14" s="11">
        <v>135650</v>
      </c>
      <c r="C14" s="11">
        <v>950</v>
      </c>
      <c r="D14" s="11">
        <v>126190</v>
      </c>
      <c r="E14" s="11">
        <v>1870</v>
      </c>
      <c r="F14" s="11">
        <v>5120</v>
      </c>
      <c r="G14" s="11">
        <v>13630</v>
      </c>
      <c r="H14" s="11">
        <v>120500</v>
      </c>
      <c r="I14" s="11">
        <v>120500</v>
      </c>
      <c r="J14" s="33" t="s">
        <v>578</v>
      </c>
      <c r="K14" s="72">
        <v>204184305</v>
      </c>
      <c r="L14" s="72"/>
      <c r="M14" s="370"/>
      <c r="N14" s="148"/>
      <c r="O14" s="41"/>
      <c r="P14" s="220">
        <f>IF('[3]2026 január'!B$13=0,
    "",
    '[3]2026 január'!B$13
)</f>
        <v>135650</v>
      </c>
      <c r="Q14" s="220" t="str">
        <f>IF(OR('[3]2026 január'!G13=0,
       ISBLANK('[3]2026 január'!G13)),
    "",
    '[3]2026 január'!G13
)</f>
        <v/>
      </c>
      <c r="R14" s="41">
        <f>'[3]2026 január'!W13</f>
        <v>0</v>
      </c>
      <c r="S14" s="41"/>
      <c r="T14" s="41"/>
      <c r="U14" s="4"/>
      <c r="V14" s="220">
        <f>IF('[3]2026 január'!S13=0,
    "",
    '[3]2026 január'!S13
)</f>
        <v>63522</v>
      </c>
      <c r="W14" s="220">
        <f>IF('[3]2026 január'!T13=0,
    "",
    '[3]2026 január'!T13
)</f>
        <v>15150</v>
      </c>
      <c r="X14" s="220" t="str">
        <f>IF('[3]2026 január'!U13=0,
    "",
    '[3]2026 január'!U13
)</f>
        <v/>
      </c>
      <c r="Y14" s="220" t="str">
        <f>IF('[3]2026 január'!V13=0,
    "",
    '[3]2026 január'!V13
)</f>
        <v/>
      </c>
      <c r="Z14" s="220" t="str">
        <f>IF('[3]2026 január'!W13=0,
    "",
    '[3]2026 január'!W13
)</f>
        <v/>
      </c>
      <c r="AA14" s="220" t="str">
        <f>IF('[3]2026 január'!X13=0,
    "",
    '[3]2026 január'!X13
)</f>
        <v/>
      </c>
      <c r="AB14" s="220">
        <f>IF('[3]2026 január'!Y13=0,
    "",
    '[3]2026 január'!Y13
)</f>
        <v>78672</v>
      </c>
      <c r="AC14" s="220" t="str">
        <f>IF('[3]2026 január'!Z13=0,
    "",
    '[3]2026 január'!Z13
)</f>
        <v/>
      </c>
      <c r="AD14" s="220" t="str">
        <f>IF('[3]2026 január'!AA13=0,
    "",
    '[3]2026 január'!AA13
)</f>
        <v/>
      </c>
      <c r="AE14" s="220" t="str">
        <f>IF('[3]2026 január'!AB13=0,
    "",
    '[3]2026 január'!AB13
)</f>
        <v/>
      </c>
      <c r="AF14" s="220" t="str">
        <f>IF('[3]2026 január'!AC13=0,
    "",
    '[3]2026 január'!AC13
)</f>
        <v/>
      </c>
      <c r="AG14" s="220" t="str">
        <f>IF('[3]2026 január'!AD13=0,
    "",
    '[3]2026 január'!AD13
)</f>
        <v/>
      </c>
      <c r="AH14" s="220" t="str">
        <f>IF('[3]2026 január'!AE$13=0,
    "",
    '[3]2026 január'!AE$13
)</f>
        <v/>
      </c>
      <c r="AI14" s="220" t="str">
        <f>IF('[3]2026 január'!AF13=0,
    "",
    '[3]2026 január'!AF13
)</f>
        <v/>
      </c>
      <c r="AJ14" s="220" t="str">
        <f>IF('[3]2026 január'!AG13=0,
    "",
    '[3]2026 január'!AG13
)</f>
        <v/>
      </c>
      <c r="AK14" s="220" t="str">
        <f>IF('[3]2026 január'!AH13=0,
    "",
    '[3]2026 január'!AH13
)</f>
        <v/>
      </c>
    </row>
    <row r="15" spans="1:37" ht="14.25" customHeight="1">
      <c r="A15" s="5">
        <v>46035</v>
      </c>
      <c r="B15" s="11">
        <v>180610</v>
      </c>
      <c r="C15" s="11">
        <v>900</v>
      </c>
      <c r="D15" s="11">
        <v>156490</v>
      </c>
      <c r="E15" s="11">
        <v>5000</v>
      </c>
      <c r="F15" s="11">
        <v>14640</v>
      </c>
      <c r="G15" s="11">
        <v>14035</v>
      </c>
      <c r="H15" s="11">
        <v>162995</v>
      </c>
      <c r="I15" s="11">
        <v>162995</v>
      </c>
      <c r="J15" s="33" t="s">
        <v>579</v>
      </c>
      <c r="K15" s="72">
        <v>204361335</v>
      </c>
      <c r="L15" s="72"/>
      <c r="M15" s="370"/>
      <c r="N15" s="148"/>
      <c r="O15" s="41"/>
      <c r="P15" s="220">
        <f>IF('[3]2026 január'!B$14=0,
    "",
    '[3]2026 január'!B$14
)</f>
        <v>180610</v>
      </c>
      <c r="Q15" s="220" t="str">
        <f>IF(OR('[3]2026 január'!G14=0,
       ISBLANK('[3]2026 január'!G14)),
    "",
    '[3]2026 január'!G14
)</f>
        <v/>
      </c>
      <c r="R15" s="41">
        <f>'[3]2026 január'!W14</f>
        <v>0</v>
      </c>
      <c r="S15" s="41"/>
      <c r="T15" s="41"/>
      <c r="U15" s="4"/>
      <c r="V15" s="220">
        <f>IF('[3]2026 január'!S14=0,
    "",
    '[3]2026 január'!S14
)</f>
        <v>78672</v>
      </c>
      <c r="W15" s="220">
        <f>IF('[3]2026 január'!T14=0,
    "",
    '[3]2026 január'!T14
)</f>
        <v>17615</v>
      </c>
      <c r="X15" s="220" t="str">
        <f>IF('[3]2026 január'!U14=0,
    "",
    '[3]2026 január'!U14
)</f>
        <v/>
      </c>
      <c r="Y15" s="220" t="str">
        <f>IF('[3]2026 január'!V14=0,
    "",
    '[3]2026 január'!V14
)</f>
        <v/>
      </c>
      <c r="Z15" s="220" t="str">
        <f>IF('[3]2026 január'!W14=0,
    "",
    '[3]2026 január'!W14
)</f>
        <v/>
      </c>
      <c r="AA15" s="220" t="str">
        <f>IF('[3]2026 január'!X14=0,
    "",
    '[3]2026 január'!X14
)</f>
        <v/>
      </c>
      <c r="AB15" s="220">
        <f>IF('[3]2026 január'!Y14=0,
    "",
    '[3]2026 január'!Y14
)</f>
        <v>96287</v>
      </c>
      <c r="AC15" s="220" t="str">
        <f>IF('[3]2026 január'!Z14=0,
    "",
    '[3]2026 január'!Z14
)</f>
        <v/>
      </c>
      <c r="AD15" s="220" t="str">
        <f>IF('[3]2026 január'!AA14=0,
    "",
    '[3]2026 január'!AA14
)</f>
        <v/>
      </c>
      <c r="AE15" s="220" t="str">
        <f>IF('[3]2026 január'!AB14=0,
    "",
    '[3]2026 január'!AB14
)</f>
        <v/>
      </c>
      <c r="AF15" s="220" t="str">
        <f>IF('[3]2026 január'!AC14=0,
    "",
    '[3]2026 január'!AC14
)</f>
        <v/>
      </c>
      <c r="AG15" s="220" t="str">
        <f>IF('[3]2026 január'!AD14=0,
    "",
    '[3]2026 január'!AD14
)</f>
        <v/>
      </c>
      <c r="AH15" s="220" t="str">
        <f>IF('[3]2026 január'!AE$14=0,
    "",
    '[3]2026 január'!AE$14
)</f>
        <v/>
      </c>
      <c r="AI15" s="220" t="str">
        <f>IF('[3]2026 január'!AF14=0,
    "",
    '[3]2026 január'!AF14
)</f>
        <v/>
      </c>
      <c r="AJ15" s="220" t="str">
        <f>IF('[3]2026 január'!AG14=0,
    "",
    '[3]2026 január'!AG14
)</f>
        <v/>
      </c>
      <c r="AK15" s="220" t="str">
        <f>IF('[3]2026 január'!AH14=0,
    "",
    '[3]2026 január'!AH14
)</f>
        <v/>
      </c>
    </row>
    <row r="16" spans="1:37" ht="14.25" customHeight="1">
      <c r="A16" s="5">
        <v>46036</v>
      </c>
      <c r="B16" s="11">
        <v>228065</v>
      </c>
      <c r="C16" s="11">
        <v>50</v>
      </c>
      <c r="D16" s="11">
        <v>184885</v>
      </c>
      <c r="E16" s="11">
        <v>850</v>
      </c>
      <c r="F16" s="11">
        <v>33900</v>
      </c>
      <c r="G16" s="11">
        <v>18900</v>
      </c>
      <c r="H16" s="11">
        <v>200785</v>
      </c>
      <c r="I16" s="11">
        <v>200785</v>
      </c>
      <c r="J16" s="33" t="s">
        <v>580</v>
      </c>
      <c r="K16" s="72">
        <v>204581020</v>
      </c>
      <c r="L16" s="72"/>
      <c r="M16" s="370"/>
      <c r="N16" s="148"/>
      <c r="O16" s="41"/>
      <c r="P16" s="220">
        <f>IF('[3]2026 január'!B$15=0,
    "",
    '[3]2026 január'!B$15
)</f>
        <v>228065</v>
      </c>
      <c r="Q16" s="220" t="str">
        <f>IF(OR('[3]2026 január'!G15=0,
       ISBLANK('[3]2026 január'!G15)),
    "",
    '[3]2026 január'!G15
)</f>
        <v/>
      </c>
      <c r="R16" s="41">
        <f>'[3]2026 január'!W15</f>
        <v>0</v>
      </c>
      <c r="S16" s="41"/>
      <c r="T16" s="41"/>
      <c r="U16" s="4"/>
      <c r="V16" s="220">
        <f>IF('[3]2026 január'!S15=0,
    "",
    '[3]2026 január'!S15
)</f>
        <v>96287</v>
      </c>
      <c r="W16" s="220">
        <f>IF('[3]2026 január'!T15=0,
    "",
    '[3]2026 január'!T15
)</f>
        <v>27280</v>
      </c>
      <c r="X16" s="220" t="str">
        <f>IF('[3]2026 január'!U15=0,
    "",
    '[3]2026 január'!U15
)</f>
        <v/>
      </c>
      <c r="Y16" s="220" t="str">
        <f>IF('[3]2026 január'!V15=0,
    "",
    '[3]2026 január'!V15
)</f>
        <v/>
      </c>
      <c r="Z16" s="220" t="str">
        <f>IF('[3]2026 január'!W15=0,
    "",
    '[3]2026 január'!W15
)</f>
        <v/>
      </c>
      <c r="AA16" s="220" t="str">
        <f>IF('[3]2026 január'!X15=0,
    "",
    '[3]2026 január'!X15
)</f>
        <v/>
      </c>
      <c r="AB16" s="220">
        <f>IF('[3]2026 január'!Y15=0,
    "",
    '[3]2026 január'!Y15
)</f>
        <v>123567</v>
      </c>
      <c r="AC16" s="220" t="str">
        <f>IF('[3]2026 január'!Z15=0,
    "",
    '[3]2026 január'!Z15
)</f>
        <v/>
      </c>
      <c r="AD16" s="220" t="str">
        <f>IF('[3]2026 január'!AA15=0,
    "",
    '[3]2026 január'!AA15
)</f>
        <v/>
      </c>
      <c r="AE16" s="220" t="str">
        <f>IF('[3]2026 január'!AB15=0,
    "",
    '[3]2026 január'!AB15
)</f>
        <v/>
      </c>
      <c r="AF16" s="220" t="str">
        <f>IF('[3]2026 január'!AC15=0,
    "",
    '[3]2026 január'!AC15
)</f>
        <v/>
      </c>
      <c r="AG16" s="220" t="str">
        <f>IF('[3]2026 január'!AD15=0,
    "",
    '[3]2026 január'!AD15
)</f>
        <v/>
      </c>
      <c r="AH16" s="220" t="str">
        <f>IF('[3]2026 január'!AE$15=0,
    "",
    '[3]2026 január'!AE$15
)</f>
        <v/>
      </c>
      <c r="AI16" s="220" t="str">
        <f>IF('[3]2026 január'!AF15=0,
    "",
    '[3]2026 január'!AF15
)</f>
        <v/>
      </c>
      <c r="AJ16" s="220" t="str">
        <f>IF('[3]2026 január'!AG15=0,
    "",
    '[3]2026 január'!AG15
)</f>
        <v/>
      </c>
      <c r="AK16" s="220" t="str">
        <f>IF('[3]2026 január'!AH15=0,
    "",
    '[3]2026 január'!AH15
)</f>
        <v/>
      </c>
    </row>
    <row r="17" spans="1:37" ht="14.25" customHeight="1">
      <c r="A17" s="5">
        <v>46037</v>
      </c>
      <c r="B17" s="11">
        <v>241125</v>
      </c>
      <c r="C17" s="11">
        <v>50</v>
      </c>
      <c r="D17" s="11">
        <v>191920</v>
      </c>
      <c r="E17" s="11">
        <v>4610</v>
      </c>
      <c r="F17" s="11">
        <v>33620</v>
      </c>
      <c r="G17" s="11">
        <v>30060</v>
      </c>
      <c r="H17" s="11">
        <v>200140</v>
      </c>
      <c r="I17" s="11">
        <v>200140</v>
      </c>
      <c r="J17" s="33" t="s">
        <v>581</v>
      </c>
      <c r="K17" s="72">
        <v>204811220</v>
      </c>
      <c r="L17" s="72"/>
      <c r="M17" s="370"/>
      <c r="N17" s="148"/>
      <c r="O17" s="41"/>
      <c r="P17" s="220">
        <f>IF('[3]2026 január'!B$16=0,
    "",
    '[3]2026 január'!B$16
)</f>
        <v>241125</v>
      </c>
      <c r="Q17" s="220" t="str">
        <f>IF(OR('[3]2026 január'!G16=0,
       ISBLANK('[3]2026 január'!G16)),
    "",
    '[3]2026 január'!G16
)</f>
        <v/>
      </c>
      <c r="R17" s="41">
        <f>'[3]2026 január'!W16</f>
        <v>0</v>
      </c>
      <c r="S17" s="41"/>
      <c r="T17" s="41"/>
      <c r="U17" s="4"/>
      <c r="V17" s="220">
        <f>IF('[3]2026 január'!S16=0,
    "",
    '[3]2026 január'!S16
)</f>
        <v>123567</v>
      </c>
      <c r="W17" s="220">
        <f>IF('[3]2026 január'!T16=0,
    "",
    '[3]2026 január'!T16
)</f>
        <v>40985</v>
      </c>
      <c r="X17" s="220" t="str">
        <f>IF('[3]2026 január'!U16=0,
    "",
    '[3]2026 január'!U16
)</f>
        <v/>
      </c>
      <c r="Y17" s="220" t="str">
        <f>IF('[3]2026 január'!V16=0,
    "",
    '[3]2026 január'!V16
)</f>
        <v/>
      </c>
      <c r="Z17" s="220" t="str">
        <f>IF('[3]2026 január'!W16=0,
    "",
    '[3]2026 január'!W16
)</f>
        <v/>
      </c>
      <c r="AA17" s="220" t="str">
        <f>IF('[3]2026 január'!X16=0,
    "",
    '[3]2026 január'!X16
)</f>
        <v/>
      </c>
      <c r="AB17" s="220">
        <f>IF('[3]2026 január'!Y16=0,
    "",
    '[3]2026 január'!Y16
)</f>
        <v>164552</v>
      </c>
      <c r="AC17" s="220" t="str">
        <f>IF('[3]2026 január'!Z16=0,
    "",
    '[3]2026 január'!Z16
)</f>
        <v/>
      </c>
      <c r="AD17" s="220" t="str">
        <f>IF('[3]2026 január'!AA16=0,
    "",
    '[3]2026 január'!AA16
)</f>
        <v/>
      </c>
      <c r="AE17" s="220" t="str">
        <f>IF('[3]2026 január'!AB16=0,
    "",
    '[3]2026 január'!AB16
)</f>
        <v/>
      </c>
      <c r="AF17" s="220" t="str">
        <f>IF('[3]2026 január'!AC16=0,
    "",
    '[3]2026 január'!AC16
)</f>
        <v/>
      </c>
      <c r="AG17" s="220" t="str">
        <f>IF('[3]2026 január'!AD16=0,
    "",
    '[3]2026 január'!AD16
)</f>
        <v/>
      </c>
      <c r="AH17" s="220" t="str">
        <f>IF('[3]2026 január'!AE$16=0,
    "",
    '[3]2026 január'!AE$16
)</f>
        <v/>
      </c>
      <c r="AI17" s="220" t="str">
        <f>IF('[3]2026 január'!AF16=0,
    "",
    '[3]2026 január'!AF16
)</f>
        <v/>
      </c>
      <c r="AJ17" s="220" t="str">
        <f>IF('[3]2026 január'!AG16=0,
    "",
    '[3]2026 január'!AG16
)</f>
        <v/>
      </c>
      <c r="AK17" s="220" t="str">
        <f>IF('[3]2026 január'!AH16=0,
    "",
    '[3]2026 január'!AH16
)</f>
        <v/>
      </c>
    </row>
    <row r="18" spans="1:37" ht="14.25" customHeight="1">
      <c r="A18" s="5">
        <v>46038</v>
      </c>
      <c r="B18" s="11">
        <v>177235</v>
      </c>
      <c r="C18" s="11">
        <v>0</v>
      </c>
      <c r="D18" s="11">
        <v>153705</v>
      </c>
      <c r="E18" s="11">
        <v>5150</v>
      </c>
      <c r="F18" s="11">
        <v>14630</v>
      </c>
      <c r="G18" s="11">
        <v>38600</v>
      </c>
      <c r="H18" s="11">
        <v>134885</v>
      </c>
      <c r="I18" s="11">
        <v>134885</v>
      </c>
      <c r="J18" s="33" t="s">
        <v>582</v>
      </c>
      <c r="K18" s="72">
        <v>204984705</v>
      </c>
      <c r="L18" s="72"/>
      <c r="M18" s="370"/>
      <c r="N18" s="148"/>
      <c r="O18" s="41"/>
      <c r="P18" s="220">
        <f>IF('[3]2026 január'!B$17=0,
    "",
    '[3]2026 január'!B$17
)</f>
        <v>177235</v>
      </c>
      <c r="Q18" s="220" t="str">
        <f>IF(OR('[3]2026 január'!G17=0,
       ISBLANK('[3]2026 január'!G17)),
    "",
    '[3]2026 január'!G17
)</f>
        <v/>
      </c>
      <c r="R18" s="41">
        <f>'[3]2026 január'!W17</f>
        <v>0</v>
      </c>
      <c r="S18" s="41"/>
      <c r="T18" s="41"/>
      <c r="U18" s="4"/>
      <c r="V18" s="220">
        <f>IF('[3]2026 január'!S17=0,
    "",
    '[3]2026 január'!S17
)</f>
        <v>164552</v>
      </c>
      <c r="W18" s="220">
        <f>IF('[3]2026 január'!T17=0,
    "",
    '[3]2026 január'!T17
)</f>
        <v>42350</v>
      </c>
      <c r="X18" s="220" t="str">
        <f>IF('[3]2026 január'!U17=0,
    "",
    '[3]2026 január'!U17
)</f>
        <v/>
      </c>
      <c r="Y18" s="220" t="str">
        <f>IF('[3]2026 január'!V17=0,
    "",
    '[3]2026 január'!V17
)</f>
        <v/>
      </c>
      <c r="Z18" s="220" t="str">
        <f>IF('[3]2026 január'!W17=0,
    "",
    '[3]2026 január'!W17
)</f>
        <v/>
      </c>
      <c r="AA18" s="220" t="str">
        <f>IF('[3]2026 január'!X17=0,
    "",
    '[3]2026 január'!X17
)</f>
        <v/>
      </c>
      <c r="AB18" s="220">
        <f>IF('[3]2026 január'!Y17=0,
    "",
    '[3]2026 január'!Y17
)</f>
        <v>206902</v>
      </c>
      <c r="AC18" s="220" t="str">
        <f>IF('[3]2026 január'!Z17=0,
    "",
    '[3]2026 január'!Z17
)</f>
        <v/>
      </c>
      <c r="AD18" s="220" t="str">
        <f>IF('[3]2026 január'!AA17=0,
    "",
    '[3]2026 január'!AA17
)</f>
        <v/>
      </c>
      <c r="AE18" s="220" t="str">
        <f>IF('[3]2026 január'!AB17=0,
    "",
    '[3]2026 január'!AB17
)</f>
        <v/>
      </c>
      <c r="AF18" s="220" t="str">
        <f>IF('[3]2026 január'!AC17=0,
    "",
    '[3]2026 január'!AC17
)</f>
        <v/>
      </c>
      <c r="AG18" s="220" t="str">
        <f>IF('[3]2026 január'!AD17=0,
    "",
    '[3]2026 január'!AD17
)</f>
        <v/>
      </c>
      <c r="AH18" s="220" t="str">
        <f>IF('[3]2026 január'!AE$17=0,
    "",
    '[3]2026 január'!AE$17
)</f>
        <v/>
      </c>
      <c r="AI18" s="220" t="str">
        <f>IF('[3]2026 január'!AF17=0,
    "",
    '[3]2026 január'!AF17
)</f>
        <v/>
      </c>
      <c r="AJ18" s="220" t="str">
        <f>IF('[3]2026 január'!AG17=0,
    "",
    '[3]2026 január'!AG17
)</f>
        <v/>
      </c>
      <c r="AK18" s="220" t="str">
        <f>IF('[3]2026 január'!AH17=0,
    "",
    '[3]2026 január'!AH17
)</f>
        <v/>
      </c>
    </row>
    <row r="19" spans="1:37" ht="14.25" customHeight="1">
      <c r="A19" s="141">
        <v>46039</v>
      </c>
      <c r="B19" s="142"/>
      <c r="C19" s="142"/>
      <c r="D19" s="142"/>
      <c r="E19" s="142"/>
      <c r="F19" s="142"/>
      <c r="G19" s="142"/>
      <c r="H19" s="142"/>
      <c r="I19" s="142"/>
      <c r="J19" s="198"/>
      <c r="K19" s="146"/>
      <c r="L19" s="146"/>
      <c r="M19" s="369"/>
      <c r="N19" s="153"/>
      <c r="O19" s="41"/>
      <c r="P19" s="220" t="str">
        <f>IF('[3]2026 január'!B$18=0,
    "",
    '[3]2026 január'!B$18
)</f>
        <v/>
      </c>
      <c r="Q19" s="220" t="str">
        <f>IF(OR('[3]2026 január'!G18=0,
       ISBLANK('[3]2026 január'!G18)),
    "",
    '[3]2026 január'!G18
)</f>
        <v/>
      </c>
      <c r="R19" s="41">
        <f>'[3]2026 január'!W18</f>
        <v>0</v>
      </c>
      <c r="S19" s="41"/>
      <c r="T19" s="41"/>
      <c r="U19" s="4"/>
      <c r="V19" s="220">
        <f>IF('[3]2026 január'!S18=0,
    "",
    '[3]2026 január'!S18
)</f>
        <v>206902</v>
      </c>
      <c r="W19" s="220" t="str">
        <f>IF('[3]2026 január'!T18=0,
    "",
    '[3]2026 január'!T18
)</f>
        <v/>
      </c>
      <c r="X19" s="220" t="str">
        <f>IF('[3]2026 január'!U18=0,
    "",
    '[3]2026 január'!U18
)</f>
        <v/>
      </c>
      <c r="Y19" s="220" t="str">
        <f>IF('[3]2026 január'!V18=0,
    "",
    '[3]2026 január'!V18
)</f>
        <v/>
      </c>
      <c r="Z19" s="220" t="str">
        <f>IF('[3]2026 január'!W18=0,
    "",
    '[3]2026 január'!W18
)</f>
        <v/>
      </c>
      <c r="AA19" s="220" t="str">
        <f>IF('[3]2026 január'!X18=0,
    "",
    '[3]2026 január'!X18
)</f>
        <v/>
      </c>
      <c r="AB19" s="220">
        <f>IF('[3]2026 január'!Y18=0,
    "",
    '[3]2026 január'!Y18
)</f>
        <v>206902</v>
      </c>
      <c r="AC19" s="220" t="str">
        <f>IF('[3]2026 január'!Z18=0,
    "",
    '[3]2026 január'!Z18
)</f>
        <v/>
      </c>
      <c r="AD19" s="220" t="str">
        <f>IF('[3]2026 január'!AA18=0,
    "",
    '[3]2026 január'!AA18
)</f>
        <v/>
      </c>
      <c r="AE19" s="220" t="str">
        <f>IF('[3]2026 január'!AB18=0,
    "",
    '[3]2026 január'!AB18
)</f>
        <v/>
      </c>
      <c r="AF19" s="220" t="str">
        <f>IF('[3]2026 január'!AC18=0,
    "",
    '[3]2026 január'!AC18
)</f>
        <v/>
      </c>
      <c r="AG19" s="220" t="str">
        <f>IF('[3]2026 január'!AD18=0,
    "",
    '[3]2026 január'!AD18
)</f>
        <v/>
      </c>
      <c r="AH19" s="220" t="str">
        <f>IF('[3]2026 január'!AE$18=0,
    "",
    '[3]2026 január'!AE$18
)</f>
        <v/>
      </c>
      <c r="AI19" s="220" t="str">
        <f>IF('[3]2026 január'!AF18=0,
    "",
    '[3]2026 január'!AF18
)</f>
        <v/>
      </c>
      <c r="AJ19" s="220" t="str">
        <f>IF('[3]2026 január'!AG18=0,
    "",
    '[3]2026 január'!AG18
)</f>
        <v/>
      </c>
      <c r="AK19" s="220" t="str">
        <f>IF('[3]2026 január'!AH18=0,
    "",
    '[3]2026 január'!AH18
)</f>
        <v/>
      </c>
    </row>
    <row r="20" spans="1:37" ht="14.25" customHeight="1">
      <c r="A20" s="141">
        <v>46040</v>
      </c>
      <c r="B20" s="142"/>
      <c r="C20" s="142"/>
      <c r="D20" s="142"/>
      <c r="E20" s="142"/>
      <c r="F20" s="142"/>
      <c r="G20" s="142"/>
      <c r="H20" s="142"/>
      <c r="I20" s="142"/>
      <c r="J20" s="198"/>
      <c r="K20" s="146"/>
      <c r="L20" s="146"/>
      <c r="M20" s="369"/>
      <c r="N20" s="153"/>
      <c r="O20" s="41"/>
      <c r="P20" s="220" t="str">
        <f>IF('[3]2026 január'!B$19=0,
    "",
    '[3]2026 január'!B$19
)</f>
        <v/>
      </c>
      <c r="Q20" s="220" t="str">
        <f>IF(OR('[3]2026 január'!G19=0,
       ISBLANK('[3]2026 január'!G19)),
    "",
    '[3]2026 január'!G19
)</f>
        <v/>
      </c>
      <c r="R20" s="41">
        <f>'[3]2026 január'!W19</f>
        <v>0</v>
      </c>
      <c r="S20" s="41"/>
      <c r="T20" s="41"/>
      <c r="U20" s="4"/>
      <c r="V20" s="220">
        <f>IF('[3]2026 január'!S19=0,
    "",
    '[3]2026 január'!S19
)</f>
        <v>206902</v>
      </c>
      <c r="W20" s="220" t="str">
        <f>IF('[3]2026 január'!T19=0,
    "",
    '[3]2026 január'!T19
)</f>
        <v/>
      </c>
      <c r="X20" s="220" t="str">
        <f>IF('[3]2026 január'!U19=0,
    "",
    '[3]2026 január'!U19
)</f>
        <v/>
      </c>
      <c r="Y20" s="220" t="str">
        <f>IF('[3]2026 január'!V19=0,
    "",
    '[3]2026 január'!V19
)</f>
        <v/>
      </c>
      <c r="Z20" s="220" t="str">
        <f>IF('[3]2026 január'!W19=0,
    "",
    '[3]2026 január'!W19
)</f>
        <v/>
      </c>
      <c r="AA20" s="220" t="str">
        <f>IF('[3]2026 január'!X19=0,
    "",
    '[3]2026 január'!X19
)</f>
        <v/>
      </c>
      <c r="AB20" s="220">
        <f>IF('[3]2026 január'!Y19=0,
    "",
    '[3]2026 január'!Y19
)</f>
        <v>206902</v>
      </c>
      <c r="AC20" s="220" t="str">
        <f>IF('[3]2026 január'!Z19=0,
    "",
    '[3]2026 január'!Z19
)</f>
        <v/>
      </c>
      <c r="AD20" s="220" t="str">
        <f>IF('[3]2026 január'!AA19=0,
    "",
    '[3]2026 január'!AA19
)</f>
        <v/>
      </c>
      <c r="AE20" s="220" t="str">
        <f>IF('[3]2026 január'!AB19=0,
    "",
    '[3]2026 január'!AB19
)</f>
        <v/>
      </c>
      <c r="AF20" s="220" t="str">
        <f>IF('[3]2026 január'!AC19=0,
    "",
    '[3]2026 január'!AC19
)</f>
        <v/>
      </c>
      <c r="AG20" s="220" t="str">
        <f>IF('[3]2026 január'!AD19=0,
    "",
    '[3]2026 január'!AD19
)</f>
        <v/>
      </c>
      <c r="AH20" s="220" t="str">
        <f>IF('[3]2026 január'!AE$19=0,
    "",
    '[3]2026 január'!AE$19
)</f>
        <v/>
      </c>
      <c r="AI20" s="220" t="str">
        <f>IF('[3]2026 január'!AF19=0,
    "",
    '[3]2026 január'!AF19
)</f>
        <v/>
      </c>
      <c r="AJ20" s="220" t="str">
        <f>IF('[3]2026 január'!AG19=0,
    "",
    '[3]2026 január'!AG19
)</f>
        <v/>
      </c>
      <c r="AK20" s="220" t="str">
        <f>IF('[3]2026 január'!AH19=0,
    "",
    '[3]2026 január'!AH19
)</f>
        <v/>
      </c>
    </row>
    <row r="21" spans="1:37" ht="14.25" customHeight="1">
      <c r="A21" s="5">
        <v>46041</v>
      </c>
      <c r="B21" s="11">
        <v>160360</v>
      </c>
      <c r="C21" s="11">
        <v>0</v>
      </c>
      <c r="D21" s="11">
        <v>141890</v>
      </c>
      <c r="E21" s="11">
        <v>6970</v>
      </c>
      <c r="F21" s="11">
        <v>8960</v>
      </c>
      <c r="G21" s="11">
        <v>19270</v>
      </c>
      <c r="H21" s="11">
        <v>138550</v>
      </c>
      <c r="I21" s="11">
        <v>138550</v>
      </c>
      <c r="J21" s="33" t="s">
        <v>583</v>
      </c>
      <c r="K21" s="72">
        <v>205142525</v>
      </c>
      <c r="L21" s="72"/>
      <c r="M21" s="370"/>
      <c r="N21" s="148"/>
      <c r="O21" s="41"/>
      <c r="P21" s="220">
        <f>IF('[3]2026 január'!B$20=0,
    "",
    '[3]2026 január'!B$20
)</f>
        <v>160360</v>
      </c>
      <c r="Q21" s="220" t="str">
        <f>IF(OR('[3]2026 január'!G20=0,
       ISBLANK('[3]2026 január'!G20)),
    "",
    '[3]2026 január'!G20
)</f>
        <v/>
      </c>
      <c r="R21" s="41">
        <f>'[3]2026 január'!W20</f>
        <v>0</v>
      </c>
      <c r="S21" s="41"/>
      <c r="T21" s="41"/>
      <c r="U21" s="4"/>
      <c r="V21" s="220">
        <f>IF('[3]2026 január'!S20=0,
    "",
    '[3]2026 január'!S20
)</f>
        <v>206902</v>
      </c>
      <c r="W21" s="220">
        <f>IF('[3]2026 január'!T20=0,
    "",
    '[3]2026 január'!T20
)</f>
        <v>21810</v>
      </c>
      <c r="X21" s="220" t="str">
        <f>IF('[3]2026 január'!U20=0,
    "",
    '[3]2026 január'!U20
)</f>
        <v/>
      </c>
      <c r="Y21" s="220" t="str">
        <f>IF('[3]2026 január'!V20=0,
    "",
    '[3]2026 január'!V20
)</f>
        <v/>
      </c>
      <c r="Z21" s="220" t="str">
        <f>IF('[3]2026 január'!W20=0,
    "",
    '[3]2026 január'!W20
)</f>
        <v/>
      </c>
      <c r="AA21" s="220" t="str">
        <f>IF('[3]2026 január'!X20=0,
    "",
    '[3]2026 január'!X20
)</f>
        <v/>
      </c>
      <c r="AB21" s="220">
        <f>IF('[3]2026 január'!Y20=0,
    "",
    '[3]2026 január'!Y20
)</f>
        <v>228712</v>
      </c>
      <c r="AC21" s="220" t="str">
        <f>IF('[3]2026 január'!Z20=0,
    "",
    '[3]2026 január'!Z20
)</f>
        <v/>
      </c>
      <c r="AD21" s="220" t="str">
        <f>IF('[3]2026 január'!AA20=0,
    "",
    '[3]2026 január'!AA20
)</f>
        <v/>
      </c>
      <c r="AE21" s="220" t="str">
        <f>IF('[3]2026 január'!AB20=0,
    "",
    '[3]2026 január'!AB20
)</f>
        <v/>
      </c>
      <c r="AF21" s="220" t="str">
        <f>IF('[3]2026 január'!AC20=0,
    "",
    '[3]2026 január'!AC20
)</f>
        <v/>
      </c>
      <c r="AG21" s="220" t="str">
        <f>IF('[3]2026 január'!AD20=0,
    "",
    '[3]2026 január'!AD20
)</f>
        <v/>
      </c>
      <c r="AH21" s="220" t="str">
        <f>IF('[3]2026 január'!AE$20=0,
    "",
    '[3]2026 január'!AE$20
)</f>
        <v/>
      </c>
      <c r="AI21" s="220" t="str">
        <f>IF('[3]2026 január'!AF20=0,
    "",
    '[3]2026 január'!AF20
)</f>
        <v/>
      </c>
      <c r="AJ21" s="220" t="str">
        <f>IF('[3]2026 január'!AG20=0,
    "",
    '[3]2026 január'!AG20
)</f>
        <v/>
      </c>
      <c r="AK21" s="220" t="str">
        <f>IF('[3]2026 január'!AH20=0,
    "",
    '[3]2026 január'!AH20
)</f>
        <v/>
      </c>
    </row>
    <row r="22" spans="1:37" ht="14.25" customHeight="1">
      <c r="A22" s="5">
        <v>46042</v>
      </c>
      <c r="B22" s="11">
        <v>248400</v>
      </c>
      <c r="C22" s="11">
        <v>1400</v>
      </c>
      <c r="D22" s="11">
        <v>211300</v>
      </c>
      <c r="E22" s="11">
        <v>9120</v>
      </c>
      <c r="F22" s="11">
        <v>18310</v>
      </c>
      <c r="G22" s="11">
        <v>23165</v>
      </c>
      <c r="H22" s="11">
        <v>216965</v>
      </c>
      <c r="I22" s="11">
        <v>216965</v>
      </c>
      <c r="J22" s="33" t="s">
        <v>584</v>
      </c>
      <c r="K22" s="72">
        <v>205382655</v>
      </c>
      <c r="L22" s="72"/>
      <c r="M22" s="370"/>
      <c r="N22" s="148"/>
      <c r="O22" s="41"/>
      <c r="P22" s="220">
        <f>IF('[3]2026 január'!B$21=0,
    "",
    '[3]2026 január'!B$21
)</f>
        <v>248400</v>
      </c>
      <c r="Q22" s="220" t="str">
        <f>IF(OR('[3]2026 január'!G21=0,
       ISBLANK('[3]2026 január'!G21)),
    "",
    '[3]2026 január'!G21
)</f>
        <v/>
      </c>
      <c r="R22" s="41">
        <f>'[3]2026 január'!W21</f>
        <v>0</v>
      </c>
      <c r="S22" s="41"/>
      <c r="T22" s="41"/>
      <c r="U22" s="4"/>
      <c r="V22" s="220">
        <f>IF('[3]2026 január'!S21=0,
    "",
    '[3]2026 január'!S21
)</f>
        <v>228712</v>
      </c>
      <c r="W22" s="220">
        <f>IF('[3]2026 január'!T21=0,
    "",
    '[3]2026 január'!T21
)</f>
        <v>31435</v>
      </c>
      <c r="X22" s="220" t="str">
        <f>IF('[3]2026 január'!U21=0,
    "",
    '[3]2026 január'!U21
)</f>
        <v/>
      </c>
      <c r="Y22" s="220" t="str">
        <f>IF('[3]2026 január'!V21=0,
    "",
    '[3]2026 január'!V21
)</f>
        <v/>
      </c>
      <c r="Z22" s="220" t="str">
        <f>IF('[3]2026 január'!W21=0,
    "",
    '[3]2026 január'!W21
)</f>
        <v/>
      </c>
      <c r="AA22" s="220" t="str">
        <f>IF('[3]2026 január'!X21=0,
    "",
    '[3]2026 január'!X21
)</f>
        <v/>
      </c>
      <c r="AB22" s="220">
        <f>IF('[3]2026 január'!Y21=0,
    "",
    '[3]2026 január'!Y21
)</f>
        <v>260147</v>
      </c>
      <c r="AC22" s="220" t="str">
        <f>IF('[3]2026 január'!Z21=0,
    "",
    '[3]2026 január'!Z21
)</f>
        <v/>
      </c>
      <c r="AD22" s="220" t="str">
        <f>IF('[3]2026 január'!AA21=0,
    "",
    '[3]2026 január'!AA21
)</f>
        <v/>
      </c>
      <c r="AE22" s="220" t="str">
        <f>IF('[3]2026 január'!AB21=0,
    "",
    '[3]2026 január'!AB21
)</f>
        <v/>
      </c>
      <c r="AF22" s="220" t="str">
        <f>IF('[3]2026 január'!AC21=0,
    "",
    '[3]2026 január'!AC21
)</f>
        <v/>
      </c>
      <c r="AG22" s="220" t="str">
        <f>IF('[3]2026 január'!AD21=0,
    "",
    '[3]2026 január'!AD21
)</f>
        <v/>
      </c>
      <c r="AH22" s="220" t="str">
        <f>IF('[3]2026 január'!AE$21=0,
    "",
    '[3]2026 január'!AE$21
)</f>
        <v/>
      </c>
      <c r="AI22" s="220" t="str">
        <f>IF('[3]2026 január'!AF21=0,
    "",
    '[3]2026 január'!AF21
)</f>
        <v/>
      </c>
      <c r="AJ22" s="220" t="str">
        <f>IF('[3]2026 január'!AG21=0,
    "",
    '[3]2026 január'!AG21
)</f>
        <v/>
      </c>
      <c r="AK22" s="220" t="str">
        <f>IF('[3]2026 január'!AH21=0,
    "",
    '[3]2026 január'!AH21
)</f>
        <v/>
      </c>
    </row>
    <row r="23" spans="1:37" ht="14.25" customHeight="1">
      <c r="A23" s="5">
        <v>46043</v>
      </c>
      <c r="B23" s="11">
        <v>218170</v>
      </c>
      <c r="C23" s="11">
        <v>50</v>
      </c>
      <c r="D23" s="11">
        <v>199405</v>
      </c>
      <c r="E23" s="11">
        <v>935</v>
      </c>
      <c r="F23" s="11">
        <v>15060</v>
      </c>
      <c r="G23" s="11">
        <v>21550</v>
      </c>
      <c r="H23" s="11">
        <v>193900</v>
      </c>
      <c r="I23" s="11">
        <v>193900</v>
      </c>
      <c r="J23" s="33" t="s">
        <v>585</v>
      </c>
      <c r="K23" s="72">
        <v>205595105</v>
      </c>
      <c r="L23" s="72"/>
      <c r="M23" s="370"/>
      <c r="N23" s="148"/>
      <c r="O23" s="41"/>
      <c r="P23" s="220">
        <f>IF('[3]2026 január'!B$22=0,
    "",
    '[3]2026 január'!B$22
)</f>
        <v>218170</v>
      </c>
      <c r="Q23" s="220" t="str">
        <f>IF(OR('[3]2026 január'!G22=0,
       ISBLANK('[3]2026 január'!G22)),
    "",
    '[3]2026 január'!G22
)</f>
        <v/>
      </c>
      <c r="R23" s="41">
        <f>'[3]2026 január'!W22</f>
        <v>0</v>
      </c>
      <c r="S23" s="41"/>
      <c r="T23" s="41"/>
      <c r="U23" s="4"/>
      <c r="V23" s="220">
        <f>IF('[3]2026 január'!S22=0,
    "",
    '[3]2026 január'!S22
)</f>
        <v>260147</v>
      </c>
      <c r="W23" s="220">
        <f>IF('[3]2026 január'!T22=0,
    "",
    '[3]2026 január'!T22
)</f>
        <v>24270</v>
      </c>
      <c r="X23" s="220" t="str">
        <f>IF('[3]2026 január'!U22=0,
    "",
    '[3]2026 január'!U22
)</f>
        <v/>
      </c>
      <c r="Y23" s="220" t="str">
        <f>IF('[3]2026 január'!V22=0,
    "",
    '[3]2026 január'!V22
)</f>
        <v/>
      </c>
      <c r="Z23" s="220" t="str">
        <f>IF('[3]2026 január'!W22=0,
    "",
    '[3]2026 január'!W22
)</f>
        <v/>
      </c>
      <c r="AA23" s="220" t="str">
        <f>IF('[3]2026 január'!X22=0,
    "",
    '[3]2026 január'!X22
)</f>
        <v/>
      </c>
      <c r="AB23" s="220">
        <f>IF('[3]2026 január'!Y22=0,
    "",
    '[3]2026 január'!Y22
)</f>
        <v>284417</v>
      </c>
      <c r="AC23" s="220" t="str">
        <f>IF('[3]2026 január'!Z22=0,
    "",
    '[3]2026 január'!Z22
)</f>
        <v/>
      </c>
      <c r="AD23" s="220" t="str">
        <f>IF('[3]2026 január'!AA22=0,
    "",
    '[3]2026 január'!AA22
)</f>
        <v/>
      </c>
      <c r="AE23" s="220" t="str">
        <f>IF('[3]2026 január'!AB22=0,
    "",
    '[3]2026 január'!AB22
)</f>
        <v/>
      </c>
      <c r="AF23" s="220" t="str">
        <f>IF('[3]2026 január'!AC22=0,
    "",
    '[3]2026 január'!AC22
)</f>
        <v/>
      </c>
      <c r="AG23" s="220" t="str">
        <f>IF('[3]2026 január'!AD22=0,
    "",
    '[3]2026 január'!AD22
)</f>
        <v/>
      </c>
      <c r="AH23" s="220" t="str">
        <f>IF('[3]2026 január'!AE$22=0,
    "",
    '[3]2026 január'!AE$22
)</f>
        <v/>
      </c>
      <c r="AI23" s="220" t="str">
        <f>IF('[3]2026 január'!AF22=0,
    "",
    '[3]2026 január'!AF22
)</f>
        <v/>
      </c>
      <c r="AJ23" s="220" t="str">
        <f>IF('[3]2026 január'!AG22=0,
    "",
    '[3]2026 január'!AG22
)</f>
        <v/>
      </c>
      <c r="AK23" s="220" t="str">
        <f>IF('[3]2026 január'!AH22=0,
    "",
    '[3]2026 január'!AH22
)</f>
        <v/>
      </c>
    </row>
    <row r="24" spans="1:37" ht="14.25" customHeight="1">
      <c r="A24" s="5">
        <v>46044</v>
      </c>
      <c r="B24" s="11">
        <v>248545</v>
      </c>
      <c r="C24" s="11">
        <v>350</v>
      </c>
      <c r="D24" s="11">
        <v>226160</v>
      </c>
      <c r="E24" s="11">
        <v>4750</v>
      </c>
      <c r="F24" s="11">
        <v>11606</v>
      </c>
      <c r="G24" s="11">
        <v>45185</v>
      </c>
      <c r="H24" s="11">
        <v>197680</v>
      </c>
      <c r="I24" s="11">
        <v>197680</v>
      </c>
      <c r="J24" s="33" t="s">
        <v>586</v>
      </c>
      <c r="K24" s="72">
        <v>205840971</v>
      </c>
      <c r="L24" s="72"/>
      <c r="M24" s="370"/>
      <c r="N24" s="148"/>
      <c r="O24" s="41"/>
      <c r="P24" s="220">
        <f>IF('[3]2026 január'!B$23=0,
    "",
    '[3]2026 január'!B$23
)</f>
        <v>248545</v>
      </c>
      <c r="Q24" s="220" t="str">
        <f>IF(OR('[3]2026 január'!G23=0,
       ISBLANK('[3]2026 január'!G23)),
    "",
    '[3]2026 január'!G23
)</f>
        <v/>
      </c>
      <c r="R24" s="41">
        <f>'[3]2026 január'!W23</f>
        <v>200000</v>
      </c>
      <c r="S24" s="41"/>
      <c r="T24" s="41"/>
      <c r="U24" s="4"/>
      <c r="V24" s="220">
        <f>IF('[3]2026 január'!S23=0,
    "",
    '[3]2026 január'!S23
)</f>
        <v>284417</v>
      </c>
      <c r="W24" s="220">
        <f>IF('[3]2026 január'!T23=0,
    "",
    '[3]2026 január'!T23
)</f>
        <v>50865</v>
      </c>
      <c r="X24" s="220" t="str">
        <f>IF('[3]2026 január'!U23=0,
    "",
    '[3]2026 január'!U23
)</f>
        <v/>
      </c>
      <c r="Y24" s="220" t="str">
        <f>IF('[3]2026 január'!V23=0,
    "",
    '[3]2026 január'!V23
)</f>
        <v/>
      </c>
      <c r="Z24" s="220">
        <f>IF('[3]2026 január'!W23=0,
    "",
    '[3]2026 január'!W23
)</f>
        <v>200000</v>
      </c>
      <c r="AA24" s="220" t="str">
        <f>IF('[3]2026 január'!X23=0,
    "",
    '[3]2026 január'!X23
)</f>
        <v/>
      </c>
      <c r="AB24" s="220">
        <f>IF('[3]2026 január'!Y23=0,
    "",
    '[3]2026 január'!Y23
)</f>
        <v>135282</v>
      </c>
      <c r="AC24" s="220" t="str">
        <f>IF('[3]2026 január'!Z23=0,
    "",
    '[3]2026 január'!Z23
)</f>
        <v/>
      </c>
      <c r="AD24" s="220" t="str">
        <f>IF('[3]2026 január'!AA23=0,
    "",
    '[3]2026 január'!AA23
)</f>
        <v/>
      </c>
      <c r="AE24" s="220" t="str">
        <f>IF('[3]2026 január'!AB23=0,
    "",
    '[3]2026 január'!AB23
)</f>
        <v/>
      </c>
      <c r="AF24" s="220" t="str">
        <f>IF('[3]2026 január'!AC23=0,
    "",
    '[3]2026 január'!AC23
)</f>
        <v/>
      </c>
      <c r="AG24" s="220" t="str">
        <f>IF('[3]2026 január'!AD23=0,
    "",
    '[3]2026 január'!AD23
)</f>
        <v/>
      </c>
      <c r="AH24" s="220" t="str">
        <f>IF('[3]2026 január'!AE$23=0,
    "",
    '[3]2026 január'!AE$23
)</f>
        <v/>
      </c>
      <c r="AI24" s="220" t="str">
        <f>IF('[3]2026 január'!AF23=0,
    "",
    '[3]2026 január'!AF23
)</f>
        <v/>
      </c>
      <c r="AJ24" s="220" t="str">
        <f>IF('[3]2026 január'!AG23=0,
    "",
    '[3]2026 január'!AG23
)</f>
        <v/>
      </c>
      <c r="AK24" s="220" t="str">
        <f>IF('[3]2026 január'!AH23=0,
    "",
    '[3]2026 január'!AH23
)</f>
        <v/>
      </c>
    </row>
    <row r="25" spans="1:37" ht="14.25" customHeight="1">
      <c r="A25" s="5">
        <v>46045</v>
      </c>
      <c r="B25" s="11">
        <v>150880</v>
      </c>
      <c r="C25" s="11">
        <v>0</v>
      </c>
      <c r="D25" s="11">
        <v>122425</v>
      </c>
      <c r="E25" s="11">
        <v>2475</v>
      </c>
      <c r="F25" s="11">
        <v>23760</v>
      </c>
      <c r="G25" s="11">
        <v>32330</v>
      </c>
      <c r="H25" s="11">
        <v>116330</v>
      </c>
      <c r="I25" s="11"/>
      <c r="J25" s="33" t="s">
        <v>587</v>
      </c>
      <c r="K25" s="72">
        <v>205989631</v>
      </c>
      <c r="L25" s="72"/>
      <c r="M25" s="370"/>
      <c r="N25" s="148"/>
      <c r="O25" s="41"/>
      <c r="P25" s="220">
        <f>IF('[3]2026 január'!B$24=0,
    "",
    '[3]2026 január'!B$24
)</f>
        <v>150850</v>
      </c>
      <c r="Q25" s="220" t="str">
        <f>IF(OR('[3]2026 január'!G24=0,
       ISBLANK('[3]2026 január'!G24)),
    "",
    '[3]2026 január'!G24
)</f>
        <v/>
      </c>
      <c r="R25" s="41">
        <f>'[3]2026 január'!W24</f>
        <v>0</v>
      </c>
      <c r="S25" s="41"/>
      <c r="T25" s="41"/>
      <c r="U25" s="4"/>
      <c r="V25" s="220">
        <f>IF('[3]2026 január'!S24=0,
    "",
    '[3]2026 január'!S24
)</f>
        <v>135282</v>
      </c>
      <c r="W25" s="220">
        <f>IF('[3]2026 január'!T24=0,
    "",
    '[3]2026 január'!T24
)</f>
        <v>34520</v>
      </c>
      <c r="X25" s="220" t="str">
        <f>IF('[3]2026 január'!U24=0,
    "",
    '[3]2026 január'!U24
)</f>
        <v/>
      </c>
      <c r="Y25" s="220" t="str">
        <f>IF('[3]2026 január'!V24=0,
    "",
    '[3]2026 január'!V24
)</f>
        <v/>
      </c>
      <c r="Z25" s="220" t="str">
        <f>IF('[3]2026 január'!W24=0,
    "",
    '[3]2026 január'!W24
)</f>
        <v/>
      </c>
      <c r="AA25" s="220" t="str">
        <f>IF('[3]2026 január'!X24=0,
    "",
    '[3]2026 január'!X24
)</f>
        <v/>
      </c>
      <c r="AB25" s="220">
        <f>IF('[3]2026 január'!Y24=0,
    "",
    '[3]2026 január'!Y24
)</f>
        <v>169802</v>
      </c>
      <c r="AC25" s="220" t="str">
        <f>IF('[3]2026 január'!Z24=0,
    "",
    '[3]2026 január'!Z24
)</f>
        <v/>
      </c>
      <c r="AD25" s="220" t="str">
        <f>IF('[3]2026 január'!AA24=0,
    "",
    '[3]2026 január'!AA24
)</f>
        <v/>
      </c>
      <c r="AE25" s="220" t="str">
        <f>IF('[3]2026 január'!AB24=0,
    "",
    '[3]2026 január'!AB24
)</f>
        <v/>
      </c>
      <c r="AF25" s="220" t="str">
        <f>IF('[3]2026 január'!AC24=0,
    "",
    '[3]2026 január'!AC24
)</f>
        <v/>
      </c>
      <c r="AG25" s="220" t="str">
        <f>IF('[3]2026 január'!AD24=0,
    "",
    '[3]2026 január'!AD24
)</f>
        <v/>
      </c>
      <c r="AH25" s="220" t="str">
        <f>IF('[3]2026 január'!AE$24=0,
    "",
    '[3]2026 január'!AE$24
)</f>
        <v/>
      </c>
      <c r="AI25" s="220" t="str">
        <f>IF('[3]2026 január'!AF24=0,
    "",
    '[3]2026 január'!AF24
)</f>
        <v/>
      </c>
      <c r="AJ25" s="220" t="str">
        <f>IF('[3]2026 január'!AG24=0,
    "",
    '[3]2026 január'!AG24
)</f>
        <v/>
      </c>
      <c r="AK25" s="220" t="str">
        <f>IF('[3]2026 január'!AH24=0,
    "",
    '[3]2026 január'!AH24
)</f>
        <v/>
      </c>
    </row>
    <row r="26" spans="1:37" ht="14.25" customHeight="1">
      <c r="A26" s="141">
        <v>46046</v>
      </c>
      <c r="B26" s="142"/>
      <c r="C26" s="142"/>
      <c r="D26" s="142"/>
      <c r="E26" s="142"/>
      <c r="F26" s="142"/>
      <c r="G26" s="142"/>
      <c r="H26" s="142"/>
      <c r="I26" s="142"/>
      <c r="J26" s="198"/>
      <c r="K26" s="146"/>
      <c r="L26" s="146"/>
      <c r="M26" s="369"/>
      <c r="N26" s="153"/>
      <c r="O26" s="41"/>
      <c r="P26" s="220" t="str">
        <f>IF('[3]2026 január'!B$25=0,
    "",
    '[3]2026 január'!B$25
)</f>
        <v/>
      </c>
      <c r="Q26" s="220" t="str">
        <f>IF(OR('[3]2026 január'!G25=0,
       ISBLANK('[3]2026 január'!G25)),
    "",
    '[3]2026 január'!G25
)</f>
        <v/>
      </c>
      <c r="R26" s="41">
        <f>'[3]2026 január'!W25</f>
        <v>0</v>
      </c>
      <c r="S26" s="41"/>
      <c r="T26" s="41"/>
      <c r="U26" s="4"/>
      <c r="V26" s="220">
        <f>IF('[3]2026 január'!S25=0,
    "",
    '[3]2026 január'!S25
)</f>
        <v>169802</v>
      </c>
      <c r="W26" s="220" t="str">
        <f>IF('[3]2026 január'!T25=0,
    "",
    '[3]2026 január'!T25
)</f>
        <v/>
      </c>
      <c r="X26" s="220" t="str">
        <f>IF('[3]2026 január'!U25=0,
    "",
    '[3]2026 január'!U25
)</f>
        <v/>
      </c>
      <c r="Y26" s="220" t="str">
        <f>IF('[3]2026 január'!V25=0,
    "",
    '[3]2026 január'!V25
)</f>
        <v/>
      </c>
      <c r="Z26" s="220" t="str">
        <f>IF('[3]2026 január'!W25=0,
    "",
    '[3]2026 január'!W25
)</f>
        <v/>
      </c>
      <c r="AA26" s="220" t="str">
        <f>IF('[3]2026 január'!X25=0,
    "",
    '[3]2026 január'!X25
)</f>
        <v/>
      </c>
      <c r="AB26" s="220">
        <f>IF('[3]2026 január'!Y25=0,
    "",
    '[3]2026 január'!Y25
)</f>
        <v>169802</v>
      </c>
      <c r="AC26" s="220" t="str">
        <f>IF('[3]2026 január'!Z25=0,
    "",
    '[3]2026 január'!Z25
)</f>
        <v/>
      </c>
      <c r="AD26" s="220" t="str">
        <f>IF('[3]2026 január'!AA25=0,
    "",
    '[3]2026 január'!AA25
)</f>
        <v/>
      </c>
      <c r="AE26" s="220" t="str">
        <f>IF('[3]2026 január'!AB25=0,
    "",
    '[3]2026 január'!AB25
)</f>
        <v/>
      </c>
      <c r="AF26" s="220" t="str">
        <f>IF('[3]2026 január'!AC25=0,
    "",
    '[3]2026 január'!AC25
)</f>
        <v/>
      </c>
      <c r="AG26" s="220" t="str">
        <f>IF('[3]2026 január'!AD25=0,
    "",
    '[3]2026 január'!AD25
)</f>
        <v/>
      </c>
      <c r="AH26" s="220" t="str">
        <f>IF('[3]2026 január'!AE$25=0,
    "",
    '[3]2026 január'!AE$25
)</f>
        <v/>
      </c>
      <c r="AI26" s="220" t="str">
        <f>IF('[3]2026 január'!AF25=0,
    "",
    '[3]2026 január'!AF25
)</f>
        <v/>
      </c>
      <c r="AJ26" s="220" t="str">
        <f>IF('[3]2026 január'!AG25=0,
    "",
    '[3]2026 január'!AG25
)</f>
        <v/>
      </c>
      <c r="AK26" s="220" t="str">
        <f>IF('[3]2026 január'!AH25=0,
    "",
    '[3]2026 január'!AH25
)</f>
        <v/>
      </c>
    </row>
    <row r="27" spans="1:37">
      <c r="A27" s="141">
        <v>46047</v>
      </c>
      <c r="B27" s="142"/>
      <c r="C27" s="142"/>
      <c r="D27" s="142"/>
      <c r="E27" s="142"/>
      <c r="F27" s="142"/>
      <c r="G27" s="142"/>
      <c r="H27" s="142"/>
      <c r="I27" s="142"/>
      <c r="J27" s="198"/>
      <c r="K27" s="146"/>
      <c r="L27" s="146"/>
      <c r="M27" s="369"/>
      <c r="N27" s="153"/>
      <c r="O27" s="41"/>
      <c r="P27" s="220" t="str">
        <f>IF('[3]2026 január'!B$26=0,
    "",
    '[3]2026 január'!B$26
)</f>
        <v/>
      </c>
      <c r="Q27" s="220" t="str">
        <f>IF(OR('[3]2026 január'!G26=0,
       ISBLANK('[3]2026 január'!G26)),
    "",
    '[3]2026 január'!G26
)</f>
        <v/>
      </c>
      <c r="R27" s="41">
        <f>'[3]2026 január'!W26</f>
        <v>0</v>
      </c>
      <c r="S27" s="41"/>
      <c r="T27" s="41"/>
      <c r="U27" s="4"/>
      <c r="V27" s="220">
        <f>IF('[3]2026 január'!S26=0,
    "",
    '[3]2026 január'!S26
)</f>
        <v>169802</v>
      </c>
      <c r="W27" s="220" t="str">
        <f>IF('[3]2026 január'!T26=0,
    "",
    '[3]2026 január'!T26
)</f>
        <v/>
      </c>
      <c r="X27" s="220" t="str">
        <f>IF('[3]2026 január'!U26=0,
    "",
    '[3]2026 január'!U26
)</f>
        <v/>
      </c>
      <c r="Y27" s="220" t="str">
        <f>IF('[3]2026 január'!V26=0,
    "",
    '[3]2026 január'!V26
)</f>
        <v/>
      </c>
      <c r="Z27" s="220" t="str">
        <f>IF('[3]2026 január'!W26=0,
    "",
    '[3]2026 január'!W26
)</f>
        <v/>
      </c>
      <c r="AA27" s="220" t="str">
        <f>IF('[3]2026 január'!X26=0,
    "",
    '[3]2026 január'!X26
)</f>
        <v/>
      </c>
      <c r="AB27" s="220">
        <f>IF('[3]2026 január'!Y26=0,
    "",
    '[3]2026 január'!Y26
)</f>
        <v>169802</v>
      </c>
      <c r="AC27" s="220" t="str">
        <f>IF('[3]2026 január'!Z26=0,
    "",
    '[3]2026 január'!Z26
)</f>
        <v/>
      </c>
      <c r="AD27" s="220" t="str">
        <f>IF('[3]2026 január'!AA26=0,
    "",
    '[3]2026 január'!AA26
)</f>
        <v/>
      </c>
      <c r="AE27" s="220" t="str">
        <f>IF('[3]2026 január'!AB26=0,
    "",
    '[3]2026 január'!AB26
)</f>
        <v/>
      </c>
      <c r="AF27" s="220" t="str">
        <f>IF('[3]2026 január'!AC26=0,
    "",
    '[3]2026 január'!AC26
)</f>
        <v/>
      </c>
      <c r="AG27" s="220" t="str">
        <f>IF('[3]2026 január'!AD26=0,
    "",
    '[3]2026 január'!AD26
)</f>
        <v/>
      </c>
      <c r="AH27" s="220" t="str">
        <f>IF('[3]2026 január'!AE$26=0,
    "",
    '[3]2026 január'!AE$26
)</f>
        <v/>
      </c>
      <c r="AI27" s="220" t="str">
        <f>IF('[3]2026 január'!AF26=0,
    "",
    '[3]2026 január'!AF26
)</f>
        <v/>
      </c>
      <c r="AJ27" s="220" t="str">
        <f>IF('[3]2026 január'!AG26=0,
    "",
    '[3]2026 január'!AG26
)</f>
        <v/>
      </c>
      <c r="AK27" s="220" t="str">
        <f>IF('[3]2026 január'!AH26=0,
    "",
    '[3]2026 január'!AH26
)</f>
        <v/>
      </c>
    </row>
    <row r="28" spans="1:37" ht="14.25" customHeight="1">
      <c r="A28" s="5">
        <v>46048</v>
      </c>
      <c r="B28" s="11">
        <v>160590</v>
      </c>
      <c r="C28" s="11">
        <v>850</v>
      </c>
      <c r="D28" s="11">
        <v>125825</v>
      </c>
      <c r="E28" s="11">
        <v>970</v>
      </c>
      <c r="F28" s="11">
        <v>24120</v>
      </c>
      <c r="G28" s="11">
        <v>19950</v>
      </c>
      <c r="H28" s="11">
        <v>131815</v>
      </c>
      <c r="I28" s="11">
        <v>131815</v>
      </c>
      <c r="J28" s="33" t="s">
        <v>588</v>
      </c>
      <c r="K28" s="72">
        <v>206141396</v>
      </c>
      <c r="L28" s="72"/>
      <c r="M28" s="370"/>
      <c r="N28" s="148"/>
      <c r="O28" s="41"/>
      <c r="P28" s="220">
        <f>IF('[3]2026 január'!B$27=0,
    "",
    '[3]2026 január'!B$27
)</f>
        <v>160590</v>
      </c>
      <c r="Q28" s="220" t="str">
        <f>IF(OR('[3]2026 január'!G27=0,
       ISBLANK('[3]2026 január'!G27)),
    "",
    '[3]2026 január'!G27
)</f>
        <v/>
      </c>
      <c r="R28" s="41">
        <f>'[3]2026 január'!W27</f>
        <v>0</v>
      </c>
      <c r="S28" s="41"/>
      <c r="T28" s="41"/>
      <c r="U28" s="4"/>
      <c r="V28" s="220">
        <f>IF('[3]2026 január'!S27=0,
    "",
    '[3]2026 január'!S27
)</f>
        <v>169802</v>
      </c>
      <c r="W28" s="220">
        <f>IF('[3]2026 január'!T27=0,
    "",
    '[3]2026 január'!T27
)</f>
        <v>28775</v>
      </c>
      <c r="X28" s="220" t="str">
        <f>IF('[3]2026 január'!U27=0,
    "",
    '[3]2026 január'!U27
)</f>
        <v/>
      </c>
      <c r="Y28" s="220" t="str">
        <f>IF('[3]2026 január'!V27=0,
    "",
    '[3]2026 január'!V27
)</f>
        <v/>
      </c>
      <c r="Z28" s="220" t="str">
        <f>IF('[3]2026 január'!W27=0,
    "",
    '[3]2026 január'!W27
)</f>
        <v/>
      </c>
      <c r="AA28" s="220" t="str">
        <f>IF('[3]2026 január'!X27=0,
    "",
    '[3]2026 január'!X27
)</f>
        <v/>
      </c>
      <c r="AB28" s="220">
        <f>IF('[3]2026 január'!Y27=0,
    "",
    '[3]2026 január'!Y27
)</f>
        <v>198577</v>
      </c>
      <c r="AC28" s="220" t="str">
        <f>IF('[3]2026 január'!Z27=0,
    "",
    '[3]2026 január'!Z27
)</f>
        <v/>
      </c>
      <c r="AD28" s="220" t="str">
        <f>IF('[3]2026 január'!AA27=0,
    "",
    '[3]2026 január'!AA27
)</f>
        <v/>
      </c>
      <c r="AE28" s="220" t="str">
        <f>IF('[3]2026 január'!AB27=0,
    "",
    '[3]2026 január'!AB27
)</f>
        <v/>
      </c>
      <c r="AF28" s="220" t="str">
        <f>IF('[3]2026 január'!AC27=0,
    "",
    '[3]2026 január'!AC27
)</f>
        <v/>
      </c>
      <c r="AG28" s="220" t="str">
        <f>IF('[3]2026 január'!AD27=0,
    "",
    '[3]2026 január'!AD27
)</f>
        <v/>
      </c>
      <c r="AH28" s="220" t="str">
        <f>IF('[3]2026 január'!AE$27=0,
    "",
    '[3]2026 január'!AE$27
)</f>
        <v/>
      </c>
      <c r="AI28" s="220" t="str">
        <f>IF('[3]2026 január'!AF27=0,
    "",
    '[3]2026 január'!AF27
)</f>
        <v/>
      </c>
      <c r="AJ28" s="220" t="str">
        <f>IF('[3]2026 január'!AG27=0,
    "",
    '[3]2026 január'!AG27
)</f>
        <v/>
      </c>
      <c r="AK28" s="220" t="str">
        <f>IF('[3]2026 január'!AH27=0,
    "",
    '[3]2026 január'!AH27
)</f>
        <v/>
      </c>
    </row>
    <row r="29" spans="1:37" ht="14.25" customHeight="1">
      <c r="A29" s="5">
        <v>46049</v>
      </c>
      <c r="B29" s="11">
        <v>177445</v>
      </c>
      <c r="C29" s="11">
        <v>0</v>
      </c>
      <c r="D29" s="11">
        <v>162315</v>
      </c>
      <c r="E29" s="11">
        <v>590</v>
      </c>
      <c r="F29" s="11">
        <v>7750</v>
      </c>
      <c r="G29" s="11">
        <v>39680</v>
      </c>
      <c r="H29" s="11">
        <v>130975</v>
      </c>
      <c r="I29" s="11">
        <v>130975</v>
      </c>
      <c r="J29" s="33" t="s">
        <v>589</v>
      </c>
      <c r="K29" s="72">
        <v>206312051</v>
      </c>
      <c r="L29" s="72"/>
      <c r="M29" s="370"/>
      <c r="N29" s="148"/>
      <c r="O29" s="41"/>
      <c r="P29" s="220">
        <f>IF('[3]2026 január'!B$28=0,
    "",
    '[3]2026 január'!B$28
)</f>
        <v>177445</v>
      </c>
      <c r="Q29" s="220" t="str">
        <f>IF(OR('[3]2026 január'!G28=0,
       ISBLANK('[3]2026 január'!G28)),
    "",
    '[3]2026 január'!G28
)</f>
        <v/>
      </c>
      <c r="R29" s="41">
        <f>'[3]2026 január'!W28</f>
        <v>0</v>
      </c>
      <c r="S29" s="41"/>
      <c r="T29" s="41"/>
      <c r="U29" s="4"/>
      <c r="V29" s="220">
        <f>IF('[3]2026 január'!S28=0,
    "",
    '[3]2026 január'!S28
)</f>
        <v>198577</v>
      </c>
      <c r="W29" s="220">
        <f>IF('[3]2026 január'!T28=0,
    "",
    '[3]2026 január'!T28
)</f>
        <v>46470</v>
      </c>
      <c r="X29" s="220" t="str">
        <f>IF('[3]2026 január'!U28=0,
    "",
    '[3]2026 január'!U28
)</f>
        <v/>
      </c>
      <c r="Y29" s="220" t="str">
        <f>IF('[3]2026 január'!V28=0,
    "",
    '[3]2026 január'!V28
)</f>
        <v/>
      </c>
      <c r="Z29" s="220" t="str">
        <f>IF('[3]2026 január'!W28=0,
    "",
    '[3]2026 január'!W28
)</f>
        <v/>
      </c>
      <c r="AA29" s="220" t="str">
        <f>IF('[3]2026 január'!X28=0,
    "",
    '[3]2026 január'!X28
)</f>
        <v/>
      </c>
      <c r="AB29" s="220">
        <f>IF('[3]2026 január'!Y28=0,
    "",
    '[3]2026 január'!Y28
)</f>
        <v>245047</v>
      </c>
      <c r="AC29" s="220" t="str">
        <f>IF('[3]2026 január'!Z28=0,
    "",
    '[3]2026 január'!Z28
)</f>
        <v/>
      </c>
      <c r="AD29" s="220" t="str">
        <f>IF('[3]2026 január'!AA28=0,
    "",
    '[3]2026 január'!AA28
)</f>
        <v/>
      </c>
      <c r="AE29" s="220" t="str">
        <f>IF('[3]2026 január'!AB28=0,
    "",
    '[3]2026 január'!AB28
)</f>
        <v/>
      </c>
      <c r="AF29" s="220" t="str">
        <f>IF('[3]2026 január'!AC28=0,
    "",
    '[3]2026 január'!AC28
)</f>
        <v/>
      </c>
      <c r="AG29" s="220" t="str">
        <f>IF('[3]2026 január'!AD28=0,
    "",
    '[3]2026 január'!AD28
)</f>
        <v/>
      </c>
      <c r="AH29" s="220" t="str">
        <f>IF('[3]2026 január'!AE$28=0,
    "",
    '[3]2026 január'!AE$28
)</f>
        <v/>
      </c>
      <c r="AI29" s="220" t="str">
        <f>IF('[3]2026 január'!AF28=0,
    "",
    '[3]2026 január'!AF28
)</f>
        <v/>
      </c>
      <c r="AJ29" s="220" t="str">
        <f>IF('[3]2026 január'!AG28=0,
    "",
    '[3]2026 január'!AG28
)</f>
        <v/>
      </c>
      <c r="AK29" s="220" t="str">
        <f>IF('[3]2026 január'!AH28=0,
    "",
    '[3]2026 január'!AH28
)</f>
        <v/>
      </c>
    </row>
    <row r="30" spans="1:37" ht="14.25" customHeight="1">
      <c r="A30" s="5">
        <v>46050</v>
      </c>
      <c r="B30" s="11">
        <v>202975</v>
      </c>
      <c r="C30" s="11">
        <v>100</v>
      </c>
      <c r="D30" s="11">
        <v>167475</v>
      </c>
      <c r="E30" s="11">
        <v>435</v>
      </c>
      <c r="F30" s="11">
        <v>21735</v>
      </c>
      <c r="G30" s="11">
        <v>30530</v>
      </c>
      <c r="H30" s="11">
        <v>159215</v>
      </c>
      <c r="I30" s="11">
        <v>159215</v>
      </c>
      <c r="J30" s="33" t="s">
        <v>590</v>
      </c>
      <c r="K30" s="72">
        <v>206501796</v>
      </c>
      <c r="L30" s="72"/>
      <c r="M30" s="370"/>
      <c r="N30" s="148"/>
      <c r="O30" s="41"/>
      <c r="P30" s="220">
        <f>IF('[3]2026 január'!B$29=0,
    "",
    '[3]2026 január'!B$29
)</f>
        <v>202975</v>
      </c>
      <c r="Q30" s="220" t="str">
        <f>IF(OR('[3]2026 január'!G29=0,
       ISBLANK('[3]2026 január'!G29)),
    "",
    '[3]2026 január'!G29
)</f>
        <v/>
      </c>
      <c r="R30" s="41">
        <f>'[3]2026 január'!W29</f>
        <v>200000</v>
      </c>
      <c r="S30" s="41"/>
      <c r="T30" s="41"/>
      <c r="U30" s="4"/>
      <c r="V30" s="220">
        <f>IF('[3]2026 január'!S29=0,
    "",
    '[3]2026 január'!S29
)</f>
        <v>245047</v>
      </c>
      <c r="W30" s="220">
        <f>IF('[3]2026 január'!T29=0,
    "",
    '[3]2026 január'!T29
)</f>
        <v>43760</v>
      </c>
      <c r="X30" s="220" t="str">
        <f>IF('[3]2026 január'!U29=0,
    "",
    '[3]2026 január'!U29
)</f>
        <v/>
      </c>
      <c r="Y30" s="220" t="str">
        <f>IF('[3]2026 január'!V29=0,
    "",
    '[3]2026 január'!V29
)</f>
        <v/>
      </c>
      <c r="Z30" s="220">
        <f>IF('[3]2026 január'!W29=0,
    "",
    '[3]2026 január'!W29
)</f>
        <v>200000</v>
      </c>
      <c r="AA30" s="220" t="str">
        <f>IF('[3]2026 január'!X29=0,
    "",
    '[3]2026 január'!X29
)</f>
        <v/>
      </c>
      <c r="AB30" s="220">
        <f>IF('[3]2026 január'!Y29=0,
    "",
    '[3]2026 január'!Y29
)</f>
        <v>88807</v>
      </c>
      <c r="AC30" s="220" t="str">
        <f>IF('[3]2026 január'!Z29=0,
    "",
    '[3]2026 január'!Z29
)</f>
        <v/>
      </c>
      <c r="AD30" s="220" t="str">
        <f>IF('[3]2026 január'!AA29=0,
    "",
    '[3]2026 január'!AA29
)</f>
        <v/>
      </c>
      <c r="AE30" s="220" t="str">
        <f>IF('[3]2026 január'!AB29=0,
    "",
    '[3]2026 január'!AB29
)</f>
        <v/>
      </c>
      <c r="AF30" s="220" t="str">
        <f>IF('[3]2026 január'!AC29=0,
    "",
    '[3]2026 január'!AC29
)</f>
        <v/>
      </c>
      <c r="AG30" s="220" t="str">
        <f>IF('[3]2026 január'!AD29=0,
    "",
    '[3]2026 január'!AD29
)</f>
        <v/>
      </c>
      <c r="AH30" s="220" t="str">
        <f>IF('[3]2026 január'!AE$29=0,
    "",
    '[3]2026 január'!AE$29
)</f>
        <v/>
      </c>
      <c r="AI30" s="220" t="str">
        <f>IF('[3]2026 január'!AF29=0,
    "",
    '[3]2026 január'!AF29
)</f>
        <v/>
      </c>
      <c r="AJ30" s="220" t="str">
        <f>IF('[3]2026 január'!AG29=0,
    "",
    '[3]2026 január'!AG29
)</f>
        <v/>
      </c>
      <c r="AK30" s="220" t="str">
        <f>IF('[3]2026 január'!AH29=0,
    "",
    '[3]2026 január'!AH29
)</f>
        <v/>
      </c>
    </row>
    <row r="31" spans="1:37" ht="14.25" customHeight="1">
      <c r="A31" s="5">
        <v>46051</v>
      </c>
      <c r="B31" s="11">
        <v>248455</v>
      </c>
      <c r="C31" s="11">
        <v>0</v>
      </c>
      <c r="D31" s="11">
        <v>226275</v>
      </c>
      <c r="E31" s="11">
        <v>2190</v>
      </c>
      <c r="F31" s="11">
        <v>22670</v>
      </c>
      <c r="G31" s="11">
        <v>42145</v>
      </c>
      <c r="H31" s="11">
        <v>208090</v>
      </c>
      <c r="I31" s="11">
        <v>208090</v>
      </c>
      <c r="J31" s="33" t="s">
        <v>591</v>
      </c>
      <c r="K31" s="72">
        <v>206752931</v>
      </c>
      <c r="L31" s="72"/>
      <c r="M31" s="421" t="s">
        <v>592</v>
      </c>
      <c r="N31" s="457" t="s">
        <v>162</v>
      </c>
      <c r="O31" s="41"/>
      <c r="P31" s="220">
        <f>IF('[3]2026 január'!B$30=0,
    "",
    '[3]2026 január'!B$30
)</f>
        <v>248455</v>
      </c>
      <c r="Q31" s="220" t="str">
        <f>IF(OR('[3]2026 január'!G30=0,
       ISBLANK('[3]2026 január'!G30)),
    "",
    '[3]2026 január'!G30
)</f>
        <v/>
      </c>
      <c r="R31" s="41">
        <f>'[3]2026 január'!W30</f>
        <v>0</v>
      </c>
      <c r="S31" s="41"/>
      <c r="T31" s="41"/>
      <c r="U31" s="4"/>
      <c r="V31" s="220">
        <f>IF('[3]2026 január'!S30=0,
    "",
    '[3]2026 január'!S30
)</f>
        <v>88807</v>
      </c>
      <c r="W31" s="220">
        <f>IF('[3]2026 január'!T30=0,
    "",
    '[3]2026 január'!T30
)</f>
        <v>40365</v>
      </c>
      <c r="X31" s="220" t="str">
        <f>IF('[3]2026 január'!U30=0,
    "",
    '[3]2026 január'!U30
)</f>
        <v/>
      </c>
      <c r="Y31" s="220" t="str">
        <f>IF('[3]2026 január'!V30=0,
    "",
    '[3]2026 január'!V30
)</f>
        <v/>
      </c>
      <c r="Z31" s="220" t="str">
        <f>IF('[3]2026 január'!W30=0,
    "",
    '[3]2026 január'!W30
)</f>
        <v/>
      </c>
      <c r="AA31" s="220" t="str">
        <f>IF('[3]2026 január'!X30=0,
    "",
    '[3]2026 január'!X30
)</f>
        <v/>
      </c>
      <c r="AB31" s="220">
        <f>IF('[3]2026 január'!Y30=0,
    "",
    '[3]2026 január'!Y30
)</f>
        <v>129172</v>
      </c>
      <c r="AC31" s="220" t="str">
        <f>IF('[3]2026 január'!Z30=0,
    "",
    '[3]2026 január'!Z30
)</f>
        <v/>
      </c>
      <c r="AD31" s="220" t="str">
        <f>IF('[3]2026 január'!AA30=0,
    "",
    '[3]2026 január'!AA30
)</f>
        <v/>
      </c>
      <c r="AE31" s="220" t="str">
        <f>IF('[3]2026 január'!AB30=0,
    "",
    '[3]2026 január'!AB30
)</f>
        <v/>
      </c>
      <c r="AF31" s="220" t="str">
        <f>IF('[3]2026 január'!AC30=0,
    "",
    '[3]2026 január'!AC30
)</f>
        <v/>
      </c>
      <c r="AG31" s="220" t="str">
        <f>IF('[3]2026 január'!AD30=0,
    "",
    '[3]2026 január'!AD30
)</f>
        <v/>
      </c>
      <c r="AH31" s="220" t="str">
        <f>IF('[3]2026 január'!AE$30=0,
    "",
    '[3]2026 január'!AE$30
)</f>
        <v/>
      </c>
      <c r="AI31" s="220" t="str">
        <f>IF('[3]2026 január'!AF30=0,
    "",
    '[3]2026 január'!AF30
)</f>
        <v/>
      </c>
      <c r="AJ31" s="220" t="str">
        <f>IF('[3]2026 január'!AG30=0,
    "",
    '[3]2026 január'!AG30
)</f>
        <v/>
      </c>
      <c r="AK31" s="220" t="str">
        <f>IF('[3]2026 január'!AH30=0,
    "",
    '[3]2026 január'!AH30
)</f>
        <v/>
      </c>
    </row>
    <row r="32" spans="1:37" ht="14.25" customHeight="1">
      <c r="A32" s="5">
        <v>46052</v>
      </c>
      <c r="B32" s="11">
        <v>183600</v>
      </c>
      <c r="C32" s="11">
        <v>300</v>
      </c>
      <c r="D32" s="11">
        <v>162220</v>
      </c>
      <c r="E32" s="11">
        <v>3410</v>
      </c>
      <c r="F32" s="11">
        <v>17670</v>
      </c>
      <c r="G32" s="11">
        <v>38990</v>
      </c>
      <c r="H32" s="11">
        <v>144610</v>
      </c>
      <c r="I32" s="204">
        <v>144610</v>
      </c>
      <c r="J32" s="123" t="s">
        <v>593</v>
      </c>
      <c r="K32" s="206">
        <v>206936531</v>
      </c>
      <c r="L32" s="206"/>
      <c r="M32" s="371"/>
      <c r="N32" s="208"/>
      <c r="O32" s="41"/>
      <c r="P32" s="220">
        <f>IF('[3]2026 január'!B$31=0,
    "",
    '[3]2026 január'!B$31
)</f>
        <v>183600</v>
      </c>
      <c r="Q32" s="220" t="str">
        <f>IF(OR('[3]2026 január'!G31=0,
       ISBLANK('[3]2026 január'!G31)),
    "",
    '[3]2026 január'!G31
)</f>
        <v/>
      </c>
      <c r="R32" s="41">
        <f>'[3]2026 január'!W31</f>
        <v>0</v>
      </c>
      <c r="S32" s="41"/>
      <c r="T32" s="41"/>
      <c r="U32" s="4"/>
      <c r="V32" s="220">
        <f>IF('[3]2026 január'!S31=0,
    "",
    '[3]2026 január'!S31
)</f>
        <v>129172</v>
      </c>
      <c r="W32" s="220">
        <f>IF('[3]2026 január'!T31=0,
    "",
    '[3]2026 január'!T31
)</f>
        <v>38990</v>
      </c>
      <c r="X32" s="220" t="str">
        <f>IF('[3]2026 január'!U31=0,
    "",
    '[3]2026 január'!U31
)</f>
        <v/>
      </c>
      <c r="Y32" s="220" t="str">
        <f>IF('[3]2026 január'!V31=0,
    "",
    '[3]2026 január'!V31
)</f>
        <v/>
      </c>
      <c r="Z32" s="220" t="str">
        <f>IF('[3]2026 január'!W31=0,
    "",
    '[3]2026 január'!W31
)</f>
        <v/>
      </c>
      <c r="AA32" s="220" t="str">
        <f>IF('[3]2026 január'!X31=0,
    "",
    '[3]2026 január'!X31
)</f>
        <v/>
      </c>
      <c r="AB32" s="220">
        <f>IF('[3]2026 január'!Y31=0,
    "",
    '[3]2026 január'!Y31
)</f>
        <v>168162</v>
      </c>
      <c r="AC32" s="220" t="str">
        <f>IF('[3]2026 január'!Z31=0,
    "",
    '[3]2026 január'!Z31
)</f>
        <v/>
      </c>
      <c r="AD32" s="220" t="str">
        <f>IF('[3]2026 január'!AA31=0,
    "",
    '[3]2026 január'!AA31
)</f>
        <v/>
      </c>
      <c r="AE32" s="220" t="str">
        <f>IF('[3]2026 január'!AB31=0,
    "",
    '[3]2026 január'!AB31
)</f>
        <v/>
      </c>
      <c r="AF32" s="220" t="str">
        <f>IF('[3]2026 január'!AC31=0,
    "",
    '[3]2026 január'!AC31
)</f>
        <v/>
      </c>
      <c r="AG32" s="220" t="str">
        <f>IF('[3]2026 január'!AD31=0,
    "",
    '[3]2026 január'!AD31
)</f>
        <v/>
      </c>
      <c r="AH32" s="220" t="str">
        <f>IF('[3]2026 január'!AE$31=0,
    "",
    '[3]2026 január'!AE$31
)</f>
        <v/>
      </c>
      <c r="AI32" s="220" t="str">
        <f>IF('[3]2026 január'!AF31=0,
    "",
    '[3]2026 január'!AF31
)</f>
        <v/>
      </c>
      <c r="AJ32" s="220" t="str">
        <f>IF('[3]2026 január'!AG31=0,
    "",
    '[3]2026 január'!AG31
)</f>
        <v/>
      </c>
      <c r="AK32" s="220" t="str">
        <f>IF('[3]2026 január'!AH31=0,
    "",
    '[3]2026 január'!AH31
)</f>
        <v/>
      </c>
    </row>
    <row r="33" spans="1:37" ht="14.25" customHeight="1">
      <c r="A33" s="141">
        <v>46053</v>
      </c>
      <c r="B33" s="142"/>
      <c r="C33" s="142"/>
      <c r="D33" s="142"/>
      <c r="E33" s="142"/>
      <c r="F33" s="142"/>
      <c r="G33" s="142"/>
      <c r="H33" s="146"/>
      <c r="I33" s="142"/>
      <c r="J33" s="198"/>
      <c r="K33" s="142"/>
      <c r="L33" s="142"/>
      <c r="M33" s="372"/>
      <c r="N33" s="153"/>
      <c r="O33" s="41"/>
      <c r="P33" s="220" t="str">
        <f>IF('[3]2026 január'!B$32=0,
    "",
    '[3]2026 január'!B$32
)</f>
        <v/>
      </c>
      <c r="Q33" s="220" t="str">
        <f>IF(OR('[3]2026 január'!G32=0,
       ISBLANK('[3]2026 január'!G32)),
    "",
    '[3]2026 január'!G32
)</f>
        <v/>
      </c>
      <c r="R33" s="41">
        <f>'[3]2026 január'!W32</f>
        <v>0</v>
      </c>
      <c r="S33" s="41"/>
      <c r="T33" s="41"/>
      <c r="U33" s="4"/>
      <c r="V33" s="220">
        <f>IF('[3]2026 január'!S32=0,
    "",
    '[3]2026 január'!S32
)</f>
        <v>168162</v>
      </c>
      <c r="W33" s="220" t="str">
        <f>IF('[3]2026 január'!T32=0,
    "",
    '[3]2026 január'!T32
)</f>
        <v/>
      </c>
      <c r="X33" s="220" t="str">
        <f>IF('[3]2026 január'!U32=0,
    "",
    '[3]2026 január'!U32
)</f>
        <v/>
      </c>
      <c r="Y33" s="220" t="str">
        <f>IF('[3]2026 január'!V32=0,
    "",
    '[3]2026 január'!V32
)</f>
        <v/>
      </c>
      <c r="Z33" s="220" t="str">
        <f>IF('[3]2026 január'!W32=0,
    "",
    '[3]2026 január'!W32
)</f>
        <v/>
      </c>
      <c r="AA33" s="220" t="str">
        <f>IF('[3]2026 január'!X32=0,
    "",
    '[3]2026 január'!X32
)</f>
        <v/>
      </c>
      <c r="AB33" s="220">
        <f>IF('[3]2026 január'!Y32=0,
    "",
    '[3]2026 január'!Y32
)</f>
        <v>168162</v>
      </c>
      <c r="AC33" s="220" t="str">
        <f>IF('[3]2026 január'!Z32=0,
    "",
    '[3]2026 január'!Z32
)</f>
        <v/>
      </c>
      <c r="AD33" s="220" t="str">
        <f>IF('[3]2026 január'!AA32=0,
    "",
    '[3]2026 január'!AA32
)</f>
        <v/>
      </c>
      <c r="AE33" s="220" t="str">
        <f>IF('[3]2026 január'!AB32=0,
    "",
    '[3]2026 január'!AB32
)</f>
        <v/>
      </c>
      <c r="AF33" s="220" t="str">
        <f>IF('[3]2026 január'!AC32=0,
    "",
    '[3]2026 január'!AC32
)</f>
        <v/>
      </c>
      <c r="AG33" s="220" t="str">
        <f>IF('[3]2026 január'!AD32=0,
    "",
    '[3]2026 január'!AD32
)</f>
        <v/>
      </c>
      <c r="AH33" s="220" t="str">
        <f>IF('[3]2026 január'!AE$32=0,
    "",
    '[3]2026 január'!AE$32
)</f>
        <v/>
      </c>
      <c r="AI33" s="220" t="str">
        <f>IF('[3]2026 január'!AF32=0,
    "",
    '[3]2026 január'!AF32
)</f>
        <v/>
      </c>
      <c r="AJ33" s="220" t="str">
        <f>IF('[3]2026 január'!AG32=0,
    "",
    '[3]2026 január'!AG32
)</f>
        <v/>
      </c>
      <c r="AK33" s="220" t="str">
        <f>IF('[3]2026 január'!AH32=0,
    "",
    '[3]2026 január'!AH32
)</f>
        <v/>
      </c>
    </row>
    <row r="34" spans="1:37" ht="21" customHeight="1">
      <c r="A34" s="69" t="s">
        <v>64</v>
      </c>
      <c r="B34" s="362"/>
      <c r="C34" s="19">
        <f>SUM(C1:C33)</f>
        <v>6100</v>
      </c>
      <c r="D34" s="19">
        <f>SUM(D1:D33)</f>
        <v>3164628.05</v>
      </c>
      <c r="E34" s="19">
        <f>SUM(E1:E33)</f>
        <v>71322.179999999993</v>
      </c>
      <c r="F34" s="19">
        <f>SUM(F1:F33)</f>
        <v>346741.27</v>
      </c>
      <c r="G34" s="20">
        <f>SUM(G3:G33)</f>
        <v>491910</v>
      </c>
      <c r="H34" s="192">
        <f>SUM(H3:H33)</f>
        <v>3095470</v>
      </c>
      <c r="I34" s="191">
        <f>SUM(I3:I32)</f>
        <v>2979140</v>
      </c>
      <c r="J34" s="367"/>
      <c r="K34" s="418">
        <v>206936531</v>
      </c>
      <c r="L34" s="418">
        <v>3588791</v>
      </c>
      <c r="M34" s="373"/>
      <c r="N34" s="10"/>
      <c r="O34" s="4"/>
      <c r="P34" s="220">
        <f>IF('[3]2026 január'!B$33=0,
    "",
    '[3]2026 január'!B$33
)</f>
        <v>3670425</v>
      </c>
      <c r="Q34" s="220" t="str">
        <f>IF(OR('[3]2026 január'!G33=0,
       ISBLANK('[3]2026 január'!G33)),
    "",
    '[3]2026 január'!G33
)</f>
        <v/>
      </c>
      <c r="R34" s="64">
        <f>'[3]2026 január'!W33</f>
        <v>0</v>
      </c>
      <c r="S34" s="4"/>
      <c r="T34" s="4"/>
      <c r="U34" s="4"/>
      <c r="V34" s="235" t="str">
        <f>IF('[3]2026 január'!S33=0,
    "",
    '[3]2026 január'!S33
)</f>
        <v/>
      </c>
      <c r="W34" s="235" t="str">
        <f>IF('[3]2026 január'!T33=0,
    "",
    '[3]2026 január'!T33
)</f>
        <v/>
      </c>
      <c r="X34" s="235" t="str">
        <f>IF('[3]2026 január'!U33=0,
    "",
    '[3]2026 január'!U33
)</f>
        <v/>
      </c>
      <c r="Y34" s="235" t="str">
        <f>IF('[3]2026 január'!V33=0,
    "",
    '[3]2026 január'!V33
)</f>
        <v/>
      </c>
      <c r="Z34" s="235" t="str">
        <f>IF('[3]2026 január'!W33=0,
    "",
    '[3]2026 január'!W33
)</f>
        <v/>
      </c>
      <c r="AA34" s="235" t="str">
        <f>IF('[3]2026 január'!X33=0,
    "",
    '[3]2026 január'!X33
)</f>
        <v/>
      </c>
      <c r="AB34" s="235" t="str">
        <f>IF('[3]2026 január'!Y33=0,
    "",
    '[3]2026 január'!Y33
)</f>
        <v/>
      </c>
      <c r="AC34" s="235" t="str">
        <f>IF('[3]2026 január'!Z33=0,
    "",
    '[3]2026 január'!Z33
)</f>
        <v/>
      </c>
      <c r="AD34" s="235" t="str">
        <f>IF('[3]2026 január'!AA33=0,
    "",
    '[3]2026 január'!AA33
)</f>
        <v/>
      </c>
      <c r="AE34" s="235" t="str">
        <f>IF('[3]2026 január'!AB33=0,
    "",
    '[3]2026 január'!AB33
)</f>
        <v/>
      </c>
      <c r="AF34" s="235" t="str">
        <f>IF('[3]2026 január'!AC33=0,
    "",
    '[3]2026 január'!AC33
)</f>
        <v/>
      </c>
      <c r="AG34" s="235" t="str">
        <f>IF('[3]2026 január'!AD33=0,
    "",
    '[3]2026 január'!AD33
)</f>
        <v/>
      </c>
      <c r="AH34" s="235" t="str">
        <f>IF('[3]2026 január'!AE$33=0,
    "",
    '[3]2026 január'!AE$33
)</f>
        <v/>
      </c>
      <c r="AI34" s="235" t="str">
        <f>IF('[3]2026 január'!AF33=0,
    "",
    '[3]2026 január'!AF33
)</f>
        <v/>
      </c>
      <c r="AJ34" s="235" t="str">
        <f>IF('[3]2026 január'!AG33=0,
    "",
    '[3]2026 január'!AG33
)</f>
        <v/>
      </c>
      <c r="AK34" s="235" t="str">
        <f>IF('[3]2026 január'!AH33=0,
    "",
    '[3]2026 január'!AH33
)</f>
        <v/>
      </c>
    </row>
    <row r="35" spans="1:37" ht="14.25" customHeight="1">
      <c r="A35" s="70"/>
      <c r="B35" s="11"/>
      <c r="C35" s="23">
        <f>C34+D34+E34+F34</f>
        <v>3588791.5</v>
      </c>
      <c r="D35" s="9"/>
      <c r="E35" s="9"/>
      <c r="F35" s="9"/>
      <c r="G35" s="22">
        <f>G34+H34</f>
        <v>3587380</v>
      </c>
      <c r="H35" s="9"/>
      <c r="I35"/>
      <c r="J35"/>
      <c r="K35" s="164"/>
      <c r="L35"/>
      <c r="N35" s="4"/>
      <c r="O35" s="4"/>
      <c r="P35" s="4"/>
      <c r="Q35" s="4"/>
      <c r="R35" s="4"/>
      <c r="S35" s="4"/>
      <c r="T35" s="4"/>
      <c r="U35" s="4"/>
      <c r="V35" s="4"/>
      <c r="W35" s="4"/>
      <c r="Y35" s="219"/>
      <c r="Z35" s="4"/>
      <c r="AA35" s="4"/>
      <c r="AB35" s="4"/>
      <c r="AC35" s="4"/>
      <c r="AD35" s="4"/>
      <c r="AE35" s="4"/>
      <c r="AF35" s="4"/>
      <c r="AG35" s="4"/>
      <c r="AH35" s="4"/>
    </row>
    <row r="36" spans="1:37" ht="14.25" customHeight="1">
      <c r="B36" s="41"/>
      <c r="L36"/>
    </row>
    <row r="37" spans="1:37" ht="14.25" customHeight="1">
      <c r="L37"/>
    </row>
    <row r="38" spans="1:37" ht="14.25" customHeight="1">
      <c r="L38"/>
    </row>
    <row r="39" spans="1:37" ht="14.25" customHeight="1">
      <c r="A39" s="238" t="s">
        <v>177</v>
      </c>
      <c r="B39" s="360"/>
      <c r="C39" s="239"/>
      <c r="D39" s="239"/>
      <c r="E39" s="239"/>
      <c r="F39" s="170"/>
      <c r="G39" s="170"/>
      <c r="H39" s="170"/>
      <c r="I39" s="170"/>
      <c r="J39" s="170"/>
      <c r="K39" s="364"/>
      <c r="L39" s="237"/>
    </row>
    <row r="40" spans="1:37" ht="14.25" customHeight="1">
      <c r="A40" s="177"/>
      <c r="C40" s="67"/>
      <c r="D40" s="67"/>
      <c r="J40" s="4"/>
      <c r="L40" s="52"/>
    </row>
    <row r="41" spans="1:37" ht="14.25" customHeight="1">
      <c r="A41" s="178"/>
      <c r="B41" s="361"/>
      <c r="C41" s="179"/>
      <c r="D41" s="179"/>
      <c r="E41" s="173"/>
      <c r="F41" s="173"/>
      <c r="G41" s="173"/>
      <c r="H41" s="173"/>
      <c r="I41" s="173"/>
      <c r="J41" s="173"/>
      <c r="K41" s="365"/>
      <c r="L41" s="236"/>
    </row>
    <row r="42" spans="1:37" ht="14.25" customHeight="1">
      <c r="L42"/>
    </row>
    <row r="43" spans="1:37" ht="14.25" customHeight="1">
      <c r="A43" s="66" t="s">
        <v>4</v>
      </c>
      <c r="B43" s="351"/>
      <c r="C43" s="26"/>
      <c r="D43" s="26"/>
      <c r="E43" s="26"/>
      <c r="F43" s="26"/>
      <c r="G43" s="26"/>
      <c r="H43" s="26"/>
      <c r="I43" s="26"/>
      <c r="J43" s="34"/>
      <c r="K43" s="349"/>
      <c r="L43" s="255"/>
      <c r="M43" s="385"/>
      <c r="N43" s="157"/>
      <c r="O43" s="134"/>
      <c r="Y43"/>
      <c r="AA43" s="386"/>
    </row>
    <row r="44" spans="1:37" ht="14.25" customHeight="1">
      <c r="A44" s="141">
        <v>46054</v>
      </c>
      <c r="B44" s="142"/>
      <c r="C44" s="142"/>
      <c r="D44" s="142"/>
      <c r="E44" s="142"/>
      <c r="F44" s="142"/>
      <c r="G44" s="142"/>
      <c r="H44" s="142"/>
      <c r="I44" s="142"/>
      <c r="J44" s="143"/>
      <c r="K44" s="144"/>
      <c r="L44" s="256"/>
      <c r="M44" s="381"/>
      <c r="N44" s="158"/>
      <c r="O44" s="134"/>
      <c r="P44" s="220" t="str">
        <f>IF('[3]2026 február'!B$2=0,
    "",
    '[3]2026 február'!B$2
)</f>
        <v/>
      </c>
      <c r="Y44"/>
      <c r="AA44" s="387"/>
    </row>
    <row r="45" spans="1:37" ht="14.25" customHeight="1">
      <c r="A45" s="141">
        <v>46055</v>
      </c>
      <c r="B45" s="11">
        <v>101770</v>
      </c>
      <c r="C45" s="11">
        <v>200</v>
      </c>
      <c r="D45" s="11">
        <v>89605</v>
      </c>
      <c r="E45" s="11">
        <v>770</v>
      </c>
      <c r="F45" s="11">
        <v>6510</v>
      </c>
      <c r="G45" s="11">
        <v>11160</v>
      </c>
      <c r="H45" s="11">
        <v>85925</v>
      </c>
      <c r="I45" s="11">
        <v>85925</v>
      </c>
      <c r="J45" s="38" t="s">
        <v>121</v>
      </c>
      <c r="K45" s="71">
        <v>207033616</v>
      </c>
      <c r="L45" s="377"/>
      <c r="M45" s="216"/>
      <c r="N45" s="9"/>
      <c r="O45" s="134"/>
      <c r="P45" s="220">
        <f>IF('[3]2026 február'!B$3=0,
    "",
    '[3]2026 február'!B$3
)</f>
        <v>101770</v>
      </c>
      <c r="Y45"/>
      <c r="AA45" s="9"/>
    </row>
    <row r="46" spans="1:37" ht="14.25" customHeight="1">
      <c r="A46" s="141">
        <v>46056</v>
      </c>
      <c r="B46" s="11">
        <v>122395</v>
      </c>
      <c r="C46" s="11">
        <v>300</v>
      </c>
      <c r="D46" s="11">
        <v>111480</v>
      </c>
      <c r="E46" s="11">
        <v>670</v>
      </c>
      <c r="F46" s="11">
        <v>3760</v>
      </c>
      <c r="G46" s="11">
        <v>12280</v>
      </c>
      <c r="H46" s="11">
        <v>103930</v>
      </c>
      <c r="I46" s="11">
        <v>103930</v>
      </c>
      <c r="J46" s="38" t="s">
        <v>594</v>
      </c>
      <c r="K46" s="72">
        <v>207149826</v>
      </c>
      <c r="L46" s="258"/>
      <c r="M46" s="216"/>
      <c r="N46" s="9"/>
      <c r="O46" s="134"/>
      <c r="P46" s="220">
        <f>IF('[3]2026 február'!B$4=0,
    "",
    '[3]2026 február'!B$4
)</f>
        <v>122395</v>
      </c>
      <c r="Y46"/>
      <c r="AA46" s="9"/>
    </row>
    <row r="47" spans="1:37" ht="14.25" customHeight="1">
      <c r="A47" s="141">
        <v>46057</v>
      </c>
      <c r="B47" s="11">
        <v>206560</v>
      </c>
      <c r="C47" s="11">
        <v>0</v>
      </c>
      <c r="D47" s="11">
        <v>141970</v>
      </c>
      <c r="E47" s="11">
        <v>0</v>
      </c>
      <c r="F47" s="11">
        <v>0</v>
      </c>
      <c r="G47" s="11">
        <v>1530</v>
      </c>
      <c r="H47" s="11">
        <v>140440</v>
      </c>
      <c r="I47" s="11">
        <v>140440</v>
      </c>
      <c r="J47" s="38" t="s">
        <v>595</v>
      </c>
      <c r="K47" s="72">
        <v>207291796</v>
      </c>
      <c r="L47" s="258"/>
      <c r="M47" s="216"/>
      <c r="N47" s="9"/>
      <c r="O47" s="134"/>
      <c r="P47" s="220">
        <f>IF('[3]2026 február'!B$5=0,
    "",
    '[3]2026 február'!B$5
)</f>
        <v>206560</v>
      </c>
      <c r="Y47"/>
      <c r="AA47" s="9"/>
    </row>
    <row r="48" spans="1:37" ht="14.25" customHeight="1">
      <c r="A48" s="141">
        <v>46058</v>
      </c>
      <c r="B48" s="11">
        <v>175545</v>
      </c>
      <c r="C48" s="11">
        <v>0</v>
      </c>
      <c r="D48" s="11">
        <v>160435</v>
      </c>
      <c r="E48" s="11">
        <v>0</v>
      </c>
      <c r="F48" s="11">
        <v>0</v>
      </c>
      <c r="G48" s="11">
        <v>7120</v>
      </c>
      <c r="H48" s="11">
        <v>153315</v>
      </c>
      <c r="I48" s="11">
        <v>153315</v>
      </c>
      <c r="J48" s="38" t="s">
        <v>596</v>
      </c>
      <c r="K48" s="72">
        <v>207452231</v>
      </c>
      <c r="L48" s="258"/>
      <c r="M48" s="216"/>
      <c r="N48" s="9"/>
      <c r="O48" s="134"/>
      <c r="P48" s="220">
        <f>IF('[3]2026 február'!B$6=0,
    "",
    '[3]2026 február'!B$6
)</f>
        <v>175545</v>
      </c>
      <c r="Y48"/>
      <c r="AA48" s="9"/>
    </row>
    <row r="49" spans="1:27" ht="14.25" customHeight="1">
      <c r="A49" s="141">
        <v>46059</v>
      </c>
      <c r="B49" s="11">
        <v>108825</v>
      </c>
      <c r="C49" s="11">
        <v>250</v>
      </c>
      <c r="D49" s="11">
        <v>85210</v>
      </c>
      <c r="E49" s="11">
        <v>270</v>
      </c>
      <c r="F49" s="11">
        <v>8615</v>
      </c>
      <c r="G49" s="11">
        <v>2250</v>
      </c>
      <c r="H49" s="11">
        <v>92095</v>
      </c>
      <c r="I49" s="11">
        <v>92095</v>
      </c>
      <c r="J49" s="38" t="s">
        <v>597</v>
      </c>
      <c r="K49" s="72">
        <v>207546576</v>
      </c>
      <c r="L49" s="258"/>
      <c r="M49" s="216"/>
      <c r="N49" s="9"/>
      <c r="O49" s="134"/>
      <c r="P49" s="220">
        <f>IF('[3]2026 február'!B$7=0,
    "",
    '[3]2026 február'!B$7
)</f>
        <v>108825</v>
      </c>
      <c r="Y49"/>
      <c r="AA49" s="9"/>
    </row>
    <row r="50" spans="1:27" ht="14.25" customHeight="1">
      <c r="A50" s="141">
        <v>46060</v>
      </c>
      <c r="B50" s="142"/>
      <c r="C50" s="142"/>
      <c r="D50" s="142"/>
      <c r="E50" s="142"/>
      <c r="F50" s="142"/>
      <c r="G50" s="142"/>
      <c r="H50" s="142"/>
      <c r="I50" s="142"/>
      <c r="J50" s="143"/>
      <c r="K50" s="146"/>
      <c r="L50" s="257"/>
      <c r="M50" s="381"/>
      <c r="N50" s="158"/>
      <c r="O50" s="134"/>
      <c r="P50" s="220" t="str">
        <f>IF('[3]2026 február'!B$8=0,
    "",
    '[3]2026 február'!B$8
)</f>
        <v/>
      </c>
      <c r="Y50"/>
      <c r="AA50" s="158"/>
    </row>
    <row r="51" spans="1:27" ht="14.25" customHeight="1">
      <c r="A51" s="141">
        <v>46061</v>
      </c>
      <c r="B51" s="142"/>
      <c r="C51" s="142"/>
      <c r="D51" s="142"/>
      <c r="E51" s="142"/>
      <c r="F51" s="142"/>
      <c r="G51" s="142"/>
      <c r="H51" s="142"/>
      <c r="I51" s="142"/>
      <c r="J51" s="143"/>
      <c r="K51" s="146"/>
      <c r="L51" s="257"/>
      <c r="M51" s="381"/>
      <c r="N51" s="158"/>
      <c r="O51" s="134"/>
      <c r="P51" s="220" t="str">
        <f>IF('[3]2026 február'!B$9=0,
    "",
    '[3]2026 február'!B$9
)</f>
        <v/>
      </c>
      <c r="Y51"/>
      <c r="AA51" s="158"/>
    </row>
    <row r="52" spans="1:27" ht="14.25" customHeight="1">
      <c r="A52" s="141">
        <v>46062</v>
      </c>
      <c r="B52" s="11">
        <v>150380</v>
      </c>
      <c r="C52" s="11">
        <v>100</v>
      </c>
      <c r="D52" s="11">
        <v>129430</v>
      </c>
      <c r="E52" s="11">
        <v>160</v>
      </c>
      <c r="F52" s="11">
        <v>15060</v>
      </c>
      <c r="G52" s="11">
        <v>4820</v>
      </c>
      <c r="H52" s="11">
        <v>139930</v>
      </c>
      <c r="I52" s="11">
        <v>139930</v>
      </c>
      <c r="J52" s="38" t="s">
        <v>598</v>
      </c>
      <c r="K52" s="72">
        <v>207691326</v>
      </c>
      <c r="L52" s="258"/>
      <c r="M52" s="216"/>
      <c r="N52" s="9"/>
      <c r="O52" s="134"/>
      <c r="P52" s="220">
        <f>IF('[3]2026 február'!B$10=0,
    "",
    '[3]2026 február'!B$10
)</f>
        <v>150380</v>
      </c>
      <c r="Y52"/>
      <c r="AA52" s="9"/>
    </row>
    <row r="53" spans="1:27" ht="14.25" customHeight="1">
      <c r="A53" s="141">
        <v>46063</v>
      </c>
      <c r="B53" s="11">
        <v>198100</v>
      </c>
      <c r="C53" s="11">
        <v>0</v>
      </c>
      <c r="D53" s="11">
        <v>162755</v>
      </c>
      <c r="E53" s="11">
        <v>1875</v>
      </c>
      <c r="F53" s="11">
        <v>31390</v>
      </c>
      <c r="G53" s="11">
        <v>21430</v>
      </c>
      <c r="H53" s="11">
        <v>174590</v>
      </c>
      <c r="I53" s="11">
        <v>174590</v>
      </c>
      <c r="J53" s="38" t="s">
        <v>599</v>
      </c>
      <c r="K53" s="72">
        <v>207887346</v>
      </c>
      <c r="L53" s="258"/>
      <c r="M53" s="216"/>
      <c r="N53" s="9"/>
      <c r="O53" s="134"/>
      <c r="P53" s="220">
        <f>IF('[3]2026 február'!B$11=0,
    "",
    '[3]2026 február'!B$11
)</f>
        <v>198100</v>
      </c>
      <c r="Y53"/>
      <c r="AA53" s="9"/>
    </row>
    <row r="54" spans="1:27" ht="14.25" customHeight="1">
      <c r="A54" s="141">
        <v>46064</v>
      </c>
      <c r="B54" s="11">
        <v>210115</v>
      </c>
      <c r="C54" s="11">
        <v>0</v>
      </c>
      <c r="D54" s="11">
        <v>196490</v>
      </c>
      <c r="E54" s="11">
        <v>375</v>
      </c>
      <c r="F54" s="11">
        <v>13250</v>
      </c>
      <c r="G54" s="11">
        <v>16910</v>
      </c>
      <c r="H54" s="11">
        <v>193205</v>
      </c>
      <c r="I54" s="11">
        <v>193205</v>
      </c>
      <c r="J54" s="38" t="s">
        <v>600</v>
      </c>
      <c r="K54" s="72">
        <v>208097461</v>
      </c>
      <c r="L54" s="258"/>
      <c r="M54" s="216"/>
      <c r="N54" s="9"/>
      <c r="O54" s="134"/>
      <c r="P54" s="220">
        <f>IF('[3]2026 február'!B$12=0,
    "",
    '[3]2026 február'!B$12
)</f>
        <v>210115</v>
      </c>
      <c r="Y54"/>
      <c r="AA54" s="9"/>
    </row>
    <row r="55" spans="1:27" ht="14.25" customHeight="1">
      <c r="A55" s="141">
        <v>46065</v>
      </c>
      <c r="B55" s="11">
        <v>161915</v>
      </c>
      <c r="C55" s="11">
        <v>500</v>
      </c>
      <c r="D55" s="11">
        <v>145135</v>
      </c>
      <c r="E55" s="11">
        <v>690</v>
      </c>
      <c r="F55" s="11">
        <v>8670</v>
      </c>
      <c r="G55" s="11">
        <v>3070</v>
      </c>
      <c r="H55" s="11">
        <v>151925</v>
      </c>
      <c r="I55" s="11">
        <v>151925</v>
      </c>
      <c r="J55" s="38" t="s">
        <v>601</v>
      </c>
      <c r="K55" s="72">
        <v>208252456</v>
      </c>
      <c r="L55" s="258"/>
      <c r="M55" s="106"/>
      <c r="N55" s="9"/>
      <c r="O55" s="134"/>
      <c r="P55" s="220">
        <f>IF('[3]2026 február'!B$13=0,
    "",
    '[3]2026 február'!B$13
)</f>
        <v>161915</v>
      </c>
      <c r="Y55"/>
      <c r="AA55" s="9"/>
    </row>
    <row r="56" spans="1:27" ht="14.25" customHeight="1">
      <c r="A56" s="141">
        <v>46066</v>
      </c>
      <c r="B56" s="11">
        <v>112195</v>
      </c>
      <c r="C56" s="11">
        <v>0</v>
      </c>
      <c r="D56" s="11">
        <v>93530</v>
      </c>
      <c r="E56" s="11">
        <v>915</v>
      </c>
      <c r="F56" s="11">
        <v>12030</v>
      </c>
      <c r="G56" s="11">
        <v>2510</v>
      </c>
      <c r="H56" s="11">
        <v>103965</v>
      </c>
      <c r="I56" s="11">
        <v>103965</v>
      </c>
      <c r="J56" s="38" t="s">
        <v>602</v>
      </c>
      <c r="K56" s="72">
        <v>208358931</v>
      </c>
      <c r="L56" s="258"/>
      <c r="M56" s="216"/>
      <c r="N56" s="9"/>
      <c r="O56" s="134"/>
      <c r="P56" s="220">
        <f>IF('[3]2026 február'!B$14=0,
    "",
    '[3]2026 február'!B$14
)</f>
        <v>112195</v>
      </c>
      <c r="Y56"/>
      <c r="AA56" s="9"/>
    </row>
    <row r="57" spans="1:27" ht="14.25" customHeight="1">
      <c r="A57" s="141">
        <v>46067</v>
      </c>
      <c r="B57" s="142"/>
      <c r="C57" s="142"/>
      <c r="D57" s="142"/>
      <c r="E57" s="142"/>
      <c r="F57" s="142"/>
      <c r="G57" s="142"/>
      <c r="H57" s="142"/>
      <c r="I57" s="142"/>
      <c r="J57" s="143"/>
      <c r="K57" s="146"/>
      <c r="L57" s="257"/>
      <c r="M57" s="381"/>
      <c r="N57" s="158"/>
      <c r="O57" s="134"/>
      <c r="P57" s="220" t="str">
        <f>IF('[3]2026 február'!B$15=0,
    "",
    '[3]2026 február'!B$15
)</f>
        <v/>
      </c>
      <c r="Y57"/>
      <c r="AA57" s="158"/>
    </row>
    <row r="58" spans="1:27" ht="14.25" customHeight="1">
      <c r="A58" s="141">
        <v>46068</v>
      </c>
      <c r="B58" s="142"/>
      <c r="C58" s="142"/>
      <c r="D58" s="142"/>
      <c r="E58" s="142"/>
      <c r="F58" s="142"/>
      <c r="G58" s="142"/>
      <c r="H58" s="142"/>
      <c r="I58" s="142"/>
      <c r="J58" s="143"/>
      <c r="K58" s="146"/>
      <c r="L58" s="257"/>
      <c r="M58" s="381"/>
      <c r="N58" s="158"/>
      <c r="O58" s="134"/>
      <c r="P58" s="220" t="str">
        <f>IF('[3]2026 február'!B$16=0,
    "",
    '[3]2026 február'!B$16
)</f>
        <v/>
      </c>
      <c r="Y58"/>
      <c r="AA58" s="158"/>
    </row>
    <row r="59" spans="1:27" ht="14.25" customHeight="1">
      <c r="A59" s="141">
        <v>46069</v>
      </c>
      <c r="B59" s="11">
        <v>194960</v>
      </c>
      <c r="C59" s="11">
        <v>750</v>
      </c>
      <c r="D59" s="11">
        <v>149900</v>
      </c>
      <c r="E59" s="11">
        <v>3990</v>
      </c>
      <c r="F59" s="11">
        <v>32330</v>
      </c>
      <c r="G59" s="11">
        <v>14150</v>
      </c>
      <c r="H59" s="11">
        <v>172820</v>
      </c>
      <c r="I59" s="11">
        <v>172820</v>
      </c>
      <c r="J59" s="38" t="s">
        <v>603</v>
      </c>
      <c r="K59" s="72">
        <v>208545901</v>
      </c>
      <c r="L59" s="258"/>
      <c r="M59" s="216"/>
      <c r="N59" s="9"/>
      <c r="O59" s="134"/>
      <c r="P59" s="220">
        <f>IF('[3]2026 február'!B$17=0,
    "",
    '[3]2026 február'!B$17
)</f>
        <v>194960</v>
      </c>
      <c r="Y59"/>
      <c r="AA59" s="9"/>
    </row>
    <row r="60" spans="1:27" ht="14.25" customHeight="1">
      <c r="A60" s="141">
        <v>46070</v>
      </c>
      <c r="B60" s="11">
        <v>184875</v>
      </c>
      <c r="C60" s="11">
        <v>550</v>
      </c>
      <c r="D60" s="11">
        <v>159445</v>
      </c>
      <c r="E60" s="11">
        <v>655</v>
      </c>
      <c r="F60" s="11">
        <v>23915</v>
      </c>
      <c r="G60" s="11">
        <v>47275</v>
      </c>
      <c r="H60" s="11">
        <v>137290</v>
      </c>
      <c r="I60" s="11">
        <v>137290</v>
      </c>
      <c r="J60" s="38" t="s">
        <v>604</v>
      </c>
      <c r="K60" s="72">
        <v>208730466</v>
      </c>
      <c r="L60" s="258"/>
      <c r="M60" s="216"/>
      <c r="N60" s="9"/>
      <c r="O60" s="134"/>
      <c r="P60" s="220">
        <f>IF('[3]2026 február'!B$18=0,
    "",
    '[3]2026 február'!B$18
)</f>
        <v>184875</v>
      </c>
      <c r="Y60"/>
      <c r="AA60" s="9"/>
    </row>
    <row r="61" spans="1:27" ht="14.25" customHeight="1">
      <c r="A61" s="141">
        <v>46071</v>
      </c>
      <c r="B61" s="11">
        <v>168880</v>
      </c>
      <c r="C61" s="11">
        <v>300</v>
      </c>
      <c r="D61" s="11">
        <v>155615</v>
      </c>
      <c r="E61" s="11">
        <v>2405</v>
      </c>
      <c r="F61" s="11">
        <v>5560</v>
      </c>
      <c r="G61" s="11">
        <v>7310</v>
      </c>
      <c r="H61" s="11">
        <v>156570</v>
      </c>
      <c r="I61" s="11">
        <v>156570</v>
      </c>
      <c r="J61" s="38" t="s">
        <v>605</v>
      </c>
      <c r="K61" s="72">
        <v>208894346</v>
      </c>
      <c r="L61" s="258"/>
      <c r="M61" s="216"/>
      <c r="N61" s="9"/>
      <c r="O61" s="134"/>
      <c r="P61" s="220">
        <f>IF('[3]2026 február'!B$19=0,
    "",
    '[3]2026 február'!B$19
)</f>
        <v>168880</v>
      </c>
      <c r="Y61"/>
      <c r="AA61" s="9"/>
    </row>
    <row r="62" spans="1:27" ht="14.25" customHeight="1">
      <c r="A62" s="141">
        <v>46072</v>
      </c>
      <c r="B62" s="11">
        <v>175400</v>
      </c>
      <c r="C62" s="11">
        <v>450</v>
      </c>
      <c r="D62" s="11">
        <v>117465</v>
      </c>
      <c r="E62" s="11">
        <v>3000</v>
      </c>
      <c r="F62" s="11">
        <v>47980</v>
      </c>
      <c r="G62" s="11">
        <v>11590</v>
      </c>
      <c r="H62" s="11">
        <v>157305</v>
      </c>
      <c r="I62" s="11">
        <v>157305</v>
      </c>
      <c r="J62" s="38" t="s">
        <v>606</v>
      </c>
      <c r="K62" s="72">
        <v>209063241</v>
      </c>
      <c r="L62" s="258"/>
      <c r="M62" s="216"/>
      <c r="N62" s="9"/>
      <c r="O62" s="134"/>
      <c r="P62" s="220">
        <f>IF('[3]2026 február'!B$20=0,
    "",
    '[3]2026 február'!B$20
)</f>
        <v>175400</v>
      </c>
      <c r="Y62"/>
      <c r="AA62" s="9"/>
    </row>
    <row r="63" spans="1:27" ht="14.25" customHeight="1">
      <c r="A63" s="141">
        <v>46073</v>
      </c>
      <c r="B63" s="11">
        <v>82770</v>
      </c>
      <c r="C63" s="11">
        <v>200</v>
      </c>
      <c r="D63" s="11">
        <v>70300</v>
      </c>
      <c r="E63" s="11">
        <v>3300</v>
      </c>
      <c r="F63" s="11">
        <v>4970</v>
      </c>
      <c r="G63" s="11">
        <v>330</v>
      </c>
      <c r="H63" s="11">
        <v>78440</v>
      </c>
      <c r="I63" s="11">
        <v>78440</v>
      </c>
      <c r="J63" s="38" t="s">
        <v>607</v>
      </c>
      <c r="K63" s="72">
        <v>209142011</v>
      </c>
      <c r="L63" s="258"/>
      <c r="M63" s="216"/>
      <c r="N63" s="9"/>
      <c r="O63" s="134"/>
      <c r="P63" s="220">
        <f>IF('[3]2026 február'!B$21=0,
    "",
    '[3]2026 február'!B$21
)</f>
        <v>82770</v>
      </c>
      <c r="Y63"/>
      <c r="AA63" s="9"/>
    </row>
    <row r="64" spans="1:27" ht="14.25" customHeight="1">
      <c r="A64" s="141">
        <v>46074</v>
      </c>
      <c r="B64" s="142"/>
      <c r="C64" s="142"/>
      <c r="D64" s="142"/>
      <c r="E64" s="142"/>
      <c r="F64" s="142"/>
      <c r="G64" s="142"/>
      <c r="H64" s="142"/>
      <c r="I64" s="142"/>
      <c r="J64" s="143"/>
      <c r="K64" s="146"/>
      <c r="L64" s="257"/>
      <c r="M64" s="381"/>
      <c r="N64" s="158"/>
      <c r="O64" s="134"/>
      <c r="P64" s="220" t="str">
        <f>IF('[3]2026 február'!B$22=0,
    "",
    '[3]2026 február'!B$22
)</f>
        <v/>
      </c>
      <c r="Y64"/>
      <c r="AA64" s="158"/>
    </row>
    <row r="65" spans="1:27" ht="14.25" customHeight="1">
      <c r="A65" s="141">
        <v>46075</v>
      </c>
      <c r="B65" s="142"/>
      <c r="C65" s="142"/>
      <c r="D65" s="142"/>
      <c r="E65" s="142"/>
      <c r="F65" s="142"/>
      <c r="G65" s="142"/>
      <c r="H65" s="142"/>
      <c r="I65" s="142"/>
      <c r="J65" s="143"/>
      <c r="K65" s="146"/>
      <c r="L65" s="257"/>
      <c r="M65" s="381"/>
      <c r="N65" s="158"/>
      <c r="O65" s="134"/>
      <c r="P65" s="220" t="str">
        <f>IF('[3]2026 február'!B$23=0,
    "",
    '[3]2026 február'!B$23
)</f>
        <v/>
      </c>
      <c r="Y65"/>
      <c r="AA65" s="158"/>
    </row>
    <row r="66" spans="1:27" ht="14.25" customHeight="1">
      <c r="A66" s="141">
        <v>46076</v>
      </c>
      <c r="B66" s="11">
        <v>177660</v>
      </c>
      <c r="C66" s="11">
        <v>650</v>
      </c>
      <c r="D66" s="11">
        <v>138460</v>
      </c>
      <c r="E66" s="11">
        <v>2000</v>
      </c>
      <c r="F66" s="11">
        <v>31410</v>
      </c>
      <c r="G66" s="11">
        <v>5800</v>
      </c>
      <c r="H66" s="11">
        <v>166720</v>
      </c>
      <c r="I66" s="11">
        <v>166720</v>
      </c>
      <c r="J66" s="38" t="s">
        <v>608</v>
      </c>
      <c r="K66" s="72">
        <v>209314531</v>
      </c>
      <c r="L66" s="258"/>
      <c r="M66" s="216"/>
      <c r="N66" s="9"/>
      <c r="O66" s="134"/>
      <c r="P66" s="220">
        <f>IF('[3]2026 február'!B$24=0,
    "",
    '[3]2026 február'!B$24
)</f>
        <v>177660</v>
      </c>
      <c r="Y66"/>
      <c r="AA66" s="9"/>
    </row>
    <row r="67" spans="1:27" ht="14.25" customHeight="1">
      <c r="A67" s="141">
        <v>46077</v>
      </c>
      <c r="B67" s="11">
        <v>181465</v>
      </c>
      <c r="C67" s="11">
        <v>0</v>
      </c>
      <c r="D67" s="11">
        <v>159550</v>
      </c>
      <c r="E67" s="11">
        <v>2270</v>
      </c>
      <c r="F67" s="11">
        <v>19645</v>
      </c>
      <c r="G67" s="11">
        <v>27640</v>
      </c>
      <c r="H67" s="11">
        <v>153825</v>
      </c>
      <c r="I67" s="11">
        <v>153825</v>
      </c>
      <c r="J67" s="38" t="s">
        <v>609</v>
      </c>
      <c r="K67" s="72">
        <v>209495996</v>
      </c>
      <c r="L67" s="258"/>
      <c r="M67" s="216"/>
      <c r="N67" s="9"/>
      <c r="O67" s="134"/>
      <c r="P67" s="220">
        <f>IF('[3]2026 február'!B$25=0,
    "",
    '[3]2026 február'!B$25
)</f>
        <v>181465</v>
      </c>
      <c r="Y67"/>
      <c r="AA67" s="9"/>
    </row>
    <row r="68" spans="1:27" ht="14.25" customHeight="1">
      <c r="A68" s="141">
        <v>46078</v>
      </c>
      <c r="B68" s="11">
        <v>256125</v>
      </c>
      <c r="C68" s="11">
        <v>450</v>
      </c>
      <c r="D68" s="11">
        <v>224860</v>
      </c>
      <c r="E68" s="11">
        <v>1020</v>
      </c>
      <c r="F68" s="11">
        <v>18730</v>
      </c>
      <c r="G68" s="11">
        <v>44900</v>
      </c>
      <c r="H68" s="11">
        <v>200160</v>
      </c>
      <c r="I68" s="11">
        <v>200160</v>
      </c>
      <c r="J68" s="38" t="s">
        <v>610</v>
      </c>
      <c r="K68" s="72">
        <v>209741056</v>
      </c>
      <c r="L68" s="258"/>
      <c r="M68" s="216"/>
      <c r="N68" s="9"/>
      <c r="O68" s="134"/>
      <c r="P68" s="220">
        <f>IF('[3]2026 február'!B$26=0,
    "",
    '[3]2026 február'!B$26
)</f>
        <v>256125</v>
      </c>
      <c r="Y68"/>
      <c r="AA68" s="9"/>
    </row>
    <row r="69" spans="1:27" ht="14.25" customHeight="1">
      <c r="A69" s="141">
        <v>46079</v>
      </c>
      <c r="B69" s="11">
        <v>234740</v>
      </c>
      <c r="C69" s="11">
        <v>500</v>
      </c>
      <c r="D69" s="11">
        <v>184545</v>
      </c>
      <c r="E69" s="11">
        <v>610</v>
      </c>
      <c r="F69" s="11">
        <v>24385</v>
      </c>
      <c r="G69" s="11">
        <v>53290</v>
      </c>
      <c r="H69" s="11">
        <v>156750</v>
      </c>
      <c r="I69" s="11">
        <v>156750</v>
      </c>
      <c r="J69" s="38" t="s">
        <v>611</v>
      </c>
      <c r="K69" s="72">
        <v>209951096</v>
      </c>
      <c r="L69" s="258"/>
      <c r="M69" s="216"/>
      <c r="N69" s="9"/>
      <c r="O69" s="134"/>
      <c r="P69" s="220">
        <f>IF('[3]2026 február'!B$27=0,
    "",
    '[3]2026 február'!B$27
)</f>
        <v>234740</v>
      </c>
      <c r="Y69"/>
      <c r="AA69" s="9"/>
    </row>
    <row r="70" spans="1:27" ht="14.25" customHeight="1">
      <c r="A70" s="141">
        <v>46080</v>
      </c>
      <c r="B70" s="11">
        <v>105440</v>
      </c>
      <c r="C70" s="11">
        <v>500</v>
      </c>
      <c r="D70" s="11">
        <v>85250</v>
      </c>
      <c r="E70" s="11">
        <v>490</v>
      </c>
      <c r="F70" s="11">
        <v>19200</v>
      </c>
      <c r="G70" s="11">
        <v>27160</v>
      </c>
      <c r="H70" s="11">
        <v>78280</v>
      </c>
      <c r="I70" s="11">
        <v>78280</v>
      </c>
      <c r="J70" s="38" t="s">
        <v>612</v>
      </c>
      <c r="K70" s="72">
        <v>210056536</v>
      </c>
      <c r="L70" s="258"/>
      <c r="M70" s="216"/>
      <c r="N70" s="9"/>
      <c r="O70" s="134"/>
      <c r="P70" s="220">
        <f>IF('[3]2026 február'!B$28=0,
    "",
    '[3]2026 február'!B$28
)</f>
        <v>105440</v>
      </c>
      <c r="Y70"/>
      <c r="AA70" s="9"/>
    </row>
    <row r="71" spans="1:27" ht="14.25" customHeight="1">
      <c r="A71" s="141">
        <v>46081</v>
      </c>
      <c r="B71" s="142"/>
      <c r="C71" s="142"/>
      <c r="D71" s="142"/>
      <c r="E71" s="142"/>
      <c r="F71" s="142"/>
      <c r="G71" s="142"/>
      <c r="H71" s="142"/>
      <c r="I71" s="142"/>
      <c r="J71" s="143"/>
      <c r="K71" s="146"/>
      <c r="L71" s="257"/>
      <c r="M71" s="381"/>
      <c r="N71" s="158"/>
      <c r="O71" s="134"/>
      <c r="P71" s="220" t="str">
        <f>IF('[3]2026 február'!B$29=0,
    "",
    '[3]2026 február'!B$29
)</f>
        <v/>
      </c>
      <c r="Y71"/>
      <c r="AA71" s="158"/>
    </row>
    <row r="72" spans="1:27" ht="14.25" customHeight="1">
      <c r="A72" s="5"/>
      <c r="B72" s="11"/>
      <c r="C72" s="11"/>
      <c r="D72" s="11"/>
      <c r="E72" s="11"/>
      <c r="F72" s="11"/>
      <c r="G72" s="11"/>
      <c r="H72" s="11"/>
      <c r="I72" s="11"/>
      <c r="J72" s="38"/>
      <c r="K72" s="72"/>
      <c r="L72" s="258"/>
      <c r="M72" s="216"/>
      <c r="N72" s="9"/>
      <c r="O72" s="134"/>
      <c r="P72" s="220" t="str">
        <f>IF('[3]2026 február'!B$30=0,
    "",
    '[3]2026 február'!B$30
)</f>
        <v/>
      </c>
      <c r="Y72"/>
      <c r="AA72" s="9"/>
    </row>
    <row r="73" spans="1:27" ht="14.25" customHeight="1">
      <c r="A73" s="5"/>
      <c r="B73" s="11"/>
      <c r="C73" s="11"/>
      <c r="D73" s="11"/>
      <c r="E73" s="11"/>
      <c r="F73" s="11"/>
      <c r="G73" s="11"/>
      <c r="H73" s="11"/>
      <c r="I73" s="11"/>
      <c r="J73" s="38"/>
      <c r="K73" s="72"/>
      <c r="L73" s="258"/>
      <c r="M73" s="216"/>
      <c r="N73" s="9"/>
      <c r="O73" s="134"/>
      <c r="P73" s="220" t="str">
        <f>IF('[3]2026 február'!B$31=0,
    "",
    '[3]2026 február'!B$31
)</f>
        <v/>
      </c>
      <c r="Y73"/>
      <c r="AA73" s="9"/>
    </row>
    <row r="74" spans="1:27" ht="14.25" customHeight="1">
      <c r="A74" s="141"/>
      <c r="B74" s="11"/>
      <c r="C74" s="11"/>
      <c r="D74" s="11"/>
      <c r="E74" s="11"/>
      <c r="F74" s="11"/>
      <c r="G74" s="11"/>
      <c r="H74" s="11"/>
      <c r="I74" s="11"/>
      <c r="J74" s="205"/>
      <c r="K74" s="206"/>
      <c r="L74" s="379"/>
      <c r="M74" s="388"/>
      <c r="N74" s="9"/>
      <c r="O74" s="134"/>
      <c r="P74" s="220" t="str">
        <f>IF('[3]2026 február'!B$32=0,
    "",
    '[3]2026 február'!B$32
)</f>
        <v/>
      </c>
      <c r="Y74"/>
      <c r="AA74" s="9"/>
    </row>
    <row r="75" spans="1:27" ht="14.25" customHeight="1">
      <c r="A75" s="18" t="s">
        <v>64</v>
      </c>
      <c r="B75" s="362"/>
      <c r="C75" s="19">
        <f>SUM(C42:C74)</f>
        <v>5700</v>
      </c>
      <c r="D75" s="19">
        <f>SUM(D42:D74)</f>
        <v>2761430</v>
      </c>
      <c r="E75" s="19">
        <f>SUM(E42:E74)</f>
        <v>25465</v>
      </c>
      <c r="F75" s="19">
        <f>SUM(F42:F74)</f>
        <v>327410</v>
      </c>
      <c r="G75" s="20">
        <f>SUM(G42:G74)</f>
        <v>322525</v>
      </c>
      <c r="H75" s="20">
        <f>SUM(H44:H74)</f>
        <v>2797480</v>
      </c>
      <c r="I75" s="39">
        <f>SUM(I45:I73)</f>
        <v>2797480</v>
      </c>
      <c r="J75" s="32"/>
      <c r="K75" s="417">
        <v>210056536</v>
      </c>
      <c r="L75" s="417">
        <v>3120005</v>
      </c>
      <c r="M75" s="216"/>
      <c r="N75" s="9"/>
      <c r="O75" s="134"/>
      <c r="P75" s="220">
        <f>IF('[3]2026 február'!B$33=0,
    "",
    '[3]2026 február'!B$33
)</f>
        <v>3310115</v>
      </c>
      <c r="Y75"/>
      <c r="AA75" s="9"/>
    </row>
    <row r="76" spans="1:27" ht="14.25" customHeight="1">
      <c r="A76" s="5"/>
      <c r="B76" s="11"/>
      <c r="C76" s="29">
        <f>C75+D75+E75+F75</f>
        <v>3120005</v>
      </c>
      <c r="D76" s="10"/>
      <c r="E76" s="10"/>
      <c r="F76" s="10"/>
      <c r="G76" s="47">
        <f>G75+H75</f>
        <v>3120005</v>
      </c>
      <c r="H76" s="10"/>
      <c r="I76" s="10"/>
      <c r="J76" s="33"/>
      <c r="K76" s="11"/>
      <c r="L76" s="260"/>
      <c r="M76" s="216"/>
      <c r="N76" s="9"/>
      <c r="O76" s="134"/>
      <c r="Y76"/>
      <c r="AA76" s="9"/>
    </row>
    <row r="77" spans="1:27" ht="14.25" customHeight="1">
      <c r="L77"/>
    </row>
    <row r="78" spans="1:27" ht="14.25" customHeight="1">
      <c r="A78" s="403" t="s">
        <v>177</v>
      </c>
      <c r="B78" s="404"/>
      <c r="C78" s="405"/>
      <c r="D78" s="405"/>
      <c r="E78" s="405"/>
      <c r="F78" s="406"/>
      <c r="G78" s="406"/>
      <c r="H78" s="406"/>
      <c r="I78" s="406"/>
      <c r="J78" s="407"/>
      <c r="K78" s="408"/>
      <c r="L78"/>
    </row>
    <row r="79" spans="1:27" ht="14.25" customHeight="1">
      <c r="A79" s="409"/>
      <c r="B79" s="402"/>
      <c r="C79" s="402"/>
      <c r="D79" s="402"/>
      <c r="E79" s="402"/>
      <c r="F79" s="402"/>
      <c r="G79" s="396"/>
      <c r="H79" s="396"/>
      <c r="I79" s="396"/>
      <c r="J79" s="396"/>
      <c r="K79" s="410"/>
      <c r="L79"/>
    </row>
    <row r="80" spans="1:27" ht="14.25" customHeight="1">
      <c r="A80" s="628"/>
      <c r="B80" s="629"/>
      <c r="C80" s="629"/>
      <c r="D80" s="629"/>
      <c r="E80" s="629"/>
      <c r="F80" s="629"/>
      <c r="G80" s="411"/>
      <c r="H80" s="411"/>
      <c r="I80" s="411"/>
      <c r="J80" s="411"/>
      <c r="K80" s="412"/>
      <c r="L80"/>
    </row>
    <row r="81" spans="1:16" ht="14.25" customHeight="1">
      <c r="L81"/>
    </row>
    <row r="82" spans="1:16" ht="14.25" customHeight="1">
      <c r="L82"/>
    </row>
    <row r="83" spans="1:16" ht="14.25" customHeight="1">
      <c r="L83"/>
    </row>
    <row r="84" spans="1:16" ht="14.25" customHeight="1">
      <c r="L84"/>
    </row>
    <row r="85" spans="1:16" ht="14.25" customHeight="1">
      <c r="A85" s="66" t="s">
        <v>5</v>
      </c>
      <c r="B85" s="351"/>
      <c r="C85" s="26"/>
      <c r="D85" s="26"/>
      <c r="E85" s="26"/>
      <c r="F85" s="26"/>
      <c r="G85" s="26"/>
      <c r="H85" s="26"/>
      <c r="I85" s="26"/>
      <c r="J85" s="34"/>
      <c r="K85" s="349"/>
      <c r="L85" s="255"/>
      <c r="M85" s="157"/>
      <c r="N85" s="157"/>
    </row>
    <row r="86" spans="1:16" ht="14.25" customHeight="1">
      <c r="A86" s="141">
        <v>46082</v>
      </c>
      <c r="B86" s="142"/>
      <c r="C86" s="142"/>
      <c r="D86" s="142"/>
      <c r="E86" s="142"/>
      <c r="F86" s="142"/>
      <c r="G86" s="142"/>
      <c r="H86" s="142"/>
      <c r="I86" s="142"/>
      <c r="J86" s="143"/>
      <c r="K86" s="144"/>
      <c r="L86" s="256"/>
      <c r="M86" s="158"/>
      <c r="N86" s="158"/>
      <c r="P86" s="220" t="str">
        <f>IF('[3]2026 március'!B$2=0,
    "",
    '[3]2026 március'!B$2
)</f>
        <v/>
      </c>
    </row>
    <row r="87" spans="1:16" ht="14.25" customHeight="1">
      <c r="A87" s="141">
        <v>46083</v>
      </c>
      <c r="B87" s="11">
        <v>190190</v>
      </c>
      <c r="C87" s="11">
        <v>1200</v>
      </c>
      <c r="D87" s="11">
        <v>150290</v>
      </c>
      <c r="E87" s="11">
        <v>885</v>
      </c>
      <c r="F87" s="11">
        <v>36615</v>
      </c>
      <c r="G87" s="11">
        <v>42395</v>
      </c>
      <c r="H87" s="11">
        <v>146595</v>
      </c>
      <c r="I87" s="11">
        <v>146595</v>
      </c>
      <c r="J87" s="38" t="s">
        <v>102</v>
      </c>
      <c r="K87" s="72">
        <v>210245526</v>
      </c>
      <c r="L87" s="72"/>
      <c r="M87" s="9"/>
      <c r="N87" s="9"/>
      <c r="P87" s="220">
        <f>IF('[3]2026 március'!B$3=0,
    "",
    '[3]2026 március'!B$3
)</f>
        <v>190192</v>
      </c>
    </row>
    <row r="88" spans="1:16" ht="14.25" customHeight="1">
      <c r="A88" s="141">
        <v>46084</v>
      </c>
      <c r="B88" s="11">
        <v>147280</v>
      </c>
      <c r="C88" s="11">
        <v>550</v>
      </c>
      <c r="D88" s="11">
        <v>127040</v>
      </c>
      <c r="E88" s="11">
        <v>1240</v>
      </c>
      <c r="F88" s="11">
        <v>8370</v>
      </c>
      <c r="G88" s="11">
        <v>11910</v>
      </c>
      <c r="H88" s="11">
        <v>125290</v>
      </c>
      <c r="I88" s="11">
        <v>125290</v>
      </c>
      <c r="J88" s="38" t="s">
        <v>613</v>
      </c>
      <c r="K88" s="72">
        <v>210382726</v>
      </c>
      <c r="L88" s="72"/>
      <c r="M88" s="9"/>
      <c r="N88" s="9"/>
      <c r="P88" s="220">
        <f>IF('[3]2026 március'!B$4=0,
    "",
    '[3]2026 március'!B$4
)</f>
        <v>147280</v>
      </c>
    </row>
    <row r="89" spans="1:16" ht="14.25" customHeight="1">
      <c r="A89" s="141">
        <v>46085</v>
      </c>
      <c r="B89" s="11">
        <v>191475</v>
      </c>
      <c r="C89" s="11">
        <v>0</v>
      </c>
      <c r="D89" s="11">
        <v>159010</v>
      </c>
      <c r="E89" s="11">
        <v>0</v>
      </c>
      <c r="F89" s="11">
        <v>13320</v>
      </c>
      <c r="G89" s="11">
        <v>30240</v>
      </c>
      <c r="H89" s="11">
        <v>142090</v>
      </c>
      <c r="I89" s="11">
        <v>142090</v>
      </c>
      <c r="J89" s="38" t="s">
        <v>585</v>
      </c>
      <c r="K89" s="72">
        <v>210555056</v>
      </c>
      <c r="L89" s="72"/>
      <c r="M89" s="9"/>
      <c r="N89" s="9"/>
      <c r="P89" s="220">
        <f>IF('[3]2026 március'!B$5=0,
    "",
    '[3]2026 március'!B$5
)</f>
        <v>191475</v>
      </c>
    </row>
    <row r="90" spans="1:16" ht="14.25" customHeight="1">
      <c r="A90" s="141">
        <v>46086</v>
      </c>
      <c r="B90" s="11">
        <v>164750</v>
      </c>
      <c r="C90" s="11">
        <v>750</v>
      </c>
      <c r="D90" s="11">
        <v>132155</v>
      </c>
      <c r="E90" s="11">
        <v>1295</v>
      </c>
      <c r="F90" s="11">
        <v>30650</v>
      </c>
      <c r="G90" s="11">
        <v>46595</v>
      </c>
      <c r="H90" s="11">
        <v>118255</v>
      </c>
      <c r="I90" s="11">
        <v>118255</v>
      </c>
      <c r="J90" s="38" t="s">
        <v>614</v>
      </c>
      <c r="K90" s="72">
        <v>210719906</v>
      </c>
      <c r="L90" s="72"/>
      <c r="M90" s="9"/>
      <c r="N90" s="9"/>
      <c r="P90" s="220">
        <f>IF('[3]2026 március'!B$6=0,
    "",
    '[3]2026 március'!B$6
)</f>
        <v>164750</v>
      </c>
    </row>
    <row r="91" spans="1:16" ht="14.25" customHeight="1">
      <c r="A91" s="141">
        <v>46087</v>
      </c>
      <c r="B91" s="11">
        <v>112725</v>
      </c>
      <c r="C91" s="11">
        <v>750</v>
      </c>
      <c r="D91" s="11">
        <v>102370</v>
      </c>
      <c r="E91" s="11">
        <v>4560</v>
      </c>
      <c r="F91" s="11">
        <v>5045</v>
      </c>
      <c r="G91" s="11">
        <v>7040</v>
      </c>
      <c r="H91" s="11">
        <v>105685</v>
      </c>
      <c r="I91" s="11">
        <v>105685</v>
      </c>
      <c r="J91" s="38" t="s">
        <v>615</v>
      </c>
      <c r="K91" s="72">
        <v>210832631</v>
      </c>
      <c r="L91" s="72"/>
      <c r="M91" s="9"/>
      <c r="N91" s="9"/>
      <c r="P91" s="220">
        <f>IF('[3]2026 március'!B$7=0,
    "",
    '[3]2026 március'!B$7
)</f>
        <v>112725</v>
      </c>
    </row>
    <row r="92" spans="1:16" ht="14.25" customHeight="1">
      <c r="A92" s="141">
        <v>46088</v>
      </c>
      <c r="B92" s="142"/>
      <c r="C92" s="142"/>
      <c r="D92" s="142"/>
      <c r="E92" s="142"/>
      <c r="F92" s="142"/>
      <c r="G92" s="142"/>
      <c r="H92" s="142"/>
      <c r="I92" s="142"/>
      <c r="J92" s="143"/>
      <c r="K92" s="146"/>
      <c r="L92" s="249"/>
      <c r="M92" s="158"/>
      <c r="N92" s="158"/>
      <c r="P92" s="220" t="str">
        <f>IF('[3]2026 március'!B$8=0,
    "",
    '[3]2026 március'!B$8
)</f>
        <v/>
      </c>
    </row>
    <row r="93" spans="1:16" ht="14.25" customHeight="1">
      <c r="A93" s="141">
        <v>46089</v>
      </c>
      <c r="B93" s="142"/>
      <c r="C93" s="142"/>
      <c r="D93" s="142"/>
      <c r="E93" s="142"/>
      <c r="F93" s="142"/>
      <c r="G93" s="142"/>
      <c r="H93" s="142"/>
      <c r="I93" s="142"/>
      <c r="J93" s="143"/>
      <c r="K93" s="146"/>
      <c r="L93" s="249"/>
      <c r="M93" s="158"/>
      <c r="N93" s="158"/>
      <c r="P93" s="220" t="str">
        <f>IF('[3]2026 március'!B$9=0,
    "",
    '[3]2026 március'!B$9
)</f>
        <v/>
      </c>
    </row>
    <row r="94" spans="1:16" ht="14.25" customHeight="1">
      <c r="A94" s="141">
        <v>46090</v>
      </c>
      <c r="B94" s="11">
        <v>174790</v>
      </c>
      <c r="C94" s="11">
        <v>750</v>
      </c>
      <c r="D94" s="11">
        <v>158200</v>
      </c>
      <c r="E94" s="11">
        <v>899</v>
      </c>
      <c r="F94" s="11">
        <v>12440</v>
      </c>
      <c r="G94" s="11">
        <v>7130</v>
      </c>
      <c r="H94" s="11">
        <v>165159</v>
      </c>
      <c r="I94" s="11">
        <v>165159</v>
      </c>
      <c r="J94" s="38" t="s">
        <v>616</v>
      </c>
      <c r="K94" s="72">
        <v>211004920</v>
      </c>
      <c r="L94" s="72"/>
      <c r="M94" s="9"/>
      <c r="N94" s="9"/>
      <c r="P94" s="220">
        <f>IF('[3]2026 március'!B$10=0,
    "",
    '[3]2026 március'!B$10
)</f>
        <v>174790</v>
      </c>
    </row>
    <row r="95" spans="1:16" ht="14.25" customHeight="1">
      <c r="A95" s="141">
        <v>46091</v>
      </c>
      <c r="B95" s="11">
        <v>172175</v>
      </c>
      <c r="C95" s="11">
        <v>1100</v>
      </c>
      <c r="D95" s="11">
        <v>156020</v>
      </c>
      <c r="E95" s="11">
        <v>50</v>
      </c>
      <c r="F95" s="11">
        <v>6180</v>
      </c>
      <c r="G95" s="11">
        <v>4270</v>
      </c>
      <c r="H95" s="11">
        <v>159080</v>
      </c>
      <c r="I95" s="11">
        <v>159080</v>
      </c>
      <c r="J95" s="38" t="s">
        <v>617</v>
      </c>
      <c r="K95" s="72">
        <v>211168270</v>
      </c>
      <c r="L95" s="72"/>
      <c r="M95" s="9"/>
      <c r="N95" s="9"/>
      <c r="P95" s="220">
        <f>IF('[3]2026 március'!B$11=0,
    "",
    '[3]2026 március'!B$11
)</f>
        <v>172175</v>
      </c>
    </row>
    <row r="96" spans="1:16" ht="14.25" customHeight="1">
      <c r="A96" s="141">
        <v>46092</v>
      </c>
      <c r="B96" s="11">
        <v>196660</v>
      </c>
      <c r="C96" s="11">
        <v>1600</v>
      </c>
      <c r="D96" s="11">
        <v>170385</v>
      </c>
      <c r="E96" s="11">
        <v>1815</v>
      </c>
      <c r="F96" s="11">
        <v>18430</v>
      </c>
      <c r="G96" s="11">
        <v>33455</v>
      </c>
      <c r="H96" s="11">
        <v>158775</v>
      </c>
      <c r="I96" s="11">
        <v>158775</v>
      </c>
      <c r="J96" s="38" t="s">
        <v>618</v>
      </c>
      <c r="K96" s="72">
        <v>211360500</v>
      </c>
      <c r="L96" s="72"/>
      <c r="M96" s="9"/>
      <c r="N96" s="9"/>
      <c r="P96" s="220">
        <f>IF('[3]2026 március'!B$12=0,
    "",
    '[3]2026 március'!B$12
)</f>
        <v>196660</v>
      </c>
    </row>
    <row r="97" spans="1:16" ht="14.25" customHeight="1">
      <c r="A97" s="141">
        <v>46093</v>
      </c>
      <c r="B97" s="11">
        <v>172715</v>
      </c>
      <c r="C97" s="11">
        <v>800</v>
      </c>
      <c r="D97" s="11">
        <v>152500</v>
      </c>
      <c r="E97" s="11">
        <v>715</v>
      </c>
      <c r="F97" s="11">
        <v>10450</v>
      </c>
      <c r="G97" s="11"/>
      <c r="H97" s="11">
        <v>160235</v>
      </c>
      <c r="I97" s="11">
        <v>160235</v>
      </c>
      <c r="J97" s="38" t="s">
        <v>619</v>
      </c>
      <c r="K97" s="72">
        <v>211524965</v>
      </c>
      <c r="L97" s="72"/>
      <c r="M97" s="378"/>
      <c r="N97" s="9"/>
      <c r="P97" s="220">
        <f>IF('[3]2026 március'!B$13=0,
    "",
    '[3]2026 március'!B$13
)</f>
        <v>172715</v>
      </c>
    </row>
    <row r="98" spans="1:16" ht="14.25" customHeight="1">
      <c r="A98" s="141">
        <v>46094</v>
      </c>
      <c r="B98" s="11">
        <v>86500</v>
      </c>
      <c r="C98" s="11">
        <v>0</v>
      </c>
      <c r="D98" s="11">
        <v>73460</v>
      </c>
      <c r="E98" s="11">
        <v>225</v>
      </c>
      <c r="F98" s="11">
        <v>12815</v>
      </c>
      <c r="G98" s="11">
        <v>3815</v>
      </c>
      <c r="H98" s="11">
        <v>82685</v>
      </c>
      <c r="I98" s="11">
        <v>82685</v>
      </c>
      <c r="J98" s="38" t="s">
        <v>620</v>
      </c>
      <c r="K98" s="72">
        <v>2116114645</v>
      </c>
      <c r="L98" s="72"/>
      <c r="M98" s="9"/>
      <c r="N98" s="9"/>
      <c r="P98" s="220">
        <f>IF('[3]2026 március'!B$14=0,
    "",
    '[3]2026 március'!B$14
)</f>
        <v>86500</v>
      </c>
    </row>
    <row r="99" spans="1:16" ht="14.25" customHeight="1">
      <c r="A99" s="141">
        <v>46095</v>
      </c>
      <c r="B99" s="142"/>
      <c r="C99" s="142"/>
      <c r="D99" s="142"/>
      <c r="E99" s="142"/>
      <c r="F99" s="142"/>
      <c r="G99" s="142"/>
      <c r="H99" s="142"/>
      <c r="I99" s="142"/>
      <c r="J99" s="143"/>
      <c r="K99" s="146"/>
      <c r="L99" s="146"/>
      <c r="M99" s="158"/>
      <c r="N99" s="158"/>
      <c r="P99" s="220" t="str">
        <f>IF('[3]2026 március'!B$15=0,
    "",
    '[3]2026 március'!B$15
)</f>
        <v/>
      </c>
    </row>
    <row r="100" spans="1:16" ht="14.25" customHeight="1">
      <c r="A100" s="141">
        <v>46096</v>
      </c>
      <c r="B100" s="142"/>
      <c r="C100" s="142"/>
      <c r="D100" s="142"/>
      <c r="E100" s="142"/>
      <c r="F100" s="142"/>
      <c r="G100" s="142"/>
      <c r="H100" s="142"/>
      <c r="I100" s="142"/>
      <c r="J100" s="143"/>
      <c r="K100" s="146"/>
      <c r="L100" s="146"/>
      <c r="M100" s="158"/>
      <c r="N100" s="158"/>
      <c r="P100" s="220" t="str">
        <f>IF('[3]2026 március'!B$16=0,
    "",
    '[3]2026 március'!B$16
)</f>
        <v/>
      </c>
    </row>
    <row r="101" spans="1:16" ht="14.25" customHeight="1">
      <c r="A101" s="141">
        <v>46097</v>
      </c>
      <c r="B101" s="11">
        <v>190200</v>
      </c>
      <c r="C101" s="11">
        <v>1750</v>
      </c>
      <c r="D101" s="11">
        <v>160405</v>
      </c>
      <c r="E101" s="11">
        <v>7160</v>
      </c>
      <c r="F101" s="11">
        <v>16250</v>
      </c>
      <c r="G101" s="11">
        <v>12340</v>
      </c>
      <c r="H101" s="11">
        <v>173225</v>
      </c>
      <c r="I101" s="11">
        <v>173225</v>
      </c>
      <c r="J101" s="38" t="s">
        <v>621</v>
      </c>
      <c r="K101" s="72">
        <v>211797030</v>
      </c>
      <c r="L101" s="72"/>
      <c r="M101" s="9"/>
      <c r="N101" s="9"/>
      <c r="P101" s="220">
        <f>IF('[3]2026 március'!B$17=0,
    "",
    '[3]2026 március'!B$17
)</f>
        <v>190200</v>
      </c>
    </row>
    <row r="102" spans="1:16" ht="14.25" customHeight="1">
      <c r="A102" s="141">
        <v>46098</v>
      </c>
      <c r="B102" s="11">
        <v>146050</v>
      </c>
      <c r="C102" s="11">
        <v>900</v>
      </c>
      <c r="D102" s="11">
        <v>128625</v>
      </c>
      <c r="E102" s="11">
        <v>1165</v>
      </c>
      <c r="F102" s="11">
        <v>9220</v>
      </c>
      <c r="G102" s="11">
        <v>6280</v>
      </c>
      <c r="H102" s="11">
        <v>133630</v>
      </c>
      <c r="I102" s="11">
        <v>133630</v>
      </c>
      <c r="J102" s="38" t="s">
        <v>622</v>
      </c>
      <c r="K102" s="72">
        <v>211936940</v>
      </c>
      <c r="L102" s="72"/>
      <c r="M102" s="9"/>
      <c r="N102" s="9"/>
      <c r="P102" s="220">
        <f>IF('[3]2026 március'!B$18=0,
    "",
    '[3]2026 március'!B$18
)</f>
        <v>146050</v>
      </c>
    </row>
    <row r="103" spans="1:16" ht="14.25" customHeight="1">
      <c r="A103" s="141">
        <v>46099</v>
      </c>
      <c r="B103" s="11">
        <v>173025</v>
      </c>
      <c r="C103" s="11">
        <v>800</v>
      </c>
      <c r="D103" s="11">
        <v>147010</v>
      </c>
      <c r="E103" s="11">
        <v>3000</v>
      </c>
      <c r="F103" s="11">
        <v>4000</v>
      </c>
      <c r="G103" s="11">
        <v>2580</v>
      </c>
      <c r="H103" s="11">
        <v>152230</v>
      </c>
      <c r="I103" s="11">
        <v>152230</v>
      </c>
      <c r="J103" s="38" t="s">
        <v>623</v>
      </c>
      <c r="K103" s="72">
        <v>212091750</v>
      </c>
      <c r="L103" s="72"/>
      <c r="M103" s="9"/>
      <c r="N103" s="9"/>
      <c r="P103" s="220">
        <f>IF('[3]2026 március'!B$19=0,
    "",
    '[3]2026 március'!B$19
)</f>
        <v>173025</v>
      </c>
    </row>
    <row r="104" spans="1:16" ht="14.25" customHeight="1">
      <c r="A104" s="141">
        <v>46100</v>
      </c>
      <c r="B104" s="11">
        <v>215850</v>
      </c>
      <c r="C104" s="11">
        <v>850</v>
      </c>
      <c r="D104" s="11">
        <v>185005</v>
      </c>
      <c r="E104" s="11">
        <v>705</v>
      </c>
      <c r="F104" s="11">
        <v>29290</v>
      </c>
      <c r="G104" s="11">
        <v>31065</v>
      </c>
      <c r="H104" s="11">
        <v>184785</v>
      </c>
      <c r="I104" s="11">
        <v>184785</v>
      </c>
      <c r="J104" s="38" t="s">
        <v>624</v>
      </c>
      <c r="K104" s="72">
        <v>212307600</v>
      </c>
      <c r="L104" s="72"/>
      <c r="M104" s="9"/>
      <c r="N104" s="9"/>
      <c r="P104" s="220">
        <f>IF('[3]2026 március'!B$20=0,
    "",
    '[3]2026 március'!B$20
)</f>
        <v>215850</v>
      </c>
    </row>
    <row r="105" spans="1:16" ht="14.25" customHeight="1">
      <c r="A105" s="141">
        <v>46101</v>
      </c>
      <c r="B105" s="11">
        <v>113090</v>
      </c>
      <c r="C105" s="11">
        <v>300</v>
      </c>
      <c r="D105" s="11">
        <v>106325</v>
      </c>
      <c r="E105" s="11">
        <v>635</v>
      </c>
      <c r="F105" s="11">
        <v>5690</v>
      </c>
      <c r="G105" s="11">
        <v>10000</v>
      </c>
      <c r="H105" s="11">
        <v>102950</v>
      </c>
      <c r="I105" s="11">
        <v>102950</v>
      </c>
      <c r="J105" s="38" t="s">
        <v>625</v>
      </c>
      <c r="K105" s="72">
        <v>212420550</v>
      </c>
      <c r="L105" s="72"/>
      <c r="M105" s="9"/>
      <c r="N105" s="9"/>
      <c r="P105" s="220">
        <f>IF('[3]2026 március'!B$21=0,
    "",
    '[3]2026 március'!B$21
)</f>
        <v>113090</v>
      </c>
    </row>
    <row r="106" spans="1:16" ht="14.25" customHeight="1">
      <c r="A106" s="141">
        <v>46102</v>
      </c>
      <c r="B106" s="142"/>
      <c r="C106" s="142"/>
      <c r="D106" s="142"/>
      <c r="E106" s="142"/>
      <c r="F106" s="142"/>
      <c r="G106" s="142"/>
      <c r="H106" s="142"/>
      <c r="I106" s="142"/>
      <c r="J106" s="143"/>
      <c r="K106" s="146"/>
      <c r="L106" s="146"/>
      <c r="M106" s="158"/>
      <c r="N106" s="158"/>
      <c r="P106" s="220" t="str">
        <f>IF('[3]2026 március'!B$22=0,
    "",
    '[3]2026 március'!B$22
)</f>
        <v/>
      </c>
    </row>
    <row r="107" spans="1:16" ht="14.25" customHeight="1">
      <c r="A107" s="141">
        <v>46103</v>
      </c>
      <c r="B107" s="142"/>
      <c r="C107" s="142"/>
      <c r="D107" s="142"/>
      <c r="E107" s="142"/>
      <c r="F107" s="142"/>
      <c r="G107" s="142"/>
      <c r="H107" s="142"/>
      <c r="I107" s="142"/>
      <c r="J107" s="143"/>
      <c r="K107" s="146"/>
      <c r="L107" s="146"/>
      <c r="M107" s="158"/>
      <c r="N107" s="158"/>
      <c r="P107" s="220" t="str">
        <f>IF('[3]2026 március'!B$23=0,
    "",
    '[3]2026 március'!B$23
)</f>
        <v/>
      </c>
    </row>
    <row r="108" spans="1:16" ht="14.25" customHeight="1">
      <c r="A108" s="141">
        <v>46104</v>
      </c>
      <c r="B108" s="11">
        <v>162470</v>
      </c>
      <c r="C108" s="11">
        <v>850</v>
      </c>
      <c r="D108" s="11">
        <v>132060</v>
      </c>
      <c r="E108" s="11">
        <v>2145</v>
      </c>
      <c r="F108" s="11">
        <v>27415</v>
      </c>
      <c r="G108" s="11">
        <v>10530</v>
      </c>
      <c r="H108" s="11">
        <v>151940</v>
      </c>
      <c r="I108" s="11">
        <v>151940</v>
      </c>
      <c r="J108" s="38" t="s">
        <v>626</v>
      </c>
      <c r="K108" s="72">
        <v>212583020</v>
      </c>
      <c r="L108" s="72"/>
      <c r="M108" s="9"/>
      <c r="N108" s="9"/>
      <c r="P108" s="220">
        <f>IF('[3]2026 március'!B$24=0,
    "",
    '[3]2026 március'!B$24
)</f>
        <v>162470</v>
      </c>
    </row>
    <row r="109" spans="1:16" ht="14.25" customHeight="1">
      <c r="A109" s="141">
        <v>46105</v>
      </c>
      <c r="B109" s="11">
        <v>210810</v>
      </c>
      <c r="C109" s="11">
        <v>1300</v>
      </c>
      <c r="D109" s="11">
        <v>191860</v>
      </c>
      <c r="E109" s="11">
        <v>1560</v>
      </c>
      <c r="F109" s="11">
        <v>16090</v>
      </c>
      <c r="G109" s="11">
        <v>19230</v>
      </c>
      <c r="H109" s="11">
        <v>191580</v>
      </c>
      <c r="I109" s="11">
        <v>191580</v>
      </c>
      <c r="J109" s="38" t="s">
        <v>627</v>
      </c>
      <c r="K109" s="72">
        <v>212793830</v>
      </c>
      <c r="L109" s="72"/>
      <c r="M109" s="9"/>
      <c r="N109" s="9"/>
      <c r="P109" s="220">
        <f>IF('[3]2026 március'!B$25=0,
    "",
    '[3]2026 március'!B$25
)</f>
        <v>210810</v>
      </c>
    </row>
    <row r="110" spans="1:16" ht="14.25" customHeight="1">
      <c r="A110" s="141">
        <v>46106</v>
      </c>
      <c r="B110" s="11">
        <v>200025</v>
      </c>
      <c r="C110" s="11">
        <v>0</v>
      </c>
      <c r="D110" s="11">
        <v>128860</v>
      </c>
      <c r="E110" s="11">
        <v>1610</v>
      </c>
      <c r="F110" s="11">
        <v>61630</v>
      </c>
      <c r="G110" s="11">
        <v>42710</v>
      </c>
      <c r="H110" s="11">
        <v>149390</v>
      </c>
      <c r="I110" s="11">
        <v>149390</v>
      </c>
      <c r="J110" s="38" t="s">
        <v>628</v>
      </c>
      <c r="K110" s="72">
        <v>212985930</v>
      </c>
      <c r="L110" s="72"/>
      <c r="M110" s="9"/>
      <c r="N110" s="9"/>
      <c r="P110" s="220">
        <f>IF('[3]2026 március'!B$26=0,
    "",
    '[3]2026 március'!B$26
)</f>
        <v>200025</v>
      </c>
    </row>
    <row r="111" spans="1:16" ht="14.25" customHeight="1">
      <c r="A111" s="141">
        <v>46107</v>
      </c>
      <c r="B111" s="11">
        <v>150335</v>
      </c>
      <c r="C111" s="11">
        <v>550</v>
      </c>
      <c r="D111" s="11">
        <v>142725</v>
      </c>
      <c r="E111" s="11">
        <v>1220</v>
      </c>
      <c r="F111" s="11">
        <v>4890</v>
      </c>
      <c r="G111" s="11">
        <v>14000</v>
      </c>
      <c r="H111" s="11">
        <v>135385</v>
      </c>
      <c r="I111" s="11">
        <v>135385</v>
      </c>
      <c r="J111" s="38" t="s">
        <v>629</v>
      </c>
      <c r="K111" s="72">
        <v>213135315</v>
      </c>
      <c r="L111" s="72"/>
      <c r="M111" s="9"/>
      <c r="N111" s="9"/>
      <c r="P111" s="220">
        <f>IF('[3]2026 március'!B$27=0,
    "",
    '[3]2026 március'!B$27
)</f>
        <v>150335</v>
      </c>
    </row>
    <row r="112" spans="1:16" ht="14.25" customHeight="1">
      <c r="A112" s="141">
        <v>46108</v>
      </c>
      <c r="B112" s="11">
        <v>94660</v>
      </c>
      <c r="C112" s="11">
        <v>0</v>
      </c>
      <c r="D112" s="11">
        <v>85470</v>
      </c>
      <c r="E112" s="11">
        <v>3230</v>
      </c>
      <c r="F112" s="11">
        <v>7590</v>
      </c>
      <c r="G112" s="11">
        <v>8350</v>
      </c>
      <c r="H112" s="11">
        <v>87940</v>
      </c>
      <c r="I112" s="11">
        <v>87940</v>
      </c>
      <c r="J112" s="38" t="s">
        <v>630</v>
      </c>
      <c r="K112" s="72">
        <v>213231605</v>
      </c>
      <c r="L112" s="72"/>
      <c r="M112" s="9"/>
      <c r="N112" s="9"/>
      <c r="P112" s="220">
        <f>IF('[3]2026 március'!B$28=0,
    "",
    '[3]2026 március'!B$28
)</f>
        <v>94660</v>
      </c>
    </row>
    <row r="113" spans="1:16" ht="14.25" customHeight="1">
      <c r="A113" s="141">
        <v>46109</v>
      </c>
      <c r="B113" s="142"/>
      <c r="C113" s="142"/>
      <c r="D113" s="142"/>
      <c r="E113" s="142"/>
      <c r="F113" s="142"/>
      <c r="G113" s="142"/>
      <c r="H113" s="142"/>
      <c r="I113" s="142"/>
      <c r="J113" s="143"/>
      <c r="K113" s="146"/>
      <c r="L113" s="146"/>
      <c r="M113" s="158"/>
      <c r="N113" s="158"/>
      <c r="P113" s="220" t="str">
        <f>IF('[3]2026 március'!B$29=0,
    "",
    '[3]2026 március'!B$29
)</f>
        <v/>
      </c>
    </row>
    <row r="114" spans="1:16" ht="14.25" customHeight="1">
      <c r="A114" s="141">
        <v>46110</v>
      </c>
      <c r="B114" s="142"/>
      <c r="C114" s="142"/>
      <c r="D114" s="142"/>
      <c r="E114" s="142"/>
      <c r="F114" s="142"/>
      <c r="G114" s="142"/>
      <c r="H114" s="142"/>
      <c r="I114" s="142"/>
      <c r="J114" s="143"/>
      <c r="K114" s="146"/>
      <c r="L114" s="146"/>
      <c r="M114" s="158"/>
      <c r="N114" s="158"/>
      <c r="P114" s="220" t="str">
        <f>IF('[3]2026 március'!B$30=0,
    "",
    '[3]2026 március'!B$30
)</f>
        <v/>
      </c>
    </row>
    <row r="115" spans="1:16" ht="14.25" customHeight="1">
      <c r="A115" s="141">
        <v>46111</v>
      </c>
      <c r="B115" s="11">
        <v>208235</v>
      </c>
      <c r="C115" s="11">
        <v>550</v>
      </c>
      <c r="D115" s="11">
        <v>183995</v>
      </c>
      <c r="E115" s="11">
        <v>450</v>
      </c>
      <c r="F115" s="11">
        <v>16680</v>
      </c>
      <c r="G115" s="11">
        <v>8140</v>
      </c>
      <c r="H115" s="11">
        <v>193535</v>
      </c>
      <c r="I115" s="11">
        <v>193535</v>
      </c>
      <c r="J115" s="38" t="s">
        <v>631</v>
      </c>
      <c r="K115" s="72">
        <v>213433280</v>
      </c>
      <c r="L115" s="72"/>
      <c r="M115" s="9"/>
      <c r="N115" s="9"/>
      <c r="P115" s="220">
        <f>IF('[3]2026 március'!B$31=0,
    "",
    '[3]2026 március'!B$31
)</f>
        <v>208235</v>
      </c>
    </row>
    <row r="116" spans="1:16" ht="14.25" customHeight="1">
      <c r="A116" s="141">
        <v>46112</v>
      </c>
      <c r="B116" s="11">
        <v>204155</v>
      </c>
      <c r="C116" s="11">
        <v>0</v>
      </c>
      <c r="D116" s="11">
        <v>193365</v>
      </c>
      <c r="E116" s="11">
        <v>0</v>
      </c>
      <c r="F116" s="11">
        <v>5755</v>
      </c>
      <c r="G116" s="11">
        <v>12435</v>
      </c>
      <c r="H116" s="11">
        <v>186685</v>
      </c>
      <c r="I116" s="11">
        <v>186685</v>
      </c>
      <c r="J116" s="38" t="s">
        <v>632</v>
      </c>
      <c r="K116" s="72">
        <v>213632400</v>
      </c>
      <c r="L116" s="72"/>
      <c r="M116" s="9"/>
      <c r="N116" s="9"/>
      <c r="P116" s="220">
        <f>IF('[3]2026 március'!B$32=0,
    "",
    '[3]2026 március'!B$32
)</f>
        <v>204155</v>
      </c>
    </row>
    <row r="117" spans="1:16" ht="14.25" customHeight="1">
      <c r="A117" s="141"/>
      <c r="B117" s="11"/>
      <c r="C117" s="11"/>
      <c r="D117" s="11"/>
      <c r="E117" s="11"/>
      <c r="F117" s="11"/>
      <c r="G117" s="11"/>
      <c r="H117" s="11"/>
      <c r="I117" s="11"/>
      <c r="J117" s="205"/>
      <c r="K117" s="206"/>
      <c r="L117" s="206"/>
      <c r="M117" s="380"/>
      <c r="N117" s="184"/>
      <c r="P117" s="220">
        <f>IF('[3]2026 március'!B$33=0,
    "",
    '[3]2026 március'!B$33
)</f>
        <v>3678167</v>
      </c>
    </row>
    <row r="118" spans="1:16" ht="14.25" customHeight="1">
      <c r="A118" s="18" t="s">
        <v>64</v>
      </c>
      <c r="B118" s="362"/>
      <c r="C118" s="19">
        <f>SUM(C86:C117)</f>
        <v>15350</v>
      </c>
      <c r="D118" s="19">
        <f>SUM(D86:D117)</f>
        <v>3167135</v>
      </c>
      <c r="E118" s="19">
        <f>SUM(E86:E117)</f>
        <v>34564</v>
      </c>
      <c r="F118" s="19">
        <f>SUM(F86:F117)</f>
        <v>358815</v>
      </c>
      <c r="G118" s="20">
        <f>SUM(G86:G117)</f>
        <v>364510</v>
      </c>
      <c r="H118" s="20">
        <f>SUM(H86:H117)</f>
        <v>3207124</v>
      </c>
      <c r="I118" s="39">
        <f>SUM(I86:I117)</f>
        <v>3207124</v>
      </c>
      <c r="J118" s="32"/>
      <c r="K118" s="12">
        <v>213632400</v>
      </c>
      <c r="L118" s="12">
        <v>3575864</v>
      </c>
      <c r="M118" s="9"/>
      <c r="N118" s="184"/>
    </row>
    <row r="119" spans="1:16" ht="14.25" customHeight="1">
      <c r="A119" s="5"/>
      <c r="B119" s="11"/>
      <c r="C119" s="29">
        <f>C118+D118+E118+F118</f>
        <v>3575864</v>
      </c>
      <c r="D119" s="10"/>
      <c r="E119" s="10"/>
      <c r="F119" s="10"/>
      <c r="G119" s="47">
        <f>G118+H118</f>
        <v>3571634</v>
      </c>
      <c r="H119" s="10"/>
      <c r="I119" s="10"/>
      <c r="J119" s="33"/>
      <c r="K119" s="523"/>
      <c r="L119" s="414"/>
      <c r="M119" s="9"/>
      <c r="N119" s="382"/>
    </row>
    <row r="120" spans="1:16" ht="14.25" customHeight="1">
      <c r="A120" s="67"/>
      <c r="C120"/>
      <c r="D120"/>
      <c r="E120"/>
      <c r="F120"/>
      <c r="G120"/>
      <c r="H120"/>
      <c r="I120"/>
      <c r="J120"/>
      <c r="K120" s="543"/>
      <c r="L120" s="261"/>
      <c r="M120" s="261"/>
      <c r="N120" s="136"/>
    </row>
    <row r="121" spans="1:16" ht="14.25" customHeight="1">
      <c r="A121" s="403" t="s">
        <v>177</v>
      </c>
      <c r="B121" s="404"/>
      <c r="C121" s="405"/>
      <c r="D121" s="405"/>
      <c r="E121" s="405"/>
      <c r="F121" s="406"/>
      <c r="G121" s="406"/>
      <c r="H121" s="406"/>
      <c r="I121" s="406"/>
      <c r="J121" s="407"/>
      <c r="K121" s="408"/>
      <c r="L121" s="261"/>
      <c r="M121" s="261"/>
      <c r="N121" s="136"/>
    </row>
    <row r="122" spans="1:16" ht="14.25" customHeight="1">
      <c r="A122" s="409"/>
      <c r="B122" s="402"/>
      <c r="C122" s="402"/>
      <c r="D122" s="402"/>
      <c r="E122" s="402"/>
      <c r="F122" s="402"/>
      <c r="G122" s="396"/>
      <c r="H122" s="396"/>
      <c r="I122" s="396"/>
      <c r="J122" s="396"/>
      <c r="K122" s="410"/>
      <c r="L122" s="261"/>
      <c r="M122" s="261"/>
      <c r="N122" s="136"/>
    </row>
    <row r="123" spans="1:16" ht="14.25" customHeight="1">
      <c r="A123" s="628"/>
      <c r="B123" s="629"/>
      <c r="C123" s="629"/>
      <c r="D123" s="629"/>
      <c r="E123" s="629"/>
      <c r="F123" s="629"/>
      <c r="G123" s="411"/>
      <c r="H123" s="411"/>
      <c r="I123" s="411"/>
      <c r="J123" s="411"/>
      <c r="K123" s="412"/>
      <c r="L123" s="261"/>
      <c r="M123" s="261"/>
      <c r="N123" s="136"/>
    </row>
    <row r="124" spans="1:16" ht="14.25" customHeight="1">
      <c r="L124"/>
    </row>
    <row r="125" spans="1:16" ht="14.25" customHeight="1">
      <c r="A125" s="66" t="s">
        <v>6</v>
      </c>
      <c r="B125" s="351"/>
      <c r="C125" s="26"/>
      <c r="D125" s="26"/>
      <c r="E125" s="26"/>
      <c r="F125" s="26"/>
      <c r="G125" s="26"/>
      <c r="H125" s="26"/>
      <c r="I125" s="26"/>
      <c r="J125" s="34"/>
      <c r="K125" s="349"/>
      <c r="L125" s="255"/>
      <c r="M125" s="157"/>
      <c r="N125" s="157"/>
    </row>
    <row r="126" spans="1:16" ht="14.25" customHeight="1">
      <c r="A126" s="141">
        <v>46113</v>
      </c>
      <c r="B126" s="11"/>
      <c r="C126" s="11"/>
      <c r="D126" s="11"/>
      <c r="E126" s="11"/>
      <c r="F126" s="11"/>
      <c r="G126" s="11"/>
      <c r="H126" s="11"/>
      <c r="I126" s="11"/>
      <c r="J126" s="38"/>
      <c r="K126" s="71"/>
      <c r="L126" s="377"/>
      <c r="M126" s="9"/>
      <c r="N126" s="9"/>
      <c r="P126" s="220" t="str">
        <f>IF('[3]2026 március'!B$2=0,
    "",
    '[3]2026 március'!B$2
)</f>
        <v/>
      </c>
    </row>
    <row r="127" spans="1:16" ht="14.25" customHeight="1">
      <c r="A127" s="141">
        <v>46114</v>
      </c>
      <c r="B127" s="11"/>
      <c r="C127" s="11"/>
      <c r="D127" s="11"/>
      <c r="E127" s="11"/>
      <c r="F127" s="11"/>
      <c r="G127" s="11"/>
      <c r="H127" s="11"/>
      <c r="I127" s="11"/>
      <c r="J127" s="38"/>
      <c r="K127" s="72"/>
      <c r="L127" s="72"/>
      <c r="M127" s="9"/>
      <c r="N127" s="9"/>
      <c r="P127" s="220">
        <f>IF('[3]2026 március'!B$3=0,
    "",
    '[3]2026 március'!B$3
)</f>
        <v>190192</v>
      </c>
    </row>
    <row r="128" spans="1:16" ht="14.25" customHeight="1">
      <c r="A128" s="141">
        <v>46115</v>
      </c>
      <c r="B128" s="142"/>
      <c r="C128" s="142"/>
      <c r="D128" s="142"/>
      <c r="E128" s="142"/>
      <c r="F128" s="142"/>
      <c r="G128" s="142"/>
      <c r="H128" s="142"/>
      <c r="I128" s="142"/>
      <c r="J128" s="143"/>
      <c r="K128" s="146"/>
      <c r="L128" s="146"/>
      <c r="M128" s="158"/>
      <c r="N128" s="158"/>
      <c r="P128" s="220">
        <f>IF('[3]2026 március'!B$4=0,
    "",
    '[3]2026 március'!B$4
)</f>
        <v>147280</v>
      </c>
    </row>
    <row r="129" spans="1:16" ht="14.25" customHeight="1">
      <c r="A129" s="141">
        <v>46116</v>
      </c>
      <c r="B129" s="142"/>
      <c r="C129" s="142"/>
      <c r="D129" s="142"/>
      <c r="E129" s="142"/>
      <c r="F129" s="142"/>
      <c r="G129" s="142"/>
      <c r="H129" s="142"/>
      <c r="I129" s="142"/>
      <c r="J129" s="143"/>
      <c r="K129" s="146"/>
      <c r="L129" s="146"/>
      <c r="M129" s="158"/>
      <c r="N129" s="158"/>
      <c r="P129" s="220">
        <f>IF('[3]2026 március'!B$5=0,
    "",
    '[3]2026 március'!B$5
)</f>
        <v>191475</v>
      </c>
    </row>
    <row r="130" spans="1:16" ht="14.25" customHeight="1">
      <c r="A130" s="141">
        <v>46117</v>
      </c>
      <c r="B130" s="142"/>
      <c r="C130" s="142"/>
      <c r="D130" s="142"/>
      <c r="E130" s="142"/>
      <c r="F130" s="142"/>
      <c r="G130" s="142"/>
      <c r="H130" s="142"/>
      <c r="I130" s="142"/>
      <c r="J130" s="143"/>
      <c r="K130" s="146"/>
      <c r="L130" s="146"/>
      <c r="M130" s="158"/>
      <c r="N130" s="158"/>
      <c r="P130" s="220">
        <f>IF('[3]2026 március'!B$6=0,
    "",
    '[3]2026 március'!B$6
)</f>
        <v>164750</v>
      </c>
    </row>
    <row r="131" spans="1:16" ht="14.25" customHeight="1">
      <c r="A131" s="141">
        <v>46118</v>
      </c>
      <c r="B131" s="142"/>
      <c r="C131" s="142"/>
      <c r="D131" s="142"/>
      <c r="E131" s="142"/>
      <c r="F131" s="142"/>
      <c r="G131" s="142"/>
      <c r="H131" s="142"/>
      <c r="I131" s="142"/>
      <c r="J131" s="143"/>
      <c r="K131" s="146"/>
      <c r="L131" s="146"/>
      <c r="M131" s="158"/>
      <c r="N131" s="158"/>
      <c r="P131" s="220">
        <f>IF('[3]2026 március'!B$7=0,
    "",
    '[3]2026 március'!B$7
)</f>
        <v>112725</v>
      </c>
    </row>
    <row r="132" spans="1:16" ht="14.25" customHeight="1">
      <c r="A132" s="141">
        <v>46119</v>
      </c>
      <c r="B132" s="11"/>
      <c r="C132" s="11"/>
      <c r="D132" s="11"/>
      <c r="E132" s="11"/>
      <c r="F132" s="11"/>
      <c r="G132" s="11"/>
      <c r="H132" s="11"/>
      <c r="I132" s="11"/>
      <c r="J132" s="38"/>
      <c r="K132" s="72"/>
      <c r="L132" s="250"/>
      <c r="M132" s="9"/>
      <c r="N132" s="9"/>
      <c r="P132" s="220" t="str">
        <f>IF('[3]2026 március'!B$8=0,
    "",
    '[3]2026 március'!B$8
)</f>
        <v/>
      </c>
    </row>
    <row r="133" spans="1:16" ht="14.25" customHeight="1">
      <c r="A133" s="141">
        <v>46120</v>
      </c>
      <c r="B133" s="11"/>
      <c r="C133" s="11"/>
      <c r="D133" s="11"/>
      <c r="E133" s="11"/>
      <c r="F133" s="11"/>
      <c r="G133" s="11"/>
      <c r="H133" s="11"/>
      <c r="I133" s="11"/>
      <c r="J133" s="38"/>
      <c r="K133" s="72"/>
      <c r="L133" s="250"/>
      <c r="M133" s="9"/>
      <c r="N133" s="9"/>
      <c r="P133" s="220" t="str">
        <f>IF('[3]2026 március'!B$9=0,
    "",
    '[3]2026 március'!B$9
)</f>
        <v/>
      </c>
    </row>
    <row r="134" spans="1:16" ht="14.25" customHeight="1">
      <c r="A134" s="141">
        <v>46121</v>
      </c>
      <c r="B134" s="11"/>
      <c r="C134" s="11"/>
      <c r="D134" s="11"/>
      <c r="E134" s="11"/>
      <c r="F134" s="11"/>
      <c r="G134" s="11"/>
      <c r="H134" s="11"/>
      <c r="I134" s="11"/>
      <c r="J134" s="38"/>
      <c r="K134" s="72"/>
      <c r="L134" s="72"/>
      <c r="M134" s="9"/>
      <c r="N134" s="9"/>
      <c r="P134" s="220">
        <f>IF('[3]2026 március'!B$10=0,
    "",
    '[3]2026 március'!B$10
)</f>
        <v>174790</v>
      </c>
    </row>
    <row r="135" spans="1:16" ht="14.25" customHeight="1">
      <c r="A135" s="141">
        <v>46122</v>
      </c>
      <c r="B135" s="11"/>
      <c r="C135" s="11"/>
      <c r="D135" s="11"/>
      <c r="E135" s="11"/>
      <c r="F135" s="11"/>
      <c r="G135" s="11"/>
      <c r="H135" s="11"/>
      <c r="I135" s="11"/>
      <c r="J135" s="38"/>
      <c r="K135" s="72"/>
      <c r="L135" s="72"/>
      <c r="M135" s="9"/>
      <c r="N135" s="9"/>
      <c r="P135" s="220">
        <f>IF('[3]2026 március'!B$11=0,
    "",
    '[3]2026 március'!B$11
)</f>
        <v>172175</v>
      </c>
    </row>
    <row r="136" spans="1:16" ht="14.25" customHeight="1">
      <c r="A136" s="141">
        <v>46123</v>
      </c>
      <c r="B136" s="142"/>
      <c r="C136" s="142"/>
      <c r="D136" s="142"/>
      <c r="E136" s="142"/>
      <c r="F136" s="142"/>
      <c r="G136" s="142"/>
      <c r="H136" s="142"/>
      <c r="I136" s="142"/>
      <c r="J136" s="143"/>
      <c r="K136" s="146"/>
      <c r="L136" s="146"/>
      <c r="M136" s="158"/>
      <c r="N136" s="158"/>
      <c r="P136" s="220">
        <f>IF('[3]2026 március'!B$12=0,
    "",
    '[3]2026 március'!B$12
)</f>
        <v>196660</v>
      </c>
    </row>
    <row r="137" spans="1:16" ht="14.25" customHeight="1">
      <c r="A137" s="141">
        <v>46124</v>
      </c>
      <c r="B137" s="142"/>
      <c r="C137" s="142"/>
      <c r="D137" s="142"/>
      <c r="E137" s="142"/>
      <c r="F137" s="142"/>
      <c r="G137" s="142"/>
      <c r="H137" s="142"/>
      <c r="I137" s="142"/>
      <c r="J137" s="143"/>
      <c r="K137" s="146"/>
      <c r="L137" s="146"/>
      <c r="M137" s="547"/>
      <c r="N137" s="158"/>
      <c r="P137" s="220">
        <f>IF('[3]2026 március'!B$13=0,
    "",
    '[3]2026 március'!B$13
)</f>
        <v>172715</v>
      </c>
    </row>
    <row r="138" spans="1:16" ht="14.25" customHeight="1">
      <c r="A138" s="141">
        <v>46125</v>
      </c>
      <c r="B138" s="11"/>
      <c r="C138" s="11"/>
      <c r="D138" s="11"/>
      <c r="E138" s="11"/>
      <c r="F138" s="11"/>
      <c r="G138" s="11"/>
      <c r="H138" s="11"/>
      <c r="I138" s="11"/>
      <c r="J138" s="38"/>
      <c r="K138" s="72"/>
      <c r="L138" s="72"/>
      <c r="M138" s="9"/>
      <c r="N138" s="9"/>
      <c r="P138" s="220">
        <f>IF('[3]2026 március'!B$14=0,
    "",
    '[3]2026 március'!B$14
)</f>
        <v>86500</v>
      </c>
    </row>
    <row r="139" spans="1:16" ht="14.25" customHeight="1">
      <c r="A139" s="141">
        <v>46126</v>
      </c>
      <c r="B139" s="11"/>
      <c r="C139" s="11"/>
      <c r="D139" s="11"/>
      <c r="E139" s="11"/>
      <c r="F139" s="11"/>
      <c r="G139" s="11"/>
      <c r="H139" s="11"/>
      <c r="I139" s="11"/>
      <c r="J139" s="38"/>
      <c r="K139" s="72"/>
      <c r="L139" s="72"/>
      <c r="M139" s="9"/>
      <c r="N139" s="9"/>
      <c r="P139" s="220" t="str">
        <f>IF('[3]2026 március'!B$15=0,
    "",
    '[3]2026 március'!B$15
)</f>
        <v/>
      </c>
    </row>
    <row r="140" spans="1:16" ht="14.25" customHeight="1">
      <c r="A140" s="141">
        <v>46127</v>
      </c>
      <c r="B140" s="11"/>
      <c r="C140" s="11"/>
      <c r="D140" s="11"/>
      <c r="E140" s="11"/>
      <c r="F140" s="11"/>
      <c r="G140" s="11"/>
      <c r="H140" s="11"/>
      <c r="I140" s="11"/>
      <c r="J140" s="38"/>
      <c r="K140" s="72"/>
      <c r="L140" s="72"/>
      <c r="M140" s="9"/>
      <c r="N140" s="9"/>
      <c r="P140" s="220" t="str">
        <f>IF('[3]2026 március'!B$16=0,
    "",
    '[3]2026 március'!B$16
)</f>
        <v/>
      </c>
    </row>
    <row r="141" spans="1:16" ht="14.25" customHeight="1">
      <c r="A141" s="141">
        <v>46128</v>
      </c>
      <c r="B141" s="11"/>
      <c r="C141" s="11"/>
      <c r="D141" s="11"/>
      <c r="E141" s="11"/>
      <c r="F141" s="11"/>
      <c r="G141" s="11"/>
      <c r="H141" s="11"/>
      <c r="I141" s="11"/>
      <c r="J141" s="38"/>
      <c r="K141" s="72"/>
      <c r="L141" s="72"/>
      <c r="M141" s="9"/>
      <c r="N141" s="9"/>
      <c r="P141" s="220">
        <f>IF('[3]2026 március'!B$17=0,
    "",
    '[3]2026 március'!B$17
)</f>
        <v>190200</v>
      </c>
    </row>
    <row r="142" spans="1:16" ht="14.25" customHeight="1">
      <c r="A142" s="141">
        <v>46129</v>
      </c>
      <c r="B142" s="11"/>
      <c r="C142" s="11"/>
      <c r="D142" s="11"/>
      <c r="E142" s="11"/>
      <c r="F142" s="11"/>
      <c r="G142" s="11"/>
      <c r="H142" s="11"/>
      <c r="I142" s="11"/>
      <c r="J142" s="38"/>
      <c r="K142" s="72"/>
      <c r="L142" s="72"/>
      <c r="M142" s="9"/>
      <c r="N142" s="9"/>
      <c r="P142" s="220">
        <f>IF('[3]2026 március'!B$18=0,
    "",
    '[3]2026 március'!B$18
)</f>
        <v>146050</v>
      </c>
    </row>
    <row r="143" spans="1:16" ht="14.25" customHeight="1">
      <c r="A143" s="141">
        <v>46130</v>
      </c>
      <c r="B143" s="142"/>
      <c r="C143" s="142"/>
      <c r="D143" s="142"/>
      <c r="E143" s="142"/>
      <c r="F143" s="142"/>
      <c r="G143" s="142"/>
      <c r="H143" s="142"/>
      <c r="I143" s="142"/>
      <c r="J143" s="143"/>
      <c r="K143" s="146"/>
      <c r="L143" s="146"/>
      <c r="M143" s="158"/>
      <c r="N143" s="158"/>
      <c r="P143" s="220">
        <f>IF('[3]2026 március'!B$19=0,
    "",
    '[3]2026 március'!B$19
)</f>
        <v>173025</v>
      </c>
    </row>
    <row r="144" spans="1:16" ht="14.25" customHeight="1">
      <c r="A144" s="141">
        <v>46131</v>
      </c>
      <c r="B144" s="142"/>
      <c r="C144" s="142"/>
      <c r="D144" s="142"/>
      <c r="E144" s="142"/>
      <c r="F144" s="142"/>
      <c r="G144" s="142"/>
      <c r="H144" s="142"/>
      <c r="I144" s="142"/>
      <c r="J144" s="143"/>
      <c r="K144" s="146"/>
      <c r="L144" s="146"/>
      <c r="M144" s="158"/>
      <c r="N144" s="158"/>
      <c r="P144" s="220">
        <f>IF('[3]2026 március'!B$20=0,
    "",
    '[3]2026 március'!B$20
)</f>
        <v>215850</v>
      </c>
    </row>
    <row r="145" spans="1:16" ht="14.25" customHeight="1">
      <c r="A145" s="141">
        <v>46132</v>
      </c>
      <c r="B145" s="11"/>
      <c r="C145" s="11"/>
      <c r="D145" s="11"/>
      <c r="E145" s="11"/>
      <c r="F145" s="11"/>
      <c r="G145" s="11"/>
      <c r="H145" s="11"/>
      <c r="I145" s="11"/>
      <c r="J145" s="38"/>
      <c r="K145" s="72"/>
      <c r="L145" s="72"/>
      <c r="M145" s="9"/>
      <c r="N145" s="9"/>
      <c r="P145" s="220">
        <f>IF('[3]2026 március'!B$21=0,
    "",
    '[3]2026 március'!B$21
)</f>
        <v>113090</v>
      </c>
    </row>
    <row r="146" spans="1:16" ht="14.25" customHeight="1">
      <c r="A146" s="141">
        <v>46133</v>
      </c>
      <c r="B146" s="11"/>
      <c r="C146" s="11"/>
      <c r="D146" s="11"/>
      <c r="E146" s="11"/>
      <c r="F146" s="11"/>
      <c r="G146" s="11"/>
      <c r="H146" s="11"/>
      <c r="I146" s="11"/>
      <c r="J146" s="38"/>
      <c r="K146" s="72"/>
      <c r="L146" s="72"/>
      <c r="M146" s="9"/>
      <c r="N146" s="9"/>
      <c r="P146" s="220" t="str">
        <f>IF('[3]2026 március'!B$22=0,
    "",
    '[3]2026 március'!B$22
)</f>
        <v/>
      </c>
    </row>
    <row r="147" spans="1:16" ht="14.25" customHeight="1">
      <c r="A147" s="141">
        <v>46134</v>
      </c>
      <c r="B147" s="11"/>
      <c r="C147" s="11"/>
      <c r="D147" s="11"/>
      <c r="E147" s="11"/>
      <c r="F147" s="11"/>
      <c r="G147" s="11"/>
      <c r="H147" s="11"/>
      <c r="I147" s="11"/>
      <c r="J147" s="38"/>
      <c r="K147" s="72"/>
      <c r="L147" s="72"/>
      <c r="M147" s="9"/>
      <c r="N147" s="9"/>
      <c r="P147" s="220" t="str">
        <f>IF('[3]2026 március'!B$23=0,
    "",
    '[3]2026 március'!B$23
)</f>
        <v/>
      </c>
    </row>
    <row r="148" spans="1:16" ht="14.25" customHeight="1">
      <c r="A148" s="141">
        <v>46135</v>
      </c>
      <c r="B148" s="11"/>
      <c r="C148" s="11"/>
      <c r="D148" s="11"/>
      <c r="E148" s="11"/>
      <c r="F148" s="11"/>
      <c r="G148" s="11"/>
      <c r="H148" s="11"/>
      <c r="I148" s="11"/>
      <c r="J148" s="38"/>
      <c r="K148" s="72"/>
      <c r="L148" s="72"/>
      <c r="M148" s="9"/>
      <c r="N148" s="9"/>
      <c r="P148" s="220">
        <f>IF('[3]2026 március'!B$24=0,
    "",
    '[3]2026 március'!B$24
)</f>
        <v>162470</v>
      </c>
    </row>
    <row r="149" spans="1:16" ht="14.25" customHeight="1">
      <c r="A149" s="141">
        <v>46136</v>
      </c>
      <c r="B149" s="11"/>
      <c r="C149" s="11"/>
      <c r="D149" s="11"/>
      <c r="E149" s="11"/>
      <c r="F149" s="11"/>
      <c r="G149" s="11"/>
      <c r="H149" s="11"/>
      <c r="I149" s="11"/>
      <c r="J149" s="38"/>
      <c r="K149" s="72"/>
      <c r="L149" s="72"/>
      <c r="M149" s="9"/>
      <c r="N149" s="9"/>
      <c r="P149" s="220">
        <f>IF('[3]2026 március'!B$25=0,
    "",
    '[3]2026 március'!B$25
)</f>
        <v>210810</v>
      </c>
    </row>
    <row r="150" spans="1:16" ht="14.25" customHeight="1">
      <c r="A150" s="141">
        <v>46137</v>
      </c>
      <c r="B150" s="142"/>
      <c r="C150" s="142"/>
      <c r="D150" s="142"/>
      <c r="E150" s="142"/>
      <c r="F150" s="142"/>
      <c r="G150" s="142"/>
      <c r="H150" s="142"/>
      <c r="I150" s="142"/>
      <c r="J150" s="143"/>
      <c r="K150" s="146"/>
      <c r="L150" s="146"/>
      <c r="M150" s="158"/>
      <c r="N150" s="158"/>
      <c r="P150" s="220">
        <f>IF('[3]2026 március'!B$26=0,
    "",
    '[3]2026 március'!B$26
)</f>
        <v>200025</v>
      </c>
    </row>
    <row r="151" spans="1:16" ht="14.25" customHeight="1">
      <c r="A151" s="141">
        <v>46138</v>
      </c>
      <c r="B151" s="142"/>
      <c r="C151" s="142"/>
      <c r="D151" s="142"/>
      <c r="E151" s="142"/>
      <c r="F151" s="142"/>
      <c r="G151" s="142"/>
      <c r="H151" s="142"/>
      <c r="I151" s="142"/>
      <c r="J151" s="143"/>
      <c r="K151" s="146"/>
      <c r="L151" s="146"/>
      <c r="M151" s="158"/>
      <c r="N151" s="158"/>
      <c r="P151" s="220">
        <f>IF('[3]2026 március'!B$27=0,
    "",
    '[3]2026 március'!B$27
)</f>
        <v>150335</v>
      </c>
    </row>
    <row r="152" spans="1:16" ht="14.25" customHeight="1">
      <c r="A152" s="141">
        <v>46139</v>
      </c>
      <c r="B152" s="11"/>
      <c r="C152" s="11"/>
      <c r="D152" s="11"/>
      <c r="E152" s="11"/>
      <c r="F152" s="11"/>
      <c r="G152" s="11"/>
      <c r="H152" s="11"/>
      <c r="I152" s="11"/>
      <c r="J152" s="38"/>
      <c r="K152" s="72"/>
      <c r="L152" s="72"/>
      <c r="M152" s="9"/>
      <c r="N152" s="9"/>
      <c r="P152" s="220">
        <f>IF('[3]2026 március'!B$28=0,
    "",
    '[3]2026 március'!B$28
)</f>
        <v>94660</v>
      </c>
    </row>
    <row r="153" spans="1:16" ht="14.25" customHeight="1">
      <c r="A153" s="141">
        <v>46140</v>
      </c>
      <c r="B153" s="11"/>
      <c r="C153" s="11"/>
      <c r="D153" s="11"/>
      <c r="E153" s="11"/>
      <c r="F153" s="11"/>
      <c r="G153" s="11"/>
      <c r="H153" s="11"/>
      <c r="I153" s="11"/>
      <c r="J153" s="38"/>
      <c r="K153" s="72"/>
      <c r="L153" s="72"/>
      <c r="M153" s="9"/>
      <c r="N153" s="9"/>
      <c r="P153" s="220" t="str">
        <f>IF('[3]2026 március'!B$29=0,
    "",
    '[3]2026 március'!B$29
)</f>
        <v/>
      </c>
    </row>
    <row r="154" spans="1:16" ht="14.25" customHeight="1">
      <c r="A154" s="141">
        <v>46141</v>
      </c>
      <c r="B154" s="11"/>
      <c r="C154" s="11"/>
      <c r="D154" s="11"/>
      <c r="E154" s="11"/>
      <c r="F154" s="11"/>
      <c r="G154" s="11"/>
      <c r="H154" s="11"/>
      <c r="I154" s="11"/>
      <c r="J154" s="38"/>
      <c r="K154" s="72"/>
      <c r="L154" s="72"/>
      <c r="M154" s="9"/>
      <c r="N154" s="9"/>
      <c r="P154" s="220" t="str">
        <f>IF('[3]2026 március'!B$30=0,
    "",
    '[3]2026 március'!B$30
)</f>
        <v/>
      </c>
    </row>
    <row r="155" spans="1:16" ht="14.25" customHeight="1">
      <c r="A155" s="141">
        <v>46142</v>
      </c>
      <c r="B155" s="11"/>
      <c r="C155" s="11"/>
      <c r="D155" s="11"/>
      <c r="E155" s="11"/>
      <c r="F155" s="11"/>
      <c r="G155" s="11"/>
      <c r="H155" s="11"/>
      <c r="I155" s="11"/>
      <c r="J155" s="38"/>
      <c r="K155" s="72"/>
      <c r="L155" s="72"/>
      <c r="M155" s="9"/>
      <c r="N155" s="9"/>
      <c r="P155" s="220">
        <f>IF('[3]2026 március'!B$31=0,
    "",
    '[3]2026 március'!B$31
)</f>
        <v>208235</v>
      </c>
    </row>
    <row r="156" spans="1:16" ht="14.25" customHeight="1">
      <c r="A156" s="141"/>
      <c r="B156" s="11"/>
      <c r="C156" s="11"/>
      <c r="D156" s="11"/>
      <c r="E156" s="11"/>
      <c r="F156" s="11"/>
      <c r="G156" s="11"/>
      <c r="H156" s="11"/>
      <c r="I156" s="11"/>
      <c r="J156" s="38"/>
      <c r="K156" s="72"/>
      <c r="L156" s="72"/>
      <c r="M156" s="9"/>
      <c r="N156" s="9"/>
      <c r="P156" s="220"/>
    </row>
    <row r="157" spans="1:16" ht="14.25" customHeight="1">
      <c r="A157" s="141"/>
      <c r="B157" s="11"/>
      <c r="C157" s="11"/>
      <c r="D157" s="11"/>
      <c r="E157" s="11"/>
      <c r="F157" s="11"/>
      <c r="G157" s="11"/>
      <c r="H157" s="11"/>
      <c r="I157" s="11"/>
      <c r="J157" s="38"/>
      <c r="K157" s="72"/>
      <c r="L157" s="72"/>
      <c r="M157" s="9"/>
      <c r="N157" s="9"/>
      <c r="P157" s="220">
        <f>IF('[3]2026 március'!B$32=0,
    "",
    '[3]2026 március'!B$32
)</f>
        <v>204155</v>
      </c>
    </row>
    <row r="158" spans="1:16" ht="14.25" customHeight="1">
      <c r="A158" s="141"/>
      <c r="B158" s="11"/>
      <c r="C158" s="11"/>
      <c r="D158" s="11"/>
      <c r="E158" s="11"/>
      <c r="F158" s="11"/>
      <c r="G158" s="11"/>
      <c r="H158" s="11"/>
      <c r="I158" s="11"/>
      <c r="J158" s="205"/>
      <c r="K158" s="206"/>
      <c r="L158" s="206"/>
      <c r="M158" s="380"/>
      <c r="N158" s="184"/>
      <c r="P158" s="220">
        <f>IF('[3]2026 március'!B$33=0,
    "",
    '[3]2026 március'!B$33
)</f>
        <v>3678167</v>
      </c>
    </row>
    <row r="159" spans="1:16" ht="15" customHeight="1">
      <c r="A159" s="18" t="s">
        <v>64</v>
      </c>
      <c r="B159" s="362"/>
      <c r="C159" s="19">
        <f>SUM(C126:C158)</f>
        <v>0</v>
      </c>
      <c r="D159" s="19">
        <f>SUM(D126:D158)</f>
        <v>0</v>
      </c>
      <c r="E159" s="19">
        <f>SUM(E126:E158)</f>
        <v>0</v>
      </c>
      <c r="F159" s="19">
        <f>SUM(F126:F158)</f>
        <v>0</v>
      </c>
      <c r="G159" s="20">
        <f>SUM(G126:G158)</f>
        <v>0</v>
      </c>
      <c r="H159" s="20">
        <f>SUM(H126:H158)</f>
        <v>0</v>
      </c>
      <c r="I159" s="39">
        <f>SUM(I126:I158)</f>
        <v>0</v>
      </c>
      <c r="J159" s="32"/>
      <c r="K159" s="17"/>
      <c r="L159" s="252"/>
      <c r="M159" s="9"/>
      <c r="N159" s="184"/>
    </row>
    <row r="160" spans="1:16" ht="15" customHeight="1">
      <c r="A160" s="5"/>
      <c r="B160" s="11"/>
      <c r="C160" s="29">
        <f>C159+D159+E159+F159</f>
        <v>0</v>
      </c>
      <c r="D160" s="10"/>
      <c r="E160" s="10"/>
      <c r="F160" s="10"/>
      <c r="G160" s="47">
        <f>G159+H159</f>
        <v>0</v>
      </c>
      <c r="H160" s="10"/>
      <c r="I160" s="10"/>
      <c r="J160" s="33"/>
      <c r="K160" s="523"/>
      <c r="L160" s="414"/>
      <c r="M160" s="9"/>
      <c r="N160" s="382"/>
    </row>
    <row r="161" spans="1:14" ht="15" customHeight="1">
      <c r="A161" s="67"/>
      <c r="C161"/>
      <c r="D161"/>
      <c r="E161"/>
      <c r="F161"/>
      <c r="G161"/>
      <c r="H161"/>
      <c r="I161"/>
      <c r="J161"/>
      <c r="K161" s="543"/>
      <c r="L161" s="261"/>
      <c r="M161" s="261"/>
      <c r="N161" s="136"/>
    </row>
    <row r="162" spans="1:14" ht="15" customHeight="1">
      <c r="A162" s="403" t="s">
        <v>177</v>
      </c>
      <c r="B162" s="404"/>
      <c r="C162" s="405"/>
      <c r="D162" s="405"/>
      <c r="E162" s="405"/>
      <c r="F162" s="406"/>
      <c r="G162" s="406"/>
      <c r="H162" s="406"/>
      <c r="I162" s="406"/>
      <c r="J162" s="407"/>
      <c r="K162" s="408"/>
      <c r="L162" s="261"/>
      <c r="M162" s="261"/>
      <c r="N162" s="136"/>
    </row>
    <row r="163" spans="1:14" ht="15" customHeight="1">
      <c r="A163" s="409"/>
      <c r="B163" s="402"/>
      <c r="C163" s="402"/>
      <c r="D163" s="402"/>
      <c r="E163" s="402"/>
      <c r="F163" s="402"/>
      <c r="G163" s="396"/>
      <c r="H163" s="396"/>
      <c r="I163" s="396"/>
      <c r="J163" s="396"/>
      <c r="K163" s="410"/>
      <c r="L163" s="261"/>
      <c r="M163" s="261"/>
      <c r="N163" s="136"/>
    </row>
    <row r="164" spans="1:14" ht="15" customHeight="1">
      <c r="A164" s="628"/>
      <c r="B164" s="629"/>
      <c r="C164" s="629"/>
      <c r="D164" s="629"/>
      <c r="E164" s="629"/>
      <c r="F164" s="629"/>
      <c r="G164" s="411"/>
      <c r="H164" s="411"/>
      <c r="I164" s="411"/>
      <c r="J164" s="411"/>
      <c r="K164" s="412"/>
      <c r="L164" s="261"/>
      <c r="M164" s="261"/>
      <c r="N164" s="136"/>
    </row>
    <row r="185"/>
    <row r="186"/>
    <row r="187"/>
    <row r="191"/>
    <row r="192"/>
    <row r="222"/>
    <row r="223"/>
    <row r="224"/>
    <row r="230"/>
    <row r="263"/>
    <row r="264"/>
    <row r="268"/>
    <row r="269"/>
    <row r="301"/>
    <row r="302"/>
    <row r="305"/>
    <row r="338"/>
    <row r="339"/>
    <row r="347"/>
    <row r="362"/>
    <row r="379"/>
    <row r="380"/>
    <row r="381"/>
    <row r="384"/>
    <row r="417"/>
    <row r="418"/>
    <row r="425"/>
    <row r="458"/>
    <row r="459"/>
  </sheetData>
  <sheetProtection formatCells="0" formatColumns="0" formatRows="0"/>
  <protectedRanges>
    <protectedRange sqref="AL2:BN35 A36:BN38 A42:BN42 O39:BN41 A77:BN77 AB43:BN76 A81:BN84 L78:BN80 A124:BN124 O85:BN85 O119:BN123 O86:O118 Q86:BN118 A165:BN502 Q125:BN164 O125:P125 O160:P164 O126:O159" name="Range1"/>
    <protectedRange sqref="A1:B1" name="Range1_1"/>
    <protectedRange sqref="O35:AK35" name="Range1_4"/>
    <protectedRange sqref="O2 T2:AK2" name="Range1_2_1"/>
    <protectedRange sqref="N35" name="Range1_4_1"/>
    <protectedRange sqref="N2" name="Range1_2_1_1"/>
    <protectedRange sqref="O43:AA43 O76:AA76 O44:O75 Q44:AA75 P118 P159" name="Range1_2"/>
    <protectedRange sqref="A120 N120:N123 C120:M120 L121:M123 A161 N161:N164 C161:M161 L162:M164" name="Range1_2_2"/>
    <protectedRange sqref="B120 B161" name="Range1_1_1"/>
  </protectedRanges>
  <mergeCells count="3">
    <mergeCell ref="A80:F80"/>
    <mergeCell ref="A123:F123"/>
    <mergeCell ref="A164:F164"/>
  </mergeCells>
  <conditionalFormatting sqref="A2:L12 A15:L33 A13:J13 A14:K14 L13:L14">
    <cfRule type="containsText" dxfId="731" priority="68" stopIfTrue="1" operator="containsText" text="ELTÉRÉS!">
      <formula>NOT(ISERROR(SEARCH("ELTÉRÉS!",A2)))</formula>
    </cfRule>
    <cfRule type="containsText" dxfId="730" priority="69" stopIfTrue="1" operator="containsText" text="STIMMEL!">
      <formula>NOT(ISERROR(SEARCH("STIMMEL!",A2)))</formula>
    </cfRule>
  </conditionalFormatting>
  <conditionalFormatting sqref="A2:L12 A13:J13 L13 A14:L33">
    <cfRule type="cellIs" dxfId="729" priority="67" operator="equal">
      <formula>0.01</formula>
    </cfRule>
  </conditionalFormatting>
  <conditionalFormatting sqref="M2">
    <cfRule type="containsText" dxfId="728" priority="59" stopIfTrue="1" operator="containsText" text="ELTÉRÉS!">
      <formula>NOT(ISERROR(SEARCH("ELTÉRÉS!",M2)))</formula>
    </cfRule>
    <cfRule type="containsText" dxfId="727" priority="60" stopIfTrue="1" operator="containsText" text="STIMMEL!">
      <formula>NOT(ISERROR(SEARCH("STIMMEL!",M2)))</formula>
    </cfRule>
  </conditionalFormatting>
  <conditionalFormatting sqref="M2">
    <cfRule type="cellIs" dxfId="726" priority="58" operator="equal">
      <formula>0.01</formula>
    </cfRule>
  </conditionalFormatting>
  <conditionalFormatting sqref="M3:M33">
    <cfRule type="containsText" dxfId="725" priority="56" stopIfTrue="1" operator="containsText" text="ELTÉRÉS!">
      <formula>NOT(ISERROR(SEARCH("ELTÉRÉS!",M3)))</formula>
    </cfRule>
    <cfRule type="containsText" dxfId="724" priority="57" stopIfTrue="1" operator="containsText" text="STIMMEL!">
      <formula>NOT(ISERROR(SEARCH("STIMMEL!",M3)))</formula>
    </cfRule>
  </conditionalFormatting>
  <conditionalFormatting sqref="M3:M33">
    <cfRule type="cellIs" dxfId="723" priority="55" operator="equal">
      <formula>0.01</formula>
    </cfRule>
  </conditionalFormatting>
  <conditionalFormatting sqref="M39:N41">
    <cfRule type="containsText" dxfId="722" priority="53" stopIfTrue="1" operator="containsText" text="ELTÉRÉS!">
      <formula>NOT(ISERROR(SEARCH("ELTÉRÉS!",M39)))</formula>
    </cfRule>
    <cfRule type="containsText" dxfId="721" priority="54" stopIfTrue="1" operator="containsText" text="STIMMEL!">
      <formula>NOT(ISERROR(SEARCH("STIMMEL!",M39)))</formula>
    </cfRule>
  </conditionalFormatting>
  <conditionalFormatting sqref="M39:N41">
    <cfRule type="cellIs" dxfId="720" priority="52" operator="equal">
      <formula>0.01</formula>
    </cfRule>
  </conditionalFormatting>
  <conditionalFormatting sqref="A39:B39 E40:L41 F39:L39">
    <cfRule type="containsText" dxfId="719" priority="50" stopIfTrue="1" operator="containsText" text="ELTÉRÉS!">
      <formula>NOT(ISERROR(SEARCH("ELTÉRÉS!",A39)))</formula>
    </cfRule>
    <cfRule type="containsText" dxfId="718" priority="51" stopIfTrue="1" operator="containsText" text="STIMMEL!">
      <formula>NOT(ISERROR(SEARCH("STIMMEL!",A39)))</formula>
    </cfRule>
  </conditionalFormatting>
  <conditionalFormatting sqref="A39:B39 E40:L41 F39:L39">
    <cfRule type="cellIs" dxfId="717" priority="49" operator="equal">
      <formula>0.01</formula>
    </cfRule>
  </conditionalFormatting>
  <conditionalFormatting sqref="C43:N76 A43:A76">
    <cfRule type="containsText" dxfId="716" priority="47" stopIfTrue="1" operator="containsText" text="ELTÉRÉS!">
      <formula>NOT(ISERROR(SEARCH("ELTÉRÉS!",A43)))</formula>
    </cfRule>
    <cfRule type="containsText" dxfId="715" priority="48" stopIfTrue="1" operator="containsText" text="STIMMEL!">
      <formula>NOT(ISERROR(SEARCH("STIMMEL!",A43)))</formula>
    </cfRule>
  </conditionalFormatting>
  <conditionalFormatting sqref="C43:N76 A43:A76">
    <cfRule type="cellIs" dxfId="714" priority="46" operator="equal">
      <formula>0.01</formula>
    </cfRule>
  </conditionalFormatting>
  <conditionalFormatting sqref="B43:B74">
    <cfRule type="containsText" dxfId="713" priority="44" stopIfTrue="1" operator="containsText" text="ELTÉRÉS!">
      <formula>NOT(ISERROR(SEARCH("ELTÉRÉS!",B43)))</formula>
    </cfRule>
    <cfRule type="containsText" dxfId="712" priority="45" stopIfTrue="1" operator="containsText" text="STIMMEL!">
      <formula>NOT(ISERROR(SEARCH("STIMMEL!",B43)))</formula>
    </cfRule>
  </conditionalFormatting>
  <conditionalFormatting sqref="B43:B74">
    <cfRule type="cellIs" dxfId="711" priority="43" operator="equal">
      <formula>0.01</formula>
    </cfRule>
  </conditionalFormatting>
  <conditionalFormatting sqref="F78:K78">
    <cfRule type="containsText" dxfId="710" priority="41" stopIfTrue="1" operator="containsText" text="ELTÉRÉS!">
      <formula>NOT(ISERROR(SEARCH("ELTÉRÉS!",F78)))</formula>
    </cfRule>
    <cfRule type="containsText" dxfId="709" priority="42" stopIfTrue="1" operator="containsText" text="STIMMEL!">
      <formula>NOT(ISERROR(SEARCH("STIMMEL!",F78)))</formula>
    </cfRule>
  </conditionalFormatting>
  <conditionalFormatting sqref="F78:K78">
    <cfRule type="cellIs" dxfId="708" priority="40" operator="equal">
      <formula>0.01</formula>
    </cfRule>
  </conditionalFormatting>
  <conditionalFormatting sqref="A78">
    <cfRule type="containsText" dxfId="707" priority="38" stopIfTrue="1" operator="containsText" text="ELTÉRÉS!">
      <formula>NOT(ISERROR(SEARCH("ELTÉRÉS!",A78)))</formula>
    </cfRule>
    <cfRule type="containsText" dxfId="706" priority="39" stopIfTrue="1" operator="containsText" text="STIMMEL!">
      <formula>NOT(ISERROR(SEARCH("STIMMEL!",A78)))</formula>
    </cfRule>
  </conditionalFormatting>
  <conditionalFormatting sqref="A78">
    <cfRule type="cellIs" dxfId="705" priority="37" operator="equal">
      <formula>0.01</formula>
    </cfRule>
  </conditionalFormatting>
  <conditionalFormatting sqref="B78">
    <cfRule type="containsText" dxfId="704" priority="35" stopIfTrue="1" operator="containsText" text="ELTÉRÉS!">
      <formula>NOT(ISERROR(SEARCH("ELTÉRÉS!",B78)))</formula>
    </cfRule>
    <cfRule type="containsText" dxfId="703" priority="36" stopIfTrue="1" operator="containsText" text="STIMMEL!">
      <formula>NOT(ISERROR(SEARCH("STIMMEL!",B78)))</formula>
    </cfRule>
  </conditionalFormatting>
  <conditionalFormatting sqref="B78">
    <cfRule type="cellIs" dxfId="702" priority="34" operator="equal">
      <formula>0.01</formula>
    </cfRule>
  </conditionalFormatting>
  <conditionalFormatting sqref="B85:B117 A85:A119 C119:N119 C85:M118">
    <cfRule type="containsText" dxfId="701" priority="32" stopIfTrue="1" operator="containsText" text="ELTÉRÉS!">
      <formula>NOT(ISERROR(SEARCH("ELTÉRÉS!",A85)))</formula>
    </cfRule>
    <cfRule type="containsText" dxfId="700" priority="33" stopIfTrue="1" operator="containsText" text="STIMMEL!">
      <formula>NOT(ISERROR(SEARCH("STIMMEL!",A85)))</formula>
    </cfRule>
  </conditionalFormatting>
  <conditionalFormatting sqref="B85:B117 A85:A119 C119:N119 C85:M118">
    <cfRule type="cellIs" dxfId="699" priority="31" operator="equal">
      <formula>0.01</formula>
    </cfRule>
  </conditionalFormatting>
  <conditionalFormatting sqref="F121:K121">
    <cfRule type="containsText" dxfId="698" priority="29" stopIfTrue="1" operator="containsText" text="ELTÉRÉS!">
      <formula>NOT(ISERROR(SEARCH("ELTÉRÉS!",F121)))</formula>
    </cfRule>
    <cfRule type="containsText" dxfId="697" priority="30" stopIfTrue="1" operator="containsText" text="STIMMEL!">
      <formula>NOT(ISERROR(SEARCH("STIMMEL!",F121)))</formula>
    </cfRule>
  </conditionalFormatting>
  <conditionalFormatting sqref="F121:K121">
    <cfRule type="cellIs" dxfId="696" priority="28" operator="equal">
      <formula>0.01</formula>
    </cfRule>
  </conditionalFormatting>
  <conditionalFormatting sqref="A121">
    <cfRule type="containsText" dxfId="695" priority="26" stopIfTrue="1" operator="containsText" text="ELTÉRÉS!">
      <formula>NOT(ISERROR(SEARCH("ELTÉRÉS!",A121)))</formula>
    </cfRule>
    <cfRule type="containsText" dxfId="694" priority="27" stopIfTrue="1" operator="containsText" text="STIMMEL!">
      <formula>NOT(ISERROR(SEARCH("STIMMEL!",A121)))</formula>
    </cfRule>
  </conditionalFormatting>
  <conditionalFormatting sqref="A121">
    <cfRule type="cellIs" dxfId="693" priority="25" operator="equal">
      <formula>0.01</formula>
    </cfRule>
  </conditionalFormatting>
  <conditionalFormatting sqref="B121">
    <cfRule type="containsText" dxfId="692" priority="23" stopIfTrue="1" operator="containsText" text="ELTÉRÉS!">
      <formula>NOT(ISERROR(SEARCH("ELTÉRÉS!",B121)))</formula>
    </cfRule>
    <cfRule type="containsText" dxfId="691" priority="24" stopIfTrue="1" operator="containsText" text="STIMMEL!">
      <formula>NOT(ISERROR(SEARCH("STIMMEL!",B121)))</formula>
    </cfRule>
  </conditionalFormatting>
  <conditionalFormatting sqref="B121">
    <cfRule type="cellIs" dxfId="690" priority="22" operator="equal">
      <formula>0.01</formula>
    </cfRule>
  </conditionalFormatting>
  <conditionalFormatting sqref="N85:N118">
    <cfRule type="containsText" dxfId="689" priority="20" stopIfTrue="1" operator="containsText" text="ELTÉRÉS!">
      <formula>NOT(ISERROR(SEARCH("ELTÉRÉS!",N85)))</formula>
    </cfRule>
    <cfRule type="containsText" dxfId="688" priority="21" stopIfTrue="1" operator="containsText" text="STIMMEL!">
      <formula>NOT(ISERROR(SEARCH("STIMMEL!",N85)))</formula>
    </cfRule>
  </conditionalFormatting>
  <conditionalFormatting sqref="N85:N118">
    <cfRule type="cellIs" dxfId="687" priority="19" operator="equal">
      <formula>0.01</formula>
    </cfRule>
  </conditionalFormatting>
  <conditionalFormatting sqref="C160:N160 B125:M158 A125:A160 J159:M159">
    <cfRule type="containsText" dxfId="686" priority="17" stopIfTrue="1" operator="containsText" text="ELTÉRÉS!">
      <formula>NOT(ISERROR(SEARCH("ELTÉRÉS!",A125)))</formula>
    </cfRule>
    <cfRule type="containsText" dxfId="685" priority="18" stopIfTrue="1" operator="containsText" text="STIMMEL!">
      <formula>NOT(ISERROR(SEARCH("STIMMEL!",A125)))</formula>
    </cfRule>
  </conditionalFormatting>
  <conditionalFormatting sqref="C160:N160 B125:M158 A125:A160 J159:M159">
    <cfRule type="cellIs" dxfId="684" priority="16" operator="equal">
      <formula>0.01</formula>
    </cfRule>
  </conditionalFormatting>
  <conditionalFormatting sqref="F162:K162">
    <cfRule type="containsText" dxfId="683" priority="14" stopIfTrue="1" operator="containsText" text="ELTÉRÉS!">
      <formula>NOT(ISERROR(SEARCH("ELTÉRÉS!",F162)))</formula>
    </cfRule>
    <cfRule type="containsText" dxfId="682" priority="15" stopIfTrue="1" operator="containsText" text="STIMMEL!">
      <formula>NOT(ISERROR(SEARCH("STIMMEL!",F162)))</formula>
    </cfRule>
  </conditionalFormatting>
  <conditionalFormatting sqref="F162:K162">
    <cfRule type="cellIs" dxfId="681" priority="13" operator="equal">
      <formula>0.01</formula>
    </cfRule>
  </conditionalFormatting>
  <conditionalFormatting sqref="A162">
    <cfRule type="containsText" dxfId="680" priority="11" stopIfTrue="1" operator="containsText" text="ELTÉRÉS!">
      <formula>NOT(ISERROR(SEARCH("ELTÉRÉS!",A162)))</formula>
    </cfRule>
    <cfRule type="containsText" dxfId="679" priority="12" stopIfTrue="1" operator="containsText" text="STIMMEL!">
      <formula>NOT(ISERROR(SEARCH("STIMMEL!",A162)))</formula>
    </cfRule>
  </conditionalFormatting>
  <conditionalFormatting sqref="A162">
    <cfRule type="cellIs" dxfId="678" priority="10" operator="equal">
      <formula>0.01</formula>
    </cfRule>
  </conditionalFormatting>
  <conditionalFormatting sqref="B162">
    <cfRule type="containsText" dxfId="677" priority="8" stopIfTrue="1" operator="containsText" text="ELTÉRÉS!">
      <formula>NOT(ISERROR(SEARCH("ELTÉRÉS!",B162)))</formula>
    </cfRule>
    <cfRule type="containsText" dxfId="676" priority="9" stopIfTrue="1" operator="containsText" text="STIMMEL!">
      <formula>NOT(ISERROR(SEARCH("STIMMEL!",B162)))</formula>
    </cfRule>
  </conditionalFormatting>
  <conditionalFormatting sqref="B162">
    <cfRule type="cellIs" dxfId="675" priority="7" operator="equal">
      <formula>0.01</formula>
    </cfRule>
  </conditionalFormatting>
  <conditionalFormatting sqref="N125:N159">
    <cfRule type="containsText" dxfId="674" priority="5" stopIfTrue="1" operator="containsText" text="ELTÉRÉS!">
      <formula>NOT(ISERROR(SEARCH("ELTÉRÉS!",N125)))</formula>
    </cfRule>
    <cfRule type="containsText" dxfId="673" priority="6" stopIfTrue="1" operator="containsText" text="STIMMEL!">
      <formula>NOT(ISERROR(SEARCH("STIMMEL!",N125)))</formula>
    </cfRule>
  </conditionalFormatting>
  <conditionalFormatting sqref="N125:N159">
    <cfRule type="cellIs" dxfId="672" priority="4" operator="equal">
      <formula>0.01</formula>
    </cfRule>
  </conditionalFormatting>
  <conditionalFormatting sqref="C159:I159">
    <cfRule type="containsText" dxfId="671" priority="2" stopIfTrue="1" operator="containsText" text="ELTÉRÉS!">
      <formula>NOT(ISERROR(SEARCH("ELTÉRÉS!",C159)))</formula>
    </cfRule>
    <cfRule type="containsText" dxfId="670" priority="3" stopIfTrue="1" operator="containsText" text="STIMMEL!">
      <formula>NOT(ISERROR(SEARCH("STIMMEL!",C159)))</formula>
    </cfRule>
  </conditionalFormatting>
  <conditionalFormatting sqref="C159:I159">
    <cfRule type="cellIs" dxfId="669" priority="1" operator="equal">
      <formula>0.01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784B-2134-43ED-B044-88B637C6555C}">
  <dimension ref="A1:AO458"/>
  <sheetViews>
    <sheetView workbookViewId="0">
      <pane ySplit="1" topLeftCell="A102" activePane="bottomLeft" state="frozen"/>
      <selection pane="bottomLeft" activeCell="G123" sqref="G123"/>
    </sheetView>
  </sheetViews>
  <sheetFormatPr defaultRowHeight="15" customHeight="1"/>
  <cols>
    <col min="1" max="1" width="15.7109375" style="62" customWidth="1"/>
    <col min="2" max="2" width="16" style="356" customWidth="1"/>
    <col min="3" max="3" width="11.5703125" style="4" customWidth="1"/>
    <col min="4" max="4" width="12.85546875" style="4" bestFit="1" customWidth="1"/>
    <col min="5" max="5" width="10.7109375" style="4" bestFit="1" customWidth="1"/>
    <col min="6" max="7" width="11.7109375" style="4" bestFit="1" customWidth="1"/>
    <col min="8" max="8" width="12.85546875" style="4" bestFit="1" customWidth="1"/>
    <col min="9" max="9" width="12.85546875" style="4" customWidth="1"/>
    <col min="10" max="10" width="12.7109375" style="35" customWidth="1"/>
    <col min="11" max="11" width="15.5703125" style="4" customWidth="1"/>
    <col min="12" max="12" width="16.28515625" customWidth="1"/>
    <col min="14" max="14" width="18.5703125" customWidth="1"/>
    <col min="16" max="16" width="10.140625" bestFit="1" customWidth="1"/>
    <col min="17" max="38" width="0" hidden="1" customWidth="1"/>
  </cols>
  <sheetData>
    <row r="1" spans="1:38" ht="28.5" customHeight="1">
      <c r="A1" s="68" t="s">
        <v>633</v>
      </c>
      <c r="B1" s="350" t="s">
        <v>147</v>
      </c>
      <c r="C1" s="3">
        <v>0</v>
      </c>
      <c r="D1" s="3">
        <v>0.05</v>
      </c>
      <c r="E1" s="3">
        <v>0.18</v>
      </c>
      <c r="F1" s="3">
        <v>0.27</v>
      </c>
      <c r="G1" s="2" t="s">
        <v>148</v>
      </c>
      <c r="H1" s="2" t="s">
        <v>149</v>
      </c>
      <c r="I1" s="40" t="s">
        <v>150</v>
      </c>
      <c r="J1" s="31" t="s">
        <v>222</v>
      </c>
      <c r="K1" s="2" t="s">
        <v>152</v>
      </c>
      <c r="L1" s="60" t="s">
        <v>153</v>
      </c>
      <c r="M1" s="44" t="s">
        <v>154</v>
      </c>
      <c r="N1" s="44" t="s">
        <v>155</v>
      </c>
    </row>
    <row r="2" spans="1:38" ht="21">
      <c r="A2" s="66" t="s">
        <v>3</v>
      </c>
      <c r="B2" s="351"/>
      <c r="C2" s="26"/>
      <c r="D2" s="26"/>
      <c r="E2" s="26"/>
      <c r="F2" s="26"/>
      <c r="G2" s="26"/>
      <c r="H2" s="26"/>
      <c r="I2" s="26"/>
      <c r="J2" s="26"/>
      <c r="K2" s="34"/>
      <c r="L2" s="26"/>
      <c r="M2" s="27"/>
      <c r="N2" s="27"/>
      <c r="O2" s="27"/>
      <c r="P2" s="209" t="str">
        <f>'[4]2026 január'!B$1</f>
        <v>Novohost</v>
      </c>
      <c r="Q2" s="209" t="str">
        <f>'[4]2026 január'!G1</f>
        <v>Forgalom</v>
      </c>
      <c r="R2" s="209" t="str">
        <f>'[4]2026 január'!W1</f>
        <v>Kivét</v>
      </c>
      <c r="S2" s="209" t="s">
        <v>156</v>
      </c>
      <c r="T2" s="26"/>
      <c r="U2" s="34"/>
      <c r="V2" s="209" t="str">
        <f>'[4]2026 január'!S1</f>
        <v>Pénztár nyitó</v>
      </c>
      <c r="W2" s="209" t="str">
        <f>'[4]2026 január'!T1</f>
        <v>Pénztár kp bevétel</v>
      </c>
      <c r="X2" s="209" t="str">
        <f>'[4]2026 január'!U1</f>
        <v>Egyéb bevétel</v>
      </c>
      <c r="Y2" s="209" t="str">
        <f>'[4]2026 január'!V1</f>
        <v>Költött</v>
      </c>
      <c r="Z2" s="209" t="str">
        <f>'[4]2026 január'!W1</f>
        <v>Kivét</v>
      </c>
      <c r="AA2" s="209" t="str">
        <f>'[4]2026 január'!X1</f>
        <v>Eltérés</v>
      </c>
      <c r="AB2" s="209" t="str">
        <f>'[4]2026 január'!Y1</f>
        <v>Záró</v>
      </c>
      <c r="AC2" s="209" t="str">
        <f>'[4]2026 január'!Z1</f>
        <v>Megjegyzések</v>
      </c>
      <c r="AD2" s="209">
        <f>'[4]2026 január'!AA1</f>
        <v>0</v>
      </c>
      <c r="AE2" s="209">
        <f>'[4]2026 január'!AB1</f>
        <v>0</v>
      </c>
      <c r="AF2" s="209">
        <f>'[4]2026 január'!AC1</f>
        <v>0</v>
      </c>
      <c r="AG2" s="209" t="str">
        <f>'[4]2026 január'!AD1</f>
        <v>Egyéb kiadás</v>
      </c>
      <c r="AH2" s="27"/>
      <c r="AI2" s="27"/>
      <c r="AJ2" s="27"/>
      <c r="AK2" s="27"/>
      <c r="AL2" s="27"/>
    </row>
    <row r="3" spans="1:38">
      <c r="A3" s="141">
        <v>46023</v>
      </c>
      <c r="B3" s="352"/>
      <c r="C3" s="142"/>
      <c r="D3" s="142"/>
      <c r="E3" s="142"/>
      <c r="F3" s="142"/>
      <c r="G3" s="142"/>
      <c r="H3" s="142"/>
      <c r="I3" s="142"/>
      <c r="J3" s="198"/>
      <c r="K3" s="146"/>
      <c r="L3" s="144"/>
      <c r="M3" s="150"/>
      <c r="N3" s="153"/>
      <c r="O3" s="41"/>
      <c r="P3" s="41" t="str">
        <f>IF('[4]2026 január'!B$2=0,
    "",
    '[4]2026 január'!B$2
)</f>
        <v/>
      </c>
      <c r="Q3" s="41" t="str">
        <f>IF(OR('[4]2026 január'!G2=0,
       ISBLANK('[4]2026 január'!G2)),
    "",
    '[4]2026 január'!G2
)</f>
        <v/>
      </c>
      <c r="R3" s="41">
        <f>'[4]2026 január'!W2</f>
        <v>0</v>
      </c>
      <c r="S3" s="41" t="e">
        <f>P3-Q3-R3-G3-H3</f>
        <v>#VALUE!</v>
      </c>
      <c r="T3" s="41"/>
      <c r="U3" s="4"/>
      <c r="V3" s="41">
        <f>IF('[4]2026 január'!S2=0,
    "",
    '[4]2026 január'!S2
)</f>
        <v>175606</v>
      </c>
      <c r="W3" s="41" t="str">
        <f>IF('[4]2026 január'!T2=0,
    "",
    '[4]2026 január'!T2
)</f>
        <v/>
      </c>
      <c r="X3" s="41" t="str">
        <f>IF('[4]2026 január'!U2=0,
    "",
    '[4]2026 január'!U2
)</f>
        <v/>
      </c>
      <c r="Y3" s="41" t="str">
        <f>IF('[4]2026 január'!V2=0,
    "",
    '[4]2026 január'!V2
)</f>
        <v/>
      </c>
      <c r="Z3" s="41" t="str">
        <f>IF('[4]2026 január'!W2=0,
    "",
    '[4]2026 január'!W2
)</f>
        <v/>
      </c>
      <c r="AA3" s="41" t="str">
        <f>IF('[4]2026 január'!X2=0,
    "",
    '[4]2026 január'!X2
)</f>
        <v/>
      </c>
      <c r="AB3" s="41">
        <f>IF('[4]2026 január'!Y2=0,
    "",
    '[4]2026 január'!Y2
)</f>
        <v>175606</v>
      </c>
      <c r="AC3" s="41" t="str">
        <f>IF('[4]2026 január'!Z2=0,
    "",
    '[4]2026 január'!Z2
)</f>
        <v/>
      </c>
      <c r="AD3" s="41" t="str">
        <f>IF('[4]2026 január'!AA2=0,
    "",
    '[4]2026 január'!AA2
)</f>
        <v/>
      </c>
      <c r="AE3" s="41" t="str">
        <f>IF('[4]2026 január'!AB2=0,
    "",
    '[4]2026 január'!AB2
)</f>
        <v/>
      </c>
      <c r="AF3" s="41" t="str">
        <f>IF('[4]2026 január'!AC2=0,
    "",
    '[4]2026 január'!AC2
)</f>
        <v/>
      </c>
      <c r="AG3" s="41" t="str">
        <f>IF('[4]2026 január'!AD2=0,
    "",
    '[4]2026 január'!AD2
)</f>
        <v/>
      </c>
      <c r="AH3" s="41" t="str">
        <f>IF('[4]2026 január'!AE2=0,
    "",
    '[4]2026 január'!AE2
)</f>
        <v/>
      </c>
      <c r="AI3" s="41" t="str">
        <f>IF('[4]2026 január'!AF2=0,
    "",
    '[4]2026 január'!AF2
)</f>
        <v/>
      </c>
      <c r="AJ3" s="41" t="str">
        <f>IF('[4]2026 január'!AG2=0,
    "",
    '[4]2026 január'!AG2
)</f>
        <v/>
      </c>
      <c r="AK3" s="41" t="str">
        <f>IF('[4]2026 január'!AH2=0,
    "",
    '[4]2026 január'!AH2
)</f>
        <v/>
      </c>
    </row>
    <row r="4" spans="1:38">
      <c r="A4" s="141">
        <v>46024</v>
      </c>
      <c r="B4" s="142"/>
      <c r="C4" s="142"/>
      <c r="D4" s="142"/>
      <c r="E4" s="142"/>
      <c r="F4" s="142"/>
      <c r="G4" s="142"/>
      <c r="H4" s="142"/>
      <c r="I4" s="142"/>
      <c r="J4" s="198"/>
      <c r="K4" s="146"/>
      <c r="L4" s="144"/>
      <c r="M4" s="150"/>
      <c r="N4" s="153"/>
      <c r="O4" s="41"/>
      <c r="P4" s="41" t="str">
        <f>IF('[4]2026 január'!B$3=0,
    "",
    '[4]2026 január'!B$3
)</f>
        <v/>
      </c>
      <c r="Q4" s="41" t="str">
        <f>IF(OR('[4]2026 január'!G3=0,
       ISBLANK('[4]2026 január'!G3)),
    "",
    '[4]2026 január'!G3
)</f>
        <v/>
      </c>
      <c r="R4" s="41">
        <f>'[4]2026 január'!W3</f>
        <v>0</v>
      </c>
      <c r="S4" s="41"/>
      <c r="T4" s="41"/>
      <c r="U4" s="4"/>
      <c r="V4" s="41">
        <f>IF('[4]2026 január'!S3=0,
    "",
    '[4]2026 január'!S3
)</f>
        <v>175606</v>
      </c>
      <c r="W4" s="41" t="str">
        <f>IF('[4]2026 január'!T3=0,
    "",
    '[4]2026 január'!T3
)</f>
        <v/>
      </c>
      <c r="X4" s="41" t="str">
        <f>IF('[4]2026 január'!U3=0,
    "",
    '[4]2026 január'!U3
)</f>
        <v/>
      </c>
      <c r="Y4" s="41" t="str">
        <f>IF('[4]2026 január'!V3=0,
    "",
    '[4]2026 január'!V3
)</f>
        <v/>
      </c>
      <c r="Z4" s="41" t="str">
        <f>IF('[4]2026 január'!W3=0,
    "",
    '[4]2026 január'!W3
)</f>
        <v/>
      </c>
      <c r="AA4" s="41" t="str">
        <f>IF('[4]2026 január'!X3=0,
    "",
    '[4]2026 január'!X3
)</f>
        <v/>
      </c>
      <c r="AB4" s="41">
        <f>IF('[4]2026 január'!Y3=0,
    "",
    '[4]2026 január'!Y3
)</f>
        <v>175606</v>
      </c>
      <c r="AC4" s="41" t="str">
        <f>IF('[4]2026 január'!Z3=0,
    "",
    '[4]2026 január'!Z3
)</f>
        <v/>
      </c>
      <c r="AD4" s="41" t="str">
        <f>IF('[4]2026 január'!AA3=0,
    "",
    '[4]2026 január'!AA3
)</f>
        <v/>
      </c>
      <c r="AE4" s="41" t="str">
        <f>IF('[4]2026 január'!AB3=0,
    "",
    '[4]2026 január'!AB3
)</f>
        <v/>
      </c>
      <c r="AF4" s="41" t="str">
        <f>IF('[4]2026 január'!AC3=0,
    "",
    '[4]2026 január'!AC3
)</f>
        <v/>
      </c>
      <c r="AG4" s="41" t="str">
        <f>IF('[4]2026 január'!AD3=0,
    "",
    '[4]2026 január'!AD3
)</f>
        <v/>
      </c>
      <c r="AH4" s="41" t="str">
        <f>IF('[4]2026 január'!AE3=0,
    "",
    '[4]2026 január'!AE3
)</f>
        <v/>
      </c>
      <c r="AI4" s="41" t="str">
        <f>IF('[4]2026 január'!AF3=0,
    "",
    '[4]2026 január'!AF3
)</f>
        <v/>
      </c>
      <c r="AJ4" s="41" t="str">
        <f>IF('[4]2026 január'!AG3=0,
    "",
    '[4]2026 január'!AG3
)</f>
        <v/>
      </c>
      <c r="AK4" s="41" t="str">
        <f>IF('[4]2026 január'!AH3=0,
    "",
    '[4]2026 január'!AH3
)</f>
        <v/>
      </c>
    </row>
    <row r="5" spans="1:38">
      <c r="A5" s="141">
        <v>46025</v>
      </c>
      <c r="B5" s="142"/>
      <c r="C5" s="142"/>
      <c r="D5" s="142"/>
      <c r="E5" s="142"/>
      <c r="F5" s="142"/>
      <c r="G5" s="142"/>
      <c r="H5" s="142"/>
      <c r="I5" s="142"/>
      <c r="J5" s="198"/>
      <c r="K5" s="146"/>
      <c r="L5" s="146"/>
      <c r="M5" s="151"/>
      <c r="N5" s="153"/>
      <c r="O5" s="41"/>
      <c r="P5" s="41" t="str">
        <f>IF('[4]2026 január'!B$4=0,
    "",
    '[4]2026 január'!B$4
)</f>
        <v/>
      </c>
      <c r="Q5" s="41" t="str">
        <f>IF(OR('[4]2026 január'!G4=0,
       ISBLANK('[4]2026 január'!G4)),
    "",
    '[4]2026 január'!G4
)</f>
        <v/>
      </c>
      <c r="R5" s="41">
        <f>'[4]2026 január'!W4</f>
        <v>0</v>
      </c>
      <c r="S5" s="41"/>
      <c r="T5" s="41"/>
      <c r="U5" s="4"/>
      <c r="V5" s="41">
        <f>IF('[4]2026 január'!S4=0,
    "",
    '[4]2026 január'!S4
)</f>
        <v>175606</v>
      </c>
      <c r="W5" s="41" t="str">
        <f>IF('[4]2026 január'!T4=0,
    "",
    '[4]2026 január'!T4
)</f>
        <v/>
      </c>
      <c r="X5" s="41" t="str">
        <f>IF('[4]2026 január'!U4=0,
    "",
    '[4]2026 január'!U4
)</f>
        <v/>
      </c>
      <c r="Y5" s="41" t="str">
        <f>IF('[4]2026 január'!V4=0,
    "",
    '[4]2026 január'!V4
)</f>
        <v/>
      </c>
      <c r="Z5" s="41" t="str">
        <f>IF('[4]2026 január'!W4=0,
    "",
    '[4]2026 január'!W4
)</f>
        <v/>
      </c>
      <c r="AA5" s="41" t="str">
        <f>IF('[4]2026 január'!X4=0,
    "",
    '[4]2026 január'!X4
)</f>
        <v/>
      </c>
      <c r="AB5" s="41">
        <f>IF('[4]2026 január'!Y4=0,
    "",
    '[4]2026 január'!Y4
)</f>
        <v>175606</v>
      </c>
      <c r="AC5" s="41" t="str">
        <f>IF('[4]2026 január'!Z4=0,
    "",
    '[4]2026 január'!Z4
)</f>
        <v/>
      </c>
      <c r="AD5" s="41" t="str">
        <f>IF('[4]2026 január'!AA4=0,
    "",
    '[4]2026 január'!AA4
)</f>
        <v/>
      </c>
      <c r="AE5" s="41" t="str">
        <f>IF('[4]2026 január'!AB4=0,
    "",
    '[4]2026 január'!AB4
)</f>
        <v/>
      </c>
      <c r="AF5" s="41" t="str">
        <f>IF('[4]2026 január'!AC4=0,
    "",
    '[4]2026 január'!AC4
)</f>
        <v/>
      </c>
      <c r="AG5" s="41" t="str">
        <f>IF('[4]2026 január'!AD4=0,
    "",
    '[4]2026 január'!AD4
)</f>
        <v/>
      </c>
      <c r="AH5" s="41" t="str">
        <f>IF('[4]2026 január'!AE4=0,
    "",
    '[4]2026 január'!AE4
)</f>
        <v/>
      </c>
      <c r="AI5" s="41" t="str">
        <f>IF('[4]2026 január'!AF4=0,
    "",
    '[4]2026 január'!AF4
)</f>
        <v/>
      </c>
      <c r="AJ5" s="41" t="str">
        <f>IF('[4]2026 január'!AG4=0,
    "",
    '[4]2026 január'!AG4
)</f>
        <v/>
      </c>
      <c r="AK5" s="41" t="str">
        <f>IF('[4]2026 január'!AH4=0,
    "",
    '[4]2026 január'!AH4
)</f>
        <v/>
      </c>
    </row>
    <row r="6" spans="1:38">
      <c r="A6" s="141">
        <v>46026</v>
      </c>
      <c r="B6" s="142"/>
      <c r="C6" s="142"/>
      <c r="D6" s="142"/>
      <c r="E6" s="142"/>
      <c r="F6" s="142"/>
      <c r="G6" s="142"/>
      <c r="H6" s="142"/>
      <c r="I6" s="142"/>
      <c r="J6" s="198"/>
      <c r="K6" s="146"/>
      <c r="L6" s="146"/>
      <c r="M6" s="151"/>
      <c r="N6" s="153"/>
      <c r="O6" s="41"/>
      <c r="P6" s="41" t="str">
        <f>IF('[4]2026 január'!B$5=0,
    "",
    '[4]2026 január'!B$5
)</f>
        <v/>
      </c>
      <c r="Q6" s="41" t="str">
        <f>IF(OR('[4]2026 január'!G5=0,
       ISBLANK('[4]2026 január'!G5)),
    "",
    '[4]2026 január'!G5
)</f>
        <v/>
      </c>
      <c r="R6" s="41">
        <f>'[4]2026 január'!W5</f>
        <v>0</v>
      </c>
      <c r="S6" s="41"/>
      <c r="T6" s="41"/>
      <c r="U6" s="4"/>
      <c r="V6" s="41">
        <f>IF('[4]2026 január'!S5=0,
    "",
    '[4]2026 január'!S5
)</f>
        <v>175606</v>
      </c>
      <c r="W6" s="41" t="str">
        <f>IF('[4]2026 január'!T5=0,
    "",
    '[4]2026 január'!T5
)</f>
        <v/>
      </c>
      <c r="X6" s="41" t="str">
        <f>IF('[4]2026 január'!U5=0,
    "",
    '[4]2026 január'!U5
)</f>
        <v/>
      </c>
      <c r="Y6" s="41" t="str">
        <f>IF('[4]2026 január'!V5=0,
    "",
    '[4]2026 január'!V5
)</f>
        <v/>
      </c>
      <c r="Z6" s="41" t="str">
        <f>IF('[4]2026 január'!W5=0,
    "",
    '[4]2026 január'!W5
)</f>
        <v/>
      </c>
      <c r="AA6" s="41" t="str">
        <f>IF('[4]2026 január'!X5=0,
    "",
    '[4]2026 január'!X5
)</f>
        <v/>
      </c>
      <c r="AB6" s="41">
        <f>IF('[4]2026 január'!Y5=0,
    "",
    '[4]2026 január'!Y5
)</f>
        <v>175606</v>
      </c>
      <c r="AC6" s="41" t="str">
        <f>IF('[4]2026 január'!Z5=0,
    "",
    '[4]2026 január'!Z5
)</f>
        <v/>
      </c>
      <c r="AD6" s="41" t="str">
        <f>IF('[4]2026 január'!AA5=0,
    "",
    '[4]2026 január'!AA5
)</f>
        <v/>
      </c>
      <c r="AE6" s="41" t="str">
        <f>IF('[4]2026 január'!AB5=0,
    "",
    '[4]2026 január'!AB5
)</f>
        <v/>
      </c>
      <c r="AF6" s="41" t="str">
        <f>IF('[4]2026 január'!AC5=0,
    "",
    '[4]2026 január'!AC5
)</f>
        <v/>
      </c>
      <c r="AG6" s="41" t="str">
        <f>IF('[4]2026 január'!AD5=0,
    "",
    '[4]2026 január'!AD5
)</f>
        <v/>
      </c>
      <c r="AH6" s="41" t="str">
        <f>IF('[4]2026 január'!AE5=0,
    "",
    '[4]2026 január'!AE5
)</f>
        <v/>
      </c>
      <c r="AI6" s="41" t="str">
        <f>IF('[4]2026 január'!AF5=0,
    "",
    '[4]2026 január'!AF5
)</f>
        <v/>
      </c>
      <c r="AJ6" s="41" t="str">
        <f>IF('[4]2026 január'!AG5=0,
    "",
    '[4]2026 január'!AG5
)</f>
        <v/>
      </c>
      <c r="AK6" s="41" t="str">
        <f>IF('[4]2026 január'!AH5=0,
    "",
    '[4]2026 január'!AH5
)</f>
        <v/>
      </c>
    </row>
    <row r="7" spans="1:38">
      <c r="A7" s="5">
        <v>46027</v>
      </c>
      <c r="B7" s="11">
        <v>335145</v>
      </c>
      <c r="C7" s="11">
        <v>250</v>
      </c>
      <c r="D7" s="11">
        <v>309275</v>
      </c>
      <c r="E7" s="11"/>
      <c r="F7" s="11">
        <v>9315</v>
      </c>
      <c r="G7" s="11"/>
      <c r="H7" s="11">
        <v>318840</v>
      </c>
      <c r="I7" s="11">
        <v>318840</v>
      </c>
      <c r="J7" s="33">
        <v>527</v>
      </c>
      <c r="K7" s="72">
        <v>126899507</v>
      </c>
      <c r="L7" s="72"/>
      <c r="M7" s="152"/>
      <c r="N7" s="148"/>
      <c r="O7" s="41"/>
      <c r="P7" s="41">
        <f>IF('[4]2026 január'!B$6=0,
    "",
    '[4]2026 január'!B$6
)</f>
        <v>335145</v>
      </c>
      <c r="Q7" s="41">
        <f>IF(OR('[4]2026 január'!G6=0,
       ISBLANK('[4]2026 január'!G6)),
    "",
    '[4]2026 január'!G6
)</f>
        <v>335145</v>
      </c>
      <c r="R7" s="41">
        <f>'[4]2026 január'!W6</f>
        <v>0</v>
      </c>
      <c r="S7" s="41"/>
      <c r="T7" s="41"/>
      <c r="U7" s="4"/>
      <c r="V7" s="41">
        <f>IF('[4]2026 január'!S6=0,
    "",
    '[4]2026 január'!S6
)</f>
        <v>175606</v>
      </c>
      <c r="W7" s="41">
        <f>IF('[4]2026 január'!T6=0,
    "",
    '[4]2026 január'!T6
)</f>
        <v>16305</v>
      </c>
      <c r="X7" s="41" t="str">
        <f>IF('[4]2026 január'!U6=0,
    "",
    '[4]2026 január'!U6
)</f>
        <v/>
      </c>
      <c r="Y7" s="41">
        <f>IF('[4]2026 január'!V6=0,
    "",
    '[4]2026 január'!V6
)</f>
        <v>4872</v>
      </c>
      <c r="Z7" s="41" t="str">
        <f>IF('[4]2026 január'!W6=0,
    "",
    '[4]2026 január'!W6
)</f>
        <v/>
      </c>
      <c r="AA7" s="41" t="str">
        <f>IF('[4]2026 január'!X6=0,
    "",
    '[4]2026 január'!X6
)</f>
        <v/>
      </c>
      <c r="AB7" s="41">
        <f>IF('[4]2026 január'!Y6=0,
    "",
    '[4]2026 január'!Y6
)</f>
        <v>187039</v>
      </c>
      <c r="AC7" s="41" t="str">
        <f>IF('[4]2026 január'!Z6=0,
    "",
    '[4]2026 január'!Z6
)</f>
        <v>Tesco</v>
      </c>
      <c r="AD7" s="41" t="str">
        <f>IF('[4]2026 január'!AA6=0,
    "",
    '[4]2026 január'!AA6
)</f>
        <v/>
      </c>
      <c r="AE7" s="41" t="str">
        <f>IF('[4]2026 január'!AB6=0,
    "",
    '[4]2026 január'!AB6
)</f>
        <v/>
      </c>
      <c r="AF7" s="41" t="str">
        <f>IF('[4]2026 január'!AC6=0,
    "",
    '[4]2026 január'!AC6
)</f>
        <v/>
      </c>
      <c r="AG7" s="41" t="str">
        <f>IF('[4]2026 január'!AD6=0,
    "",
    '[4]2026 január'!AD6
)</f>
        <v/>
      </c>
      <c r="AH7" s="41" t="str">
        <f>IF('[4]2026 január'!AE6=0,
    "",
    '[4]2026 január'!AE6
)</f>
        <v/>
      </c>
      <c r="AI7" s="41" t="str">
        <f>IF('[4]2026 január'!AF6=0,
    "",
    '[4]2026 január'!AF6
)</f>
        <v/>
      </c>
      <c r="AJ7" s="41" t="str">
        <f>IF('[4]2026 január'!AG6=0,
    "",
    '[4]2026 január'!AG6
)</f>
        <v/>
      </c>
      <c r="AK7" s="41" t="str">
        <f>IF('[4]2026 január'!AH6=0,
    "",
    '[4]2026 január'!AH6
)</f>
        <v/>
      </c>
    </row>
    <row r="8" spans="1:38">
      <c r="A8" s="5">
        <v>46028</v>
      </c>
      <c r="B8" s="11">
        <v>394930</v>
      </c>
      <c r="C8" s="11">
        <v>50</v>
      </c>
      <c r="D8" s="11">
        <v>382715</v>
      </c>
      <c r="E8" s="11"/>
      <c r="F8" s="11">
        <v>6370</v>
      </c>
      <c r="G8" s="11"/>
      <c r="H8" s="11">
        <v>389135</v>
      </c>
      <c r="I8" s="11">
        <v>389135</v>
      </c>
      <c r="J8" s="33">
        <v>528</v>
      </c>
      <c r="K8" s="72">
        <v>127288642</v>
      </c>
      <c r="L8" s="72"/>
      <c r="M8" s="152"/>
      <c r="N8" s="148"/>
      <c r="O8" s="41"/>
      <c r="P8" s="41">
        <f>IF('[4]2026 január'!B$7=0,
    "",
    '[4]2026 január'!B$7
)</f>
        <v>394930</v>
      </c>
      <c r="Q8" s="41">
        <f>IF(OR('[4]2026 január'!G7=0,
       ISBLANK('[4]2026 január'!G7)),
    "",
    '[4]2026 január'!G7
)</f>
        <v>394930</v>
      </c>
      <c r="R8" s="41">
        <f>'[4]2026 január'!W7</f>
        <v>0</v>
      </c>
      <c r="S8" s="41"/>
      <c r="T8" s="41"/>
      <c r="U8" s="4"/>
      <c r="V8" s="41">
        <f>IF('[4]2026 január'!S7=0,
    "",
    '[4]2026 január'!S7
)</f>
        <v>187039</v>
      </c>
      <c r="W8" s="41">
        <f>IF('[4]2026 január'!T7=0,
    "",
    '[4]2026 január'!T7
)</f>
        <v>5795</v>
      </c>
      <c r="X8" s="41">
        <f>IF('[4]2026 január'!U7=0,
    "",
    '[4]2026 január'!U7
)</f>
        <v>10100</v>
      </c>
      <c r="Y8" s="41" t="str">
        <f>IF('[4]2026 január'!V7=0,
    "",
    '[4]2026 január'!V7
)</f>
        <v/>
      </c>
      <c r="Z8" s="41" t="str">
        <f>IF('[4]2026 január'!W7=0,
    "",
    '[4]2026 január'!W7
)</f>
        <v/>
      </c>
      <c r="AA8" s="41" t="str">
        <f>IF('[4]2026 január'!X7=0,
    "",
    '[4]2026 január'!X7
)</f>
        <v/>
      </c>
      <c r="AB8" s="41">
        <f>IF('[4]2026 január'!Y7=0,
    "",
    '[4]2026 január'!Y7
)</f>
        <v>202934</v>
      </c>
      <c r="AC8" s="41" t="str">
        <f>IF('[4]2026 január'!Z7=0,
    "",
    '[4]2026 január'!Z7
)</f>
        <v>Csabi kv</v>
      </c>
      <c r="AD8" s="41" t="str">
        <f>IF('[4]2026 január'!AA7=0,
    "",
    '[4]2026 január'!AA7
)</f>
        <v/>
      </c>
      <c r="AE8" s="41" t="str">
        <f>IF('[4]2026 január'!AB7=0,
    "",
    '[4]2026 január'!AB7
)</f>
        <v/>
      </c>
      <c r="AF8" s="41" t="str">
        <f>IF('[4]2026 január'!AC7=0,
    "",
    '[4]2026 január'!AC7
)</f>
        <v/>
      </c>
      <c r="AG8" s="41" t="str">
        <f>IF('[4]2026 január'!AD7=0,
    "",
    '[4]2026 január'!AD7
)</f>
        <v/>
      </c>
      <c r="AH8" s="41" t="str">
        <f>IF('[4]2026 január'!AE7=0,
    "",
    '[4]2026 január'!AE7
)</f>
        <v/>
      </c>
      <c r="AI8" s="41" t="str">
        <f>IF('[4]2026 január'!AF7=0,
    "",
    '[4]2026 január'!AF7
)</f>
        <v/>
      </c>
      <c r="AJ8" s="41" t="str">
        <f>IF('[4]2026 január'!AG7=0,
    "",
    '[4]2026 január'!AG7
)</f>
        <v/>
      </c>
      <c r="AK8" s="41" t="str">
        <f>IF('[4]2026 január'!AH7=0,
    "",
    '[4]2026 január'!AH7
)</f>
        <v/>
      </c>
    </row>
    <row r="9" spans="1:38">
      <c r="A9" s="5">
        <v>46029</v>
      </c>
      <c r="B9" s="11">
        <v>394160</v>
      </c>
      <c r="C9" s="11">
        <v>100</v>
      </c>
      <c r="D9" s="11">
        <v>385160</v>
      </c>
      <c r="E9" s="11"/>
      <c r="F9" s="11">
        <v>7170</v>
      </c>
      <c r="G9" s="11"/>
      <c r="H9" s="11">
        <v>392430</v>
      </c>
      <c r="I9" s="11">
        <v>392430</v>
      </c>
      <c r="J9" s="33">
        <v>529</v>
      </c>
      <c r="K9" s="72">
        <v>127682072</v>
      </c>
      <c r="L9" s="72"/>
      <c r="M9" s="152"/>
      <c r="N9" s="149"/>
      <c r="O9" s="41"/>
      <c r="P9" s="41">
        <v>394160</v>
      </c>
      <c r="Q9" s="41">
        <f>IF(OR('[4]2026 január'!G8=0,
       ISBLANK('[4]2026 január'!G8)),
    "",
    '[4]2026 január'!G8
)</f>
        <v>394160</v>
      </c>
      <c r="R9" s="41">
        <f>'[4]2026 január'!W8</f>
        <v>0</v>
      </c>
      <c r="S9" s="41"/>
      <c r="T9" s="41"/>
      <c r="U9" s="4"/>
      <c r="V9" s="41">
        <f>IF('[4]2026 január'!S8=0,
    "",
    '[4]2026 január'!S8
)</f>
        <v>202934</v>
      </c>
      <c r="W9" s="41">
        <f>IF('[4]2026 január'!T8=0,
    "",
    '[4]2026 január'!T8
)</f>
        <v>1730</v>
      </c>
      <c r="X9" s="41" t="str">
        <f>IF('[4]2026 január'!U8=0,
    "",
    '[4]2026 január'!U8
)</f>
        <v/>
      </c>
      <c r="Y9" s="41" t="str">
        <f>IF('[4]2026 január'!V8=0,
    "",
    '[4]2026 január'!V8
)</f>
        <v/>
      </c>
      <c r="Z9" s="41" t="str">
        <f>IF('[4]2026 január'!W8=0,
    "",
    '[4]2026 január'!W8
)</f>
        <v/>
      </c>
      <c r="AA9" s="41" t="str">
        <f>IF('[4]2026 január'!X8=0,
    "",
    '[4]2026 január'!X8
)</f>
        <v/>
      </c>
      <c r="AB9" s="41">
        <f>IF('[4]2026 január'!Y8=0,
    "",
    '[4]2026 január'!Y8
)</f>
        <v>204664</v>
      </c>
      <c r="AC9" s="41" t="str">
        <f>IF('[4]2026 január'!Z8=0,
    "",
    '[4]2026 január'!Z8
)</f>
        <v/>
      </c>
      <c r="AD9" s="41" t="str">
        <f>IF('[4]2026 január'!AA8=0,
    "",
    '[4]2026 január'!AA8
)</f>
        <v/>
      </c>
      <c r="AE9" s="41" t="str">
        <f>IF('[4]2026 január'!AB8=0,
    "",
    '[4]2026 január'!AB8
)</f>
        <v/>
      </c>
      <c r="AF9" s="41" t="str">
        <f>IF('[4]2026 január'!AC8=0,
    "",
    '[4]2026 január'!AC8
)</f>
        <v/>
      </c>
      <c r="AG9" s="41" t="str">
        <f>IF('[4]2026 január'!AD8=0,
    "",
    '[4]2026 január'!AD8
)</f>
        <v/>
      </c>
      <c r="AH9" s="41" t="str">
        <f>IF('[4]2026 január'!AE8=0,
    "",
    '[4]2026 január'!AE8
)</f>
        <v/>
      </c>
      <c r="AI9" s="41" t="str">
        <f>IF('[4]2026 január'!AF8=0,
    "",
    '[4]2026 január'!AF8
)</f>
        <v/>
      </c>
      <c r="AJ9" s="41" t="str">
        <f>IF('[4]2026 január'!AG8=0,
    "",
    '[4]2026 január'!AG8
)</f>
        <v/>
      </c>
      <c r="AK9" s="41" t="str">
        <f>IF('[4]2026 január'!AH8=0,
    "",
    '[4]2026 január'!AH8
)</f>
        <v/>
      </c>
    </row>
    <row r="10" spans="1:38">
      <c r="A10" s="5">
        <v>46030</v>
      </c>
      <c r="B10" s="11">
        <v>424420</v>
      </c>
      <c r="C10" s="11">
        <v>200</v>
      </c>
      <c r="D10" s="11">
        <v>400475</v>
      </c>
      <c r="E10" s="11"/>
      <c r="F10" s="11">
        <v>9620</v>
      </c>
      <c r="G10" s="11"/>
      <c r="H10" s="11">
        <v>410295</v>
      </c>
      <c r="I10" s="11">
        <v>410295</v>
      </c>
      <c r="J10" s="33">
        <v>530</v>
      </c>
      <c r="K10" s="72">
        <v>128091367</v>
      </c>
      <c r="L10" s="72"/>
      <c r="M10" s="152"/>
      <c r="N10" s="148"/>
      <c r="O10" s="41"/>
      <c r="P10" s="41">
        <f>IF('[4]2026 január'!B$9=0,
    "",
    '[4]2026 január'!B$9
)</f>
        <v>424420</v>
      </c>
      <c r="Q10" s="41">
        <f>IF(OR('[4]2026 január'!G9=0,
       ISBLANK('[4]2026 január'!G9)),
    "",
    '[4]2026 január'!G9
)</f>
        <v>424420</v>
      </c>
      <c r="R10" s="41">
        <f>'[4]2026 január'!W9</f>
        <v>0</v>
      </c>
      <c r="S10" s="41"/>
      <c r="T10" s="41"/>
      <c r="U10" s="4"/>
      <c r="V10" s="41">
        <f>IF('[4]2026 január'!S9=0,
    "",
    '[4]2026 január'!S9
)</f>
        <v>204664</v>
      </c>
      <c r="W10" s="41">
        <f>IF('[4]2026 január'!T9=0,
    "",
    '[4]2026 január'!T9
)</f>
        <v>14125</v>
      </c>
      <c r="X10" s="41" t="str">
        <f>IF('[4]2026 január'!U9=0,
    "",
    '[4]2026 január'!U9
)</f>
        <v/>
      </c>
      <c r="Y10" s="41" t="str">
        <f>IF('[4]2026 január'!V9=0,
    "",
    '[4]2026 január'!V9
)</f>
        <v/>
      </c>
      <c r="Z10" s="41" t="str">
        <f>IF('[4]2026 január'!W9=0,
    "",
    '[4]2026 január'!W9
)</f>
        <v/>
      </c>
      <c r="AA10" s="41" t="str">
        <f>IF('[4]2026 január'!X9=0,
    "",
    '[4]2026 január'!X9
)</f>
        <v/>
      </c>
      <c r="AB10" s="41">
        <f>IF('[4]2026 január'!Y9=0,
    "",
    '[4]2026 január'!Y9
)</f>
        <v>218789</v>
      </c>
      <c r="AC10" s="41" t="str">
        <f>IF('[4]2026 január'!Z9=0,
    "",
    '[4]2026 január'!Z9
)</f>
        <v/>
      </c>
      <c r="AD10" s="41" t="str">
        <f>IF('[4]2026 január'!AA9=0,
    "",
    '[4]2026 január'!AA9
)</f>
        <v/>
      </c>
      <c r="AE10" s="41" t="str">
        <f>IF('[4]2026 január'!AB9=0,
    "",
    '[4]2026 január'!AB9
)</f>
        <v/>
      </c>
      <c r="AF10" s="41" t="str">
        <f>IF('[4]2026 január'!AC9=0,
    "",
    '[4]2026 január'!AC9
)</f>
        <v/>
      </c>
      <c r="AG10" s="41" t="str">
        <f>IF('[4]2026 január'!AD9=0,
    "",
    '[4]2026 január'!AD9
)</f>
        <v/>
      </c>
      <c r="AH10" s="41" t="str">
        <f>IF('[4]2026 január'!AE9=0,
    "",
    '[4]2026 január'!AE9
)</f>
        <v/>
      </c>
      <c r="AI10" s="41" t="str">
        <f>IF('[4]2026 január'!AF9=0,
    "",
    '[4]2026 január'!AF9
)</f>
        <v/>
      </c>
      <c r="AJ10" s="41" t="str">
        <f>IF('[4]2026 január'!AG9=0,
    "",
    '[4]2026 január'!AG9
)</f>
        <v/>
      </c>
      <c r="AK10" s="41" t="str">
        <f>IF('[4]2026 január'!AH9=0,
    "",
    '[4]2026 január'!AH9
)</f>
        <v/>
      </c>
    </row>
    <row r="11" spans="1:38">
      <c r="A11" s="5">
        <v>46031</v>
      </c>
      <c r="B11" s="11">
        <v>360200</v>
      </c>
      <c r="C11" s="11">
        <v>100</v>
      </c>
      <c r="D11" s="11">
        <v>351950</v>
      </c>
      <c r="E11" s="11"/>
      <c r="F11" s="11">
        <v>8150</v>
      </c>
      <c r="G11" s="11"/>
      <c r="H11" s="11">
        <v>360200</v>
      </c>
      <c r="I11" s="11">
        <v>360200</v>
      </c>
      <c r="J11" s="33">
        <v>531</v>
      </c>
      <c r="K11" s="72">
        <v>128451567</v>
      </c>
      <c r="L11" s="72"/>
      <c r="M11" s="152"/>
      <c r="N11" s="148"/>
      <c r="O11" s="41"/>
      <c r="P11" s="41">
        <f>IF('[4]2026 január'!B$10=0,
    "",
    '[4]2026 január'!B$10
)</f>
        <v>360200</v>
      </c>
      <c r="Q11" s="41">
        <f>IF(OR('[4]2026 január'!G10=0,
       ISBLANK('[4]2026 január'!G10)),
    "",
    '[4]2026 január'!G10
)</f>
        <v>360200</v>
      </c>
      <c r="R11" s="41">
        <f>'[4]2026 január'!W10</f>
        <v>0</v>
      </c>
      <c r="S11" s="41"/>
      <c r="T11" s="41"/>
      <c r="U11" s="4"/>
      <c r="V11" s="41">
        <f>IF('[4]2026 január'!S10=0,
    "",
    '[4]2026 január'!S10
)</f>
        <v>218789</v>
      </c>
      <c r="W11" s="41" t="str">
        <f>IF('[4]2026 január'!T10=0,
    "",
    '[4]2026 január'!T10
)</f>
        <v/>
      </c>
      <c r="X11" s="41" t="str">
        <f>IF('[4]2026 január'!U10=0,
    "",
    '[4]2026 január'!U10
)</f>
        <v/>
      </c>
      <c r="Y11" s="41">
        <f>IF('[4]2026 január'!V10=0,
    "",
    '[4]2026 január'!V10
)</f>
        <v>3840</v>
      </c>
      <c r="Z11" s="41" t="str">
        <f>IF('[4]2026 január'!W10=0,
    "",
    '[4]2026 január'!W10
)</f>
        <v/>
      </c>
      <c r="AA11" s="41" t="str">
        <f>IF('[4]2026 január'!X10=0,
    "",
    '[4]2026 január'!X10
)</f>
        <v/>
      </c>
      <c r="AB11" s="41">
        <f>IF('[4]2026 január'!Y10=0,
    "",
    '[4]2026 január'!Y10
)</f>
        <v>214949</v>
      </c>
      <c r="AC11" s="41" t="str">
        <f>IF('[4]2026 január'!Z10=0,
    "",
    '[4]2026 január'!Z10
)</f>
        <v>Tesco</v>
      </c>
      <c r="AD11" s="41" t="str">
        <f>IF('[4]2026 január'!AA10=0,
    "",
    '[4]2026 január'!AA10
)</f>
        <v/>
      </c>
      <c r="AE11" s="41" t="str">
        <f>IF('[4]2026 január'!AB10=0,
    "",
    '[4]2026 január'!AB10
)</f>
        <v/>
      </c>
      <c r="AF11" s="41" t="str">
        <f>IF('[4]2026 január'!AC10=0,
    "",
    '[4]2026 január'!AC10
)</f>
        <v/>
      </c>
      <c r="AG11" s="41" t="str">
        <f>IF('[4]2026 január'!AD10=0,
    "",
    '[4]2026 január'!AD10
)</f>
        <v/>
      </c>
      <c r="AH11" s="41" t="str">
        <f>IF('[4]2026 január'!AE10=0,
    "",
    '[4]2026 január'!AE10
)</f>
        <v/>
      </c>
      <c r="AI11" s="41" t="str">
        <f>IF('[4]2026 január'!AF10=0,
    "",
    '[4]2026 január'!AF10
)</f>
        <v/>
      </c>
      <c r="AJ11" s="41" t="str">
        <f>IF('[4]2026 január'!AG10=0,
    "",
    '[4]2026 január'!AG10
)</f>
        <v/>
      </c>
      <c r="AK11" s="41" t="str">
        <f>IF('[4]2026 január'!AH10=0,
    "",
    '[4]2026 január'!AH10
)</f>
        <v/>
      </c>
    </row>
    <row r="12" spans="1:38">
      <c r="A12" s="141">
        <v>46032</v>
      </c>
      <c r="B12" s="142">
        <v>94150</v>
      </c>
      <c r="C12" s="142">
        <v>50</v>
      </c>
      <c r="D12" s="142">
        <v>86060</v>
      </c>
      <c r="E12" s="142"/>
      <c r="F12" s="142">
        <v>340</v>
      </c>
      <c r="G12" s="142"/>
      <c r="H12" s="142">
        <v>86450</v>
      </c>
      <c r="I12" s="142">
        <v>86450</v>
      </c>
      <c r="J12" s="198">
        <v>532</v>
      </c>
      <c r="K12" s="142">
        <v>128538017</v>
      </c>
      <c r="L12" s="142"/>
      <c r="M12" s="142"/>
      <c r="N12" s="142"/>
      <c r="O12" s="41"/>
      <c r="P12" s="41">
        <f>IF('[4]2026 január'!B$11=0,
    "",
    '[4]2026 január'!B$11
)</f>
        <v>94150</v>
      </c>
      <c r="Q12" s="41">
        <f>IF(OR('[4]2026 január'!G11=0,
       ISBLANK('[4]2026 január'!G11)),
    "",
    '[4]2026 január'!G11
)</f>
        <v>94150</v>
      </c>
      <c r="R12" s="41">
        <f>'[4]2026 január'!W11</f>
        <v>0</v>
      </c>
      <c r="S12" s="41"/>
      <c r="T12" s="41"/>
      <c r="U12" s="4"/>
      <c r="V12" s="41">
        <f>IF('[4]2026 január'!S11=0,
    "",
    '[4]2026 január'!S11
)</f>
        <v>214949</v>
      </c>
      <c r="W12" s="41">
        <f>IF('[4]2026 január'!T11=0,
    "",
    '[4]2026 január'!T11
)</f>
        <v>7700</v>
      </c>
      <c r="X12" s="41" t="str">
        <f>IF('[4]2026 január'!U11=0,
    "",
    '[4]2026 január'!U11
)</f>
        <v/>
      </c>
      <c r="Y12" s="41" t="str">
        <f>IF('[4]2026 január'!V11=0,
    "",
    '[4]2026 január'!V11
)</f>
        <v/>
      </c>
      <c r="Z12" s="41" t="str">
        <f>IF('[4]2026 január'!W11=0,
    "",
    '[4]2026 január'!W11
)</f>
        <v/>
      </c>
      <c r="AA12" s="41" t="str">
        <f>IF('[4]2026 január'!X11=0,
    "",
    '[4]2026 január'!X11
)</f>
        <v/>
      </c>
      <c r="AB12" s="41">
        <f>IF('[4]2026 január'!Y11=0,
    "",
    '[4]2026 január'!Y11
)</f>
        <v>222649</v>
      </c>
      <c r="AC12" s="41" t="str">
        <f>IF('[4]2026 január'!Z11=0,
    "",
    '[4]2026 január'!Z11
)</f>
        <v/>
      </c>
      <c r="AD12" s="41" t="str">
        <f>IF('[4]2026 január'!AA11=0,
    "",
    '[4]2026 január'!AA11
)</f>
        <v/>
      </c>
      <c r="AE12" s="41" t="str">
        <f>IF('[4]2026 január'!AB11=0,
    "",
    '[4]2026 január'!AB11
)</f>
        <v/>
      </c>
      <c r="AF12" s="41" t="str">
        <f>IF('[4]2026 január'!AC11=0,
    "",
    '[4]2026 január'!AC11
)</f>
        <v/>
      </c>
      <c r="AG12" s="41" t="str">
        <f>IF('[4]2026 január'!AD11=0,
    "",
    '[4]2026 január'!AD11
)</f>
        <v/>
      </c>
      <c r="AH12" s="41" t="str">
        <f>IF('[4]2026 január'!AE11=0,
    "",
    '[4]2026 január'!AE11
)</f>
        <v/>
      </c>
      <c r="AI12" s="41" t="str">
        <f>IF('[4]2026 január'!AF11=0,
    "",
    '[4]2026 január'!AF11
)</f>
        <v/>
      </c>
      <c r="AJ12" s="41" t="str">
        <f>IF('[4]2026 január'!AG11=0,
    "",
    '[4]2026 január'!AG11
)</f>
        <v/>
      </c>
      <c r="AK12" s="41" t="str">
        <f>IF('[4]2026 január'!AH11=0,
    "",
    '[4]2026 január'!AH11
)</f>
        <v/>
      </c>
    </row>
    <row r="13" spans="1:38">
      <c r="A13" s="141">
        <v>46033</v>
      </c>
      <c r="B13" s="142"/>
      <c r="C13" s="142"/>
      <c r="D13" s="142"/>
      <c r="E13" s="142"/>
      <c r="F13" s="142"/>
      <c r="G13" s="142"/>
      <c r="H13" s="142"/>
      <c r="I13" s="142"/>
      <c r="J13" s="198"/>
      <c r="K13" s="146"/>
      <c r="L13" s="146"/>
      <c r="M13" s="151"/>
      <c r="N13" s="153"/>
      <c r="O13" s="41"/>
      <c r="P13" s="41" t="str">
        <f>IF('[4]2026 január'!B$12=0,
    "",
    '[4]2026 január'!B$12
)</f>
        <v/>
      </c>
      <c r="Q13" s="41" t="str">
        <f>IF(OR('[4]2026 január'!G12=0,
       ISBLANK('[4]2026 január'!G12)),
    "",
    '[4]2026 január'!G12
)</f>
        <v/>
      </c>
      <c r="R13" s="41">
        <f>'[4]2026 január'!W12</f>
        <v>0</v>
      </c>
      <c r="S13" s="41"/>
      <c r="T13" s="41"/>
      <c r="U13" s="4"/>
      <c r="V13" s="41">
        <f>IF('[4]2026 január'!S12=0,
    "",
    '[4]2026 január'!S12
)</f>
        <v>222649</v>
      </c>
      <c r="W13" s="41" t="str">
        <f>IF('[4]2026 január'!T12=0,
    "",
    '[4]2026 január'!T12
)</f>
        <v/>
      </c>
      <c r="X13" s="41" t="str">
        <f>IF('[4]2026 január'!U12=0,
    "",
    '[4]2026 január'!U12
)</f>
        <v/>
      </c>
      <c r="Y13" s="41" t="str">
        <f>IF('[4]2026 január'!V12=0,
    "",
    '[4]2026 január'!V12
)</f>
        <v/>
      </c>
      <c r="Z13" s="41" t="str">
        <f>IF('[4]2026 január'!W12=0,
    "",
    '[4]2026 január'!W12
)</f>
        <v/>
      </c>
      <c r="AA13" s="41" t="str">
        <f>IF('[4]2026 január'!X12=0,
    "",
    '[4]2026 január'!X12
)</f>
        <v/>
      </c>
      <c r="AB13" s="41">
        <f>IF('[4]2026 január'!Y12=0,
    "",
    '[4]2026 január'!Y12
)</f>
        <v>222649</v>
      </c>
      <c r="AC13" s="41" t="str">
        <f>IF('[4]2026 január'!Z12=0,
    "",
    '[4]2026 január'!Z12
)</f>
        <v/>
      </c>
      <c r="AD13" s="41" t="str">
        <f>IF('[4]2026 január'!AA12=0,
    "",
    '[4]2026 január'!AA12
)</f>
        <v/>
      </c>
      <c r="AE13" s="41" t="str">
        <f>IF('[4]2026 január'!AB12=0,
    "",
    '[4]2026 január'!AB12
)</f>
        <v/>
      </c>
      <c r="AF13" s="41" t="str">
        <f>IF('[4]2026 január'!AC12=0,
    "",
    '[4]2026 január'!AC12
)</f>
        <v/>
      </c>
      <c r="AG13" s="41" t="str">
        <f>IF('[4]2026 január'!AD12=0,
    "",
    '[4]2026 január'!AD12
)</f>
        <v/>
      </c>
      <c r="AH13" s="41" t="str">
        <f>IF('[4]2026 január'!AE12=0,
    "",
    '[4]2026 január'!AE12
)</f>
        <v/>
      </c>
      <c r="AI13" s="41" t="str">
        <f>IF('[4]2026 január'!AF12=0,
    "",
    '[4]2026 január'!AF12
)</f>
        <v/>
      </c>
      <c r="AJ13" s="41" t="str">
        <f>IF('[4]2026 január'!AG12=0,
    "",
    '[4]2026 január'!AG12
)</f>
        <v/>
      </c>
      <c r="AK13" s="41" t="str">
        <f>IF('[4]2026 január'!AH12=0,
    "",
    '[4]2026 január'!AH12
)</f>
        <v/>
      </c>
    </row>
    <row r="14" spans="1:38">
      <c r="A14" s="5">
        <v>46034</v>
      </c>
      <c r="B14" s="11">
        <v>370915</v>
      </c>
      <c r="C14" s="11">
        <v>200</v>
      </c>
      <c r="D14" s="11">
        <v>345405</v>
      </c>
      <c r="E14" s="11"/>
      <c r="F14" s="11">
        <v>10390</v>
      </c>
      <c r="G14" s="11"/>
      <c r="H14" s="11">
        <v>355995</v>
      </c>
      <c r="I14" s="11">
        <v>355995</v>
      </c>
      <c r="J14" s="33">
        <v>533</v>
      </c>
      <c r="K14" s="72">
        <v>128894012</v>
      </c>
      <c r="L14" s="72"/>
      <c r="M14" s="152"/>
      <c r="N14" s="148"/>
      <c r="O14" s="41"/>
      <c r="P14" s="41">
        <f>IF('[4]2026 január'!B$13=0,
    "",
    '[4]2026 január'!B$13
)</f>
        <v>356155</v>
      </c>
      <c r="Q14" s="41">
        <f>IF(OR('[4]2026 január'!G13=0,
       ISBLANK('[4]2026 január'!G13)),
    "",
    '[4]2026 január'!G13
)</f>
        <v>356155</v>
      </c>
      <c r="R14" s="41">
        <f>'[4]2026 január'!W13</f>
        <v>0</v>
      </c>
      <c r="S14" s="41"/>
      <c r="T14" s="41"/>
      <c r="U14" s="4"/>
      <c r="V14" s="41">
        <f>IF('[4]2026 január'!S13=0,
    "",
    '[4]2026 január'!S13
)</f>
        <v>222649</v>
      </c>
      <c r="W14" s="41">
        <f>IF('[4]2026 január'!T13=0,
    "",
    '[4]2026 január'!T13
)</f>
        <v>160</v>
      </c>
      <c r="X14" s="41" t="str">
        <f>IF('[4]2026 január'!U13=0,
    "",
    '[4]2026 január'!U13
)</f>
        <v/>
      </c>
      <c r="Y14" s="41" t="str">
        <f>IF('[4]2026 január'!V13=0,
    "",
    '[4]2026 január'!V13
)</f>
        <v/>
      </c>
      <c r="Z14" s="41" t="str">
        <f>IF('[4]2026 január'!W13=0,
    "",
    '[4]2026 január'!W13
)</f>
        <v/>
      </c>
      <c r="AA14" s="41" t="str">
        <f>IF('[4]2026 január'!X13=0,
    "",
    '[4]2026 január'!X13
)</f>
        <v/>
      </c>
      <c r="AB14" s="41">
        <f>IF('[4]2026 január'!Y13=0,
    "",
    '[4]2026 január'!Y13
)</f>
        <v>222809</v>
      </c>
      <c r="AC14" s="41" t="str">
        <f>IF('[4]2026 január'!Z13=0,
    "",
    '[4]2026 január'!Z13
)</f>
        <v/>
      </c>
      <c r="AD14" s="41" t="str">
        <f>IF('[4]2026 január'!AA13=0,
    "",
    '[4]2026 január'!AA13
)</f>
        <v/>
      </c>
      <c r="AE14" s="41" t="str">
        <f>IF('[4]2026 január'!AB13=0,
    "",
    '[4]2026 január'!AB13
)</f>
        <v/>
      </c>
      <c r="AF14" s="41" t="str">
        <f>IF('[4]2026 január'!AC13=0,
    "",
    '[4]2026 január'!AC13
)</f>
        <v/>
      </c>
      <c r="AG14" s="41" t="str">
        <f>IF('[4]2026 január'!AD13=0,
    "",
    '[4]2026 január'!AD13
)</f>
        <v/>
      </c>
      <c r="AH14" s="41" t="str">
        <f>IF('[4]2026 január'!AE13=0,
    "",
    '[4]2026 január'!AE13
)</f>
        <v/>
      </c>
      <c r="AI14" s="41" t="str">
        <f>IF('[4]2026 január'!AF13=0,
    "",
    '[4]2026 január'!AF13
)</f>
        <v/>
      </c>
      <c r="AJ14" s="41" t="str">
        <f>IF('[4]2026 január'!AG13=0,
    "",
    '[4]2026 január'!AG13
)</f>
        <v/>
      </c>
      <c r="AK14" s="41" t="str">
        <f>IF('[4]2026 január'!AH13=0,
    "",
    '[4]2026 január'!AH13
)</f>
        <v/>
      </c>
    </row>
    <row r="15" spans="1:38">
      <c r="A15" s="5">
        <v>46035</v>
      </c>
      <c r="B15" s="11">
        <v>481580</v>
      </c>
      <c r="C15" s="11">
        <v>250</v>
      </c>
      <c r="D15" s="11">
        <v>399360</v>
      </c>
      <c r="E15" s="11"/>
      <c r="F15" s="11">
        <v>10790</v>
      </c>
      <c r="G15" s="11">
        <v>350</v>
      </c>
      <c r="H15" s="11">
        <v>410050</v>
      </c>
      <c r="I15" s="11">
        <v>410050</v>
      </c>
      <c r="J15" s="33">
        <v>534</v>
      </c>
      <c r="K15" s="72">
        <v>129304412</v>
      </c>
      <c r="L15" s="72"/>
      <c r="M15" s="152"/>
      <c r="N15" s="148"/>
      <c r="O15" s="41"/>
      <c r="P15" s="41">
        <f>IF('[4]2026 január'!B$14=0,
    "",
    '[4]2026 január'!B$14
)</f>
        <v>411640</v>
      </c>
      <c r="Q15" s="41">
        <f>IF(OR('[4]2026 január'!G14=0,
       ISBLANK('[4]2026 január'!G14)),
    "",
    '[4]2026 január'!G14
)</f>
        <v>411640</v>
      </c>
      <c r="R15" s="41">
        <f>'[4]2026 január'!W14</f>
        <v>0</v>
      </c>
      <c r="S15" s="41"/>
      <c r="T15" s="41"/>
      <c r="U15" s="4"/>
      <c r="V15" s="41">
        <f>IF('[4]2026 január'!S14=0,
    "",
    '[4]2026 január'!S14
)</f>
        <v>222809</v>
      </c>
      <c r="W15" s="41">
        <f>IF('[4]2026 január'!T14=0,
    "",
    '[4]2026 január'!T14
)</f>
        <v>1590</v>
      </c>
      <c r="X15" s="41" t="str">
        <f>IF('[4]2026 január'!U14=0,
    "",
    '[4]2026 január'!U14
)</f>
        <v/>
      </c>
      <c r="Y15" s="41" t="str">
        <f>IF('[4]2026 január'!V14=0,
    "",
    '[4]2026 január'!V14
)</f>
        <v/>
      </c>
      <c r="Z15" s="41" t="str">
        <f>IF('[4]2026 január'!W14=0,
    "",
    '[4]2026 január'!W14
)</f>
        <v/>
      </c>
      <c r="AA15" s="41" t="str">
        <f>IF('[4]2026 január'!X14=0,
    "",
    '[4]2026 január'!X14
)</f>
        <v/>
      </c>
      <c r="AB15" s="41">
        <f>IF('[4]2026 január'!Y14=0,
    "",
    '[4]2026 január'!Y14
)</f>
        <v>224399</v>
      </c>
      <c r="AC15" s="41" t="str">
        <f>IF('[4]2026 január'!Z14=0,
    "",
    '[4]2026 január'!Z14
)</f>
        <v/>
      </c>
      <c r="AD15" s="41" t="str">
        <f>IF('[4]2026 január'!AA14=0,
    "",
    '[4]2026 január'!AA14
)</f>
        <v/>
      </c>
      <c r="AE15" s="41" t="str">
        <f>IF('[4]2026 január'!AB14=0,
    "",
    '[4]2026 január'!AB14
)</f>
        <v/>
      </c>
      <c r="AF15" s="41" t="str">
        <f>IF('[4]2026 január'!AC14=0,
    "",
    '[4]2026 január'!AC14
)</f>
        <v/>
      </c>
      <c r="AG15" s="41" t="str">
        <f>IF('[4]2026 január'!AD14=0,
    "",
    '[4]2026 január'!AD14
)</f>
        <v/>
      </c>
      <c r="AH15" s="41" t="str">
        <f>IF('[4]2026 január'!AE14=0,
    "",
    '[4]2026 január'!AE14
)</f>
        <v/>
      </c>
      <c r="AI15" s="41" t="str">
        <f>IF('[4]2026 január'!AF14=0,
    "",
    '[4]2026 január'!AF14
)</f>
        <v/>
      </c>
      <c r="AJ15" s="41" t="str">
        <f>IF('[4]2026 január'!AG14=0,
    "",
    '[4]2026 január'!AG14
)</f>
        <v/>
      </c>
      <c r="AK15" s="41" t="str">
        <f>IF('[4]2026 január'!AH14=0,
    "",
    '[4]2026 január'!AH14
)</f>
        <v/>
      </c>
    </row>
    <row r="16" spans="1:38">
      <c r="A16" s="5">
        <v>46036</v>
      </c>
      <c r="B16" s="11">
        <v>535715</v>
      </c>
      <c r="C16" s="11">
        <v>250</v>
      </c>
      <c r="D16" s="11">
        <v>420290</v>
      </c>
      <c r="E16" s="11"/>
      <c r="F16" s="11">
        <v>13585</v>
      </c>
      <c r="G16" s="11"/>
      <c r="H16" s="11">
        <v>434125</v>
      </c>
      <c r="I16" s="11">
        <v>434125</v>
      </c>
      <c r="J16" s="33">
        <v>535</v>
      </c>
      <c r="K16" s="72">
        <v>129738537</v>
      </c>
      <c r="L16" s="72"/>
      <c r="M16" s="152"/>
      <c r="N16" s="148"/>
      <c r="O16" s="41"/>
      <c r="P16" s="41">
        <f>IF('[4]2026 január'!B$15=0,
    "",
    '[4]2026 január'!B$15
)</f>
        <v>436835</v>
      </c>
      <c r="Q16" s="41">
        <f>IF(OR('[4]2026 január'!G15=0,
       ISBLANK('[4]2026 január'!G15)),
    "",
    '[4]2026 január'!G15
)</f>
        <v>436835</v>
      </c>
      <c r="R16" s="41">
        <f>'[4]2026 január'!W15</f>
        <v>0</v>
      </c>
      <c r="S16" s="41"/>
      <c r="T16" s="41"/>
      <c r="U16" s="4"/>
      <c r="V16" s="41">
        <f>IF('[4]2026 január'!S15=0,
    "",
    '[4]2026 január'!S15
)</f>
        <v>224399</v>
      </c>
      <c r="W16" s="41">
        <f>IF('[4]2026 január'!T15=0,
    "",
    '[4]2026 január'!T15
)</f>
        <v>2710</v>
      </c>
      <c r="X16" s="41" t="str">
        <f>IF('[4]2026 január'!U15=0,
    "",
    '[4]2026 január'!U15
)</f>
        <v/>
      </c>
      <c r="Y16" s="41">
        <f>IF('[4]2026 január'!V15=0,
    "",
    '[4]2026 január'!V15
)</f>
        <v>9059</v>
      </c>
      <c r="Z16" s="41" t="str">
        <f>IF('[4]2026 január'!W15=0,
    "",
    '[4]2026 január'!W15
)</f>
        <v/>
      </c>
      <c r="AA16" s="41" t="str">
        <f>IF('[4]2026 január'!X15=0,
    "",
    '[4]2026 január'!X15
)</f>
        <v/>
      </c>
      <c r="AB16" s="41">
        <f>IF('[4]2026 január'!Y15=0,
    "",
    '[4]2026 január'!Y15
)</f>
        <v>218050</v>
      </c>
      <c r="AC16" s="41" t="str">
        <f>IF('[4]2026 január'!Z15=0,
    "",
    '[4]2026 január'!Z15
)</f>
        <v>Tesco</v>
      </c>
      <c r="AD16" s="41" t="str">
        <f>IF('[4]2026 január'!AA15=0,
    "",
    '[4]2026 január'!AA15
)</f>
        <v/>
      </c>
      <c r="AE16" s="41" t="str">
        <f>IF('[4]2026 január'!AB15=0,
    "",
    '[4]2026 január'!AB15
)</f>
        <v/>
      </c>
      <c r="AF16" s="41" t="str">
        <f>IF('[4]2026 január'!AC15=0,
    "",
    '[4]2026 január'!AC15
)</f>
        <v/>
      </c>
      <c r="AG16" s="41" t="str">
        <f>IF('[4]2026 január'!AD15=0,
    "",
    '[4]2026 január'!AD15
)</f>
        <v/>
      </c>
      <c r="AH16" s="41" t="str">
        <f>IF('[4]2026 január'!AE15=0,
    "",
    '[4]2026 január'!AE15
)</f>
        <v/>
      </c>
      <c r="AI16" s="41" t="str">
        <f>IF('[4]2026 január'!AF15=0,
    "",
    '[4]2026 január'!AF15
)</f>
        <v/>
      </c>
      <c r="AJ16" s="41" t="str">
        <f>IF('[4]2026 január'!AG15=0,
    "",
    '[4]2026 január'!AG15
)</f>
        <v/>
      </c>
      <c r="AK16" s="41" t="str">
        <f>IF('[4]2026 január'!AH15=0,
    "",
    '[4]2026 január'!AH15
)</f>
        <v/>
      </c>
    </row>
    <row r="17" spans="1:37">
      <c r="A17" s="5">
        <v>46037</v>
      </c>
      <c r="B17" s="11">
        <v>483765</v>
      </c>
      <c r="C17" s="11">
        <v>50</v>
      </c>
      <c r="D17" s="11">
        <v>365895</v>
      </c>
      <c r="E17" s="11"/>
      <c r="F17" s="11">
        <v>8315</v>
      </c>
      <c r="G17" s="11"/>
      <c r="H17" s="11">
        <v>374260</v>
      </c>
      <c r="I17" s="11">
        <v>374260</v>
      </c>
      <c r="J17" s="33">
        <v>536</v>
      </c>
      <c r="K17" s="72">
        <v>130112797</v>
      </c>
      <c r="L17" s="72"/>
      <c r="M17" s="152"/>
      <c r="N17" s="148"/>
      <c r="O17" s="41"/>
      <c r="P17" s="41">
        <f>IF('[4]2026 január'!B$16=0,
    "",
    '[4]2026 január'!B$16
)</f>
        <v>375275</v>
      </c>
      <c r="Q17" s="41">
        <f>IF(OR('[4]2026 január'!G16=0,
       ISBLANK('[4]2026 január'!G16)),
    "",
    '[4]2026 január'!G16
)</f>
        <v>375275</v>
      </c>
      <c r="R17" s="41">
        <f>'[4]2026 január'!W16</f>
        <v>0</v>
      </c>
      <c r="S17" s="41"/>
      <c r="T17" s="41"/>
      <c r="U17" s="4"/>
      <c r="V17" s="41">
        <f>IF('[4]2026 január'!S16=0,
    "",
    '[4]2026 január'!S16
)</f>
        <v>218050</v>
      </c>
      <c r="W17" s="41">
        <f>IF('[4]2026 január'!T16=0,
    "",
    '[4]2026 január'!T16
)</f>
        <v>1015</v>
      </c>
      <c r="X17" s="41" t="str">
        <f>IF('[4]2026 január'!U16=0,
    "",
    '[4]2026 január'!U16
)</f>
        <v/>
      </c>
      <c r="Y17" s="41">
        <f>IF('[4]2026 január'!V16=0,
    "",
    '[4]2026 január'!V16
)</f>
        <v>3826</v>
      </c>
      <c r="Z17" s="41" t="str">
        <f>IF('[4]2026 január'!W16=0,
    "",
    '[4]2026 január'!W16
)</f>
        <v/>
      </c>
      <c r="AA17" s="41" t="str">
        <f>IF('[4]2026 január'!X16=0,
    "",
    '[4]2026 január'!X16
)</f>
        <v/>
      </c>
      <c r="AB17" s="41">
        <f>IF('[4]2026 január'!Y16=0,
    "",
    '[4]2026 január'!Y16
)</f>
        <v>215239</v>
      </c>
      <c r="AC17" s="41" t="str">
        <f>IF('[4]2026 január'!Z16=0,
    "",
    '[4]2026 január'!Z16
)</f>
        <v>Tesco</v>
      </c>
      <c r="AD17" s="41" t="str">
        <f>IF('[4]2026 január'!AA16=0,
    "",
    '[4]2026 január'!AA16
)</f>
        <v/>
      </c>
      <c r="AE17" s="41" t="str">
        <f>IF('[4]2026 január'!AB16=0,
    "",
    '[4]2026 január'!AB16
)</f>
        <v/>
      </c>
      <c r="AF17" s="41" t="str">
        <f>IF('[4]2026 január'!AC16=0,
    "",
    '[4]2026 január'!AC16
)</f>
        <v/>
      </c>
      <c r="AG17" s="41" t="str">
        <f>IF('[4]2026 január'!AD16=0,
    "",
    '[4]2026 január'!AD16
)</f>
        <v/>
      </c>
      <c r="AH17" s="41" t="str">
        <f>IF('[4]2026 január'!AE16=0,
    "",
    '[4]2026 január'!AE16
)</f>
        <v/>
      </c>
      <c r="AI17" s="41" t="str">
        <f>IF('[4]2026 január'!AF16=0,
    "",
    '[4]2026 január'!AF16
)</f>
        <v/>
      </c>
      <c r="AJ17" s="41" t="str">
        <f>IF('[4]2026 január'!AG16=0,
    "",
    '[4]2026 január'!AG16
)</f>
        <v/>
      </c>
      <c r="AK17" s="41" t="str">
        <f>IF('[4]2026 január'!AH16=0,
    "",
    '[4]2026 január'!AH16
)</f>
        <v/>
      </c>
    </row>
    <row r="18" spans="1:37">
      <c r="A18" s="5">
        <v>46038</v>
      </c>
      <c r="B18" s="11">
        <v>326580</v>
      </c>
      <c r="C18" s="11">
        <v>100</v>
      </c>
      <c r="D18" s="11">
        <v>311260</v>
      </c>
      <c r="E18" s="11"/>
      <c r="F18" s="11">
        <v>12535</v>
      </c>
      <c r="G18" s="11"/>
      <c r="H18" s="11">
        <v>323895</v>
      </c>
      <c r="I18" s="11">
        <v>323895</v>
      </c>
      <c r="J18" s="33">
        <v>537</v>
      </c>
      <c r="K18" s="72">
        <v>130436692</v>
      </c>
      <c r="L18" s="72"/>
      <c r="M18" s="152"/>
      <c r="N18" s="148"/>
      <c r="O18" s="41"/>
      <c r="P18" s="41">
        <f>IF('[4]2026 január'!B$17=0,
    "",
    '[4]2026 január'!B$17
)</f>
        <v>326580</v>
      </c>
      <c r="Q18" s="41">
        <f>IF(OR('[4]2026 január'!G17=0,
       ISBLANK('[4]2026 január'!G17)),
    "",
    '[4]2026 január'!G17
)</f>
        <v>326580</v>
      </c>
      <c r="R18" s="41">
        <f>'[4]2026 január'!W17</f>
        <v>0</v>
      </c>
      <c r="S18" s="41"/>
      <c r="T18" s="41"/>
      <c r="U18" s="4"/>
      <c r="V18" s="41">
        <f>IF('[4]2026 január'!S17=0,
    "",
    '[4]2026 január'!S17
)</f>
        <v>215239</v>
      </c>
      <c r="W18" s="41">
        <f>IF('[4]2026 január'!T17=0,
    "",
    '[4]2026 január'!T17
)</f>
        <v>2685</v>
      </c>
      <c r="X18" s="41" t="str">
        <f>IF('[4]2026 január'!U17=0,
    "",
    '[4]2026 január'!U17
)</f>
        <v/>
      </c>
      <c r="Y18" s="41" t="str">
        <f>IF('[4]2026 január'!V17=0,
    "",
    '[4]2026 január'!V17
)</f>
        <v/>
      </c>
      <c r="Z18" s="41" t="str">
        <f>IF('[4]2026 január'!W17=0,
    "",
    '[4]2026 január'!W17
)</f>
        <v/>
      </c>
      <c r="AA18" s="41" t="str">
        <f>IF('[4]2026 január'!X17=0,
    "",
    '[4]2026 január'!X17
)</f>
        <v/>
      </c>
      <c r="AB18" s="41">
        <f>IF('[4]2026 január'!Y17=0,
    "",
    '[4]2026 január'!Y17
)</f>
        <v>217924</v>
      </c>
      <c r="AC18" s="41" t="str">
        <f>IF('[4]2026 január'!Z17=0,
    "",
    '[4]2026 január'!Z17
)</f>
        <v/>
      </c>
      <c r="AD18" s="41" t="str">
        <f>IF('[4]2026 január'!AA17=0,
    "",
    '[4]2026 január'!AA17
)</f>
        <v/>
      </c>
      <c r="AE18" s="41" t="str">
        <f>IF('[4]2026 január'!AB17=0,
    "",
    '[4]2026 január'!AB17
)</f>
        <v/>
      </c>
      <c r="AF18" s="41" t="str">
        <f>IF('[4]2026 január'!AC17=0,
    "",
    '[4]2026 január'!AC17
)</f>
        <v/>
      </c>
      <c r="AG18" s="41" t="str">
        <f>IF('[4]2026 január'!AD17=0,
    "",
    '[4]2026 január'!AD17
)</f>
        <v/>
      </c>
      <c r="AH18" s="41" t="str">
        <f>IF('[4]2026 január'!AE17=0,
    "",
    '[4]2026 január'!AE17
)</f>
        <v/>
      </c>
      <c r="AI18" s="41" t="str">
        <f>IF('[4]2026 január'!AF17=0,
    "",
    '[4]2026 január'!AF17
)</f>
        <v/>
      </c>
      <c r="AJ18" s="41" t="str">
        <f>IF('[4]2026 január'!AG17=0,
    "",
    '[4]2026 január'!AG17
)</f>
        <v/>
      </c>
      <c r="AK18" s="41" t="str">
        <f>IF('[4]2026 január'!AH17=0,
    "",
    '[4]2026 január'!AH17
)</f>
        <v/>
      </c>
    </row>
    <row r="19" spans="1:37">
      <c r="A19" s="141">
        <v>46039</v>
      </c>
      <c r="B19" s="142"/>
      <c r="C19" s="142"/>
      <c r="D19" s="142"/>
      <c r="E19" s="142"/>
      <c r="F19" s="142"/>
      <c r="G19" s="142"/>
      <c r="H19" s="142"/>
      <c r="I19" s="142"/>
      <c r="J19" s="198"/>
      <c r="K19" s="146"/>
      <c r="L19" s="146"/>
      <c r="M19" s="151"/>
      <c r="N19" s="153"/>
      <c r="O19" s="41"/>
      <c r="P19" s="41" t="str">
        <f>IF('[4]2026 január'!B$18=0,
    "",
    '[4]2026 január'!B$18
)</f>
        <v/>
      </c>
      <c r="Q19" s="41" t="str">
        <f>IF(OR('[4]2026 január'!G18=0,
       ISBLANK('[4]2026 január'!G18)),
    "",
    '[4]2026 január'!G18
)</f>
        <v/>
      </c>
      <c r="R19" s="41">
        <f>'[4]2026 január'!W18</f>
        <v>0</v>
      </c>
      <c r="S19" s="41"/>
      <c r="T19" s="41"/>
      <c r="U19" s="4"/>
      <c r="V19" s="41">
        <f>IF('[4]2026 január'!S18=0,
    "",
    '[4]2026 január'!S18
)</f>
        <v>217924</v>
      </c>
      <c r="W19" s="41" t="str">
        <f>IF('[4]2026 január'!T18=0,
    "",
    '[4]2026 január'!T18
)</f>
        <v/>
      </c>
      <c r="X19" s="41" t="str">
        <f>IF('[4]2026 január'!U18=0,
    "",
    '[4]2026 január'!U18
)</f>
        <v/>
      </c>
      <c r="Y19" s="41" t="str">
        <f>IF('[4]2026 január'!V18=0,
    "",
    '[4]2026 január'!V18
)</f>
        <v/>
      </c>
      <c r="Z19" s="41" t="str">
        <f>IF('[4]2026 január'!W18=0,
    "",
    '[4]2026 január'!W18
)</f>
        <v/>
      </c>
      <c r="AA19" s="41" t="str">
        <f>IF('[4]2026 január'!X18=0,
    "",
    '[4]2026 január'!X18
)</f>
        <v/>
      </c>
      <c r="AB19" s="41">
        <f>IF('[4]2026 január'!Y18=0,
    "",
    '[4]2026 január'!Y18
)</f>
        <v>217924</v>
      </c>
      <c r="AC19" s="41" t="str">
        <f>IF('[4]2026 január'!Z18=0,
    "",
    '[4]2026 január'!Z18
)</f>
        <v/>
      </c>
      <c r="AD19" s="41" t="str">
        <f>IF('[4]2026 január'!AA18=0,
    "",
    '[4]2026 január'!AA18
)</f>
        <v/>
      </c>
      <c r="AE19" s="41" t="str">
        <f>IF('[4]2026 január'!AB18=0,
    "",
    '[4]2026 január'!AB18
)</f>
        <v/>
      </c>
      <c r="AF19" s="41" t="str">
        <f>IF('[4]2026 január'!AC18=0,
    "",
    '[4]2026 január'!AC18
)</f>
        <v/>
      </c>
      <c r="AG19" s="41" t="str">
        <f>IF('[4]2026 január'!AD18=0,
    "",
    '[4]2026 január'!AD18
)</f>
        <v/>
      </c>
      <c r="AH19" s="41" t="str">
        <f>IF('[4]2026 január'!AE18=0,
    "",
    '[4]2026 január'!AE18
)</f>
        <v/>
      </c>
      <c r="AI19" s="41" t="str">
        <f>IF('[4]2026 január'!AF18=0,
    "",
    '[4]2026 január'!AF18
)</f>
        <v/>
      </c>
      <c r="AJ19" s="41" t="str">
        <f>IF('[4]2026 január'!AG18=0,
    "",
    '[4]2026 január'!AG18
)</f>
        <v/>
      </c>
      <c r="AK19" s="41" t="str">
        <f>IF('[4]2026 január'!AH18=0,
    "",
    '[4]2026 január'!AH18
)</f>
        <v/>
      </c>
    </row>
    <row r="20" spans="1:37">
      <c r="A20" s="141">
        <v>46040</v>
      </c>
      <c r="B20" s="142"/>
      <c r="C20" s="142"/>
      <c r="D20" s="142"/>
      <c r="E20" s="142"/>
      <c r="F20" s="142"/>
      <c r="G20" s="142"/>
      <c r="H20" s="142"/>
      <c r="I20" s="142"/>
      <c r="J20" s="198"/>
      <c r="K20" s="146"/>
      <c r="L20" s="146"/>
      <c r="M20" s="151"/>
      <c r="N20" s="153"/>
      <c r="O20" s="41"/>
      <c r="P20" s="41" t="str">
        <f>IF('[4]2026 január'!B$19=0,
    "",
    '[4]2026 január'!B$19
)</f>
        <v/>
      </c>
      <c r="Q20" s="41" t="str">
        <f>IF(OR('[4]2026 január'!G19=0,
       ISBLANK('[4]2026 január'!G19)),
    "",
    '[4]2026 január'!G19
)</f>
        <v/>
      </c>
      <c r="R20" s="41">
        <f>'[4]2026 január'!W19</f>
        <v>0</v>
      </c>
      <c r="S20" s="41"/>
      <c r="T20" s="41"/>
      <c r="U20" s="4"/>
      <c r="V20" s="41">
        <f>IF('[4]2026 január'!S19=0,
    "",
    '[4]2026 január'!S19
)</f>
        <v>217924</v>
      </c>
      <c r="W20" s="41" t="str">
        <f>IF('[4]2026 január'!T19=0,
    "",
    '[4]2026 január'!T19
)</f>
        <v/>
      </c>
      <c r="X20" s="41" t="str">
        <f>IF('[4]2026 január'!U19=0,
    "",
    '[4]2026 január'!U19
)</f>
        <v/>
      </c>
      <c r="Y20" s="41" t="str">
        <f>IF('[4]2026 január'!V19=0,
    "",
    '[4]2026 január'!V19
)</f>
        <v/>
      </c>
      <c r="Z20" s="41" t="str">
        <f>IF('[4]2026 január'!W19=0,
    "",
    '[4]2026 január'!W19
)</f>
        <v/>
      </c>
      <c r="AA20" s="41" t="str">
        <f>IF('[4]2026 január'!X19=0,
    "",
    '[4]2026 január'!X19
)</f>
        <v/>
      </c>
      <c r="AB20" s="41">
        <f>IF('[4]2026 január'!Y19=0,
    "",
    '[4]2026 január'!Y19
)</f>
        <v>217924</v>
      </c>
      <c r="AC20" s="41" t="str">
        <f>IF('[4]2026 január'!Z19=0,
    "",
    '[4]2026 január'!Z19
)</f>
        <v/>
      </c>
      <c r="AD20" s="41" t="str">
        <f>IF('[4]2026 január'!AA19=0,
    "",
    '[4]2026 január'!AA19
)</f>
        <v/>
      </c>
      <c r="AE20" s="41" t="str">
        <f>IF('[4]2026 január'!AB19=0,
    "",
    '[4]2026 január'!AB19
)</f>
        <v/>
      </c>
      <c r="AF20" s="41" t="str">
        <f>IF('[4]2026 január'!AC19=0,
    "",
    '[4]2026 január'!AC19
)</f>
        <v/>
      </c>
      <c r="AG20" s="41" t="str">
        <f>IF('[4]2026 január'!AD19=0,
    "",
    '[4]2026 január'!AD19
)</f>
        <v/>
      </c>
      <c r="AH20" s="41" t="str">
        <f>IF('[4]2026 január'!AE19=0,
    "",
    '[4]2026 január'!AE19
)</f>
        <v/>
      </c>
      <c r="AI20" s="41" t="str">
        <f>IF('[4]2026 január'!AF19=0,
    "",
    '[4]2026 január'!AF19
)</f>
        <v/>
      </c>
      <c r="AJ20" s="41" t="str">
        <f>IF('[4]2026 január'!AG19=0,
    "",
    '[4]2026 január'!AG19
)</f>
        <v/>
      </c>
      <c r="AK20" s="41" t="str">
        <f>IF('[4]2026 január'!AH19=0,
    "",
    '[4]2026 január'!AH19
)</f>
        <v/>
      </c>
    </row>
    <row r="21" spans="1:37">
      <c r="A21" s="5">
        <v>46041</v>
      </c>
      <c r="B21" s="11">
        <v>364185</v>
      </c>
      <c r="C21" s="11">
        <v>100</v>
      </c>
      <c r="D21" s="11">
        <v>346675</v>
      </c>
      <c r="E21" s="11"/>
      <c r="F21" s="11">
        <v>14040</v>
      </c>
      <c r="G21" s="11"/>
      <c r="H21" s="11">
        <v>360815</v>
      </c>
      <c r="I21" s="11">
        <v>360815</v>
      </c>
      <c r="J21" s="33">
        <v>538</v>
      </c>
      <c r="K21" s="72">
        <v>130797507</v>
      </c>
      <c r="L21" s="72"/>
      <c r="M21" s="152"/>
      <c r="N21" s="148"/>
      <c r="O21" s="41"/>
      <c r="P21" s="41">
        <f>IF('[4]2026 január'!B$20=0,
    "",
    '[4]2026 január'!B$20
)</f>
        <v>364185</v>
      </c>
      <c r="Q21" s="41">
        <f>IF(OR('[4]2026 január'!G20=0,
       ISBLANK('[4]2026 január'!G20)),
    "",
    '[4]2026 január'!G20
)</f>
        <v>364185</v>
      </c>
      <c r="R21" s="41">
        <f>'[4]2026 január'!W20</f>
        <v>0</v>
      </c>
      <c r="S21" s="41"/>
      <c r="T21" s="41"/>
      <c r="U21" s="4"/>
      <c r="V21" s="41">
        <f>IF('[4]2026 január'!S20=0,
    "",
    '[4]2026 január'!S20
)</f>
        <v>217924</v>
      </c>
      <c r="W21" s="41">
        <f>IF('[4]2026 január'!T20=0,
    "",
    '[4]2026 január'!T20
)</f>
        <v>3370</v>
      </c>
      <c r="X21" s="41" t="str">
        <f>IF('[4]2026 január'!U20=0,
    "",
    '[4]2026 január'!U20
)</f>
        <v/>
      </c>
      <c r="Y21" s="41" t="str">
        <f>IF('[4]2026 január'!V20=0,
    "",
    '[4]2026 január'!V20
)</f>
        <v/>
      </c>
      <c r="Z21" s="41" t="str">
        <f>IF('[4]2026 január'!W20=0,
    "",
    '[4]2026 január'!W20
)</f>
        <v/>
      </c>
      <c r="AA21" s="41" t="str">
        <f>IF('[4]2026 január'!X20=0,
    "",
    '[4]2026 január'!X20
)</f>
        <v/>
      </c>
      <c r="AB21" s="41">
        <f>IF('[4]2026 január'!Y20=0,
    "",
    '[4]2026 január'!Y20
)</f>
        <v>221294</v>
      </c>
      <c r="AC21" s="41" t="str">
        <f>IF('[4]2026 január'!Z20=0,
    "",
    '[4]2026 január'!Z20
)</f>
        <v/>
      </c>
      <c r="AD21" s="41" t="str">
        <f>IF('[4]2026 január'!AA20=0,
    "",
    '[4]2026 január'!AA20
)</f>
        <v/>
      </c>
      <c r="AE21" s="41" t="str">
        <f>IF('[4]2026 január'!AB20=0,
    "",
    '[4]2026 január'!AB20
)</f>
        <v/>
      </c>
      <c r="AF21" s="41" t="str">
        <f>IF('[4]2026 január'!AC20=0,
    "",
    '[4]2026 január'!AC20
)</f>
        <v/>
      </c>
      <c r="AG21" s="41" t="str">
        <f>IF('[4]2026 január'!AD20=0,
    "",
    '[4]2026 január'!AD20
)</f>
        <v/>
      </c>
      <c r="AH21" s="41" t="str">
        <f>IF('[4]2026 január'!AE20=0,
    "",
    '[4]2026 január'!AE20
)</f>
        <v/>
      </c>
      <c r="AI21" s="41" t="str">
        <f>IF('[4]2026 január'!AF20=0,
    "",
    '[4]2026 január'!AF20
)</f>
        <v/>
      </c>
      <c r="AJ21" s="41" t="str">
        <f>IF('[4]2026 január'!AG20=0,
    "",
    '[4]2026 január'!AG20
)</f>
        <v/>
      </c>
      <c r="AK21" s="41" t="str">
        <f>IF('[4]2026 január'!AH20=0,
    "",
    '[4]2026 január'!AH20
)</f>
        <v/>
      </c>
    </row>
    <row r="22" spans="1:37">
      <c r="A22" s="5">
        <v>46042</v>
      </c>
      <c r="B22" s="11">
        <v>427290</v>
      </c>
      <c r="C22" s="11">
        <v>350</v>
      </c>
      <c r="D22" s="11">
        <v>403520</v>
      </c>
      <c r="E22" s="11"/>
      <c r="F22" s="11">
        <v>12780</v>
      </c>
      <c r="G22" s="11"/>
      <c r="H22" s="11">
        <v>416650</v>
      </c>
      <c r="I22" s="11">
        <v>416650</v>
      </c>
      <c r="J22" s="33" t="s">
        <v>634</v>
      </c>
      <c r="K22" s="72">
        <v>131214157</v>
      </c>
      <c r="L22" s="72"/>
      <c r="M22" s="152"/>
      <c r="N22" s="148"/>
      <c r="O22" s="41"/>
      <c r="P22" s="41">
        <v>427290</v>
      </c>
      <c r="Q22" s="41">
        <f>IF(OR('[4]2026 január'!G21=0,
       ISBLANK('[4]2026 január'!G21)),
    "",
    '[4]2026 január'!G21
)</f>
        <v>427290</v>
      </c>
      <c r="R22" s="41">
        <f>'[4]2026 január'!W21</f>
        <v>0</v>
      </c>
      <c r="S22" s="41"/>
      <c r="T22" s="41"/>
      <c r="U22" s="4"/>
      <c r="V22" s="41">
        <f>IF('[4]2026 január'!S21=0,
    "",
    '[4]2026 január'!S21
)</f>
        <v>221294</v>
      </c>
      <c r="W22" s="41">
        <f>IF('[4]2026 január'!T21=0,
    "",
    '[4]2026 január'!T21
)</f>
        <v>10640</v>
      </c>
      <c r="X22" s="41" t="str">
        <f>IF('[4]2026 január'!U21=0,
    "",
    '[4]2026 január'!U21
)</f>
        <v/>
      </c>
      <c r="Y22" s="41">
        <f>IF('[4]2026 január'!V21=0,
    "",
    '[4]2026 január'!V21
)</f>
        <v>14000</v>
      </c>
      <c r="Z22" s="41" t="str">
        <f>IF('[4]2026 január'!W21=0,
    "",
    '[4]2026 január'!W21
)</f>
        <v/>
      </c>
      <c r="AA22" s="41" t="str">
        <f>IF('[4]2026 január'!X21=0,
    "",
    '[4]2026 január'!X21
)</f>
        <v/>
      </c>
      <c r="AB22" s="41">
        <f>IF('[4]2026 január'!Y21=0,
    "",
    '[4]2026 január'!Y21
)</f>
        <v>217934</v>
      </c>
      <c r="AC22" s="41" t="str">
        <f>IF('[4]2026 január'!Z21=0,
    "",
    '[4]2026 január'!Z21
)</f>
        <v>Lőrinczy Ágnes EFO</v>
      </c>
      <c r="AD22" s="41" t="str">
        <f>IF('[4]2026 január'!AA21=0,
    "",
    '[4]2026 január'!AA21
)</f>
        <v/>
      </c>
      <c r="AE22" s="41" t="str">
        <f>IF('[4]2026 január'!AB21=0,
    "",
    '[4]2026 január'!AB21
)</f>
        <v/>
      </c>
      <c r="AF22" s="41" t="str">
        <f>IF('[4]2026 január'!AC21=0,
    "",
    '[4]2026 január'!AC21
)</f>
        <v/>
      </c>
      <c r="AG22" s="41" t="str">
        <f>IF('[4]2026 január'!AD21=0,
    "",
    '[4]2026 január'!AD21
)</f>
        <v/>
      </c>
      <c r="AH22" s="41" t="str">
        <f>IF('[4]2026 január'!AE21=0,
    "",
    '[4]2026 január'!AE21
)</f>
        <v/>
      </c>
      <c r="AI22" s="41" t="str">
        <f>IF('[4]2026 január'!AF21=0,
    "",
    '[4]2026 január'!AF21
)</f>
        <v/>
      </c>
      <c r="AJ22" s="41" t="str">
        <f>IF('[4]2026 január'!AG21=0,
    "",
    '[4]2026 január'!AG21
)</f>
        <v/>
      </c>
      <c r="AK22" s="41" t="str">
        <f>IF('[4]2026 január'!AH21=0,
    "",
    '[4]2026 január'!AH21
)</f>
        <v/>
      </c>
    </row>
    <row r="23" spans="1:37">
      <c r="A23" s="5">
        <v>46043</v>
      </c>
      <c r="B23" s="11">
        <v>407055</v>
      </c>
      <c r="C23" s="11">
        <v>200</v>
      </c>
      <c r="D23" s="11">
        <v>385950</v>
      </c>
      <c r="E23" s="11"/>
      <c r="F23" s="11">
        <v>17785</v>
      </c>
      <c r="G23" s="11"/>
      <c r="H23" s="11">
        <v>403935</v>
      </c>
      <c r="I23" s="11">
        <v>403935</v>
      </c>
      <c r="J23" s="33" t="s">
        <v>635</v>
      </c>
      <c r="K23" s="72">
        <v>131618092</v>
      </c>
      <c r="L23" s="72"/>
      <c r="M23" s="152"/>
      <c r="N23" s="148"/>
      <c r="O23" s="41"/>
      <c r="P23" s="41">
        <v>407055</v>
      </c>
      <c r="Q23" s="41">
        <f>IF(OR('[4]2026 január'!G22=0,
       ISBLANK('[4]2026 január'!G22)),
    "",
    '[4]2026 január'!G22
)</f>
        <v>407055</v>
      </c>
      <c r="R23" s="41">
        <f>'[4]2026 január'!W22</f>
        <v>0</v>
      </c>
      <c r="S23" s="41"/>
      <c r="T23" s="41"/>
      <c r="U23" s="4"/>
      <c r="V23" s="41">
        <f>IF('[4]2026 január'!S22=0,
    "",
    '[4]2026 január'!S22
)</f>
        <v>217934</v>
      </c>
      <c r="W23" s="41">
        <f>IF('[4]2026 január'!T22=0,
    "",
    '[4]2026 január'!T22
)</f>
        <v>3120</v>
      </c>
      <c r="X23" s="41" t="str">
        <f>IF('[4]2026 január'!U22=0,
    "",
    '[4]2026 január'!U22
)</f>
        <v/>
      </c>
      <c r="Y23" s="41">
        <f>IF('[4]2026 január'!V22=0,
    "",
    '[4]2026 január'!V22
)</f>
        <v>28000</v>
      </c>
      <c r="Z23" s="41" t="str">
        <f>IF('[4]2026 január'!W22=0,
    "",
    '[4]2026 január'!W22
)</f>
        <v/>
      </c>
      <c r="AA23" s="41" t="str">
        <f>IF('[4]2026 január'!X22=0,
    "",
    '[4]2026 január'!X22
)</f>
        <v/>
      </c>
      <c r="AB23" s="41">
        <f>IF('[4]2026 január'!Y22=0,
    "",
    '[4]2026 január'!Y22
)</f>
        <v>193054</v>
      </c>
      <c r="AC23" s="41" t="str">
        <f>IF('[4]2026 január'!Z22=0,
    "",
    '[4]2026 január'!Z22
)</f>
        <v>Mányi Etelka EFO</v>
      </c>
      <c r="AD23" s="41" t="str">
        <f>IF('[4]2026 január'!AA22=0,
    "",
    '[4]2026 január'!AA22
)</f>
        <v>Pávolits Zsolt</v>
      </c>
      <c r="AE23" s="41" t="str">
        <f>IF('[4]2026 január'!AB22=0,
    "",
    '[4]2026 január'!AB22
)</f>
        <v/>
      </c>
      <c r="AF23" s="41" t="str">
        <f>IF('[4]2026 január'!AC22=0,
    "",
    '[4]2026 január'!AC22
)</f>
        <v/>
      </c>
      <c r="AG23" s="41" t="str">
        <f>IF('[4]2026 január'!AD22=0,
    "",
    '[4]2026 január'!AD22
)</f>
        <v/>
      </c>
      <c r="AH23" s="41" t="str">
        <f>IF('[4]2026 január'!AE22=0,
    "",
    '[4]2026 január'!AE22
)</f>
        <v/>
      </c>
      <c r="AI23" s="41" t="str">
        <f>IF('[4]2026 január'!AF22=0,
    "",
    '[4]2026 január'!AF22
)</f>
        <v/>
      </c>
      <c r="AJ23" s="41" t="str">
        <f>IF('[4]2026 január'!AG22=0,
    "",
    '[4]2026 január'!AG22
)</f>
        <v/>
      </c>
      <c r="AK23" s="41" t="str">
        <f>IF('[4]2026 január'!AH22=0,
    "",
    '[4]2026 január'!AH22
)</f>
        <v/>
      </c>
    </row>
    <row r="24" spans="1:37">
      <c r="A24" s="5">
        <v>46044</v>
      </c>
      <c r="B24" s="11">
        <v>448445</v>
      </c>
      <c r="C24" s="11">
        <v>150</v>
      </c>
      <c r="D24" s="11">
        <v>317985</v>
      </c>
      <c r="E24" s="11"/>
      <c r="F24" s="11">
        <v>7830</v>
      </c>
      <c r="G24" s="11"/>
      <c r="H24" s="75">
        <v>323875</v>
      </c>
      <c r="I24" s="75">
        <v>325965</v>
      </c>
      <c r="J24" s="33" t="s">
        <v>636</v>
      </c>
      <c r="K24" s="72">
        <v>131944057</v>
      </c>
      <c r="L24" s="72"/>
      <c r="M24" s="460">
        <v>2090</v>
      </c>
      <c r="N24" s="457" t="s">
        <v>300</v>
      </c>
      <c r="O24" s="41"/>
      <c r="P24" s="41">
        <v>448445</v>
      </c>
      <c r="Q24" s="41">
        <f>IF(OR('[4]2026 január'!G23=0,
       ISBLANK('[4]2026 január'!G23)),
    "",
    '[4]2026 január'!G23
)</f>
        <v>330805</v>
      </c>
      <c r="R24" s="41">
        <f>'[4]2026 január'!W23</f>
        <v>0</v>
      </c>
      <c r="S24" s="41"/>
      <c r="T24" s="41"/>
      <c r="U24" s="4"/>
      <c r="V24" s="41">
        <f>IF('[4]2026 január'!S23=0,
    "",
    '[4]2026 január'!S23
)</f>
        <v>193054</v>
      </c>
      <c r="W24" s="41">
        <f>IF('[4]2026 január'!T23=0,
    "",
    '[4]2026 január'!T23
)</f>
        <v>4840</v>
      </c>
      <c r="X24" s="41" t="str">
        <f>IF('[4]2026 január'!U23=0,
    "",
    '[4]2026 január'!U23
)</f>
        <v/>
      </c>
      <c r="Y24" s="41">
        <f>IF('[4]2026 január'!V23=0,
    "",
    '[4]2026 január'!V23
)</f>
        <v>32023</v>
      </c>
      <c r="Z24" s="41" t="str">
        <f>IF('[4]2026 január'!W23=0,
    "",
    '[4]2026 január'!W23
)</f>
        <v/>
      </c>
      <c r="AA24" s="41" t="str">
        <f>IF('[4]2026 január'!X23=0,
    "",
    '[4]2026 január'!X23
)</f>
        <v/>
      </c>
      <c r="AB24" s="41">
        <f>IF('[4]2026 január'!Y23=0,
    "",
    '[4]2026 január'!Y23
)</f>
        <v>165871</v>
      </c>
      <c r="AC24" s="41" t="str">
        <f>IF('[4]2026 január'!Z23=0,
    "",
    '[4]2026 január'!Z23
)</f>
        <v>Tesco</v>
      </c>
      <c r="AD24" s="41" t="str">
        <f>IF('[4]2026 január'!AA23=0,
    "",
    '[4]2026 január'!AA23
)</f>
        <v>Pávolits Zsolt</v>
      </c>
      <c r="AE24" s="41" t="str">
        <f>IF('[4]2026 január'!AB23=0,
    "",
    '[4]2026 január'!AB23
)</f>
        <v>Miski Györgyné</v>
      </c>
      <c r="AF24" s="41" t="str">
        <f>IF('[4]2026 január'!AC23=0,
    "",
    '[4]2026 január'!AC23
)</f>
        <v/>
      </c>
      <c r="AG24" s="41" t="str">
        <f>IF('[4]2026 január'!AD23=0,
    "",
    '[4]2026 január'!AD23
)</f>
        <v/>
      </c>
      <c r="AH24" s="41" t="str">
        <f>IF('[4]2026 január'!AE23=0,
    "",
    '[4]2026 január'!AE23
)</f>
        <v/>
      </c>
      <c r="AI24" s="41" t="str">
        <f>IF('[4]2026 január'!AF23=0,
    "",
    '[4]2026 január'!AF23
)</f>
        <v/>
      </c>
      <c r="AJ24" s="41" t="str">
        <f>IF('[4]2026 január'!AG23=0,
    "",
    '[4]2026 január'!AG23
)</f>
        <v/>
      </c>
      <c r="AK24" s="41" t="str">
        <f>IF('[4]2026 január'!AH23=0,
    "",
    '[4]2026 január'!AH23
)</f>
        <v/>
      </c>
    </row>
    <row r="25" spans="1:37">
      <c r="A25" s="5">
        <v>46045</v>
      </c>
      <c r="B25" s="11">
        <v>274745</v>
      </c>
      <c r="C25" s="11">
        <v>200</v>
      </c>
      <c r="D25" s="11">
        <v>268535</v>
      </c>
      <c r="E25" s="11"/>
      <c r="F25" s="11">
        <v>3560</v>
      </c>
      <c r="G25" s="11"/>
      <c r="H25" s="11">
        <v>272295</v>
      </c>
      <c r="I25" s="11">
        <v>272295</v>
      </c>
      <c r="J25" s="33" t="s">
        <v>637</v>
      </c>
      <c r="K25" s="72">
        <v>132216352</v>
      </c>
      <c r="L25" s="72"/>
      <c r="M25" s="152"/>
      <c r="N25" s="148"/>
      <c r="O25" s="41"/>
      <c r="P25" s="41">
        <v>275745</v>
      </c>
      <c r="Q25" s="41">
        <f>IF(OR('[4]2026 január'!G24=0,
       ISBLANK('[4]2026 január'!G24)),
    "",
    '[4]2026 január'!G24
)</f>
        <v>274745</v>
      </c>
      <c r="R25" s="41">
        <f>'[4]2026 január'!W24</f>
        <v>0</v>
      </c>
      <c r="S25" s="41"/>
      <c r="T25" s="41"/>
      <c r="U25" s="4"/>
      <c r="V25" s="41">
        <f>IF('[4]2026 január'!S24=0,
    "",
    '[4]2026 január'!S24
)</f>
        <v>165871</v>
      </c>
      <c r="W25" s="41">
        <f>IF('[4]2026 január'!T24=0,
    "",
    '[4]2026 január'!T24
)</f>
        <v>2450</v>
      </c>
      <c r="X25" s="41">
        <f>IF('[4]2026 január'!U24=0,
    "",
    '[4]2026 január'!U24
)</f>
        <v>3200</v>
      </c>
      <c r="Y25" s="41">
        <f>IF('[4]2026 január'!V24=0,
    "",
    '[4]2026 január'!V24
)</f>
        <v>14000</v>
      </c>
      <c r="Z25" s="41" t="str">
        <f>IF('[4]2026 január'!W24=0,
    "",
    '[4]2026 január'!W24
)</f>
        <v/>
      </c>
      <c r="AA25" s="41" t="str">
        <f>IF('[4]2026 január'!X24=0,
    "",
    '[4]2026 január'!X24
)</f>
        <v/>
      </c>
      <c r="AB25" s="41">
        <f>IF('[4]2026 január'!Y24=0,
    "",
    '[4]2026 január'!Y24
)</f>
        <v>157521</v>
      </c>
      <c r="AC25" s="41" t="str">
        <f>IF('[4]2026 január'!Z24=0,
    "",
    '[4]2026 január'!Z24
)</f>
        <v>Helit Móni</v>
      </c>
      <c r="AD25" s="41" t="str">
        <f>IF('[4]2026 január'!AA24=0,
    "",
    '[4]2026 január'!AA24
)</f>
        <v>Bodnár Józsefné</v>
      </c>
      <c r="AE25" s="41" t="str">
        <f>IF('[4]2026 január'!AB24=0,
    "",
    '[4]2026 január'!AB24
)</f>
        <v/>
      </c>
      <c r="AF25" s="41" t="str">
        <f>IF('[4]2026 január'!AC24=0,
    "",
    '[4]2026 január'!AC24
)</f>
        <v/>
      </c>
      <c r="AG25" s="41" t="str">
        <f>IF('[4]2026 január'!AD24=0,
    "",
    '[4]2026 január'!AD24
)</f>
        <v/>
      </c>
      <c r="AH25" s="41" t="str">
        <f>IF('[4]2026 január'!AE24=0,
    "",
    '[4]2026 január'!AE24
)</f>
        <v/>
      </c>
      <c r="AI25" s="41" t="str">
        <f>IF('[4]2026 január'!AF24=0,
    "",
    '[4]2026 január'!AF24
)</f>
        <v/>
      </c>
      <c r="AJ25" s="41" t="str">
        <f>IF('[4]2026 január'!AG24=0,
    "",
    '[4]2026 január'!AG24
)</f>
        <v/>
      </c>
      <c r="AK25" s="41" t="str">
        <f>IF('[4]2026 január'!AH24=0,
    "",
    '[4]2026 január'!AH24
)</f>
        <v/>
      </c>
    </row>
    <row r="26" spans="1:37">
      <c r="A26" s="141">
        <v>46046</v>
      </c>
      <c r="B26" s="142"/>
      <c r="C26" s="142"/>
      <c r="D26" s="142"/>
      <c r="E26" s="142"/>
      <c r="F26" s="142"/>
      <c r="G26" s="142"/>
      <c r="H26" s="142"/>
      <c r="I26" s="142"/>
      <c r="J26" s="198"/>
      <c r="K26" s="146"/>
      <c r="L26" s="146"/>
      <c r="M26" s="151"/>
      <c r="N26" s="153"/>
      <c r="O26" s="41"/>
      <c r="P26" s="41" t="str">
        <f>IF('[4]2026 január'!B$25=0,
    "",
    '[4]2026 január'!B$25
)</f>
        <v/>
      </c>
      <c r="Q26" s="41" t="str">
        <f>IF(OR('[4]2026 január'!G25=0,
       ISBLANK('[4]2026 január'!G25)),
    "",
    '[4]2026 január'!G25
)</f>
        <v/>
      </c>
      <c r="R26" s="41">
        <f>'[4]2026 január'!W25</f>
        <v>0</v>
      </c>
      <c r="S26" s="41"/>
      <c r="T26" s="41"/>
      <c r="U26" s="4"/>
      <c r="V26" s="41">
        <f>IF('[4]2026 január'!S25=0,
    "",
    '[4]2026 január'!S25
)</f>
        <v>157521</v>
      </c>
      <c r="W26" s="41" t="str">
        <f>IF('[4]2026 január'!T25=0,
    "",
    '[4]2026 január'!T25
)</f>
        <v/>
      </c>
      <c r="X26" s="41" t="str">
        <f>IF('[4]2026 január'!U25=0,
    "",
    '[4]2026 január'!U25
)</f>
        <v/>
      </c>
      <c r="Y26" s="41" t="str">
        <f>IF('[4]2026 január'!V25=0,
    "",
    '[4]2026 január'!V25
)</f>
        <v/>
      </c>
      <c r="Z26" s="41" t="str">
        <f>IF('[4]2026 január'!W25=0,
    "",
    '[4]2026 január'!W25
)</f>
        <v/>
      </c>
      <c r="AA26" s="41" t="str">
        <f>IF('[4]2026 január'!X25=0,
    "",
    '[4]2026 január'!X25
)</f>
        <v/>
      </c>
      <c r="AB26" s="41">
        <f>IF('[4]2026 január'!Y25=0,
    "",
    '[4]2026 január'!Y25
)</f>
        <v>157521</v>
      </c>
      <c r="AC26" s="41" t="str">
        <f>IF('[4]2026 január'!Z25=0,
    "",
    '[4]2026 január'!Z25
)</f>
        <v/>
      </c>
      <c r="AD26" s="41" t="str">
        <f>IF('[4]2026 január'!AA25=0,
    "",
    '[4]2026 január'!AA25
)</f>
        <v/>
      </c>
      <c r="AE26" s="41" t="str">
        <f>IF('[4]2026 január'!AB25=0,
    "",
    '[4]2026 január'!AB25
)</f>
        <v/>
      </c>
      <c r="AF26" s="41" t="str">
        <f>IF('[4]2026 január'!AC25=0,
    "",
    '[4]2026 január'!AC25
)</f>
        <v/>
      </c>
      <c r="AG26" s="41" t="str">
        <f>IF('[4]2026 január'!AD25=0,
    "",
    '[4]2026 január'!AD25
)</f>
        <v/>
      </c>
      <c r="AH26" s="41" t="str">
        <f>IF('[4]2026 január'!AE25=0,
    "",
    '[4]2026 január'!AE25
)</f>
        <v/>
      </c>
      <c r="AI26" s="41" t="str">
        <f>IF('[4]2026 január'!AF25=0,
    "",
    '[4]2026 január'!AF25
)</f>
        <v/>
      </c>
      <c r="AJ26" s="41" t="str">
        <f>IF('[4]2026 január'!AG25=0,
    "",
    '[4]2026 január'!AG25
)</f>
        <v/>
      </c>
      <c r="AK26" s="41" t="str">
        <f>IF('[4]2026 január'!AH25=0,
    "",
    '[4]2026 január'!AH25
)</f>
        <v/>
      </c>
    </row>
    <row r="27" spans="1:37">
      <c r="A27" s="141">
        <v>46047</v>
      </c>
      <c r="B27" s="142"/>
      <c r="C27" s="142"/>
      <c r="D27" s="142"/>
      <c r="E27" s="142"/>
      <c r="F27" s="142"/>
      <c r="G27" s="142"/>
      <c r="H27" s="142"/>
      <c r="I27" s="142"/>
      <c r="J27" s="198"/>
      <c r="K27" s="146"/>
      <c r="L27" s="146"/>
      <c r="M27" s="151"/>
      <c r="N27" s="153"/>
      <c r="O27" s="41"/>
      <c r="P27" s="41" t="str">
        <f>IF('[4]2026 január'!B$26=0,
    "",
    '[4]2026 január'!B$26
)</f>
        <v/>
      </c>
      <c r="Q27" s="41" t="str">
        <f>IF(OR('[4]2026 január'!G26=0,
       ISBLANK('[4]2026 január'!G26)),
    "",
    '[4]2026 január'!G26
)</f>
        <v/>
      </c>
      <c r="R27" s="41">
        <f>'[4]2026 január'!W26</f>
        <v>0</v>
      </c>
      <c r="S27" s="41"/>
      <c r="T27" s="41"/>
      <c r="U27" s="4"/>
      <c r="V27" s="41">
        <f>IF('[4]2026 január'!S26=0,
    "",
    '[4]2026 január'!S26
)</f>
        <v>157521</v>
      </c>
      <c r="W27" s="41" t="str">
        <f>IF('[4]2026 január'!T26=0,
    "",
    '[4]2026 január'!T26
)</f>
        <v/>
      </c>
      <c r="X27" s="41" t="str">
        <f>IF('[4]2026 január'!U26=0,
    "",
    '[4]2026 január'!U26
)</f>
        <v/>
      </c>
      <c r="Y27" s="41" t="str">
        <f>IF('[4]2026 január'!V26=0,
    "",
    '[4]2026 január'!V26
)</f>
        <v/>
      </c>
      <c r="Z27" s="41" t="str">
        <f>IF('[4]2026 január'!W26=0,
    "",
    '[4]2026 január'!W26
)</f>
        <v/>
      </c>
      <c r="AA27" s="41" t="str">
        <f>IF('[4]2026 január'!X26=0,
    "",
    '[4]2026 január'!X26
)</f>
        <v/>
      </c>
      <c r="AB27" s="41">
        <f>IF('[4]2026 január'!Y26=0,
    "",
    '[4]2026 január'!Y26
)</f>
        <v>157521</v>
      </c>
      <c r="AC27" s="41" t="str">
        <f>IF('[4]2026 január'!Z26=0,
    "",
    '[4]2026 január'!Z26
)</f>
        <v/>
      </c>
      <c r="AD27" s="41" t="str">
        <f>IF('[4]2026 január'!AA26=0,
    "",
    '[4]2026 január'!AA26
)</f>
        <v/>
      </c>
      <c r="AE27" s="41" t="str">
        <f>IF('[4]2026 január'!AB26=0,
    "",
    '[4]2026 január'!AB26
)</f>
        <v/>
      </c>
      <c r="AF27" s="41" t="str">
        <f>IF('[4]2026 január'!AC26=0,
    "",
    '[4]2026 január'!AC26
)</f>
        <v/>
      </c>
      <c r="AG27" s="41" t="str">
        <f>IF('[4]2026 január'!AD26=0,
    "",
    '[4]2026 január'!AD26
)</f>
        <v/>
      </c>
      <c r="AH27" s="41" t="str">
        <f>IF('[4]2026 január'!AE26=0,
    "",
    '[4]2026 január'!AE26
)</f>
        <v/>
      </c>
      <c r="AI27" s="41" t="str">
        <f>IF('[4]2026 január'!AF26=0,
    "",
    '[4]2026 január'!AF26
)</f>
        <v/>
      </c>
      <c r="AJ27" s="41" t="str">
        <f>IF('[4]2026 január'!AG26=0,
    "",
    '[4]2026 január'!AG26
)</f>
        <v/>
      </c>
      <c r="AK27" s="41" t="str">
        <f>IF('[4]2026 január'!AH26=0,
    "",
    '[4]2026 január'!AH26
)</f>
        <v/>
      </c>
    </row>
    <row r="28" spans="1:37">
      <c r="A28" s="5">
        <v>46048</v>
      </c>
      <c r="B28" s="11">
        <v>334670</v>
      </c>
      <c r="C28" s="11">
        <v>250</v>
      </c>
      <c r="D28" s="11">
        <v>321415</v>
      </c>
      <c r="E28" s="11"/>
      <c r="F28" s="11">
        <v>5125</v>
      </c>
      <c r="G28" s="11"/>
      <c r="H28" s="11">
        <v>326790</v>
      </c>
      <c r="I28" s="11">
        <v>326790</v>
      </c>
      <c r="J28" s="33" t="s">
        <v>638</v>
      </c>
      <c r="K28" s="72">
        <v>132543142</v>
      </c>
      <c r="L28" s="72"/>
      <c r="M28" s="152"/>
      <c r="N28" s="148"/>
      <c r="O28" s="41"/>
      <c r="P28" s="41">
        <f>IF('[4]2026 január'!B$27=0,
    "",
    '[4]2026 január'!B$27
)</f>
        <v>334670</v>
      </c>
      <c r="Q28" s="41">
        <f>IF(OR('[4]2026 január'!G27=0,
       ISBLANK('[4]2026 január'!G27)),
    "",
    '[4]2026 január'!G27
)</f>
        <v>334670</v>
      </c>
      <c r="R28" s="41">
        <f>'[4]2026 január'!W27</f>
        <v>0</v>
      </c>
      <c r="S28" s="41"/>
      <c r="T28" s="41"/>
      <c r="U28" s="4"/>
      <c r="V28" s="41">
        <f>IF('[4]2026 január'!S27=0,
    "",
    '[4]2026 január'!S27
)</f>
        <v>157521</v>
      </c>
      <c r="W28" s="41">
        <f>IF('[4]2026 január'!T27=0,
    "",
    '[4]2026 január'!T27
)</f>
        <v>7880</v>
      </c>
      <c r="X28" s="41" t="str">
        <f>IF('[4]2026 január'!U27=0,
    "",
    '[4]2026 január'!U27
)</f>
        <v/>
      </c>
      <c r="Y28" s="41">
        <f>IF('[4]2026 január'!V27=0,
    "",
    '[4]2026 január'!V27
)</f>
        <v>2080</v>
      </c>
      <c r="Z28" s="41" t="str">
        <f>IF('[4]2026 január'!W27=0,
    "",
    '[4]2026 január'!W27
)</f>
        <v/>
      </c>
      <c r="AA28" s="41" t="str">
        <f>IF('[4]2026 január'!X27=0,
    "",
    '[4]2026 január'!X27
)</f>
        <v/>
      </c>
      <c r="AB28" s="41">
        <f>IF('[4]2026 január'!Y27=0,
    "",
    '[4]2026 január'!Y27
)</f>
        <v>163321</v>
      </c>
      <c r="AC28" s="41" t="str">
        <f>IF('[4]2026 január'!Z27=0,
    "",
    '[4]2026 január'!Z27
)</f>
        <v>Tesco</v>
      </c>
      <c r="AD28" s="41" t="str">
        <f>IF('[4]2026 január'!AA27=0,
    "",
    '[4]2026 január'!AA27
)</f>
        <v/>
      </c>
      <c r="AE28" s="41" t="str">
        <f>IF('[4]2026 január'!AB27=0,
    "",
    '[4]2026 január'!AB27
)</f>
        <v/>
      </c>
      <c r="AF28" s="41" t="str">
        <f>IF('[4]2026 január'!AC27=0,
    "",
    '[4]2026 január'!AC27
)</f>
        <v/>
      </c>
      <c r="AG28" s="41" t="str">
        <f>IF('[4]2026 január'!AD27=0,
    "",
    '[4]2026 január'!AD27
)</f>
        <v/>
      </c>
      <c r="AH28" s="41" t="str">
        <f>IF('[4]2026 január'!AE27=0,
    "",
    '[4]2026 január'!AE27
)</f>
        <v/>
      </c>
      <c r="AI28" s="41" t="str">
        <f>IF('[4]2026 január'!AF27=0,
    "",
    '[4]2026 január'!AF27
)</f>
        <v/>
      </c>
      <c r="AJ28" s="41" t="str">
        <f>IF('[4]2026 január'!AG27=0,
    "",
    '[4]2026 január'!AG27
)</f>
        <v/>
      </c>
      <c r="AK28" s="41" t="str">
        <f>IF('[4]2026 január'!AH27=0,
    "",
    '[4]2026 január'!AH27
)</f>
        <v/>
      </c>
    </row>
    <row r="29" spans="1:37">
      <c r="A29" s="5">
        <v>46049</v>
      </c>
      <c r="B29" s="11">
        <v>409500</v>
      </c>
      <c r="C29" s="11">
        <v>400</v>
      </c>
      <c r="D29" s="11">
        <v>396940</v>
      </c>
      <c r="E29" s="11"/>
      <c r="F29" s="11">
        <v>8350</v>
      </c>
      <c r="G29" s="11"/>
      <c r="H29" s="11">
        <v>405690</v>
      </c>
      <c r="I29" s="11">
        <v>405690</v>
      </c>
      <c r="J29" s="33" t="s">
        <v>639</v>
      </c>
      <c r="K29" s="72">
        <v>132948832</v>
      </c>
      <c r="L29" s="72"/>
      <c r="M29" s="152"/>
      <c r="N29" s="148"/>
      <c r="O29" s="41"/>
      <c r="P29" s="41">
        <v>409500</v>
      </c>
      <c r="Q29" s="41">
        <f>IF(OR('[4]2026 január'!G28=0,
       ISBLANK('[4]2026 január'!G28)),
    "",
    '[4]2026 január'!G28
)</f>
        <v>409500</v>
      </c>
      <c r="R29" s="41">
        <f>'[4]2026 január'!W28</f>
        <v>0</v>
      </c>
      <c r="S29" s="41"/>
      <c r="T29" s="41"/>
      <c r="U29" s="4"/>
      <c r="V29" s="41">
        <f>IF('[4]2026 január'!S28=0,
    "",
    '[4]2026 január'!S28
)</f>
        <v>163321</v>
      </c>
      <c r="W29" s="41">
        <f>IF('[4]2026 január'!T28=0,
    "",
    '[4]2026 január'!T28
)</f>
        <v>3810</v>
      </c>
      <c r="X29" s="41" t="str">
        <f>IF('[4]2026 január'!U28=0,
    "",
    '[4]2026 január'!U28
)</f>
        <v/>
      </c>
      <c r="Y29" s="41">
        <f>IF('[4]2026 január'!V28=0,
    "",
    '[4]2026 január'!V28
)</f>
        <v>14000</v>
      </c>
      <c r="Z29" s="41" t="str">
        <f>IF('[4]2026 január'!W28=0,
    "",
    '[4]2026 január'!W28
)</f>
        <v/>
      </c>
      <c r="AA29" s="41" t="str">
        <f>IF('[4]2026 január'!X28=0,
    "",
    '[4]2026 január'!X28
)</f>
        <v/>
      </c>
      <c r="AB29" s="41">
        <f>IF('[4]2026 január'!Y28=0,
    "",
    '[4]2026 január'!Y28
)</f>
        <v>153131</v>
      </c>
      <c r="AC29" s="41" t="str">
        <f>IF('[4]2026 január'!Z28=0,
    "",
    '[4]2026 január'!Z28
)</f>
        <v>Milák Beáta</v>
      </c>
      <c r="AD29" s="41" t="str">
        <f>IF('[4]2026 január'!AA28=0,
    "",
    '[4]2026 január'!AA28
)</f>
        <v/>
      </c>
      <c r="AE29" s="41" t="str">
        <f>IF('[4]2026 január'!AB28=0,
    "",
    '[4]2026 január'!AB28
)</f>
        <v/>
      </c>
      <c r="AF29" s="41" t="str">
        <f>IF('[4]2026 január'!AC28=0,
    "",
    '[4]2026 január'!AC28
)</f>
        <v/>
      </c>
      <c r="AG29" s="41" t="str">
        <f>IF('[4]2026 január'!AD28=0,
    "",
    '[4]2026 január'!AD28
)</f>
        <v/>
      </c>
      <c r="AH29" s="41" t="str">
        <f>IF('[4]2026 január'!AE28=0,
    "",
    '[4]2026 január'!AE28
)</f>
        <v/>
      </c>
      <c r="AI29" s="41" t="str">
        <f>IF('[4]2026 január'!AF28=0,
    "",
    '[4]2026 január'!AF28
)</f>
        <v/>
      </c>
      <c r="AJ29" s="41" t="str">
        <f>IF('[4]2026 január'!AG28=0,
    "",
    '[4]2026 január'!AG28
)</f>
        <v/>
      </c>
      <c r="AK29" s="41" t="str">
        <f>IF('[4]2026 január'!AH28=0,
    "",
    '[4]2026 január'!AH28
)</f>
        <v/>
      </c>
    </row>
    <row r="30" spans="1:37">
      <c r="A30" s="5">
        <v>46050</v>
      </c>
      <c r="B30" s="11">
        <v>464805</v>
      </c>
      <c r="C30" s="11">
        <v>200</v>
      </c>
      <c r="D30" s="11">
        <v>416730</v>
      </c>
      <c r="E30" s="11"/>
      <c r="F30" s="11">
        <v>13495</v>
      </c>
      <c r="G30" s="11"/>
      <c r="H30" s="11">
        <v>430425</v>
      </c>
      <c r="I30" s="11">
        <v>430425</v>
      </c>
      <c r="J30" s="33" t="s">
        <v>640</v>
      </c>
      <c r="K30" s="72">
        <v>133379257</v>
      </c>
      <c r="L30" s="72"/>
      <c r="M30" s="152"/>
      <c r="N30" s="148"/>
      <c r="O30" s="41"/>
      <c r="P30" s="41">
        <v>464805</v>
      </c>
      <c r="Q30" s="41">
        <f>IF(OR('[4]2026 január'!G29=0,
       ISBLANK('[4]2026 január'!G29)),
    "",
    '[4]2026 január'!G29
)</f>
        <v>434005</v>
      </c>
      <c r="R30" s="41">
        <f>'[4]2026 január'!W29</f>
        <v>0</v>
      </c>
      <c r="S30" s="41"/>
      <c r="T30" s="41"/>
      <c r="U30" s="4"/>
      <c r="V30" s="41">
        <f>IF('[4]2026 január'!S29=0,
    "",
    '[4]2026 január'!S29
)</f>
        <v>153131</v>
      </c>
      <c r="W30" s="41">
        <f>IF('[4]2026 január'!T29=0,
    "",
    '[4]2026 január'!T29
)</f>
        <v>3580</v>
      </c>
      <c r="X30" s="41" t="str">
        <f>IF('[4]2026 január'!U29=0,
    "",
    '[4]2026 január'!U29
)</f>
        <v/>
      </c>
      <c r="Y30" s="41">
        <f>IF('[4]2026 január'!V29=0,
    "",
    '[4]2026 január'!V29
)</f>
        <v>8671</v>
      </c>
      <c r="Z30" s="41" t="str">
        <f>IF('[4]2026 január'!W29=0,
    "",
    '[4]2026 január'!W29
)</f>
        <v/>
      </c>
      <c r="AA30" s="41" t="str">
        <f>IF('[4]2026 január'!X29=0,
    "",
    '[4]2026 január'!X29
)</f>
        <v/>
      </c>
      <c r="AB30" s="41">
        <f>IF('[4]2026 január'!Y29=0,
    "",
    '[4]2026 január'!Y29
)</f>
        <v>148040</v>
      </c>
      <c r="AC30" s="41" t="str">
        <f>IF('[4]2026 január'!Z29=0,
    "",
    '[4]2026 január'!Z29
)</f>
        <v>Tesco</v>
      </c>
      <c r="AD30" s="41" t="str">
        <f>IF('[4]2026 január'!AA29=0,
    "",
    '[4]2026 január'!AA29
)</f>
        <v/>
      </c>
      <c r="AE30" s="41" t="str">
        <f>IF('[4]2026 január'!AB29=0,
    "",
    '[4]2026 január'!AB29
)</f>
        <v/>
      </c>
      <c r="AF30" s="41" t="str">
        <f>IF('[4]2026 január'!AC29=0,
    "",
    '[4]2026 január'!AC29
)</f>
        <v/>
      </c>
      <c r="AG30" s="41" t="str">
        <f>IF('[4]2026 január'!AD29=0,
    "",
    '[4]2026 január'!AD29
)</f>
        <v/>
      </c>
      <c r="AH30" s="41" t="str">
        <f>IF('[4]2026 január'!AE29=0,
    "",
    '[4]2026 január'!AE29
)</f>
        <v/>
      </c>
      <c r="AI30" s="41" t="str">
        <f>IF('[4]2026 január'!AF29=0,
    "",
    '[4]2026 január'!AF29
)</f>
        <v/>
      </c>
      <c r="AJ30" s="41" t="str">
        <f>IF('[4]2026 január'!AG29=0,
    "",
    '[4]2026 január'!AG29
)</f>
        <v/>
      </c>
      <c r="AK30" s="41" t="str">
        <f>IF('[4]2026 január'!AH29=0,
    "",
    '[4]2026 január'!AH29
)</f>
        <v/>
      </c>
    </row>
    <row r="31" spans="1:37">
      <c r="A31" s="5">
        <v>46051</v>
      </c>
      <c r="B31" s="11">
        <v>454665</v>
      </c>
      <c r="C31" s="11">
        <v>200</v>
      </c>
      <c r="D31" s="11">
        <v>404770</v>
      </c>
      <c r="E31" s="11"/>
      <c r="F31" s="11">
        <v>8415</v>
      </c>
      <c r="G31" s="11"/>
      <c r="H31" s="11">
        <v>413385</v>
      </c>
      <c r="I31" s="11">
        <v>413385</v>
      </c>
      <c r="J31" s="33" t="s">
        <v>641</v>
      </c>
      <c r="K31" s="72">
        <v>133792642</v>
      </c>
      <c r="L31" s="72"/>
      <c r="M31" s="152"/>
      <c r="N31" s="148"/>
      <c r="O31" s="41"/>
      <c r="P31" s="41">
        <v>454665</v>
      </c>
      <c r="Q31" s="41">
        <f>IF(OR('[4]2026 január'!G30=0,
       ISBLANK('[4]2026 január'!G30)),
    "",
    '[4]2026 január'!G30
)</f>
        <v>419595</v>
      </c>
      <c r="R31" s="41">
        <f>'[4]2026 január'!W30</f>
        <v>0</v>
      </c>
      <c r="S31" s="41"/>
      <c r="T31" s="41"/>
      <c r="U31" s="4"/>
      <c r="V31" s="41">
        <f>IF('[4]2026 január'!S30=0,
    "",
    '[4]2026 január'!S30
)</f>
        <v>148040</v>
      </c>
      <c r="W31" s="41">
        <f>IF('[4]2026 január'!T30=0,
    "",
    '[4]2026 január'!T30
)</f>
        <v>6210</v>
      </c>
      <c r="X31" s="41" t="str">
        <f>IF('[4]2026 január'!U30=0,
    "",
    '[4]2026 január'!U30
)</f>
        <v/>
      </c>
      <c r="Y31" s="41" t="str">
        <f>IF('[4]2026 január'!V30=0,
    "",
    '[4]2026 január'!V30
)</f>
        <v/>
      </c>
      <c r="Z31" s="41" t="str">
        <f>IF('[4]2026 január'!W30=0,
    "",
    '[4]2026 január'!W30
)</f>
        <v/>
      </c>
      <c r="AA31" s="41" t="str">
        <f>IF('[4]2026 január'!X30=0,
    "",
    '[4]2026 január'!X30
)</f>
        <v/>
      </c>
      <c r="AB31" s="41">
        <f>IF('[4]2026 január'!Y30=0,
    "",
    '[4]2026 január'!Y30
)</f>
        <v>154250</v>
      </c>
      <c r="AC31" s="41" t="str">
        <f>IF('[4]2026 január'!Z30=0,
    "",
    '[4]2026 január'!Z30
)</f>
        <v/>
      </c>
      <c r="AD31" s="41" t="str">
        <f>IF('[4]2026 január'!AA30=0,
    "",
    '[4]2026 január'!AA30
)</f>
        <v/>
      </c>
      <c r="AE31" s="41" t="str">
        <f>IF('[4]2026 január'!AB30=0,
    "",
    '[4]2026 január'!AB30
)</f>
        <v/>
      </c>
      <c r="AF31" s="41" t="str">
        <f>IF('[4]2026 január'!AC30=0,
    "",
    '[4]2026 január'!AC30
)</f>
        <v/>
      </c>
      <c r="AG31" s="41" t="str">
        <f>IF('[4]2026 január'!AD30=0,
    "",
    '[4]2026 január'!AD30
)</f>
        <v/>
      </c>
      <c r="AH31" s="41" t="str">
        <f>IF('[4]2026 január'!AE30=0,
    "",
    '[4]2026 január'!AE30
)</f>
        <v/>
      </c>
      <c r="AI31" s="41" t="str">
        <f>IF('[4]2026 január'!AF30=0,
    "",
    '[4]2026 január'!AF30
)</f>
        <v/>
      </c>
      <c r="AJ31" s="41" t="str">
        <f>IF('[4]2026 január'!AG30=0,
    "",
    '[4]2026 január'!AG30
)</f>
        <v/>
      </c>
      <c r="AK31" s="41" t="str">
        <f>IF('[4]2026 január'!AH30=0,
    "",
    '[4]2026 január'!AH30
)</f>
        <v/>
      </c>
    </row>
    <row r="32" spans="1:37">
      <c r="A32" s="5">
        <v>46052</v>
      </c>
      <c r="B32" s="11">
        <v>295185</v>
      </c>
      <c r="C32" s="11">
        <v>200</v>
      </c>
      <c r="D32" s="11">
        <v>283465</v>
      </c>
      <c r="E32" s="11"/>
      <c r="F32" s="11">
        <v>10130</v>
      </c>
      <c r="G32" s="11"/>
      <c r="H32" s="11">
        <v>293795</v>
      </c>
      <c r="I32" s="11">
        <v>293795</v>
      </c>
      <c r="J32" s="33" t="s">
        <v>642</v>
      </c>
      <c r="K32" s="72">
        <v>134086437</v>
      </c>
      <c r="L32" s="72"/>
      <c r="M32" s="152"/>
      <c r="N32" s="148"/>
      <c r="O32" s="41"/>
      <c r="P32" s="41">
        <f>IF('[4]2026 január'!B$31=0,
    "",
    '[4]2026 január'!B$31
)</f>
        <v>295185</v>
      </c>
      <c r="Q32" s="41">
        <f>IF(OR('[4]2026 január'!G31=0,
       ISBLANK('[4]2026 január'!G31)),
    "",
    '[4]2026 január'!G31
)</f>
        <v>295185</v>
      </c>
      <c r="R32" s="41">
        <f>'[4]2026 január'!W31</f>
        <v>0</v>
      </c>
      <c r="S32" s="41"/>
      <c r="T32" s="41"/>
      <c r="U32" s="4"/>
      <c r="V32" s="41">
        <f>IF('[4]2026 január'!S31=0,
    "",
    '[4]2026 január'!S31
)</f>
        <v>154250</v>
      </c>
      <c r="W32" s="41">
        <f>IF('[4]2026 január'!T31=0,
    "",
    '[4]2026 január'!T31
)</f>
        <v>1390</v>
      </c>
      <c r="X32" s="41" t="str">
        <f>IF('[4]2026 január'!U31=0,
    "",
    '[4]2026 január'!U31
)</f>
        <v/>
      </c>
      <c r="Y32" s="41">
        <f>IF('[4]2026 január'!V31=0,
    "",
    '[4]2026 január'!V31
)</f>
        <v>14000</v>
      </c>
      <c r="Z32" s="41" t="str">
        <f>IF('[4]2026 január'!W31=0,
    "",
    '[4]2026 január'!W31
)</f>
        <v/>
      </c>
      <c r="AA32" s="41" t="str">
        <f>IF('[4]2026 január'!X31=0,
    "",
    '[4]2026 január'!X31
)</f>
        <v/>
      </c>
      <c r="AB32" s="41">
        <f>IF('[4]2026 január'!Y31=0,
    "",
    '[4]2026 január'!Y31
)</f>
        <v>141640</v>
      </c>
      <c r="AC32" s="41" t="str">
        <f>IF('[4]2026 január'!Z31=0,
    "",
    '[4]2026 január'!Z31
)</f>
        <v>Soltész Péterné</v>
      </c>
      <c r="AD32" s="41" t="str">
        <f>IF('[4]2026 január'!AA31=0,
    "",
    '[4]2026 január'!AA31
)</f>
        <v/>
      </c>
      <c r="AE32" s="41" t="str">
        <f>IF('[4]2026 január'!AB31=0,
    "",
    '[4]2026 január'!AB31
)</f>
        <v/>
      </c>
      <c r="AF32" s="41" t="str">
        <f>IF('[4]2026 január'!AC31=0,
    "",
    '[4]2026 január'!AC31
)</f>
        <v/>
      </c>
      <c r="AG32" s="41" t="str">
        <f>IF('[4]2026 január'!AD31=0,
    "",
    '[4]2026 január'!AD31
)</f>
        <v/>
      </c>
      <c r="AH32" s="41" t="str">
        <f>IF('[4]2026 január'!AE31=0,
    "",
    '[4]2026 január'!AE31
)</f>
        <v/>
      </c>
      <c r="AI32" s="41" t="str">
        <f>IF('[4]2026 január'!AF31=0,
    "",
    '[4]2026 január'!AF31
)</f>
        <v/>
      </c>
      <c r="AJ32" s="41" t="str">
        <f>IF('[4]2026 január'!AG31=0,
    "",
    '[4]2026 január'!AG31
)</f>
        <v/>
      </c>
      <c r="AK32" s="41" t="str">
        <f>IF('[4]2026 január'!AH31=0,
    "",
    '[4]2026 január'!AH31
)</f>
        <v/>
      </c>
    </row>
    <row r="33" spans="1:37">
      <c r="A33" s="141">
        <v>46053</v>
      </c>
      <c r="B33" s="142"/>
      <c r="C33" s="142"/>
      <c r="D33" s="142"/>
      <c r="E33" s="142"/>
      <c r="F33" s="142"/>
      <c r="G33" s="142"/>
      <c r="H33" s="142"/>
      <c r="I33" s="193"/>
      <c r="J33" s="374"/>
      <c r="K33" s="186"/>
      <c r="L33" s="186"/>
      <c r="M33" s="187"/>
      <c r="N33" s="200"/>
      <c r="O33" s="41"/>
      <c r="P33" s="41" t="str">
        <f>IF('[4]2026 január'!B$32=0,
    "",
    '[4]2026 január'!B$32
)</f>
        <v/>
      </c>
      <c r="Q33" s="41" t="str">
        <f>IF(OR('[4]2026 január'!G32=0,
       ISBLANK('[4]2026 január'!G32)),
    "",
    '[4]2026 január'!G32
)</f>
        <v/>
      </c>
      <c r="R33" s="41">
        <f>'[4]2026 január'!W32</f>
        <v>0</v>
      </c>
      <c r="S33" s="41"/>
      <c r="T33" s="41"/>
      <c r="U33" s="4"/>
      <c r="V33" s="41">
        <f>IF('[4]2026 január'!S32=0,
    "",
    '[4]2026 január'!S32
)</f>
        <v>141640</v>
      </c>
      <c r="W33" s="41" t="str">
        <f>IF('[4]2026 január'!T32=0,
    "",
    '[4]2026 január'!T32
)</f>
        <v/>
      </c>
      <c r="X33" s="41" t="str">
        <f>IF('[4]2026 január'!U32=0,
    "",
    '[4]2026 január'!U32
)</f>
        <v/>
      </c>
      <c r="Y33" s="41" t="str">
        <f>IF('[4]2026 január'!V32=0,
    "",
    '[4]2026 január'!V32
)</f>
        <v/>
      </c>
      <c r="Z33" s="41" t="str">
        <f>IF('[4]2026 január'!W32=0,
    "",
    '[4]2026 január'!W32
)</f>
        <v/>
      </c>
      <c r="AA33" s="41" t="str">
        <f>IF('[4]2026 január'!X32=0,
    "",
    '[4]2026 január'!X32
)</f>
        <v/>
      </c>
      <c r="AB33" s="41">
        <f>IF('[4]2026 január'!Y32=0,
    "",
    '[4]2026 január'!Y32
)</f>
        <v>141640</v>
      </c>
      <c r="AC33" s="41" t="str">
        <f>IF('[4]2026 január'!Z32=0,
    "",
    '[4]2026 január'!Z32
)</f>
        <v/>
      </c>
      <c r="AD33" s="41" t="str">
        <f>IF('[4]2026 január'!AA32=0,
    "",
    '[4]2026 január'!AA32
)</f>
        <v/>
      </c>
      <c r="AE33" s="41" t="str">
        <f>IF('[4]2026 január'!AB32=0,
    "",
    '[4]2026 január'!AB32
)</f>
        <v/>
      </c>
      <c r="AF33" s="41" t="str">
        <f>IF('[4]2026 január'!AC32=0,
    "",
    '[4]2026 január'!AC32
)</f>
        <v/>
      </c>
      <c r="AG33" s="41" t="str">
        <f>IF('[4]2026 január'!AD32=0,
    "",
    '[4]2026 január'!AD32
)</f>
        <v/>
      </c>
      <c r="AH33" s="41" t="str">
        <f>IF('[4]2026 január'!AE32=0,
    "",
    '[4]2026 január'!AE32
)</f>
        <v/>
      </c>
      <c r="AI33" s="41" t="str">
        <f>IF('[4]2026 január'!AF32=0,
    "",
    '[4]2026 január'!AF32
)</f>
        <v/>
      </c>
      <c r="AJ33" s="41" t="str">
        <f>IF('[4]2026 január'!AG32=0,
    "",
    '[4]2026 január'!AG32
)</f>
        <v/>
      </c>
      <c r="AK33" s="41" t="str">
        <f>IF('[4]2026 január'!AH32=0,
    "",
    '[4]2026 január'!AH32
)</f>
        <v/>
      </c>
    </row>
    <row r="34" spans="1:37" ht="24" customHeight="1">
      <c r="A34" s="69" t="s">
        <v>64</v>
      </c>
      <c r="B34" s="354"/>
      <c r="C34" s="19">
        <f>SUM(C1:C33)</f>
        <v>3850</v>
      </c>
      <c r="D34" s="19">
        <f>SUM(D1:D33)</f>
        <v>7303830.0499999998</v>
      </c>
      <c r="E34" s="19">
        <f>SUM(E1:E33)</f>
        <v>0.18</v>
      </c>
      <c r="F34" s="19">
        <f>SUM(F1:F33)</f>
        <v>198090.27000000002</v>
      </c>
      <c r="G34" s="20">
        <f>SUM(G3:G33)</f>
        <v>350</v>
      </c>
      <c r="H34" s="192">
        <f>SUM(H3:H33)</f>
        <v>7503330</v>
      </c>
      <c r="I34" s="447">
        <f>SUM(I3:I33)</f>
        <v>7505420</v>
      </c>
      <c r="J34" s="367"/>
      <c r="K34" s="418">
        <v>134086437</v>
      </c>
      <c r="L34" s="417">
        <v>7505770</v>
      </c>
      <c r="M34" s="9"/>
      <c r="N34" s="10"/>
      <c r="O34" s="64"/>
      <c r="P34" s="4"/>
      <c r="Q34" s="4"/>
      <c r="R34" s="4"/>
      <c r="S34" s="64"/>
      <c r="T34" s="4"/>
      <c r="U34" s="4"/>
      <c r="V34" s="4"/>
      <c r="W34" s="4"/>
      <c r="X34" s="4"/>
      <c r="Z34" s="4"/>
      <c r="AA34" s="64"/>
      <c r="AB34" s="4"/>
      <c r="AC34" s="4"/>
      <c r="AD34" s="4"/>
      <c r="AE34" s="64"/>
      <c r="AF34" s="4"/>
      <c r="AG34" s="4"/>
      <c r="AH34" s="4"/>
      <c r="AI34" s="4"/>
    </row>
    <row r="35" spans="1:37">
      <c r="A35" s="70"/>
      <c r="B35" s="355"/>
      <c r="C35" s="23">
        <f>C34+D34+E34+F34</f>
        <v>7505770.5</v>
      </c>
      <c r="D35" s="9"/>
      <c r="E35" s="9"/>
      <c r="F35" s="9"/>
      <c r="G35" s="22">
        <f>G34+H34</f>
        <v>7503680</v>
      </c>
      <c r="H35" s="9"/>
      <c r="I35"/>
      <c r="J35"/>
      <c r="K3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7">
      <c r="A36" s="67"/>
      <c r="C36"/>
      <c r="D36"/>
      <c r="E36"/>
      <c r="F36"/>
      <c r="H36"/>
      <c r="I36"/>
      <c r="J36"/>
      <c r="K3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7"/>
    <row r="38" spans="1:37"/>
    <row r="39" spans="1:37" ht="14.45" customHeight="1">
      <c r="A39" s="389" t="s">
        <v>177</v>
      </c>
      <c r="B39" s="390"/>
      <c r="C39" s="391"/>
      <c r="D39" s="391"/>
      <c r="E39" s="391"/>
      <c r="F39" s="392"/>
      <c r="G39" s="392"/>
      <c r="H39" s="392"/>
      <c r="I39" s="392"/>
      <c r="J39" s="393"/>
      <c r="K39" s="394"/>
      <c r="L39" s="4"/>
    </row>
    <row r="40" spans="1:37" ht="14.45" customHeight="1">
      <c r="A40" s="395" t="s">
        <v>643</v>
      </c>
      <c r="B40" s="396"/>
      <c r="C40" s="396"/>
      <c r="D40" s="396"/>
      <c r="E40" s="396"/>
      <c r="F40" s="396"/>
      <c r="G40" s="396"/>
      <c r="H40" s="396"/>
      <c r="I40" s="396"/>
      <c r="J40" s="396"/>
      <c r="K40" s="397"/>
      <c r="L40" s="4"/>
    </row>
    <row r="41" spans="1:37" ht="14.45" customHeight="1">
      <c r="A41" s="398" t="s">
        <v>644</v>
      </c>
      <c r="B41" s="399"/>
      <c r="C41" s="399"/>
      <c r="D41" s="399"/>
      <c r="E41" s="399"/>
      <c r="F41" s="399"/>
      <c r="G41" s="399"/>
      <c r="H41" s="399"/>
      <c r="I41" s="399"/>
      <c r="J41" s="399"/>
      <c r="K41" s="400"/>
      <c r="L41" s="4"/>
    </row>
    <row r="42" spans="1:37"/>
    <row r="43" spans="1:37" ht="15" customHeight="1">
      <c r="A43" s="66" t="s">
        <v>4</v>
      </c>
      <c r="B43" s="351"/>
      <c r="C43" s="26"/>
      <c r="D43" s="26"/>
      <c r="E43" s="26"/>
      <c r="F43" s="26"/>
      <c r="G43" s="26"/>
      <c r="H43" s="26"/>
      <c r="I43" s="26"/>
      <c r="J43" s="34"/>
      <c r="K43" s="349"/>
      <c r="L43" s="255"/>
      <c r="M43" s="385"/>
      <c r="N43" s="157"/>
    </row>
    <row r="44" spans="1:37" ht="15" customHeight="1">
      <c r="A44" s="141">
        <v>46054</v>
      </c>
      <c r="B44" s="142"/>
      <c r="C44" s="142"/>
      <c r="D44" s="142"/>
      <c r="E44" s="142"/>
      <c r="F44" s="142"/>
      <c r="G44" s="142"/>
      <c r="H44" s="142"/>
      <c r="I44" s="142"/>
      <c r="J44" s="143"/>
      <c r="K44" s="144"/>
      <c r="L44" s="256"/>
      <c r="M44" s="381"/>
      <c r="N44" s="158"/>
      <c r="P44" s="41" t="str">
        <f>IF('[4]2026 február'!B$2=0,
    "",
    '[4]2026 február'!B$2
)</f>
        <v/>
      </c>
    </row>
    <row r="45" spans="1:37" ht="15" customHeight="1">
      <c r="A45" s="141">
        <v>46055</v>
      </c>
      <c r="B45" s="11">
        <v>285905</v>
      </c>
      <c r="C45" s="11">
        <v>200</v>
      </c>
      <c r="D45" s="11">
        <v>274885</v>
      </c>
      <c r="E45" s="11"/>
      <c r="F45" s="11">
        <v>8770</v>
      </c>
      <c r="G45" s="11"/>
      <c r="H45" s="11">
        <v>283855</v>
      </c>
      <c r="I45" s="11">
        <v>283855</v>
      </c>
      <c r="J45" s="38" t="s">
        <v>645</v>
      </c>
      <c r="K45" s="71">
        <v>134370292</v>
      </c>
      <c r="L45" s="377"/>
      <c r="M45" s="216"/>
      <c r="N45" s="9"/>
      <c r="P45" s="41">
        <f>IF('[4]2026 február'!B$3=0,
    "",
    '[4]2026 február'!B$3
)</f>
        <v>285905</v>
      </c>
    </row>
    <row r="46" spans="1:37" ht="15" customHeight="1">
      <c r="A46" s="141">
        <v>46056</v>
      </c>
      <c r="B46" s="11">
        <v>389180</v>
      </c>
      <c r="C46" s="11">
        <v>250</v>
      </c>
      <c r="D46" s="11">
        <v>371925</v>
      </c>
      <c r="E46" s="11"/>
      <c r="F46" s="11">
        <v>8015</v>
      </c>
      <c r="G46" s="11"/>
      <c r="H46" s="11">
        <v>380190</v>
      </c>
      <c r="I46" s="11">
        <v>380190</v>
      </c>
      <c r="J46" s="38" t="s">
        <v>646</v>
      </c>
      <c r="K46" s="72">
        <v>134750482</v>
      </c>
      <c r="L46" s="258"/>
      <c r="M46" s="216"/>
      <c r="N46" s="9"/>
      <c r="P46" s="41">
        <f>IF('[4]2026 február'!B$4=0,
    "",
    '[4]2026 február'!B$4
)</f>
        <v>389180</v>
      </c>
    </row>
    <row r="47" spans="1:37" ht="15" customHeight="1">
      <c r="A47" s="141">
        <v>46057</v>
      </c>
      <c r="B47" s="11">
        <v>499725</v>
      </c>
      <c r="C47" s="11">
        <v>305</v>
      </c>
      <c r="D47" s="11">
        <v>362910</v>
      </c>
      <c r="E47" s="11"/>
      <c r="F47" s="11">
        <v>7180</v>
      </c>
      <c r="G47" s="11"/>
      <c r="H47" s="11">
        <v>370395</v>
      </c>
      <c r="I47" s="11">
        <v>370395</v>
      </c>
      <c r="J47" s="38" t="s">
        <v>647</v>
      </c>
      <c r="K47" s="72">
        <v>135120877</v>
      </c>
      <c r="L47" s="258"/>
      <c r="M47" s="216"/>
      <c r="N47" s="9"/>
      <c r="P47" s="41">
        <f>IF('[4]2026 február'!B$5=0,
    "",
    '[4]2026 február'!B$5
)</f>
        <v>373535</v>
      </c>
    </row>
    <row r="48" spans="1:37" ht="15" customHeight="1">
      <c r="A48" s="141">
        <v>46058</v>
      </c>
      <c r="B48" s="11">
        <v>352810</v>
      </c>
      <c r="C48" s="11">
        <v>200</v>
      </c>
      <c r="D48" s="11">
        <v>342555</v>
      </c>
      <c r="E48" s="11"/>
      <c r="F48" s="11">
        <v>7160</v>
      </c>
      <c r="G48" s="11"/>
      <c r="H48" s="11">
        <v>349915</v>
      </c>
      <c r="I48" s="11">
        <v>349915</v>
      </c>
      <c r="J48" s="38" t="s">
        <v>648</v>
      </c>
      <c r="K48" s="72">
        <v>135470792</v>
      </c>
      <c r="L48" s="258"/>
      <c r="M48" s="216"/>
      <c r="N48" s="9"/>
      <c r="P48" s="41">
        <f>IF('[4]2026 február'!B$6=0,
    "",
    '[4]2026 február'!B$6
)</f>
        <v>352810</v>
      </c>
    </row>
    <row r="49" spans="1:16" ht="15" customHeight="1">
      <c r="A49" s="141">
        <v>46059</v>
      </c>
      <c r="B49" s="11">
        <v>236490</v>
      </c>
      <c r="C49" s="11">
        <v>350</v>
      </c>
      <c r="D49" s="11">
        <v>227905</v>
      </c>
      <c r="E49" s="11"/>
      <c r="F49" s="11">
        <v>6125</v>
      </c>
      <c r="G49" s="11"/>
      <c r="H49" s="15">
        <v>234380</v>
      </c>
      <c r="I49" s="15">
        <v>234380</v>
      </c>
      <c r="J49" s="38" t="s">
        <v>649</v>
      </c>
      <c r="K49" s="72">
        <v>135705172</v>
      </c>
      <c r="L49" s="258"/>
      <c r="M49" s="216"/>
      <c r="N49" s="9"/>
      <c r="P49" s="41">
        <f>IF('[4]2026 február'!B$7=0,
    "",
    '[4]2026 február'!B$7
)</f>
        <v>236490</v>
      </c>
    </row>
    <row r="50" spans="1:16" ht="15" customHeight="1">
      <c r="A50" s="141">
        <v>46060</v>
      </c>
      <c r="B50" s="142"/>
      <c r="C50" s="142"/>
      <c r="D50" s="142"/>
      <c r="E50" s="142"/>
      <c r="F50" s="142"/>
      <c r="G50" s="142"/>
      <c r="H50" s="142"/>
      <c r="I50" s="142"/>
      <c r="J50" s="143"/>
      <c r="K50" s="146"/>
      <c r="L50" s="257"/>
      <c r="M50" s="381"/>
      <c r="N50" s="158"/>
      <c r="P50" s="41" t="str">
        <f>IF('[4]2026 február'!B$8=0,
    "",
    '[4]2026 február'!B$8
)</f>
        <v/>
      </c>
    </row>
    <row r="51" spans="1:16" ht="15" customHeight="1">
      <c r="A51" s="141">
        <v>46061</v>
      </c>
      <c r="B51" s="142"/>
      <c r="C51" s="142"/>
      <c r="D51" s="142"/>
      <c r="E51" s="142"/>
      <c r="F51" s="142"/>
      <c r="G51" s="142"/>
      <c r="H51" s="142"/>
      <c r="I51" s="142"/>
      <c r="J51" s="143"/>
      <c r="K51" s="146"/>
      <c r="L51" s="257"/>
      <c r="M51" s="381"/>
      <c r="N51" s="158"/>
      <c r="P51" s="41" t="str">
        <f>IF('[4]2026 február'!B$9=0,
    "",
    '[4]2026 február'!B$9
)</f>
        <v/>
      </c>
    </row>
    <row r="52" spans="1:16" ht="15" customHeight="1">
      <c r="A52" s="141">
        <v>46062</v>
      </c>
      <c r="B52" s="11">
        <v>325055</v>
      </c>
      <c r="C52" s="11">
        <v>50</v>
      </c>
      <c r="D52" s="11">
        <v>318705</v>
      </c>
      <c r="E52" s="11"/>
      <c r="F52" s="11">
        <v>6620</v>
      </c>
      <c r="G52" s="11"/>
      <c r="H52" s="11">
        <v>325375</v>
      </c>
      <c r="I52" s="11">
        <v>325375</v>
      </c>
      <c r="J52" s="38" t="s">
        <v>650</v>
      </c>
      <c r="K52" s="72">
        <v>136030547</v>
      </c>
      <c r="L52" s="258"/>
      <c r="M52" s="216"/>
      <c r="N52" s="9"/>
      <c r="P52" s="41">
        <f>IF('[4]2026 február'!B$10=0,
    "",
    '[4]2026 február'!B$10
)</f>
        <v>325055</v>
      </c>
    </row>
    <row r="53" spans="1:16" ht="15" customHeight="1">
      <c r="A53" s="141">
        <v>46063</v>
      </c>
      <c r="B53" s="11">
        <v>407025</v>
      </c>
      <c r="C53" s="11">
        <v>0</v>
      </c>
      <c r="D53" s="11">
        <v>402135</v>
      </c>
      <c r="E53" s="11"/>
      <c r="F53" s="11">
        <v>0</v>
      </c>
      <c r="G53" s="11"/>
      <c r="H53" s="11">
        <v>402135</v>
      </c>
      <c r="I53" s="11">
        <v>402135</v>
      </c>
      <c r="J53" s="38" t="s">
        <v>651</v>
      </c>
      <c r="K53" s="72">
        <v>136432682</v>
      </c>
      <c r="L53" s="258"/>
      <c r="M53" s="216"/>
      <c r="N53" s="9"/>
      <c r="P53" s="41">
        <f>IF('[4]2026 február'!B$11=0,
    "",
    '[4]2026 február'!B$11
)</f>
        <v>407025</v>
      </c>
    </row>
    <row r="54" spans="1:16" ht="15" customHeight="1">
      <c r="A54" s="141">
        <v>46064</v>
      </c>
      <c r="B54" s="11">
        <v>508550</v>
      </c>
      <c r="C54" s="11">
        <v>550</v>
      </c>
      <c r="D54" s="11">
        <v>455800</v>
      </c>
      <c r="E54" s="11"/>
      <c r="F54" s="11">
        <v>0</v>
      </c>
      <c r="G54" s="11"/>
      <c r="H54" s="75">
        <v>457140</v>
      </c>
      <c r="I54" s="75">
        <v>456350</v>
      </c>
      <c r="J54" s="38" t="s">
        <v>652</v>
      </c>
      <c r="K54" s="72">
        <v>136889032</v>
      </c>
      <c r="L54" s="258"/>
      <c r="M54" s="216"/>
      <c r="N54" s="487" t="s">
        <v>162</v>
      </c>
      <c r="P54" s="41">
        <f>IF('[4]2026 február'!B$12=0,
    "",
    '[4]2026 február'!B$12
)</f>
        <v>458050</v>
      </c>
    </row>
    <row r="55" spans="1:16" ht="15" customHeight="1">
      <c r="A55" s="141">
        <v>46065</v>
      </c>
      <c r="B55" s="11">
        <v>420860</v>
      </c>
      <c r="C55" s="11">
        <v>300</v>
      </c>
      <c r="D55" s="11">
        <v>393355</v>
      </c>
      <c r="E55" s="11"/>
      <c r="F55" s="11">
        <v>14900</v>
      </c>
      <c r="G55" s="11"/>
      <c r="H55" s="11">
        <v>408555</v>
      </c>
      <c r="I55" s="11">
        <v>408555</v>
      </c>
      <c r="J55" s="38" t="s">
        <v>653</v>
      </c>
      <c r="K55" s="72">
        <v>137297567</v>
      </c>
      <c r="L55" s="258"/>
      <c r="M55" s="106"/>
      <c r="N55" s="9"/>
      <c r="P55" s="41">
        <f>IF('[4]2026 február'!B$13=0,
    "",
    '[4]2026 február'!B$13
)</f>
        <v>420860</v>
      </c>
    </row>
    <row r="56" spans="1:16" ht="15" customHeight="1">
      <c r="A56" s="141">
        <v>46066</v>
      </c>
      <c r="B56" s="11">
        <v>215725</v>
      </c>
      <c r="C56" s="11">
        <v>150</v>
      </c>
      <c r="D56" s="11">
        <v>209800</v>
      </c>
      <c r="E56" s="11"/>
      <c r="F56" s="11">
        <v>3535</v>
      </c>
      <c r="G56" s="11"/>
      <c r="H56" s="11">
        <v>213485</v>
      </c>
      <c r="I56" s="11">
        <v>213485</v>
      </c>
      <c r="J56" s="38" t="s">
        <v>654</v>
      </c>
      <c r="K56" s="72">
        <v>137511072</v>
      </c>
      <c r="L56" s="258"/>
      <c r="M56" s="216"/>
      <c r="N56" s="9"/>
      <c r="P56" s="41">
        <v>215725</v>
      </c>
    </row>
    <row r="57" spans="1:16" ht="15" customHeight="1">
      <c r="A57" s="141">
        <v>46067</v>
      </c>
      <c r="B57" s="142"/>
      <c r="C57" s="142"/>
      <c r="D57" s="142"/>
      <c r="E57" s="142"/>
      <c r="F57" s="142"/>
      <c r="G57" s="142"/>
      <c r="H57" s="142"/>
      <c r="I57" s="142"/>
      <c r="J57" s="143"/>
      <c r="K57" s="146"/>
      <c r="L57" s="257"/>
      <c r="M57" s="381"/>
      <c r="N57" s="158"/>
      <c r="P57" s="41" t="str">
        <f>IF('[4]2026 február'!B$15=0,
    "",
    '[4]2026 február'!B$15
)</f>
        <v/>
      </c>
    </row>
    <row r="58" spans="1:16" ht="15" customHeight="1">
      <c r="A58" s="141">
        <v>46068</v>
      </c>
      <c r="B58" s="142"/>
      <c r="C58" s="142"/>
      <c r="D58" s="142"/>
      <c r="E58" s="142"/>
      <c r="F58" s="142"/>
      <c r="G58" s="142"/>
      <c r="H58" s="142"/>
      <c r="I58" s="142"/>
      <c r="J58" s="143"/>
      <c r="K58" s="146"/>
      <c r="L58" s="257"/>
      <c r="M58" s="381"/>
      <c r="N58" s="158"/>
      <c r="P58" s="41" t="str">
        <f>IF('[4]2026 február'!B$16=0,
    "",
    '[4]2026 február'!B$16
)</f>
        <v/>
      </c>
    </row>
    <row r="59" spans="1:16" ht="15" customHeight="1">
      <c r="A59" s="141">
        <v>46069</v>
      </c>
      <c r="B59" s="11">
        <v>391980</v>
      </c>
      <c r="C59" s="11">
        <v>150</v>
      </c>
      <c r="D59" s="11">
        <v>378680</v>
      </c>
      <c r="E59" s="11"/>
      <c r="F59" s="11">
        <v>11240</v>
      </c>
      <c r="G59" s="11"/>
      <c r="H59" s="11">
        <v>390070</v>
      </c>
      <c r="I59" s="11">
        <v>390070</v>
      </c>
      <c r="J59" s="38" t="s">
        <v>655</v>
      </c>
      <c r="K59" s="72">
        <v>137901142</v>
      </c>
      <c r="L59" s="258"/>
      <c r="M59" s="216"/>
      <c r="N59" s="9"/>
      <c r="P59" s="41">
        <v>391980</v>
      </c>
    </row>
    <row r="60" spans="1:16" ht="15" customHeight="1">
      <c r="A60" s="141">
        <v>46070</v>
      </c>
      <c r="B60" s="11">
        <v>389255</v>
      </c>
      <c r="C60" s="11">
        <v>300</v>
      </c>
      <c r="D60" s="11">
        <v>368545</v>
      </c>
      <c r="E60" s="11"/>
      <c r="F60" s="11">
        <v>17340</v>
      </c>
      <c r="G60" s="11"/>
      <c r="H60" s="11">
        <v>386185</v>
      </c>
      <c r="I60" s="11">
        <v>386185</v>
      </c>
      <c r="J60" s="38" t="s">
        <v>656</v>
      </c>
      <c r="K60" s="72">
        <v>138287327</v>
      </c>
      <c r="L60" s="258"/>
      <c r="M60" s="216"/>
      <c r="N60" s="9"/>
      <c r="P60" s="41">
        <v>389255</v>
      </c>
    </row>
    <row r="61" spans="1:16" ht="15" customHeight="1">
      <c r="A61" s="141">
        <v>46071</v>
      </c>
      <c r="B61" s="11">
        <v>354415</v>
      </c>
      <c r="C61" s="11">
        <v>150</v>
      </c>
      <c r="D61" s="11">
        <v>335290</v>
      </c>
      <c r="E61" s="11"/>
      <c r="F61" s="11">
        <v>14445</v>
      </c>
      <c r="G61" s="11"/>
      <c r="H61" s="11">
        <v>349885</v>
      </c>
      <c r="I61" s="11">
        <v>349885</v>
      </c>
      <c r="J61" s="38" t="s">
        <v>657</v>
      </c>
      <c r="K61" s="72">
        <v>138637212</v>
      </c>
      <c r="L61" s="258"/>
      <c r="M61" s="216"/>
      <c r="N61" s="9"/>
      <c r="P61" s="41">
        <v>354415</v>
      </c>
    </row>
    <row r="62" spans="1:16" ht="15" customHeight="1">
      <c r="A62" s="141">
        <v>46072</v>
      </c>
      <c r="B62" s="11">
        <v>355390</v>
      </c>
      <c r="C62" s="11">
        <v>300</v>
      </c>
      <c r="D62" s="11">
        <v>344110</v>
      </c>
      <c r="E62" s="11"/>
      <c r="F62" s="11">
        <v>8840</v>
      </c>
      <c r="G62" s="11"/>
      <c r="H62" s="11">
        <v>353250</v>
      </c>
      <c r="I62" s="11">
        <v>353250</v>
      </c>
      <c r="J62" s="38" t="s">
        <v>658</v>
      </c>
      <c r="K62" s="72">
        <v>138990462</v>
      </c>
      <c r="L62" s="258"/>
      <c r="M62" s="216"/>
      <c r="N62" s="9"/>
      <c r="P62" s="41">
        <v>355390</v>
      </c>
    </row>
    <row r="63" spans="1:16" ht="15" customHeight="1">
      <c r="A63" s="141">
        <v>46073</v>
      </c>
      <c r="B63" s="11">
        <v>342070</v>
      </c>
      <c r="C63" s="11">
        <v>300</v>
      </c>
      <c r="D63" s="11">
        <v>337730</v>
      </c>
      <c r="E63" s="11"/>
      <c r="F63" s="11">
        <v>4360</v>
      </c>
      <c r="G63" s="11"/>
      <c r="H63" s="11">
        <v>342390</v>
      </c>
      <c r="I63" s="11">
        <v>342390</v>
      </c>
      <c r="J63" s="38" t="s">
        <v>659</v>
      </c>
      <c r="K63" s="72">
        <v>139332852</v>
      </c>
      <c r="L63" s="258"/>
      <c r="M63" s="216"/>
      <c r="N63" s="9"/>
      <c r="P63" s="41">
        <v>342070</v>
      </c>
    </row>
    <row r="64" spans="1:16" ht="15" customHeight="1">
      <c r="A64" s="141">
        <v>46074</v>
      </c>
      <c r="B64" s="142"/>
      <c r="C64" s="142"/>
      <c r="D64" s="142"/>
      <c r="E64" s="142"/>
      <c r="F64" s="142"/>
      <c r="G64" s="142"/>
      <c r="H64" s="142"/>
      <c r="I64" s="142"/>
      <c r="J64" s="143"/>
      <c r="K64" s="146"/>
      <c r="L64" s="257"/>
      <c r="M64" s="381"/>
      <c r="N64" s="158"/>
      <c r="P64" s="41" t="str">
        <f>IF('[4]2026 február'!B$22=0,
    "",
    '[4]2026 február'!B$22
)</f>
        <v/>
      </c>
    </row>
    <row r="65" spans="1:16" ht="15" customHeight="1">
      <c r="A65" s="141">
        <v>46075</v>
      </c>
      <c r="B65" s="142"/>
      <c r="C65" s="142"/>
      <c r="D65" s="142"/>
      <c r="E65" s="142"/>
      <c r="F65" s="142"/>
      <c r="G65" s="142"/>
      <c r="H65" s="142"/>
      <c r="I65" s="142"/>
      <c r="J65" s="143"/>
      <c r="K65" s="146"/>
      <c r="L65" s="257"/>
      <c r="M65" s="381"/>
      <c r="N65" s="158"/>
      <c r="P65" s="41" t="str">
        <f>IF('[4]2026 február'!B$23=0,
    "",
    '[4]2026 február'!B$23
)</f>
        <v/>
      </c>
    </row>
    <row r="66" spans="1:16" ht="15" customHeight="1">
      <c r="A66" s="141">
        <v>46076</v>
      </c>
      <c r="B66" s="11">
        <v>327170</v>
      </c>
      <c r="C66" s="11">
        <v>250</v>
      </c>
      <c r="D66" s="11">
        <v>318655</v>
      </c>
      <c r="E66" s="11"/>
      <c r="F66" s="11">
        <v>5135</v>
      </c>
      <c r="G66" s="11"/>
      <c r="H66" s="11">
        <v>324040</v>
      </c>
      <c r="I66" s="11">
        <v>324040</v>
      </c>
      <c r="J66" s="38" t="s">
        <v>660</v>
      </c>
      <c r="K66" s="72">
        <v>139656892</v>
      </c>
      <c r="L66" s="258"/>
      <c r="M66" s="216"/>
      <c r="N66" s="9"/>
      <c r="P66" s="41">
        <v>327170</v>
      </c>
    </row>
    <row r="67" spans="1:16" ht="15" customHeight="1">
      <c r="A67" s="141">
        <v>46077</v>
      </c>
      <c r="B67" s="11">
        <v>392645</v>
      </c>
      <c r="C67" s="11">
        <v>250</v>
      </c>
      <c r="D67" s="11">
        <v>384281</v>
      </c>
      <c r="E67" s="11"/>
      <c r="F67" s="11">
        <v>7639</v>
      </c>
      <c r="G67" s="11"/>
      <c r="H67" s="15">
        <v>392170</v>
      </c>
      <c r="I67" s="15">
        <v>392170</v>
      </c>
      <c r="J67" s="38" t="s">
        <v>661</v>
      </c>
      <c r="K67" s="72">
        <v>140049062</v>
      </c>
      <c r="L67" s="258"/>
      <c r="M67" s="216"/>
      <c r="N67" s="9"/>
      <c r="P67" s="41">
        <v>392645</v>
      </c>
    </row>
    <row r="68" spans="1:16">
      <c r="A68" s="141">
        <v>46078</v>
      </c>
      <c r="B68" s="11">
        <v>431350</v>
      </c>
      <c r="C68" s="11">
        <v>150</v>
      </c>
      <c r="D68" s="11">
        <v>409515</v>
      </c>
      <c r="E68" s="11"/>
      <c r="F68" s="11">
        <v>13920</v>
      </c>
      <c r="G68" s="11"/>
      <c r="H68" s="11">
        <v>423585</v>
      </c>
      <c r="I68" s="11">
        <v>423585</v>
      </c>
      <c r="J68" s="38" t="s">
        <v>662</v>
      </c>
      <c r="K68" s="72">
        <v>140472647</v>
      </c>
      <c r="L68" s="258"/>
      <c r="M68" s="216"/>
      <c r="N68" s="9"/>
      <c r="P68" s="41">
        <v>431350</v>
      </c>
    </row>
    <row r="69" spans="1:16">
      <c r="A69" s="141">
        <v>46079</v>
      </c>
      <c r="B69" s="11">
        <v>380570</v>
      </c>
      <c r="C69" s="11">
        <v>150</v>
      </c>
      <c r="D69" s="11">
        <v>339480</v>
      </c>
      <c r="E69" s="11"/>
      <c r="F69" s="11">
        <v>10100</v>
      </c>
      <c r="G69" s="11"/>
      <c r="H69" s="11">
        <v>349730</v>
      </c>
      <c r="I69" s="11">
        <v>349730</v>
      </c>
      <c r="J69" s="38" t="s">
        <v>663</v>
      </c>
      <c r="K69" s="72">
        <v>140822377</v>
      </c>
      <c r="L69" s="258"/>
      <c r="M69" s="216"/>
      <c r="N69" s="9"/>
      <c r="P69" s="41">
        <f>IF('[4]2026 február'!B$27=0,
    "",
    '[4]2026 február'!B$27
)</f>
        <v>380570</v>
      </c>
    </row>
    <row r="70" spans="1:16">
      <c r="A70" s="141">
        <v>46080</v>
      </c>
      <c r="B70" s="11">
        <v>313090</v>
      </c>
      <c r="C70" s="11">
        <v>150</v>
      </c>
      <c r="D70" s="11">
        <v>305100</v>
      </c>
      <c r="E70" s="11"/>
      <c r="F70" s="11">
        <v>7240</v>
      </c>
      <c r="G70" s="11"/>
      <c r="H70" s="11">
        <v>312490</v>
      </c>
      <c r="I70" s="11">
        <v>312490</v>
      </c>
      <c r="J70" s="38" t="s">
        <v>664</v>
      </c>
      <c r="K70" s="401">
        <v>141134867</v>
      </c>
      <c r="L70" s="401">
        <v>7048430</v>
      </c>
      <c r="M70" s="216"/>
      <c r="N70" s="9"/>
      <c r="P70" s="41">
        <f>IF('[4]2026 február'!B$28=0,
    "",
    '[4]2026 február'!B$28
)</f>
        <v>313090</v>
      </c>
    </row>
    <row r="71" spans="1:16" ht="15" customHeight="1">
      <c r="A71" s="141">
        <v>46081</v>
      </c>
      <c r="B71" s="142"/>
      <c r="C71" s="142"/>
      <c r="D71" s="142"/>
      <c r="E71" s="142"/>
      <c r="F71" s="142"/>
      <c r="G71" s="142"/>
      <c r="H71" s="142"/>
      <c r="I71" s="142"/>
      <c r="J71" s="143"/>
      <c r="K71" s="146"/>
      <c r="L71" s="257"/>
      <c r="M71" s="381"/>
      <c r="N71" s="158"/>
      <c r="P71" s="41" t="str">
        <f>IF('[4]2026 február'!B$29=0,
    "",
    '[4]2026 február'!B$29
)</f>
        <v/>
      </c>
    </row>
    <row r="72" spans="1:16" ht="15" customHeight="1">
      <c r="A72" s="5"/>
      <c r="B72" s="11"/>
      <c r="C72" s="11"/>
      <c r="D72" s="11"/>
      <c r="E72" s="11"/>
      <c r="F72" s="11"/>
      <c r="G72" s="11"/>
      <c r="H72" s="11"/>
      <c r="I72" s="11"/>
      <c r="J72" s="38"/>
      <c r="K72" s="72"/>
      <c r="L72" s="258"/>
      <c r="M72" s="216"/>
      <c r="N72" s="9"/>
      <c r="P72" s="41" t="str">
        <f>IF('[4]2026 február'!B$30=0,
    "",
    '[4]2026 február'!B$30
)</f>
        <v/>
      </c>
    </row>
    <row r="73" spans="1:16">
      <c r="A73" s="5"/>
      <c r="B73" s="11"/>
      <c r="C73" s="11"/>
      <c r="D73" s="11"/>
      <c r="E73" s="11"/>
      <c r="F73" s="11"/>
      <c r="G73" s="11"/>
      <c r="H73" s="11"/>
      <c r="I73" s="11"/>
      <c r="J73" s="38"/>
      <c r="K73" s="72"/>
      <c r="L73" s="258"/>
      <c r="M73" s="216"/>
      <c r="N73" s="9"/>
      <c r="P73" s="41" t="str">
        <f>IF('[4]2026 február'!B$31=0,
    "",
    '[4]2026 február'!B$31
)</f>
        <v/>
      </c>
    </row>
    <row r="74" spans="1:16">
      <c r="A74" s="141"/>
      <c r="B74" s="11"/>
      <c r="C74" s="11"/>
      <c r="D74" s="11"/>
      <c r="E74" s="11"/>
      <c r="F74" s="11"/>
      <c r="G74" s="11"/>
      <c r="H74" s="11"/>
      <c r="I74" s="11"/>
      <c r="J74" s="205"/>
      <c r="K74" s="206"/>
      <c r="L74" s="379"/>
      <c r="M74" s="388"/>
      <c r="N74" s="9"/>
      <c r="P74" s="41" t="str">
        <f>IF('[4]2026 február'!B$32=0,
    "",
    '[4]2026 február'!B$32
)</f>
        <v/>
      </c>
    </row>
    <row r="75" spans="1:16" ht="15" customHeight="1">
      <c r="A75" s="18" t="s">
        <v>64</v>
      </c>
      <c r="B75" s="362"/>
      <c r="C75" s="19">
        <f>SUM(C42:C74)</f>
        <v>4505</v>
      </c>
      <c r="D75" s="19">
        <f>SUM(D42:D74)</f>
        <v>6881361</v>
      </c>
      <c r="E75" s="19">
        <f>SUM(E42:E74)</f>
        <v>0</v>
      </c>
      <c r="F75" s="19">
        <f>SUM(F42:F74)</f>
        <v>162564</v>
      </c>
      <c r="G75" s="20">
        <f>SUM(G42:G74)</f>
        <v>0</v>
      </c>
      <c r="H75" s="20">
        <f>SUM(H44:H74)</f>
        <v>7049220</v>
      </c>
      <c r="I75" s="39">
        <f>SUM(I44:I74)</f>
        <v>7048430</v>
      </c>
      <c r="J75" s="32"/>
      <c r="K75" s="17"/>
      <c r="L75" s="252"/>
      <c r="M75" s="216"/>
      <c r="N75" s="9"/>
      <c r="P75" s="4"/>
    </row>
    <row r="76" spans="1:16" ht="15" customHeight="1">
      <c r="A76" s="5"/>
      <c r="B76" s="11"/>
      <c r="C76" s="29">
        <f>C75+D75+E75+F75</f>
        <v>7048430</v>
      </c>
      <c r="D76" s="10"/>
      <c r="E76" s="10"/>
      <c r="F76" s="10"/>
      <c r="G76" s="47">
        <f>G75+H75</f>
        <v>7049220</v>
      </c>
      <c r="H76" s="10"/>
      <c r="I76" s="10"/>
      <c r="J76" s="33"/>
      <c r="K76" s="11"/>
      <c r="L76" s="260"/>
      <c r="M76" s="216"/>
      <c r="N76" s="9"/>
    </row>
    <row r="78" spans="1:16" ht="15" customHeight="1">
      <c r="A78" s="403" t="s">
        <v>177</v>
      </c>
      <c r="B78" s="404"/>
      <c r="C78" s="405"/>
      <c r="D78" s="405"/>
      <c r="E78" s="405"/>
      <c r="F78" s="406"/>
      <c r="G78" s="406"/>
      <c r="H78" s="406"/>
      <c r="I78" s="406"/>
      <c r="J78" s="407"/>
      <c r="K78" s="408"/>
    </row>
    <row r="79" spans="1:16" ht="15" customHeight="1">
      <c r="A79" s="409"/>
      <c r="B79" s="402"/>
      <c r="C79" s="402"/>
      <c r="D79" s="402"/>
      <c r="E79" s="402"/>
      <c r="F79" s="402"/>
      <c r="G79" s="396"/>
      <c r="H79" s="396"/>
      <c r="I79" s="396"/>
      <c r="J79" s="396"/>
      <c r="K79" s="410"/>
    </row>
    <row r="80" spans="1:16" ht="15" customHeight="1">
      <c r="A80" s="628"/>
      <c r="B80" s="629"/>
      <c r="C80" s="629"/>
      <c r="D80" s="629"/>
      <c r="E80" s="629"/>
      <c r="F80" s="629"/>
      <c r="G80" s="411"/>
      <c r="H80" s="411"/>
      <c r="I80" s="411"/>
      <c r="J80" s="411"/>
      <c r="K80" s="412"/>
    </row>
    <row r="85" spans="1:16" ht="15" customHeight="1">
      <c r="A85" s="66" t="s">
        <v>5</v>
      </c>
      <c r="B85" s="351"/>
      <c r="C85" s="26"/>
      <c r="D85" s="26"/>
      <c r="E85" s="26"/>
      <c r="F85" s="26"/>
      <c r="G85" s="26"/>
      <c r="H85" s="26"/>
      <c r="I85" s="26"/>
      <c r="J85" s="34"/>
      <c r="K85" s="349"/>
      <c r="L85" s="255"/>
      <c r="M85" s="157"/>
      <c r="N85" s="157"/>
    </row>
    <row r="86" spans="1:16" ht="15" customHeight="1">
      <c r="A86" s="141">
        <v>46082</v>
      </c>
      <c r="B86" s="142"/>
      <c r="C86" s="142"/>
      <c r="D86" s="142"/>
      <c r="E86" s="142"/>
      <c r="F86" s="142"/>
      <c r="G86" s="142"/>
      <c r="H86" s="142"/>
      <c r="I86" s="142"/>
      <c r="J86" s="143"/>
      <c r="K86" s="144"/>
      <c r="L86" s="256"/>
      <c r="M86" s="158"/>
      <c r="N86" s="158"/>
      <c r="P86" s="41" t="str">
        <f>IF('[4]2026 március'!B$2=0,
    "",
    '[4]2026 március'!B$2
)</f>
        <v/>
      </c>
    </row>
    <row r="87" spans="1:16" ht="15" customHeight="1">
      <c r="A87" s="141">
        <v>46083</v>
      </c>
      <c r="B87" s="11">
        <v>362005</v>
      </c>
      <c r="C87" s="11">
        <v>250</v>
      </c>
      <c r="D87" s="11">
        <v>352675</v>
      </c>
      <c r="E87" s="11"/>
      <c r="F87" s="11">
        <v>7330</v>
      </c>
      <c r="G87" s="11"/>
      <c r="H87" s="11">
        <v>360255</v>
      </c>
      <c r="I87" s="11">
        <v>360255</v>
      </c>
      <c r="J87" s="38" t="s">
        <v>665</v>
      </c>
      <c r="K87" s="72">
        <v>141495122</v>
      </c>
      <c r="L87" s="72" t="s">
        <v>666</v>
      </c>
      <c r="M87" s="9"/>
      <c r="N87" s="9"/>
      <c r="P87" s="41">
        <v>362005</v>
      </c>
    </row>
    <row r="88" spans="1:16" ht="15" customHeight="1">
      <c r="A88" s="141">
        <v>46084</v>
      </c>
      <c r="B88" s="11">
        <v>395380</v>
      </c>
      <c r="C88" s="11">
        <v>400</v>
      </c>
      <c r="D88" s="11">
        <v>359280</v>
      </c>
      <c r="E88" s="11"/>
      <c r="F88" s="11">
        <v>17510</v>
      </c>
      <c r="G88" s="11"/>
      <c r="H88" s="11">
        <v>377190</v>
      </c>
      <c r="I88" s="11">
        <v>377190</v>
      </c>
      <c r="J88" s="38" t="s">
        <v>667</v>
      </c>
      <c r="K88" s="72">
        <v>141872312</v>
      </c>
      <c r="L88" s="72"/>
      <c r="M88" s="9"/>
      <c r="N88" s="9"/>
      <c r="P88" s="41">
        <f>IF('[4]2026 március'!B$4=0,
    "",
    '[4]2026 március'!B$4
)</f>
        <v>377640</v>
      </c>
    </row>
    <row r="89" spans="1:16" ht="15" customHeight="1">
      <c r="A89" s="141">
        <v>46085</v>
      </c>
      <c r="B89" s="11">
        <v>0</v>
      </c>
      <c r="C89" s="11">
        <v>0</v>
      </c>
      <c r="D89" s="11">
        <v>0</v>
      </c>
      <c r="E89" s="11"/>
      <c r="F89" s="11">
        <v>0</v>
      </c>
      <c r="G89" s="11"/>
      <c r="H89" s="11">
        <v>0</v>
      </c>
      <c r="I89" s="11">
        <v>0</v>
      </c>
      <c r="J89" s="38" t="s">
        <v>668</v>
      </c>
      <c r="K89" s="72">
        <v>141872312</v>
      </c>
      <c r="L89" s="72"/>
      <c r="M89" s="9"/>
      <c r="N89" s="9"/>
      <c r="P89" s="41">
        <v>0</v>
      </c>
    </row>
    <row r="90" spans="1:16" ht="15" customHeight="1">
      <c r="A90" s="141">
        <v>46085</v>
      </c>
      <c r="B90" s="11">
        <v>438680</v>
      </c>
      <c r="C90" s="11">
        <v>100</v>
      </c>
      <c r="D90" s="11">
        <v>391455</v>
      </c>
      <c r="E90" s="11"/>
      <c r="F90" s="11">
        <v>9965</v>
      </c>
      <c r="G90" s="11"/>
      <c r="H90" s="11">
        <v>401520</v>
      </c>
      <c r="I90" s="11">
        <v>401520</v>
      </c>
      <c r="J90" s="38" t="s">
        <v>669</v>
      </c>
      <c r="K90" s="72">
        <v>142273832</v>
      </c>
      <c r="L90" s="72"/>
      <c r="M90" s="9"/>
      <c r="N90" s="9"/>
      <c r="P90" s="41">
        <v>438680</v>
      </c>
    </row>
    <row r="91" spans="1:16" ht="15" customHeight="1">
      <c r="A91" s="141">
        <v>46086</v>
      </c>
      <c r="B91" s="11">
        <v>351100</v>
      </c>
      <c r="C91" s="11">
        <v>350</v>
      </c>
      <c r="D91" s="11">
        <v>339550</v>
      </c>
      <c r="E91" s="11"/>
      <c r="F91" s="11">
        <v>8910</v>
      </c>
      <c r="G91" s="11"/>
      <c r="H91" s="11">
        <v>348810</v>
      </c>
      <c r="I91" s="11">
        <v>348810</v>
      </c>
      <c r="J91" s="38" t="s">
        <v>670</v>
      </c>
      <c r="K91" s="72">
        <v>142622642</v>
      </c>
      <c r="L91" s="72"/>
      <c r="M91" s="9"/>
      <c r="N91" s="9"/>
      <c r="P91" s="41">
        <v>351100</v>
      </c>
    </row>
    <row r="92" spans="1:16" ht="15" customHeight="1">
      <c r="A92" s="141">
        <v>46087</v>
      </c>
      <c r="B92" s="11">
        <v>303270</v>
      </c>
      <c r="C92" s="11">
        <v>150</v>
      </c>
      <c r="D92" s="11">
        <v>291305</v>
      </c>
      <c r="E92" s="11"/>
      <c r="F92" s="11">
        <v>10795</v>
      </c>
      <c r="G92" s="11"/>
      <c r="H92" s="11">
        <v>302250</v>
      </c>
      <c r="I92" s="11">
        <v>302250</v>
      </c>
      <c r="J92" s="38" t="s">
        <v>671</v>
      </c>
      <c r="K92" s="72">
        <v>142924892</v>
      </c>
      <c r="L92" s="72"/>
      <c r="M92" s="9"/>
      <c r="N92" s="9"/>
      <c r="P92" s="41">
        <v>303270</v>
      </c>
    </row>
    <row r="93" spans="1:16" ht="15" customHeight="1">
      <c r="A93" s="141">
        <v>46088</v>
      </c>
      <c r="B93" s="142"/>
      <c r="C93" s="142"/>
      <c r="D93" s="142"/>
      <c r="E93" s="142"/>
      <c r="F93" s="142"/>
      <c r="G93" s="142"/>
      <c r="H93" s="142"/>
      <c r="I93" s="142"/>
      <c r="J93" s="143"/>
      <c r="K93" s="146"/>
      <c r="L93" s="249"/>
      <c r="M93" s="158"/>
      <c r="N93" s="158"/>
      <c r="P93" s="41" t="str">
        <f>IF('[4]2026 március'!B$8=0,
    "",
    '[4]2026 március'!B$8
)</f>
        <v/>
      </c>
    </row>
    <row r="94" spans="1:16" ht="15" customHeight="1">
      <c r="A94" s="141">
        <v>46089</v>
      </c>
      <c r="B94" s="142"/>
      <c r="C94" s="142"/>
      <c r="D94" s="142"/>
      <c r="E94" s="142"/>
      <c r="F94" s="142"/>
      <c r="G94" s="142"/>
      <c r="H94" s="142"/>
      <c r="I94" s="142"/>
      <c r="J94" s="143"/>
      <c r="K94" s="146"/>
      <c r="L94" s="249"/>
      <c r="M94" s="158"/>
      <c r="N94" s="158"/>
      <c r="P94" s="41" t="str">
        <f>IF('[4]2026 március'!B$9=0,
    "",
    '[4]2026 március'!B$9
)</f>
        <v/>
      </c>
    </row>
    <row r="95" spans="1:16" ht="15" customHeight="1">
      <c r="A95" s="141">
        <v>46090</v>
      </c>
      <c r="B95" s="11">
        <v>392395</v>
      </c>
      <c r="C95" s="11">
        <v>400</v>
      </c>
      <c r="D95" s="11">
        <v>373985</v>
      </c>
      <c r="E95" s="11"/>
      <c r="F95" s="11">
        <v>11510</v>
      </c>
      <c r="G95" s="11"/>
      <c r="H95" s="11">
        <v>385895</v>
      </c>
      <c r="I95" s="11">
        <v>385895</v>
      </c>
      <c r="J95" s="38" t="s">
        <v>672</v>
      </c>
      <c r="K95" s="72">
        <v>143310787</v>
      </c>
      <c r="L95" s="72"/>
      <c r="M95" s="9"/>
      <c r="N95" s="9"/>
      <c r="P95" s="41">
        <v>392395</v>
      </c>
    </row>
    <row r="96" spans="1:16" ht="15" customHeight="1">
      <c r="A96" s="141">
        <v>46091</v>
      </c>
      <c r="B96" s="11">
        <v>480675</v>
      </c>
      <c r="C96" s="11">
        <v>500</v>
      </c>
      <c r="D96" s="11">
        <v>444900</v>
      </c>
      <c r="E96" s="11"/>
      <c r="F96" s="11">
        <v>15150</v>
      </c>
      <c r="G96" s="11"/>
      <c r="H96" s="11">
        <v>460550</v>
      </c>
      <c r="I96" s="11">
        <v>460550</v>
      </c>
      <c r="J96" s="38" t="s">
        <v>673</v>
      </c>
      <c r="K96" s="72">
        <v>143771337</v>
      </c>
      <c r="L96" s="72"/>
      <c r="M96" s="9"/>
      <c r="N96" s="9"/>
      <c r="P96" s="41">
        <v>480675</v>
      </c>
    </row>
    <row r="97" spans="1:41" ht="15" customHeight="1">
      <c r="A97" s="141">
        <v>46092</v>
      </c>
      <c r="B97" s="11">
        <v>556205</v>
      </c>
      <c r="C97" s="11">
        <v>550</v>
      </c>
      <c r="D97" s="11">
        <v>505705</v>
      </c>
      <c r="E97" s="11"/>
      <c r="F97" s="11">
        <v>11570</v>
      </c>
      <c r="G97" s="11"/>
      <c r="H97" s="11">
        <v>517825</v>
      </c>
      <c r="I97" s="11">
        <v>517825</v>
      </c>
      <c r="J97" s="38" t="s">
        <v>674</v>
      </c>
      <c r="K97" s="72">
        <v>144289162</v>
      </c>
      <c r="L97" s="72"/>
      <c r="M97" s="9"/>
      <c r="N97" s="9"/>
      <c r="P97" s="41">
        <v>556205</v>
      </c>
    </row>
    <row r="98" spans="1:41" ht="15" customHeight="1">
      <c r="A98" s="141">
        <v>46093</v>
      </c>
      <c r="B98" s="11">
        <v>512685</v>
      </c>
      <c r="C98" s="11">
        <v>0</v>
      </c>
      <c r="D98" s="11">
        <v>508955</v>
      </c>
      <c r="E98" s="11"/>
      <c r="F98" s="11">
        <v>0</v>
      </c>
      <c r="G98" s="11"/>
      <c r="H98" s="11">
        <v>508955</v>
      </c>
      <c r="I98" s="11">
        <v>508955</v>
      </c>
      <c r="J98" s="38" t="s">
        <v>675</v>
      </c>
      <c r="K98" s="72">
        <v>144798117</v>
      </c>
      <c r="L98" s="72"/>
      <c r="M98" s="378"/>
      <c r="N98" s="9"/>
      <c r="P98" s="41">
        <f>IF('[4]2026 március'!B$12=0,
    "",
    '[4]2026 március'!B$12
)</f>
        <v>524815</v>
      </c>
    </row>
    <row r="99" spans="1:41" ht="15" customHeight="1">
      <c r="A99" s="141">
        <v>46094</v>
      </c>
      <c r="B99" s="11">
        <v>348020</v>
      </c>
      <c r="C99" s="11">
        <v>0</v>
      </c>
      <c r="D99" s="11">
        <v>347650</v>
      </c>
      <c r="E99" s="11"/>
      <c r="F99" s="11">
        <v>0</v>
      </c>
      <c r="G99" s="11"/>
      <c r="H99" s="11">
        <v>347650</v>
      </c>
      <c r="I99" s="11">
        <v>347650</v>
      </c>
      <c r="J99" s="38" t="s">
        <v>676</v>
      </c>
      <c r="K99" s="72">
        <v>145145767</v>
      </c>
      <c r="L99" s="72"/>
      <c r="M99" s="9"/>
      <c r="N99" s="9"/>
      <c r="P99" s="41">
        <f>IF('[4]2026 március'!B$12=0,
    "",
    '[4]2026 március'!B$12
)</f>
        <v>524815</v>
      </c>
    </row>
    <row r="100" spans="1:41" ht="15" customHeight="1">
      <c r="A100" s="141">
        <v>46095</v>
      </c>
      <c r="B100" s="142"/>
      <c r="C100" s="142"/>
      <c r="D100" s="142"/>
      <c r="E100" s="142"/>
      <c r="F100" s="142"/>
      <c r="G100" s="142"/>
      <c r="H100" s="142"/>
      <c r="I100" s="142"/>
      <c r="J100" s="143"/>
      <c r="K100" s="146"/>
      <c r="L100" s="146"/>
      <c r="M100" s="158"/>
      <c r="N100" s="158"/>
      <c r="P100" s="41">
        <f>IF('[4]2026 március'!B$12=0,
    "",
    '[4]2026 március'!B$12
)</f>
        <v>524815</v>
      </c>
    </row>
    <row r="101" spans="1:41" ht="15" customHeight="1">
      <c r="A101" s="141">
        <v>46096</v>
      </c>
      <c r="B101" s="142"/>
      <c r="C101" s="142"/>
      <c r="D101" s="142"/>
      <c r="E101" s="142"/>
      <c r="F101" s="142"/>
      <c r="G101" s="142"/>
      <c r="H101" s="142"/>
      <c r="I101" s="142"/>
      <c r="J101" s="143"/>
      <c r="K101" s="146"/>
      <c r="L101" s="146"/>
      <c r="M101" s="158"/>
      <c r="N101" s="158"/>
      <c r="P101" s="41">
        <f>IF('[4]2026 március'!B$12=0,
    "",
    '[4]2026 március'!B$12
)</f>
        <v>524815</v>
      </c>
    </row>
    <row r="102" spans="1:41" ht="15" customHeight="1">
      <c r="A102" s="141">
        <v>46097</v>
      </c>
      <c r="B102" s="11">
        <v>360160</v>
      </c>
      <c r="C102" s="11">
        <v>200</v>
      </c>
      <c r="D102" s="11">
        <v>349875</v>
      </c>
      <c r="E102" s="11"/>
      <c r="F102" s="11">
        <v>0</v>
      </c>
      <c r="G102" s="11"/>
      <c r="H102" s="11">
        <v>350075</v>
      </c>
      <c r="I102" s="11">
        <v>350075</v>
      </c>
      <c r="J102" s="38" t="s">
        <v>677</v>
      </c>
      <c r="K102" s="72">
        <v>145495842</v>
      </c>
      <c r="L102" s="72"/>
      <c r="M102" s="9"/>
      <c r="N102" s="9"/>
      <c r="P102" s="41">
        <f>IF('[4]2026 március'!B$12=0,
    "",
    '[4]2026 március'!B$12
)</f>
        <v>524815</v>
      </c>
    </row>
    <row r="103" spans="1:41" ht="15" customHeight="1">
      <c r="A103" s="141">
        <v>46098</v>
      </c>
      <c r="B103" s="11">
        <v>391030</v>
      </c>
      <c r="C103" s="11">
        <v>200</v>
      </c>
      <c r="D103" s="11">
        <v>383560</v>
      </c>
      <c r="E103" s="11"/>
      <c r="F103" s="11">
        <v>950</v>
      </c>
      <c r="G103" s="11"/>
      <c r="H103" s="11">
        <v>384710</v>
      </c>
      <c r="I103" s="11">
        <v>384710</v>
      </c>
      <c r="J103" s="38" t="s">
        <v>337</v>
      </c>
      <c r="K103" s="72">
        <v>145880552</v>
      </c>
      <c r="L103" s="72"/>
      <c r="M103" s="9"/>
      <c r="N103" s="9"/>
      <c r="P103" s="41">
        <f>IF('[4]2026 március'!B$12=0,
    "",
    '[4]2026 március'!B$12
)</f>
        <v>524815</v>
      </c>
    </row>
    <row r="104" spans="1:41" ht="15" customHeight="1">
      <c r="A104" s="141">
        <v>46099</v>
      </c>
      <c r="B104" s="11">
        <v>401935</v>
      </c>
      <c r="C104" s="11">
        <v>0</v>
      </c>
      <c r="D104" s="11">
        <v>383565</v>
      </c>
      <c r="E104" s="11"/>
      <c r="F104" s="11">
        <v>13650</v>
      </c>
      <c r="G104" s="11">
        <v>4880</v>
      </c>
      <c r="H104" s="11">
        <v>392335</v>
      </c>
      <c r="I104" s="11">
        <v>392335</v>
      </c>
      <c r="J104" s="38" t="s">
        <v>678</v>
      </c>
      <c r="K104" s="72">
        <v>146277767</v>
      </c>
      <c r="L104" s="72"/>
      <c r="M104" s="9"/>
      <c r="N104" s="9"/>
      <c r="P104" s="41">
        <f>IF('[4]2026 március'!B$12=0,
    "",
    '[4]2026 március'!B$12
)</f>
        <v>524815</v>
      </c>
      <c r="AN104" t="s">
        <v>679</v>
      </c>
    </row>
    <row r="105" spans="1:41">
      <c r="A105" s="141">
        <v>46100</v>
      </c>
      <c r="B105" s="11">
        <v>385250</v>
      </c>
      <c r="C105" s="11">
        <v>0</v>
      </c>
      <c r="D105" s="11">
        <v>382430</v>
      </c>
      <c r="E105" s="11"/>
      <c r="F105" s="11">
        <v>1580</v>
      </c>
      <c r="G105" s="11"/>
      <c r="H105" s="11">
        <v>384010</v>
      </c>
      <c r="I105" s="11">
        <v>384010</v>
      </c>
      <c r="J105" s="38" t="s">
        <v>680</v>
      </c>
      <c r="K105" s="72">
        <v>146661777</v>
      </c>
      <c r="L105" s="72"/>
      <c r="M105" s="9"/>
      <c r="N105" s="9"/>
      <c r="P105" s="41">
        <f>IF('[4]2026 március'!B$12=0,
    "",
    '[4]2026 március'!B$12
)</f>
        <v>524815</v>
      </c>
      <c r="AN105" t="s">
        <v>681</v>
      </c>
    </row>
    <row r="106" spans="1:41">
      <c r="A106" s="141">
        <v>46101</v>
      </c>
      <c r="B106" s="11">
        <v>297630</v>
      </c>
      <c r="C106" s="11">
        <v>0</v>
      </c>
      <c r="D106" s="11">
        <v>286100</v>
      </c>
      <c r="E106" s="11"/>
      <c r="F106" s="11">
        <v>0</v>
      </c>
      <c r="G106" s="11"/>
      <c r="H106" s="11">
        <v>286100</v>
      </c>
      <c r="I106" s="11">
        <v>286100</v>
      </c>
      <c r="J106" s="38" t="s">
        <v>682</v>
      </c>
      <c r="K106" s="72">
        <v>146947877</v>
      </c>
      <c r="L106" s="72"/>
      <c r="M106" s="9"/>
      <c r="N106" s="9"/>
      <c r="P106" s="41">
        <f>IF('[4]2026 március'!B$12=0,
    "",
    '[4]2026 március'!B$12
)</f>
        <v>524815</v>
      </c>
      <c r="AO106" t="s">
        <v>683</v>
      </c>
    </row>
    <row r="107" spans="1:41">
      <c r="A107" s="141">
        <v>46102</v>
      </c>
      <c r="B107" s="142"/>
      <c r="C107" s="142"/>
      <c r="D107" s="142"/>
      <c r="E107" s="142"/>
      <c r="F107" s="142"/>
      <c r="G107" s="142"/>
      <c r="H107" s="142"/>
      <c r="I107" s="142"/>
      <c r="J107" s="143"/>
      <c r="K107" s="146"/>
      <c r="L107" s="146"/>
      <c r="M107" s="158"/>
      <c r="N107" s="158"/>
      <c r="P107" s="41">
        <f>IF('[4]2026 március'!B$12=0,
    "",
    '[4]2026 március'!B$12
)</f>
        <v>524815</v>
      </c>
    </row>
    <row r="108" spans="1:41" ht="15" customHeight="1">
      <c r="A108" s="141">
        <v>46103</v>
      </c>
      <c r="B108" s="142"/>
      <c r="C108" s="142"/>
      <c r="D108" s="142"/>
      <c r="E108" s="142"/>
      <c r="F108" s="142"/>
      <c r="G108" s="142"/>
      <c r="H108" s="142"/>
      <c r="I108" s="142"/>
      <c r="J108" s="143"/>
      <c r="K108" s="146"/>
      <c r="L108" s="146"/>
      <c r="M108" s="158"/>
      <c r="N108" s="158"/>
      <c r="P108" s="41">
        <f>IF('[4]2026 március'!B$12=0,
    "",
    '[4]2026 március'!B$12
)</f>
        <v>524815</v>
      </c>
    </row>
    <row r="109" spans="1:41" ht="15" customHeight="1">
      <c r="A109" s="141">
        <v>46104</v>
      </c>
      <c r="B109" s="11">
        <v>360605</v>
      </c>
      <c r="C109" s="11">
        <v>300</v>
      </c>
      <c r="D109" s="11">
        <v>355035</v>
      </c>
      <c r="E109" s="11"/>
      <c r="F109" s="11">
        <v>0</v>
      </c>
      <c r="G109" s="11"/>
      <c r="H109" s="11">
        <v>355335</v>
      </c>
      <c r="I109" s="11">
        <v>355335</v>
      </c>
      <c r="J109" s="38" t="s">
        <v>684</v>
      </c>
      <c r="K109" s="72">
        <v>147303212</v>
      </c>
      <c r="L109" s="72"/>
      <c r="M109" s="9"/>
      <c r="N109" s="9"/>
      <c r="P109" s="41">
        <f>IF('[4]2026 március'!B$12=0,
    "",
    '[4]2026 március'!B$12
)</f>
        <v>524815</v>
      </c>
    </row>
    <row r="110" spans="1:41" ht="15" customHeight="1">
      <c r="A110" s="141">
        <v>46105</v>
      </c>
      <c r="B110" s="11">
        <v>438470</v>
      </c>
      <c r="C110" s="11">
        <v>0</v>
      </c>
      <c r="D110" s="11">
        <v>436215</v>
      </c>
      <c r="E110" s="11"/>
      <c r="F110" s="11">
        <v>0</v>
      </c>
      <c r="G110" s="11">
        <v>3295</v>
      </c>
      <c r="H110" s="11">
        <v>432920</v>
      </c>
      <c r="I110" s="11">
        <v>432920</v>
      </c>
      <c r="J110" s="38" t="s">
        <v>685</v>
      </c>
      <c r="K110" s="72">
        <v>147739427</v>
      </c>
      <c r="L110" s="72"/>
      <c r="M110" s="9"/>
      <c r="N110" s="9"/>
      <c r="P110" s="41">
        <f>IF('[4]2026 március'!B$12=0,
    "",
    '[4]2026 március'!B$12
)</f>
        <v>524815</v>
      </c>
    </row>
    <row r="111" spans="1:41" ht="15" customHeight="1">
      <c r="A111" s="141">
        <v>46106</v>
      </c>
      <c r="B111" s="11">
        <v>485160</v>
      </c>
      <c r="C111" s="11">
        <v>700</v>
      </c>
      <c r="D111" s="11">
        <v>447510</v>
      </c>
      <c r="E111" s="11"/>
      <c r="F111" s="11">
        <v>0</v>
      </c>
      <c r="G111" s="11">
        <v>0</v>
      </c>
      <c r="H111" s="11">
        <v>448210</v>
      </c>
      <c r="I111" s="11">
        <v>448210</v>
      </c>
      <c r="J111" s="38" t="s">
        <v>686</v>
      </c>
      <c r="K111" s="72">
        <v>148187637</v>
      </c>
      <c r="L111" s="72"/>
      <c r="M111" s="9"/>
      <c r="N111" s="9"/>
      <c r="P111" s="41">
        <f>IF('[4]2026 március'!B$12=0,
    "",
    '[4]2026 március'!B$12
)</f>
        <v>524815</v>
      </c>
    </row>
    <row r="112" spans="1:41" ht="15" customHeight="1">
      <c r="A112" s="141">
        <v>46107</v>
      </c>
      <c r="B112" s="11">
        <v>434613</v>
      </c>
      <c r="C112" s="11">
        <v>150</v>
      </c>
      <c r="D112" s="11">
        <v>409529</v>
      </c>
      <c r="E112" s="11"/>
      <c r="F112" s="11">
        <v>6810</v>
      </c>
      <c r="G112" s="11">
        <v>2440</v>
      </c>
      <c r="H112" s="488">
        <v>414049</v>
      </c>
      <c r="I112" s="488">
        <v>415188</v>
      </c>
      <c r="J112" s="38" t="s">
        <v>687</v>
      </c>
      <c r="K112" s="72">
        <v>148604126</v>
      </c>
      <c r="L112" s="72"/>
      <c r="M112" s="9"/>
      <c r="N112" s="588" t="s">
        <v>210</v>
      </c>
      <c r="P112" s="41">
        <f>IF('[4]2026 március'!B$12=0,
    "",
    '[4]2026 március'!B$12
)</f>
        <v>524815</v>
      </c>
    </row>
    <row r="113" spans="1:16" ht="15" customHeight="1">
      <c r="A113" s="141">
        <v>46108</v>
      </c>
      <c r="B113" s="11">
        <v>265295</v>
      </c>
      <c r="C113" s="11">
        <v>200</v>
      </c>
      <c r="D113" s="11">
        <v>249955</v>
      </c>
      <c r="E113" s="11"/>
      <c r="F113" s="11">
        <v>5100</v>
      </c>
      <c r="G113" s="11">
        <v>0</v>
      </c>
      <c r="H113" s="11">
        <v>255255</v>
      </c>
      <c r="I113" s="11">
        <v>255255</v>
      </c>
      <c r="J113" s="38" t="s">
        <v>688</v>
      </c>
      <c r="K113" s="72">
        <v>148859381</v>
      </c>
      <c r="L113" s="72"/>
      <c r="M113" s="9"/>
      <c r="N113" s="9"/>
      <c r="P113" s="41">
        <f>IF('[4]2026 március'!B$12=0,
    "",
    '[4]2026 március'!B$12
)</f>
        <v>524815</v>
      </c>
    </row>
    <row r="114" spans="1:16" ht="15" customHeight="1">
      <c r="A114" s="141">
        <v>46109</v>
      </c>
      <c r="B114" s="142"/>
      <c r="C114" s="142"/>
      <c r="D114" s="142"/>
      <c r="E114" s="142"/>
      <c r="F114" s="142"/>
      <c r="G114" s="142"/>
      <c r="H114" s="142"/>
      <c r="I114" s="142"/>
      <c r="J114" s="143"/>
      <c r="K114" s="146"/>
      <c r="L114" s="146"/>
      <c r="M114" s="158"/>
      <c r="N114" s="158"/>
      <c r="P114" s="41" t="str">
        <f>IF('[4]2026 március'!B$29=0,
    "",
    '[4]2026 március'!B$29
)</f>
        <v/>
      </c>
    </row>
    <row r="115" spans="1:16" ht="15" customHeight="1">
      <c r="A115" s="141">
        <v>46110</v>
      </c>
      <c r="B115" s="142"/>
      <c r="C115" s="142"/>
      <c r="D115" s="142"/>
      <c r="E115" s="142"/>
      <c r="F115" s="142"/>
      <c r="G115" s="142"/>
      <c r="H115" s="142"/>
      <c r="I115" s="142"/>
      <c r="J115" s="143"/>
      <c r="K115" s="146"/>
      <c r="L115" s="146"/>
      <c r="M115" s="158"/>
      <c r="N115" s="158"/>
      <c r="P115" s="41" t="str">
        <f>IF('[4]2026 március'!B$30=0,
    "",
    '[4]2026 március'!B$30
)</f>
        <v/>
      </c>
    </row>
    <row r="116" spans="1:16" ht="15" customHeight="1">
      <c r="A116" s="141">
        <v>46111</v>
      </c>
      <c r="B116" s="11">
        <v>367607</v>
      </c>
      <c r="C116" s="11">
        <v>200</v>
      </c>
      <c r="D116" s="11">
        <v>353707</v>
      </c>
      <c r="E116" s="11"/>
      <c r="F116" s="11">
        <v>11380</v>
      </c>
      <c r="G116" s="11"/>
      <c r="H116" s="11">
        <v>365287</v>
      </c>
      <c r="I116" s="11">
        <v>365287</v>
      </c>
      <c r="J116" s="38" t="s">
        <v>689</v>
      </c>
      <c r="K116" s="72">
        <v>149224668</v>
      </c>
      <c r="L116" s="72"/>
      <c r="M116" s="9"/>
      <c r="N116" s="9"/>
      <c r="P116" s="41">
        <f>IF('[4]2026 március'!B$31=0,
    "",
    '[4]2026 március'!B$31
)</f>
        <v>367607</v>
      </c>
    </row>
    <row r="117" spans="1:16" ht="15" customHeight="1">
      <c r="A117" s="141">
        <v>46112</v>
      </c>
      <c r="B117" s="11">
        <v>399542</v>
      </c>
      <c r="C117" s="11">
        <v>350</v>
      </c>
      <c r="D117" s="11">
        <v>366402</v>
      </c>
      <c r="E117" s="11"/>
      <c r="F117" s="11">
        <v>12870</v>
      </c>
      <c r="G117" s="11"/>
      <c r="H117" s="488">
        <v>379622</v>
      </c>
      <c r="I117" s="488">
        <v>394882</v>
      </c>
      <c r="J117" s="38" t="s">
        <v>690</v>
      </c>
      <c r="K117" s="72">
        <v>149604290</v>
      </c>
      <c r="L117" s="72"/>
      <c r="M117" s="9"/>
      <c r="N117" s="588" t="s">
        <v>210</v>
      </c>
      <c r="P117" s="41">
        <f>IF('[4]2026 március'!B$32=0,
    "",
    '[4]2026 március'!B$32
)</f>
        <v>399542</v>
      </c>
    </row>
    <row r="118" spans="1:16">
      <c r="A118" s="18" t="s">
        <v>64</v>
      </c>
      <c r="B118" s="362"/>
      <c r="C118" s="19">
        <f>SUM(C86:C117)</f>
        <v>5000</v>
      </c>
      <c r="D118" s="19">
        <f>SUM(D86:D117)</f>
        <v>8319343</v>
      </c>
      <c r="E118" s="19">
        <f>SUM(E86:E117)</f>
        <v>0</v>
      </c>
      <c r="F118" s="19">
        <f>SUM(F86:F117)</f>
        <v>145080</v>
      </c>
      <c r="G118" s="20">
        <f>SUM(G86:G117)</f>
        <v>10615</v>
      </c>
      <c r="H118" s="20">
        <f>SUM(H86:H117)</f>
        <v>8458808</v>
      </c>
      <c r="I118" s="39">
        <f>SUM(I86:I117)</f>
        <v>8475207</v>
      </c>
      <c r="J118" s="544"/>
      <c r="K118" s="362">
        <v>149604290</v>
      </c>
      <c r="L118" s="362">
        <v>8469423</v>
      </c>
      <c r="M118" s="9"/>
      <c r="N118" s="184"/>
    </row>
    <row r="119" spans="1:16" ht="15" customHeight="1">
      <c r="A119" s="5"/>
      <c r="B119" s="11"/>
      <c r="C119" s="29">
        <f>C118+D118+E118+F118</f>
        <v>8469423</v>
      </c>
      <c r="D119" s="10"/>
      <c r="E119" s="10"/>
      <c r="F119" s="10"/>
      <c r="G119" s="47">
        <f>G118+H118</f>
        <v>8469423</v>
      </c>
      <c r="H119" s="10"/>
      <c r="I119" s="105"/>
      <c r="J119" s="33"/>
      <c r="K119" s="9"/>
      <c r="L119" s="414"/>
      <c r="M119" s="184"/>
      <c r="N119" s="382"/>
    </row>
    <row r="120" spans="1:16" ht="15" customHeight="1">
      <c r="A120" s="67"/>
      <c r="C120"/>
      <c r="D120"/>
      <c r="E120"/>
      <c r="F120"/>
      <c r="G120"/>
      <c r="H120"/>
      <c r="I120"/>
      <c r="J120"/>
      <c r="K120" s="514"/>
      <c r="L120" s="261"/>
      <c r="M120" s="261"/>
      <c r="N120" s="136"/>
    </row>
    <row r="121" spans="1:16" ht="15" customHeight="1">
      <c r="A121" s="403" t="s">
        <v>177</v>
      </c>
      <c r="B121" s="404"/>
      <c r="C121" s="405"/>
      <c r="D121" s="405"/>
      <c r="E121" s="405"/>
      <c r="F121" s="406"/>
      <c r="G121" s="406"/>
      <c r="H121" s="406"/>
      <c r="I121" s="545"/>
      <c r="J121" s="513"/>
      <c r="K121" s="396"/>
      <c r="L121" s="261"/>
      <c r="M121" s="261"/>
      <c r="N121" s="136"/>
    </row>
    <row r="122" spans="1:16" ht="15" customHeight="1">
      <c r="A122" s="409" t="s">
        <v>691</v>
      </c>
      <c r="B122" s="402"/>
      <c r="C122" s="402"/>
      <c r="D122" s="402"/>
      <c r="E122" s="402"/>
      <c r="F122" s="402"/>
      <c r="G122" s="396"/>
      <c r="H122" s="396"/>
      <c r="I122" s="410"/>
      <c r="J122" s="396"/>
      <c r="K122" s="396"/>
      <c r="L122" s="261"/>
      <c r="M122" s="261"/>
      <c r="N122" s="136"/>
    </row>
    <row r="123" spans="1:16" ht="15" customHeight="1">
      <c r="A123" s="628"/>
      <c r="B123" s="629"/>
      <c r="C123" s="629"/>
      <c r="D123" s="629"/>
      <c r="E123" s="629"/>
      <c r="F123" s="629"/>
      <c r="G123" s="411"/>
      <c r="H123" s="411"/>
      <c r="I123" s="412"/>
      <c r="J123" s="396"/>
      <c r="L123" s="261"/>
      <c r="M123" s="261"/>
      <c r="N123" s="136"/>
    </row>
    <row r="124" spans="1:16" ht="15" customHeight="1">
      <c r="A124" s="66" t="s">
        <v>559</v>
      </c>
      <c r="B124" s="351"/>
      <c r="C124" s="26"/>
      <c r="D124" s="26"/>
      <c r="E124" s="26"/>
      <c r="F124" s="26"/>
      <c r="G124" s="26"/>
      <c r="H124" s="26"/>
      <c r="I124" s="26"/>
      <c r="J124" s="34"/>
      <c r="K124" s="349"/>
      <c r="L124" s="255"/>
      <c r="M124" s="157"/>
      <c r="N124" s="157"/>
    </row>
    <row r="125" spans="1:16" ht="15" customHeight="1">
      <c r="A125" s="141">
        <v>46113</v>
      </c>
      <c r="B125" s="15">
        <v>340798</v>
      </c>
      <c r="C125" s="15">
        <v>250</v>
      </c>
      <c r="D125" s="15">
        <v>327308</v>
      </c>
      <c r="E125" s="15"/>
      <c r="F125" s="15">
        <v>7820</v>
      </c>
      <c r="G125" s="15"/>
      <c r="H125" s="15">
        <v>335378</v>
      </c>
      <c r="I125" s="15">
        <v>335378</v>
      </c>
      <c r="J125" s="565" t="s">
        <v>692</v>
      </c>
      <c r="K125" s="559">
        <v>149939668</v>
      </c>
      <c r="L125" s="567"/>
      <c r="M125" s="568"/>
      <c r="N125" s="568"/>
      <c r="P125" s="41" t="str">
        <f>IF('[4]2026 március'!B$2=0,
    "",
    '[4]2026 március'!B$2
)</f>
        <v/>
      </c>
    </row>
    <row r="126" spans="1:16" ht="15" customHeight="1">
      <c r="A126" s="141">
        <v>46114</v>
      </c>
      <c r="B126" s="15"/>
      <c r="C126" s="15"/>
      <c r="D126" s="15"/>
      <c r="E126" s="15"/>
      <c r="F126" s="15"/>
      <c r="G126" s="15"/>
      <c r="H126" s="15"/>
      <c r="I126" s="15"/>
      <c r="J126" s="565"/>
      <c r="K126" s="571"/>
      <c r="L126" s="571"/>
      <c r="M126" s="568"/>
      <c r="N126" s="568"/>
      <c r="P126" s="41">
        <v>362005</v>
      </c>
    </row>
    <row r="127" spans="1:16" ht="15" customHeight="1">
      <c r="A127" s="141">
        <v>46115</v>
      </c>
      <c r="B127" s="142"/>
      <c r="C127" s="142"/>
      <c r="D127" s="142"/>
      <c r="E127" s="142"/>
      <c r="F127" s="142"/>
      <c r="G127" s="142"/>
      <c r="H127" s="142"/>
      <c r="I127" s="142"/>
      <c r="J127" s="143"/>
      <c r="K127" s="146"/>
      <c r="L127" s="146"/>
      <c r="M127" s="158"/>
      <c r="N127" s="158"/>
      <c r="P127" s="41">
        <f>IF('[4]2026 március'!B$4=0,
    "",
    '[4]2026 március'!B$4
)</f>
        <v>377640</v>
      </c>
    </row>
    <row r="128" spans="1:16" ht="15" customHeight="1">
      <c r="A128" s="141">
        <v>46116</v>
      </c>
      <c r="B128" s="142"/>
      <c r="C128" s="142"/>
      <c r="D128" s="142"/>
      <c r="E128" s="142"/>
      <c r="F128" s="142"/>
      <c r="G128" s="142"/>
      <c r="H128" s="142"/>
      <c r="I128" s="142"/>
      <c r="J128" s="143"/>
      <c r="K128" s="146"/>
      <c r="L128" s="146"/>
      <c r="M128" s="158"/>
      <c r="N128" s="158"/>
      <c r="P128" s="41">
        <v>0</v>
      </c>
    </row>
    <row r="129" spans="1:40" ht="15" customHeight="1">
      <c r="A129" s="141">
        <v>46117</v>
      </c>
      <c r="B129" s="142"/>
      <c r="C129" s="142"/>
      <c r="D129" s="142"/>
      <c r="E129" s="142"/>
      <c r="F129" s="142"/>
      <c r="G129" s="142"/>
      <c r="H129" s="142"/>
      <c r="I129" s="142"/>
      <c r="J129" s="143"/>
      <c r="K129" s="146"/>
      <c r="L129" s="146"/>
      <c r="M129" s="158"/>
      <c r="N129" s="158"/>
      <c r="P129" s="41">
        <v>438680</v>
      </c>
    </row>
    <row r="130" spans="1:40" ht="15" customHeight="1">
      <c r="A130" s="141">
        <v>46118</v>
      </c>
      <c r="B130" s="142"/>
      <c r="C130" s="142"/>
      <c r="D130" s="142"/>
      <c r="E130" s="142"/>
      <c r="F130" s="142"/>
      <c r="G130" s="142"/>
      <c r="H130" s="142"/>
      <c r="I130" s="142"/>
      <c r="J130" s="143"/>
      <c r="K130" s="146"/>
      <c r="L130" s="146"/>
      <c r="M130" s="158"/>
      <c r="N130" s="158"/>
      <c r="P130" s="41">
        <v>351100</v>
      </c>
    </row>
    <row r="131" spans="1:40" ht="15" customHeight="1">
      <c r="A131" s="141">
        <v>46119</v>
      </c>
      <c r="B131" s="15"/>
      <c r="C131" s="15"/>
      <c r="D131" s="15"/>
      <c r="E131" s="15"/>
      <c r="F131" s="15"/>
      <c r="G131" s="15"/>
      <c r="H131" s="15"/>
      <c r="I131" s="15"/>
      <c r="J131" s="565"/>
      <c r="K131" s="571"/>
      <c r="L131" s="571"/>
      <c r="M131" s="568"/>
      <c r="N131" s="568"/>
      <c r="P131" s="41">
        <v>303270</v>
      </c>
    </row>
    <row r="132" spans="1:40" ht="15" customHeight="1">
      <c r="A132" s="141">
        <v>46120</v>
      </c>
      <c r="B132" s="15"/>
      <c r="C132" s="15"/>
      <c r="D132" s="15"/>
      <c r="E132" s="15"/>
      <c r="F132" s="15"/>
      <c r="G132" s="15"/>
      <c r="H132" s="15"/>
      <c r="I132" s="15"/>
      <c r="J132" s="565"/>
      <c r="K132" s="571"/>
      <c r="L132" s="572"/>
      <c r="M132" s="568"/>
      <c r="N132" s="568"/>
      <c r="P132" s="41" t="str">
        <f>IF('[4]2026 március'!B$8=0,
    "",
    '[4]2026 március'!B$8
)</f>
        <v/>
      </c>
    </row>
    <row r="133" spans="1:40" ht="15" customHeight="1">
      <c r="A133" s="141">
        <v>46121</v>
      </c>
      <c r="B133" s="15"/>
      <c r="C133" s="15"/>
      <c r="D133" s="15"/>
      <c r="E133" s="15"/>
      <c r="F133" s="15"/>
      <c r="G133" s="15"/>
      <c r="H133" s="15"/>
      <c r="I133" s="15"/>
      <c r="J133" s="565"/>
      <c r="K133" s="571"/>
      <c r="L133" s="572"/>
      <c r="M133" s="568"/>
      <c r="N133" s="568"/>
      <c r="P133" s="41" t="str">
        <f>IF('[4]2026 március'!B$9=0,
    "",
    '[4]2026 március'!B$9
)</f>
        <v/>
      </c>
    </row>
    <row r="134" spans="1:40" ht="15" customHeight="1">
      <c r="A134" s="141">
        <v>46122</v>
      </c>
      <c r="B134" s="15"/>
      <c r="C134" s="15"/>
      <c r="D134" s="15"/>
      <c r="E134" s="15"/>
      <c r="F134" s="15"/>
      <c r="G134" s="15"/>
      <c r="H134" s="15"/>
      <c r="I134" s="15"/>
      <c r="J134" s="565"/>
      <c r="K134" s="571"/>
      <c r="L134" s="571"/>
      <c r="M134" s="568"/>
      <c r="N134" s="568"/>
      <c r="P134" s="41">
        <v>392395</v>
      </c>
    </row>
    <row r="135" spans="1:40" ht="15" customHeight="1">
      <c r="A135" s="141">
        <v>46123</v>
      </c>
      <c r="B135" s="142"/>
      <c r="C135" s="142"/>
      <c r="D135" s="142"/>
      <c r="E135" s="142"/>
      <c r="F135" s="142"/>
      <c r="G135" s="142"/>
      <c r="H135" s="142"/>
      <c r="I135" s="142"/>
      <c r="J135" s="143"/>
      <c r="K135" s="146"/>
      <c r="L135" s="146"/>
      <c r="M135" s="158"/>
      <c r="N135" s="158"/>
      <c r="P135" s="41">
        <v>480675</v>
      </c>
    </row>
    <row r="136" spans="1:40" ht="15" customHeight="1">
      <c r="A136" s="141">
        <v>46124</v>
      </c>
      <c r="B136" s="142"/>
      <c r="C136" s="142"/>
      <c r="D136" s="142"/>
      <c r="E136" s="142"/>
      <c r="F136" s="142"/>
      <c r="G136" s="142"/>
      <c r="H136" s="142"/>
      <c r="I136" s="142"/>
      <c r="J136" s="143"/>
      <c r="K136" s="146"/>
      <c r="L136" s="146"/>
      <c r="M136" s="158"/>
      <c r="N136" s="158"/>
      <c r="P136" s="41">
        <v>556205</v>
      </c>
    </row>
    <row r="137" spans="1:40" ht="15" customHeight="1">
      <c r="A137" s="141">
        <v>46125</v>
      </c>
      <c r="B137" s="15"/>
      <c r="C137" s="15"/>
      <c r="D137" s="15"/>
      <c r="E137" s="15"/>
      <c r="F137" s="15"/>
      <c r="G137" s="15"/>
      <c r="H137" s="15"/>
      <c r="I137" s="15"/>
      <c r="J137" s="565"/>
      <c r="K137" s="571"/>
      <c r="L137" s="571"/>
      <c r="M137" s="573"/>
      <c r="N137" s="568"/>
      <c r="P137" s="41">
        <f>IF('[4]2026 március'!B$12=0,
    "",
    '[4]2026 március'!B$12
)</f>
        <v>524815</v>
      </c>
    </row>
    <row r="138" spans="1:40" ht="15" customHeight="1">
      <c r="A138" s="141">
        <v>46126</v>
      </c>
      <c r="B138" s="15"/>
      <c r="C138" s="15"/>
      <c r="D138" s="15"/>
      <c r="E138" s="15"/>
      <c r="F138" s="15"/>
      <c r="G138" s="15"/>
      <c r="H138" s="15"/>
      <c r="I138" s="15"/>
      <c r="J138" s="565"/>
      <c r="K138" s="571"/>
      <c r="L138" s="571"/>
      <c r="M138" s="568"/>
      <c r="N138" s="568"/>
      <c r="P138" s="41">
        <f>IF('[4]2026 március'!B$12=0,
    "",
    '[4]2026 március'!B$12
)</f>
        <v>524815</v>
      </c>
    </row>
    <row r="139" spans="1:40" ht="15" customHeight="1">
      <c r="A139" s="141">
        <v>46127</v>
      </c>
      <c r="B139" s="15"/>
      <c r="C139" s="15"/>
      <c r="D139" s="15"/>
      <c r="E139" s="15"/>
      <c r="F139" s="15"/>
      <c r="G139" s="15"/>
      <c r="H139" s="15"/>
      <c r="I139" s="15"/>
      <c r="J139" s="565"/>
      <c r="K139" s="571"/>
      <c r="L139" s="571"/>
      <c r="M139" s="568"/>
      <c r="N139" s="568"/>
      <c r="P139" s="41">
        <f>IF('[4]2026 március'!B$12=0,
    "",
    '[4]2026 március'!B$12
)</f>
        <v>524815</v>
      </c>
    </row>
    <row r="140" spans="1:40" ht="15" customHeight="1">
      <c r="A140" s="141">
        <v>46128</v>
      </c>
      <c r="B140" s="15"/>
      <c r="C140" s="15"/>
      <c r="D140" s="15"/>
      <c r="E140" s="15"/>
      <c r="F140" s="15"/>
      <c r="G140" s="15"/>
      <c r="H140" s="15"/>
      <c r="I140" s="15"/>
      <c r="J140" s="565"/>
      <c r="K140" s="571"/>
      <c r="L140" s="571"/>
      <c r="M140" s="568"/>
      <c r="N140" s="568"/>
      <c r="P140" s="41">
        <f>IF('[4]2026 március'!B$12=0,
    "",
    '[4]2026 március'!B$12
)</f>
        <v>524815</v>
      </c>
    </row>
    <row r="141" spans="1:40" ht="15" customHeight="1">
      <c r="A141" s="141">
        <v>46129</v>
      </c>
      <c r="B141" s="15"/>
      <c r="C141" s="15"/>
      <c r="D141" s="15"/>
      <c r="E141" s="15"/>
      <c r="F141" s="15"/>
      <c r="G141" s="15"/>
      <c r="H141" s="15"/>
      <c r="I141" s="15"/>
      <c r="J141" s="565"/>
      <c r="K141" s="571"/>
      <c r="L141" s="571"/>
      <c r="M141" s="568"/>
      <c r="N141" s="568"/>
      <c r="P141" s="41">
        <f>IF('[4]2026 március'!B$12=0,
    "",
    '[4]2026 március'!B$12
)</f>
        <v>524815</v>
      </c>
    </row>
    <row r="142" spans="1:40" ht="15" customHeight="1">
      <c r="A142" s="141">
        <v>46130</v>
      </c>
      <c r="B142" s="142"/>
      <c r="C142" s="142"/>
      <c r="D142" s="142"/>
      <c r="E142" s="142"/>
      <c r="F142" s="142"/>
      <c r="G142" s="142"/>
      <c r="H142" s="142"/>
      <c r="I142" s="142"/>
      <c r="J142" s="143"/>
      <c r="K142" s="146"/>
      <c r="L142" s="146"/>
      <c r="M142" s="158"/>
      <c r="N142" s="158"/>
      <c r="P142" s="41">
        <f>IF('[4]2026 március'!B$12=0,
    "",
    '[4]2026 március'!B$12
)</f>
        <v>524815</v>
      </c>
    </row>
    <row r="143" spans="1:40" ht="15" customHeight="1">
      <c r="A143" s="141">
        <v>46131</v>
      </c>
      <c r="B143" s="142"/>
      <c r="C143" s="142"/>
      <c r="D143" s="142"/>
      <c r="E143" s="142"/>
      <c r="F143" s="142"/>
      <c r="G143" s="142"/>
      <c r="H143" s="142"/>
      <c r="I143" s="142"/>
      <c r="J143" s="143"/>
      <c r="K143" s="146"/>
      <c r="L143" s="146"/>
      <c r="M143" s="158"/>
      <c r="N143" s="158"/>
      <c r="P143" s="41">
        <f>IF('[4]2026 március'!B$12=0,
    "",
    '[4]2026 március'!B$12
)</f>
        <v>524815</v>
      </c>
      <c r="AN143" t="s">
        <v>679</v>
      </c>
    </row>
    <row r="144" spans="1:40" ht="15" customHeight="1">
      <c r="A144" s="141">
        <v>46132</v>
      </c>
      <c r="B144" s="15"/>
      <c r="C144" s="15"/>
      <c r="D144" s="15"/>
      <c r="E144" s="15"/>
      <c r="F144" s="15"/>
      <c r="G144" s="15"/>
      <c r="H144" s="15"/>
      <c r="I144" s="15"/>
      <c r="J144" s="565"/>
      <c r="K144" s="571"/>
      <c r="L144" s="571"/>
      <c r="M144" s="568"/>
      <c r="N144" s="568"/>
      <c r="P144" s="41">
        <f>IF('[4]2026 március'!B$12=0,
    "",
    '[4]2026 március'!B$12
)</f>
        <v>524815</v>
      </c>
      <c r="AN144" t="s">
        <v>681</v>
      </c>
    </row>
    <row r="145" spans="1:41" ht="15" customHeight="1">
      <c r="A145" s="141">
        <v>46133</v>
      </c>
      <c r="B145" s="15"/>
      <c r="C145" s="15"/>
      <c r="D145" s="15"/>
      <c r="E145" s="15"/>
      <c r="F145" s="15"/>
      <c r="G145" s="15"/>
      <c r="H145" s="15"/>
      <c r="I145" s="15"/>
      <c r="J145" s="565"/>
      <c r="K145" s="571"/>
      <c r="L145" s="571"/>
      <c r="M145" s="568"/>
      <c r="N145" s="568"/>
      <c r="P145" s="41">
        <f>IF('[4]2026 március'!B$12=0,
    "",
    '[4]2026 március'!B$12
)</f>
        <v>524815</v>
      </c>
      <c r="AO145" t="s">
        <v>683</v>
      </c>
    </row>
    <row r="146" spans="1:41">
      <c r="A146" s="141">
        <v>46134</v>
      </c>
      <c r="B146" s="15"/>
      <c r="C146" s="15"/>
      <c r="D146" s="15"/>
      <c r="E146" s="15"/>
      <c r="F146" s="15"/>
      <c r="G146" s="15"/>
      <c r="H146" s="15"/>
      <c r="I146" s="15"/>
      <c r="J146" s="565"/>
      <c r="K146" s="571"/>
      <c r="L146" s="571"/>
      <c r="M146" s="568"/>
      <c r="N146" s="568"/>
      <c r="P146" s="41">
        <f>IF('[4]2026 március'!B$12=0,
    "",
    '[4]2026 március'!B$12
)</f>
        <v>524815</v>
      </c>
    </row>
    <row r="147" spans="1:41">
      <c r="A147" s="141">
        <v>46135</v>
      </c>
      <c r="B147" s="15"/>
      <c r="C147" s="15"/>
      <c r="D147" s="15"/>
      <c r="E147" s="15"/>
      <c r="F147" s="15"/>
      <c r="G147" s="15"/>
      <c r="H147" s="15"/>
      <c r="I147" s="15"/>
      <c r="J147" s="565"/>
      <c r="K147" s="571"/>
      <c r="L147" s="571"/>
      <c r="M147" s="568"/>
      <c r="N147" s="568"/>
      <c r="P147" s="41">
        <f>IF('[4]2026 március'!B$12=0,
    "",
    '[4]2026 március'!B$12
)</f>
        <v>524815</v>
      </c>
    </row>
    <row r="148" spans="1:41">
      <c r="A148" s="141">
        <v>46136</v>
      </c>
      <c r="B148" s="15"/>
      <c r="C148" s="15"/>
      <c r="D148" s="15"/>
      <c r="E148" s="15"/>
      <c r="F148" s="15"/>
      <c r="G148" s="15"/>
      <c r="H148" s="15"/>
      <c r="I148" s="15"/>
      <c r="J148" s="565"/>
      <c r="K148" s="571"/>
      <c r="L148" s="571"/>
      <c r="M148" s="568"/>
      <c r="N148" s="568"/>
      <c r="P148" s="41">
        <f>IF('[4]2026 március'!B$12=0,
    "",
    '[4]2026 március'!B$12
)</f>
        <v>524815</v>
      </c>
    </row>
    <row r="149" spans="1:41">
      <c r="A149" s="141">
        <v>46137</v>
      </c>
      <c r="B149" s="142"/>
      <c r="C149" s="142"/>
      <c r="D149" s="142"/>
      <c r="E149" s="142"/>
      <c r="F149" s="142"/>
      <c r="G149" s="142"/>
      <c r="H149" s="142"/>
      <c r="I149" s="142"/>
      <c r="J149" s="143"/>
      <c r="K149" s="146"/>
      <c r="L149" s="146"/>
      <c r="M149" s="158"/>
      <c r="N149" s="158"/>
      <c r="P149" s="41">
        <f>IF('[4]2026 március'!B$12=0,
    "",
    '[4]2026 március'!B$12
)</f>
        <v>524815</v>
      </c>
    </row>
    <row r="150" spans="1:41" ht="15" customHeight="1">
      <c r="A150" s="141">
        <v>46138</v>
      </c>
      <c r="B150" s="142"/>
      <c r="C150" s="142"/>
      <c r="D150" s="142"/>
      <c r="E150" s="142"/>
      <c r="F150" s="142"/>
      <c r="G150" s="142"/>
      <c r="H150" s="142"/>
      <c r="I150" s="142"/>
      <c r="J150" s="143"/>
      <c r="K150" s="146"/>
      <c r="L150" s="146"/>
      <c r="M150" s="158"/>
      <c r="N150" s="158"/>
      <c r="P150" s="41">
        <f>IF('[4]2026 március'!B$12=0,
    "",
    '[4]2026 március'!B$12
)</f>
        <v>524815</v>
      </c>
    </row>
    <row r="151" spans="1:41" ht="15" customHeight="1">
      <c r="A151" s="141">
        <v>46139</v>
      </c>
      <c r="B151" s="15"/>
      <c r="C151" s="15"/>
      <c r="D151" s="15"/>
      <c r="E151" s="15"/>
      <c r="F151" s="15"/>
      <c r="G151" s="15"/>
      <c r="H151" s="15"/>
      <c r="I151" s="15"/>
      <c r="J151" s="565"/>
      <c r="K151" s="571"/>
      <c r="L151" s="571"/>
      <c r="M151" s="568"/>
      <c r="N151" s="568"/>
      <c r="P151" s="41">
        <f>IF('[4]2026 március'!B$12=0,
    "",
    '[4]2026 március'!B$12
)</f>
        <v>524815</v>
      </c>
    </row>
    <row r="152" spans="1:41">
      <c r="A152" s="141">
        <v>46140</v>
      </c>
      <c r="B152" s="15"/>
      <c r="C152" s="15"/>
      <c r="D152" s="15"/>
      <c r="E152" s="15"/>
      <c r="F152" s="15"/>
      <c r="G152" s="15"/>
      <c r="H152" s="15"/>
      <c r="I152" s="15"/>
      <c r="J152" s="565"/>
      <c r="K152" s="571"/>
      <c r="L152" s="571"/>
      <c r="M152" s="568"/>
      <c r="N152" s="568"/>
      <c r="P152" s="41">
        <f>IF('[4]2026 március'!B$12=0,
    "",
    '[4]2026 március'!B$12
)</f>
        <v>524815</v>
      </c>
    </row>
    <row r="153" spans="1:41" ht="15" customHeight="1">
      <c r="A153" s="141">
        <v>46141</v>
      </c>
      <c r="B153" s="15"/>
      <c r="C153" s="15"/>
      <c r="D153" s="15"/>
      <c r="E153" s="15"/>
      <c r="F153" s="15"/>
      <c r="G153" s="15"/>
      <c r="H153" s="15"/>
      <c r="I153" s="15"/>
      <c r="J153" s="565"/>
      <c r="K153" s="571"/>
      <c r="L153" s="571"/>
      <c r="M153" s="568"/>
      <c r="N153" s="568"/>
      <c r="P153" s="41" t="str">
        <f>IF('[4]2026 március'!B$29=0,
    "",
    '[4]2026 március'!B$29
)</f>
        <v/>
      </c>
    </row>
    <row r="154" spans="1:41" ht="15" customHeight="1">
      <c r="A154" s="141">
        <v>46142</v>
      </c>
      <c r="B154" s="15"/>
      <c r="C154" s="15"/>
      <c r="D154" s="15"/>
      <c r="E154" s="15"/>
      <c r="F154" s="15"/>
      <c r="G154" s="15"/>
      <c r="H154" s="15"/>
      <c r="I154" s="15"/>
      <c r="J154" s="565"/>
      <c r="K154" s="571"/>
      <c r="L154" s="571"/>
      <c r="M154" s="568"/>
      <c r="N154" s="568"/>
      <c r="P154" s="41" t="str">
        <f>IF('[4]2026 március'!B$30=0,
    "",
    '[4]2026 március'!B$30
)</f>
        <v/>
      </c>
    </row>
    <row r="155" spans="1:41" ht="15" customHeight="1">
      <c r="A155" s="141"/>
      <c r="B155" s="15"/>
      <c r="C155" s="15"/>
      <c r="D155" s="15"/>
      <c r="E155" s="15"/>
      <c r="F155" s="15"/>
      <c r="G155" s="15"/>
      <c r="H155" s="15"/>
      <c r="I155" s="15"/>
      <c r="J155" s="565"/>
      <c r="K155" s="571"/>
      <c r="L155" s="571"/>
      <c r="M155" s="568"/>
      <c r="N155" s="568"/>
      <c r="P155" s="41">
        <f>IF('[4]2026 március'!B$31=0,
    "",
    '[4]2026 március'!B$31
)</f>
        <v>367607</v>
      </c>
    </row>
    <row r="156" spans="1:41" ht="15" customHeight="1">
      <c r="A156" s="141"/>
      <c r="B156" s="15"/>
      <c r="C156" s="15"/>
      <c r="D156" s="15"/>
      <c r="E156" s="15"/>
      <c r="F156" s="15"/>
      <c r="G156" s="15"/>
      <c r="H156" s="15"/>
      <c r="I156" s="15"/>
      <c r="J156" s="565"/>
      <c r="K156" s="571"/>
      <c r="L156" s="571"/>
      <c r="M156" s="568"/>
      <c r="N156" s="568"/>
      <c r="P156" s="41"/>
    </row>
    <row r="157" spans="1:41" ht="15" customHeight="1">
      <c r="A157" s="141"/>
      <c r="B157" s="15"/>
      <c r="C157" s="15"/>
      <c r="D157" s="15"/>
      <c r="E157" s="15"/>
      <c r="F157" s="15"/>
      <c r="G157" s="15"/>
      <c r="H157" s="15"/>
      <c r="I157" s="15"/>
      <c r="J157" s="565"/>
      <c r="K157" s="571"/>
      <c r="L157" s="571"/>
      <c r="M157" s="568"/>
      <c r="N157" s="568"/>
      <c r="P157" s="41">
        <f>IF('[4]2026 március'!B$32=0,
    "",
    '[4]2026 március'!B$32
)</f>
        <v>399542</v>
      </c>
    </row>
    <row r="158" spans="1:41" ht="15" customHeight="1">
      <c r="A158" s="141"/>
      <c r="B158" s="15"/>
      <c r="C158" s="15"/>
      <c r="D158" s="15"/>
      <c r="E158" s="15"/>
      <c r="F158" s="15"/>
      <c r="G158" s="15"/>
      <c r="H158" s="15"/>
      <c r="I158" s="15"/>
      <c r="J158" s="574"/>
      <c r="K158" s="575"/>
      <c r="L158" s="575"/>
      <c r="M158" s="576"/>
      <c r="N158" s="577"/>
      <c r="P158" s="4"/>
    </row>
    <row r="159" spans="1:41" ht="15" customHeight="1">
      <c r="A159" s="18" t="s">
        <v>64</v>
      </c>
      <c r="B159" s="578"/>
      <c r="C159" s="19">
        <f>SUM(C125:C158)</f>
        <v>250</v>
      </c>
      <c r="D159" s="19">
        <f>SUM(D125:D158)</f>
        <v>327308</v>
      </c>
      <c r="E159" s="19">
        <f>SUM(E125:E158)</f>
        <v>0</v>
      </c>
      <c r="F159" s="19">
        <f>SUM(F125:F158)</f>
        <v>7820</v>
      </c>
      <c r="G159" s="20">
        <f>SUM(G125:G158)</f>
        <v>0</v>
      </c>
      <c r="H159" s="20">
        <f>SUM(H125:H158)</f>
        <v>335378</v>
      </c>
      <c r="I159" s="39">
        <f>SUM(I125:I158)</f>
        <v>335378</v>
      </c>
      <c r="J159" s="579"/>
      <c r="K159" s="580"/>
      <c r="L159" s="581"/>
      <c r="M159" s="568"/>
      <c r="N159" s="577"/>
    </row>
    <row r="160" spans="1:41" ht="15" customHeight="1">
      <c r="A160" s="5"/>
      <c r="B160" s="11"/>
      <c r="C160" s="29">
        <f>C159+D159+E159+F159</f>
        <v>335378</v>
      </c>
      <c r="D160" s="10"/>
      <c r="E160" s="10"/>
      <c r="F160" s="10"/>
      <c r="G160" s="47">
        <f>G159+H159</f>
        <v>335378</v>
      </c>
      <c r="H160" s="10"/>
      <c r="I160" s="105"/>
      <c r="J160" s="33"/>
      <c r="K160" s="9"/>
      <c r="L160" s="414"/>
      <c r="M160" s="184"/>
      <c r="N160" s="382"/>
    </row>
    <row r="161" spans="1:14" ht="15" customHeight="1">
      <c r="A161" s="67"/>
      <c r="C161"/>
      <c r="D161"/>
      <c r="E161"/>
      <c r="F161"/>
      <c r="G161"/>
      <c r="H161"/>
      <c r="I161"/>
      <c r="J161"/>
      <c r="K161" s="514"/>
      <c r="L161" s="261"/>
      <c r="M161" s="261"/>
      <c r="N161" s="136"/>
    </row>
    <row r="162" spans="1:14" ht="15" customHeight="1">
      <c r="A162" s="403" t="s">
        <v>177</v>
      </c>
      <c r="B162" s="404"/>
      <c r="C162" s="405"/>
      <c r="D162" s="405"/>
      <c r="E162" s="405"/>
      <c r="F162" s="406"/>
      <c r="G162" s="406"/>
      <c r="H162" s="406"/>
      <c r="I162" s="545"/>
      <c r="J162" s="513"/>
      <c r="K162" s="396"/>
      <c r="L162" s="261"/>
      <c r="M162" s="261"/>
      <c r="N162" s="136"/>
    </row>
    <row r="163" spans="1:14" ht="15" customHeight="1">
      <c r="A163" s="409"/>
      <c r="B163" s="402"/>
      <c r="C163" s="402"/>
      <c r="D163" s="402"/>
      <c r="E163" s="402"/>
      <c r="F163" s="402"/>
      <c r="G163" s="396"/>
      <c r="H163" s="396"/>
      <c r="I163" s="410"/>
      <c r="J163" s="396"/>
      <c r="K163" s="396"/>
      <c r="L163" s="261"/>
      <c r="M163" s="261"/>
      <c r="N163" s="136"/>
    </row>
    <row r="164" spans="1:14" ht="15" customHeight="1">
      <c r="A164" s="628"/>
      <c r="B164" s="629"/>
      <c r="C164" s="629"/>
      <c r="D164" s="629"/>
      <c r="E164" s="629"/>
      <c r="F164" s="629"/>
      <c r="G164" s="411"/>
      <c r="H164" s="411"/>
      <c r="I164" s="412"/>
      <c r="J164" s="396"/>
      <c r="L164" s="261"/>
      <c r="M164" s="261"/>
      <c r="N164" s="136"/>
    </row>
    <row r="185"/>
    <row r="186"/>
    <row r="187"/>
    <row r="190"/>
    <row r="191"/>
    <row r="221"/>
    <row r="222"/>
    <row r="223"/>
    <row r="229"/>
    <row r="262"/>
    <row r="263"/>
    <row r="267"/>
    <row r="268"/>
    <row r="300"/>
    <row r="301"/>
    <row r="304"/>
    <row r="337"/>
    <row r="338"/>
    <row r="346"/>
    <row r="378"/>
    <row r="379"/>
    <row r="380"/>
    <row r="383"/>
    <row r="416"/>
    <row r="417"/>
    <row r="424"/>
    <row r="457"/>
    <row r="458"/>
  </sheetData>
  <sheetProtection formatCells="0" formatColumns="0" formatRows="0"/>
  <protectedRanges>
    <protectedRange sqref="AM36:BO36 A37:A38 A42 M39:BO41 C37:BO38 C42:BO42 A77 C77:BO77 O43:BO43 O76:BO76 O44:O75 Q44:BO75 A81:A84 C81:BO84 L78:BO80 K123 O125:O159 O85:BO85 O119:BO123 O118 Q118:BO118 P118 Q125:AO159 P159 A165:A577 C165:J577 L165:BO577 AP124:BO164 K164:K576 O124:AO124 O160:AO164 Q86:BO117 O86:O117" name="Range1"/>
    <protectedRange sqref="I1" name="Range2"/>
    <protectedRange sqref="A36 M35:AL35 C36:AL36" name="Range1_4"/>
    <protectedRange sqref="M2:O2 AL2" name="Range1_2_1"/>
    <protectedRange sqref="T2:AK2" name="Range1_2_1_1"/>
    <protectedRange sqref="B36:B38 B42 B77 B81:B84 B165:B501" name="Range1_1"/>
    <protectedRange sqref="B1" name="Range1_1_1"/>
    <protectedRange sqref="A120 K119 C120:J120 L120:N123 A161 K160 C161:J161 L161:N164" name="Range1_2_2"/>
    <protectedRange sqref="B120 B161" name="Range1_1_1_1"/>
  </protectedRanges>
  <mergeCells count="3">
    <mergeCell ref="A80:F80"/>
    <mergeCell ref="A123:F123"/>
    <mergeCell ref="A164:F164"/>
  </mergeCells>
  <conditionalFormatting sqref="C2:L2 A2:A33 C119:J119 L119:N119 F121:J121 K120 C85:N118 A85:A119">
    <cfRule type="containsText" dxfId="668" priority="77" stopIfTrue="1" operator="containsText" text="ELTÉRÉS!">
      <formula>NOT(ISERROR(SEARCH("ELTÉRÉS!",A2)))</formula>
    </cfRule>
    <cfRule type="containsText" dxfId="667" priority="78" stopIfTrue="1" operator="containsText" text="STIMMEL!">
      <formula>NOT(ISERROR(SEARCH("STIMMEL!",A2)))</formula>
    </cfRule>
  </conditionalFormatting>
  <conditionalFormatting sqref="C2:L2 A2:A33 C119:J119 L119:N119 F121:J121 K120 C85:N118 A85:A119">
    <cfRule type="cellIs" dxfId="666" priority="76" operator="equal">
      <formula>0.01</formula>
    </cfRule>
  </conditionalFormatting>
  <conditionalFormatting sqref="M3:M11 M13:M33">
    <cfRule type="containsText" dxfId="665" priority="74" stopIfTrue="1" operator="containsText" text="ELTÉRÉS!">
      <formula>NOT(ISERROR(SEARCH("ELTÉRÉS!",M3)))</formula>
    </cfRule>
    <cfRule type="containsText" dxfId="664" priority="75" stopIfTrue="1" operator="containsText" text="STIMMEL!">
      <formula>NOT(ISERROR(SEARCH("STIMMEL!",M3)))</formula>
    </cfRule>
  </conditionalFormatting>
  <conditionalFormatting sqref="M3:M11 M13:M33">
    <cfRule type="cellIs" dxfId="663" priority="73" operator="equal">
      <formula>0.01</formula>
    </cfRule>
  </conditionalFormatting>
  <conditionalFormatting sqref="C3:L11 C13:L33">
    <cfRule type="containsText" dxfId="662" priority="71" stopIfTrue="1" operator="containsText" text="ELTÉRÉS!">
      <formula>NOT(ISERROR(SEARCH("ELTÉRÉS!",C3)))</formula>
    </cfRule>
    <cfRule type="containsText" dxfId="661" priority="72" stopIfTrue="1" operator="containsText" text="STIMMEL!">
      <formula>NOT(ISERROR(SEARCH("STIMMEL!",C3)))</formula>
    </cfRule>
  </conditionalFormatting>
  <conditionalFormatting sqref="C3:L11 C13:L33">
    <cfRule type="cellIs" dxfId="660" priority="70" operator="equal">
      <formula>0.01</formula>
    </cfRule>
  </conditionalFormatting>
  <conditionalFormatting sqref="L39:L41">
    <cfRule type="containsText" dxfId="659" priority="65" stopIfTrue="1" operator="containsText" text="ELTÉRÉS!">
      <formula>NOT(ISERROR(SEARCH("ELTÉRÉS!",L39)))</formula>
    </cfRule>
    <cfRule type="containsText" dxfId="658" priority="66" stopIfTrue="1" operator="containsText" text="STIMMEL!">
      <formula>NOT(ISERROR(SEARCH("STIMMEL!",L39)))</formula>
    </cfRule>
  </conditionalFormatting>
  <conditionalFormatting sqref="L39:L41">
    <cfRule type="cellIs" dxfId="657" priority="64" operator="equal">
      <formula>0.01</formula>
    </cfRule>
  </conditionalFormatting>
  <conditionalFormatting sqref="B2:B33 C12:N12">
    <cfRule type="containsText" dxfId="656" priority="62" stopIfTrue="1" operator="containsText" text="ELTÉRÉS!">
      <formula>NOT(ISERROR(SEARCH("ELTÉRÉS!",B2)))</formula>
    </cfRule>
    <cfRule type="containsText" dxfId="655" priority="63" stopIfTrue="1" operator="containsText" text="STIMMEL!">
      <formula>NOT(ISERROR(SEARCH("STIMMEL!",B2)))</formula>
    </cfRule>
  </conditionalFormatting>
  <conditionalFormatting sqref="B2:B33 C12:N12">
    <cfRule type="cellIs" dxfId="654" priority="61" operator="equal">
      <formula>0.01</formula>
    </cfRule>
  </conditionalFormatting>
  <conditionalFormatting sqref="A43:A76 C43:N76">
    <cfRule type="containsText" dxfId="653" priority="56" stopIfTrue="1" operator="containsText" text="ELTÉRÉS!">
      <formula>NOT(ISERROR(SEARCH("ELTÉRÉS!",A43)))</formula>
    </cfRule>
    <cfRule type="containsText" dxfId="652" priority="57" stopIfTrue="1" operator="containsText" text="STIMMEL!">
      <formula>NOT(ISERROR(SEARCH("STIMMEL!",A43)))</formula>
    </cfRule>
  </conditionalFormatting>
  <conditionalFormatting sqref="A43:A76 C43:N76">
    <cfRule type="cellIs" dxfId="651" priority="55" operator="equal">
      <formula>0.01</formula>
    </cfRule>
  </conditionalFormatting>
  <conditionalFormatting sqref="B43:B74">
    <cfRule type="containsText" dxfId="650" priority="53" stopIfTrue="1" operator="containsText" text="ELTÉRÉS!">
      <formula>NOT(ISERROR(SEARCH("ELTÉRÉS!",B43)))</formula>
    </cfRule>
    <cfRule type="containsText" dxfId="649" priority="54" stopIfTrue="1" operator="containsText" text="STIMMEL!">
      <formula>NOT(ISERROR(SEARCH("STIMMEL!",B43)))</formula>
    </cfRule>
  </conditionalFormatting>
  <conditionalFormatting sqref="B43:B74">
    <cfRule type="cellIs" dxfId="648" priority="52" operator="equal">
      <formula>0.01</formula>
    </cfRule>
  </conditionalFormatting>
  <conditionalFormatting sqref="F39:K39">
    <cfRule type="containsText" dxfId="647" priority="50" stopIfTrue="1" operator="containsText" text="ELTÉRÉS!">
      <formula>NOT(ISERROR(SEARCH("ELTÉRÉS!",F39)))</formula>
    </cfRule>
    <cfRule type="containsText" dxfId="646" priority="51" stopIfTrue="1" operator="containsText" text="STIMMEL!">
      <formula>NOT(ISERROR(SEARCH("STIMMEL!",F39)))</formula>
    </cfRule>
  </conditionalFormatting>
  <conditionalFormatting sqref="F39:K39">
    <cfRule type="cellIs" dxfId="645" priority="49" operator="equal">
      <formula>0.01</formula>
    </cfRule>
  </conditionalFormatting>
  <conditionalFormatting sqref="A39">
    <cfRule type="containsText" dxfId="644" priority="47" stopIfTrue="1" operator="containsText" text="ELTÉRÉS!">
      <formula>NOT(ISERROR(SEARCH("ELTÉRÉS!",A39)))</formula>
    </cfRule>
    <cfRule type="containsText" dxfId="643" priority="48" stopIfTrue="1" operator="containsText" text="STIMMEL!">
      <formula>NOT(ISERROR(SEARCH("STIMMEL!",A39)))</formula>
    </cfRule>
  </conditionalFormatting>
  <conditionalFormatting sqref="A39">
    <cfRule type="cellIs" dxfId="642" priority="46" operator="equal">
      <formula>0.01</formula>
    </cfRule>
  </conditionalFormatting>
  <conditionalFormatting sqref="B39">
    <cfRule type="containsText" dxfId="641" priority="44" stopIfTrue="1" operator="containsText" text="ELTÉRÉS!">
      <formula>NOT(ISERROR(SEARCH("ELTÉRÉS!",B39)))</formula>
    </cfRule>
    <cfRule type="containsText" dxfId="640" priority="45" stopIfTrue="1" operator="containsText" text="STIMMEL!">
      <formula>NOT(ISERROR(SEARCH("STIMMEL!",B39)))</formula>
    </cfRule>
  </conditionalFormatting>
  <conditionalFormatting sqref="B39">
    <cfRule type="cellIs" dxfId="639" priority="43" operator="equal">
      <formula>0.01</formula>
    </cfRule>
  </conditionalFormatting>
  <conditionalFormatting sqref="F78:K78">
    <cfRule type="containsText" dxfId="638" priority="41" stopIfTrue="1" operator="containsText" text="ELTÉRÉS!">
      <formula>NOT(ISERROR(SEARCH("ELTÉRÉS!",F78)))</formula>
    </cfRule>
    <cfRule type="containsText" dxfId="637" priority="42" stopIfTrue="1" operator="containsText" text="STIMMEL!">
      <formula>NOT(ISERROR(SEARCH("STIMMEL!",F78)))</formula>
    </cfRule>
  </conditionalFormatting>
  <conditionalFormatting sqref="F78:K78">
    <cfRule type="cellIs" dxfId="636" priority="40" operator="equal">
      <formula>0.01</formula>
    </cfRule>
  </conditionalFormatting>
  <conditionalFormatting sqref="A78">
    <cfRule type="containsText" dxfId="635" priority="38" stopIfTrue="1" operator="containsText" text="ELTÉRÉS!">
      <formula>NOT(ISERROR(SEARCH("ELTÉRÉS!",A78)))</formula>
    </cfRule>
    <cfRule type="containsText" dxfId="634" priority="39" stopIfTrue="1" operator="containsText" text="STIMMEL!">
      <formula>NOT(ISERROR(SEARCH("STIMMEL!",A78)))</formula>
    </cfRule>
  </conditionalFormatting>
  <conditionalFormatting sqref="A78">
    <cfRule type="cellIs" dxfId="633" priority="37" operator="equal">
      <formula>0.01</formula>
    </cfRule>
  </conditionalFormatting>
  <conditionalFormatting sqref="B78">
    <cfRule type="containsText" dxfId="632" priority="35" stopIfTrue="1" operator="containsText" text="ELTÉRÉS!">
      <formula>NOT(ISERROR(SEARCH("ELTÉRÉS!",B78)))</formula>
    </cfRule>
    <cfRule type="containsText" dxfId="631" priority="36" stopIfTrue="1" operator="containsText" text="STIMMEL!">
      <formula>NOT(ISERROR(SEARCH("STIMMEL!",B78)))</formula>
    </cfRule>
  </conditionalFormatting>
  <conditionalFormatting sqref="B78">
    <cfRule type="cellIs" dxfId="630" priority="34" operator="equal">
      <formula>0.01</formula>
    </cfRule>
  </conditionalFormatting>
  <conditionalFormatting sqref="B85:B117">
    <cfRule type="containsText" dxfId="629" priority="32" stopIfTrue="1" operator="containsText" text="ELTÉRÉS!">
      <formula>NOT(ISERROR(SEARCH("ELTÉRÉS!",B85)))</formula>
    </cfRule>
    <cfRule type="containsText" dxfId="628" priority="33" stopIfTrue="1" operator="containsText" text="STIMMEL!">
      <formula>NOT(ISERROR(SEARCH("STIMMEL!",B85)))</formula>
    </cfRule>
  </conditionalFormatting>
  <conditionalFormatting sqref="B85:B117">
    <cfRule type="cellIs" dxfId="627" priority="31" operator="equal">
      <formula>0.01</formula>
    </cfRule>
  </conditionalFormatting>
  <conditionalFormatting sqref="A121">
    <cfRule type="containsText" dxfId="626" priority="26" stopIfTrue="1" operator="containsText" text="ELTÉRÉS!">
      <formula>NOT(ISERROR(SEARCH("ELTÉRÉS!",A121)))</formula>
    </cfRule>
    <cfRule type="containsText" dxfId="625" priority="27" stopIfTrue="1" operator="containsText" text="STIMMEL!">
      <formula>NOT(ISERROR(SEARCH("STIMMEL!",A121)))</formula>
    </cfRule>
  </conditionalFormatting>
  <conditionalFormatting sqref="A121">
    <cfRule type="cellIs" dxfId="624" priority="25" operator="equal">
      <formula>0.01</formula>
    </cfRule>
  </conditionalFormatting>
  <conditionalFormatting sqref="B121">
    <cfRule type="containsText" dxfId="623" priority="23" stopIfTrue="1" operator="containsText" text="ELTÉRÉS!">
      <formula>NOT(ISERROR(SEARCH("ELTÉRÉS!",B121)))</formula>
    </cfRule>
    <cfRule type="containsText" dxfId="622" priority="24" stopIfTrue="1" operator="containsText" text="STIMMEL!">
      <formula>NOT(ISERROR(SEARCH("STIMMEL!",B121)))</formula>
    </cfRule>
  </conditionalFormatting>
  <conditionalFormatting sqref="B121">
    <cfRule type="cellIs" dxfId="621" priority="22" operator="equal">
      <formula>0.01</formula>
    </cfRule>
  </conditionalFormatting>
  <conditionalFormatting sqref="C160:J160 L160:N160 C124:M158 F162:J162 K161 J159:M159">
    <cfRule type="containsText" dxfId="620" priority="17" stopIfTrue="1" operator="containsText" text="ELTÉRÉS!">
      <formula>NOT(ISERROR(SEARCH("ELTÉRÉS!",C124)))</formula>
    </cfRule>
    <cfRule type="containsText" dxfId="619" priority="18" stopIfTrue="1" operator="containsText" text="STIMMEL!">
      <formula>NOT(ISERROR(SEARCH("STIMMEL!",C124)))</formula>
    </cfRule>
  </conditionalFormatting>
  <conditionalFormatting sqref="C160:J160 L160:N160 C124:M158 F162:J162 K161 J159:M159">
    <cfRule type="cellIs" dxfId="618" priority="16" operator="equal">
      <formula>0.01</formula>
    </cfRule>
  </conditionalFormatting>
  <conditionalFormatting sqref="B124:B158 A124:A160">
    <cfRule type="containsText" dxfId="617" priority="14" stopIfTrue="1" operator="containsText" text="ELTÉRÉS!">
      <formula>NOT(ISERROR(SEARCH("ELTÉRÉS!",A124)))</formula>
    </cfRule>
    <cfRule type="containsText" dxfId="616" priority="15" stopIfTrue="1" operator="containsText" text="STIMMEL!">
      <formula>NOT(ISERROR(SEARCH("STIMMEL!",A124)))</formula>
    </cfRule>
  </conditionalFormatting>
  <conditionalFormatting sqref="B124:B158 A124:A160">
    <cfRule type="cellIs" dxfId="615" priority="13" operator="equal">
      <formula>0.01</formula>
    </cfRule>
  </conditionalFormatting>
  <conditionalFormatting sqref="A162">
    <cfRule type="containsText" dxfId="614" priority="11" stopIfTrue="1" operator="containsText" text="ELTÉRÉS!">
      <formula>NOT(ISERROR(SEARCH("ELTÉRÉS!",A162)))</formula>
    </cfRule>
    <cfRule type="containsText" dxfId="613" priority="12" stopIfTrue="1" operator="containsText" text="STIMMEL!">
      <formula>NOT(ISERROR(SEARCH("STIMMEL!",A162)))</formula>
    </cfRule>
  </conditionalFormatting>
  <conditionalFormatting sqref="A162">
    <cfRule type="cellIs" dxfId="612" priority="10" operator="equal">
      <formula>0.01</formula>
    </cfRule>
  </conditionalFormatting>
  <conditionalFormatting sqref="B162">
    <cfRule type="containsText" dxfId="611" priority="8" stopIfTrue="1" operator="containsText" text="ELTÉRÉS!">
      <formula>NOT(ISERROR(SEARCH("ELTÉRÉS!",B162)))</formula>
    </cfRule>
    <cfRule type="containsText" dxfId="610" priority="9" stopIfTrue="1" operator="containsText" text="STIMMEL!">
      <formula>NOT(ISERROR(SEARCH("STIMMEL!",B162)))</formula>
    </cfRule>
  </conditionalFormatting>
  <conditionalFormatting sqref="B162">
    <cfRule type="cellIs" dxfId="609" priority="7" operator="equal">
      <formula>0.01</formula>
    </cfRule>
  </conditionalFormatting>
  <conditionalFormatting sqref="N124:N159">
    <cfRule type="containsText" dxfId="608" priority="5" stopIfTrue="1" operator="containsText" text="ELTÉRÉS!">
      <formula>NOT(ISERROR(SEARCH("ELTÉRÉS!",N124)))</formula>
    </cfRule>
    <cfRule type="containsText" dxfId="607" priority="6" stopIfTrue="1" operator="containsText" text="STIMMEL!">
      <formula>NOT(ISERROR(SEARCH("STIMMEL!",N124)))</formula>
    </cfRule>
  </conditionalFormatting>
  <conditionalFormatting sqref="N124:N159">
    <cfRule type="cellIs" dxfId="606" priority="4" operator="equal">
      <formula>0.01</formula>
    </cfRule>
  </conditionalFormatting>
  <conditionalFormatting sqref="C159:I159">
    <cfRule type="containsText" dxfId="605" priority="2" stopIfTrue="1" operator="containsText" text="ELTÉRÉS!">
      <formula>NOT(ISERROR(SEARCH("ELTÉRÉS!",C159)))</formula>
    </cfRule>
    <cfRule type="containsText" dxfId="604" priority="3" stopIfTrue="1" operator="containsText" text="STIMMEL!">
      <formula>NOT(ISERROR(SEARCH("STIMMEL!",C159)))</formula>
    </cfRule>
  </conditionalFormatting>
  <conditionalFormatting sqref="C159:I159">
    <cfRule type="cellIs" dxfId="603" priority="1" operator="equal">
      <formula>0.01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EED4-1059-4079-ADE5-211A70736CD3}">
  <dimension ref="A1:Z458"/>
  <sheetViews>
    <sheetView workbookViewId="0">
      <pane ySplit="1" topLeftCell="A84" activePane="bottomLeft" state="frozen"/>
      <selection pane="bottomLeft" activeCell="K118" sqref="K118"/>
    </sheetView>
  </sheetViews>
  <sheetFormatPr defaultRowHeight="15" customHeight="1"/>
  <cols>
    <col min="1" max="1" width="13.85546875" bestFit="1" customWidth="1"/>
    <col min="2" max="2" width="13.85546875" customWidth="1"/>
    <col min="3" max="3" width="14" customWidth="1"/>
    <col min="4" max="4" width="17.42578125" customWidth="1"/>
    <col min="5" max="5" width="13.7109375" customWidth="1"/>
    <col min="6" max="6" width="15.5703125" customWidth="1"/>
    <col min="7" max="7" width="11.5703125" bestFit="1" customWidth="1"/>
    <col min="8" max="8" width="14.140625" customWidth="1"/>
    <col min="9" max="9" width="15.42578125" customWidth="1"/>
    <col min="10" max="10" width="11.140625" customWidth="1"/>
    <col min="11" max="11" width="16.42578125" customWidth="1"/>
    <col min="12" max="12" width="17.42578125" customWidth="1"/>
    <col min="14" max="14" width="16" customWidth="1"/>
    <col min="16" max="16" width="13.5703125" customWidth="1"/>
  </cols>
  <sheetData>
    <row r="1" spans="1:26" ht="32.25" customHeight="1">
      <c r="A1" s="68" t="s">
        <v>92</v>
      </c>
      <c r="B1" s="350" t="s">
        <v>147</v>
      </c>
      <c r="C1" s="3">
        <v>0</v>
      </c>
      <c r="D1" s="3">
        <v>0.05</v>
      </c>
      <c r="E1" s="3">
        <v>0.18</v>
      </c>
      <c r="F1" s="3">
        <v>0.27</v>
      </c>
      <c r="G1" s="2" t="s">
        <v>148</v>
      </c>
      <c r="H1" s="2" t="s">
        <v>149</v>
      </c>
      <c r="I1" s="40" t="s">
        <v>150</v>
      </c>
      <c r="J1" s="31" t="s">
        <v>222</v>
      </c>
      <c r="K1" s="189" t="s">
        <v>152</v>
      </c>
      <c r="L1" s="420" t="s">
        <v>153</v>
      </c>
      <c r="M1" s="44" t="s">
        <v>154</v>
      </c>
      <c r="N1" s="44" t="s">
        <v>155</v>
      </c>
      <c r="P1" t="s">
        <v>693</v>
      </c>
    </row>
    <row r="2" spans="1:26" ht="21">
      <c r="A2" s="66" t="s">
        <v>3</v>
      </c>
      <c r="B2" s="351"/>
      <c r="C2" s="26"/>
      <c r="D2" s="26"/>
      <c r="E2" s="26"/>
      <c r="F2" s="26"/>
      <c r="G2" s="26"/>
      <c r="H2" s="26"/>
      <c r="I2" s="26"/>
      <c r="J2" s="26"/>
      <c r="K2" s="34"/>
      <c r="L2" s="26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>
      <c r="A3" s="141">
        <v>46023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44"/>
      <c r="M3" s="150"/>
      <c r="N3" s="153"/>
      <c r="O3" s="41"/>
      <c r="P3" s="41">
        <f>'[5]2026 január'!B$2</f>
        <v>0</v>
      </c>
      <c r="Q3" s="41"/>
      <c r="R3" s="41"/>
      <c r="S3" s="41"/>
      <c r="T3" s="41"/>
      <c r="U3" s="41"/>
      <c r="V3" s="4"/>
      <c r="W3" s="42"/>
    </row>
    <row r="4" spans="1:26">
      <c r="A4" s="141">
        <v>46024</v>
      </c>
      <c r="B4" s="142"/>
      <c r="C4" s="142"/>
      <c r="D4" s="142"/>
      <c r="E4" s="142"/>
      <c r="F4" s="142"/>
      <c r="G4" s="142"/>
      <c r="H4" s="142"/>
      <c r="I4" s="142"/>
      <c r="J4" s="142"/>
      <c r="K4" s="143"/>
      <c r="L4" s="144"/>
      <c r="M4" s="150"/>
      <c r="N4" s="153"/>
      <c r="O4" s="41"/>
      <c r="P4" s="41">
        <f>'[5]2026 január'!B$3</f>
        <v>0</v>
      </c>
      <c r="Q4" s="41"/>
      <c r="R4" s="41"/>
      <c r="S4" s="41"/>
      <c r="T4" s="41"/>
      <c r="U4" s="41"/>
      <c r="V4" s="4"/>
      <c r="W4" s="41"/>
    </row>
    <row r="5" spans="1:26">
      <c r="A5" s="141">
        <v>46025</v>
      </c>
      <c r="B5" s="142"/>
      <c r="C5" s="142"/>
      <c r="D5" s="142"/>
      <c r="E5" s="142"/>
      <c r="F5" s="142"/>
      <c r="G5" s="142"/>
      <c r="H5" s="142"/>
      <c r="I5" s="142"/>
      <c r="J5" s="142"/>
      <c r="K5" s="143"/>
      <c r="L5" s="146"/>
      <c r="M5" s="151"/>
      <c r="N5" s="153"/>
      <c r="O5" s="41"/>
      <c r="P5" s="41">
        <f>'[5]2026 január'!B$4</f>
        <v>0</v>
      </c>
      <c r="Q5" s="41"/>
      <c r="R5" s="41"/>
      <c r="S5" s="41"/>
      <c r="T5" s="41"/>
      <c r="U5" s="41"/>
      <c r="V5" s="4"/>
      <c r="W5" s="41"/>
    </row>
    <row r="6" spans="1:26">
      <c r="A6" s="141">
        <v>46026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6"/>
      <c r="M6" s="151"/>
      <c r="N6" s="153"/>
      <c r="O6" s="41"/>
      <c r="P6" s="41">
        <f>'[5]2026 január'!B$5</f>
        <v>0</v>
      </c>
      <c r="Q6" s="41"/>
      <c r="R6" s="41"/>
      <c r="S6" s="41"/>
      <c r="T6" s="41"/>
      <c r="U6" s="41"/>
      <c r="V6" s="4"/>
      <c r="W6" s="41"/>
    </row>
    <row r="7" spans="1:26">
      <c r="A7" s="5">
        <v>46027</v>
      </c>
      <c r="B7" s="11">
        <v>54705</v>
      </c>
      <c r="C7" s="11">
        <v>555</v>
      </c>
      <c r="D7" s="11">
        <v>35565</v>
      </c>
      <c r="E7" s="11"/>
      <c r="F7" s="11">
        <v>6000</v>
      </c>
      <c r="G7" s="11">
        <v>3080</v>
      </c>
      <c r="H7" s="11">
        <v>39040</v>
      </c>
      <c r="I7" s="11">
        <v>39040</v>
      </c>
      <c r="J7" s="347" t="s">
        <v>139</v>
      </c>
      <c r="K7" s="72">
        <v>4258296</v>
      </c>
      <c r="L7" s="72"/>
      <c r="M7" s="152"/>
      <c r="N7" s="148"/>
      <c r="O7" s="41"/>
      <c r="P7" s="41">
        <f>'[5]2026 január'!B$6</f>
        <v>54705</v>
      </c>
      <c r="Q7" s="41"/>
      <c r="R7" s="41"/>
      <c r="S7" s="41"/>
      <c r="T7" s="41"/>
      <c r="U7" s="41"/>
      <c r="V7" s="4"/>
      <c r="W7" s="41"/>
    </row>
    <row r="8" spans="1:26">
      <c r="A8" s="5">
        <v>46028</v>
      </c>
      <c r="B8" s="11">
        <v>78180</v>
      </c>
      <c r="C8" s="11">
        <v>550</v>
      </c>
      <c r="D8" s="11">
        <v>48690</v>
      </c>
      <c r="E8" s="11"/>
      <c r="F8" s="11">
        <v>5041</v>
      </c>
      <c r="G8" s="11">
        <v>7670</v>
      </c>
      <c r="H8" s="11">
        <v>46611</v>
      </c>
      <c r="I8" s="11">
        <v>46611</v>
      </c>
      <c r="J8" s="347" t="s">
        <v>694</v>
      </c>
      <c r="K8" s="72">
        <v>4312577</v>
      </c>
      <c r="L8" s="72"/>
      <c r="M8" s="152"/>
      <c r="N8" s="148"/>
      <c r="O8" s="41"/>
      <c r="P8" s="41">
        <f>'[5]2026 január'!B$7</f>
        <v>77760</v>
      </c>
      <c r="Q8" s="41"/>
      <c r="R8" s="41"/>
      <c r="S8" s="41"/>
      <c r="T8" s="41"/>
      <c r="U8" s="41"/>
      <c r="V8" s="4"/>
      <c r="W8" s="41"/>
    </row>
    <row r="9" spans="1:26">
      <c r="A9" s="5">
        <v>46029</v>
      </c>
      <c r="B9" s="11">
        <v>91795</v>
      </c>
      <c r="C9" s="11"/>
      <c r="D9" s="11">
        <v>64110</v>
      </c>
      <c r="E9" s="11"/>
      <c r="F9" s="11">
        <v>7983</v>
      </c>
      <c r="G9" s="11">
        <v>4470</v>
      </c>
      <c r="H9" s="11">
        <v>67623</v>
      </c>
      <c r="I9" s="11">
        <v>67623</v>
      </c>
      <c r="J9" s="347" t="s">
        <v>695</v>
      </c>
      <c r="K9" s="72">
        <v>4384670</v>
      </c>
      <c r="L9" s="72"/>
      <c r="M9" s="152"/>
      <c r="N9" s="149"/>
      <c r="O9" s="41"/>
      <c r="P9" s="41">
        <f>'[5]2026 január'!B$8</f>
        <v>91795</v>
      </c>
      <c r="Q9" s="41"/>
      <c r="R9" s="41"/>
      <c r="S9" s="41"/>
      <c r="T9" s="41"/>
      <c r="U9" s="41"/>
      <c r="V9" s="4"/>
      <c r="W9" s="41"/>
    </row>
    <row r="10" spans="1:26">
      <c r="A10" s="5">
        <v>46030</v>
      </c>
      <c r="B10" s="11">
        <v>89300</v>
      </c>
      <c r="C10" s="11">
        <v>850</v>
      </c>
      <c r="D10" s="11">
        <v>61605</v>
      </c>
      <c r="E10" s="11"/>
      <c r="F10" s="11">
        <v>10357</v>
      </c>
      <c r="G10" s="11">
        <v>7335</v>
      </c>
      <c r="H10" s="11">
        <v>65477</v>
      </c>
      <c r="I10" s="11">
        <v>65477</v>
      </c>
      <c r="J10" s="347" t="s">
        <v>696</v>
      </c>
      <c r="K10" s="72">
        <v>4457482</v>
      </c>
      <c r="L10" s="72"/>
      <c r="M10" s="152"/>
      <c r="N10" s="148"/>
      <c r="O10" s="41"/>
      <c r="P10" s="41">
        <f>'[5]2026 január'!B$9</f>
        <v>86920</v>
      </c>
      <c r="Q10" s="41"/>
      <c r="R10" s="41"/>
      <c r="S10" s="41"/>
      <c r="T10" s="41"/>
      <c r="U10" s="41"/>
      <c r="V10" s="4"/>
      <c r="W10" s="41"/>
    </row>
    <row r="11" spans="1:26">
      <c r="A11" s="5">
        <v>46031</v>
      </c>
      <c r="B11" s="11">
        <v>67720</v>
      </c>
      <c r="C11" s="11">
        <v>150</v>
      </c>
      <c r="D11" s="11">
        <v>43340</v>
      </c>
      <c r="E11" s="11">
        <v>360</v>
      </c>
      <c r="F11" s="11">
        <v>970</v>
      </c>
      <c r="G11" s="11">
        <v>5450</v>
      </c>
      <c r="H11" s="11">
        <v>39370</v>
      </c>
      <c r="I11" s="11">
        <v>39370</v>
      </c>
      <c r="J11" s="347" t="s">
        <v>697</v>
      </c>
      <c r="K11" s="72">
        <v>4502302</v>
      </c>
      <c r="L11" s="72"/>
      <c r="M11" s="152"/>
      <c r="N11" s="148"/>
      <c r="O11" s="41"/>
      <c r="P11" s="41">
        <f>'[5]2026 január'!B$10</f>
        <v>67300</v>
      </c>
      <c r="Q11" s="41"/>
      <c r="R11" s="41"/>
      <c r="S11" s="41"/>
      <c r="T11" s="41"/>
      <c r="U11" s="41"/>
      <c r="V11" s="4"/>
      <c r="W11" s="41"/>
    </row>
    <row r="12" spans="1:26">
      <c r="A12" s="141">
        <v>46032</v>
      </c>
      <c r="B12" s="142"/>
      <c r="C12" s="142"/>
      <c r="D12" s="142"/>
      <c r="E12" s="142"/>
      <c r="F12" s="142"/>
      <c r="G12" s="142"/>
      <c r="H12" s="142"/>
      <c r="I12" s="142"/>
      <c r="J12" s="366"/>
      <c r="K12" s="143"/>
      <c r="L12" s="146"/>
      <c r="M12" s="151"/>
      <c r="N12" s="153"/>
      <c r="O12" s="41"/>
      <c r="P12" s="41">
        <f>'[5]2026 január'!B$11</f>
        <v>0</v>
      </c>
      <c r="Q12" s="41"/>
      <c r="R12" s="41"/>
      <c r="S12" s="41"/>
      <c r="T12" s="41"/>
      <c r="U12" s="41"/>
      <c r="V12" s="4"/>
      <c r="W12" s="41"/>
    </row>
    <row r="13" spans="1:26">
      <c r="A13" s="141">
        <v>46033</v>
      </c>
      <c r="B13" s="142"/>
      <c r="C13" s="142"/>
      <c r="D13" s="142"/>
      <c r="E13" s="142"/>
      <c r="F13" s="142"/>
      <c r="G13" s="142"/>
      <c r="H13" s="142"/>
      <c r="I13" s="142"/>
      <c r="J13" s="366"/>
      <c r="K13" s="143"/>
      <c r="L13" s="146"/>
      <c r="M13" s="151"/>
      <c r="N13" s="153"/>
      <c r="O13" s="41"/>
      <c r="P13" s="41">
        <f>'[5]2026 január'!B$12</f>
        <v>0</v>
      </c>
      <c r="Q13" s="41"/>
      <c r="R13" s="41"/>
      <c r="S13" s="41"/>
      <c r="T13" s="41"/>
      <c r="U13" s="41"/>
      <c r="V13" s="4"/>
      <c r="W13" s="41"/>
    </row>
    <row r="14" spans="1:26">
      <c r="A14" s="5">
        <v>46034</v>
      </c>
      <c r="B14" s="11">
        <v>112915</v>
      </c>
      <c r="C14" s="11">
        <v>1100</v>
      </c>
      <c r="D14" s="11">
        <v>67783</v>
      </c>
      <c r="E14" s="11"/>
      <c r="F14" s="11">
        <v>13074</v>
      </c>
      <c r="G14" s="11">
        <v>8930</v>
      </c>
      <c r="H14" s="75">
        <v>73027</v>
      </c>
      <c r="I14" s="75">
        <v>70027</v>
      </c>
      <c r="J14" s="347" t="s">
        <v>698</v>
      </c>
      <c r="K14" s="72">
        <v>4584259</v>
      </c>
      <c r="L14" s="72"/>
      <c r="M14" s="152"/>
      <c r="N14" s="457" t="s">
        <v>162</v>
      </c>
      <c r="O14" s="41"/>
      <c r="P14" s="41">
        <f>'[5]2026 január'!B$13</f>
        <v>110565</v>
      </c>
      <c r="Q14" s="41"/>
      <c r="R14" s="41"/>
      <c r="S14" s="41"/>
      <c r="T14" s="41"/>
      <c r="U14" s="41"/>
      <c r="V14" s="4"/>
      <c r="W14" s="41"/>
    </row>
    <row r="15" spans="1:26">
      <c r="A15" s="5">
        <v>46035</v>
      </c>
      <c r="B15" s="11">
        <v>81750</v>
      </c>
      <c r="C15" s="11"/>
      <c r="D15" s="11">
        <v>48810</v>
      </c>
      <c r="E15" s="11"/>
      <c r="F15" s="11">
        <v>3558</v>
      </c>
      <c r="G15" s="11">
        <v>5650</v>
      </c>
      <c r="H15" s="11">
        <v>46718</v>
      </c>
      <c r="I15" s="11">
        <v>46718</v>
      </c>
      <c r="J15" s="347" t="s">
        <v>699</v>
      </c>
      <c r="K15" s="72">
        <v>4636627</v>
      </c>
      <c r="L15" s="72"/>
      <c r="M15" s="152"/>
      <c r="N15" s="148"/>
      <c r="O15" s="41"/>
      <c r="P15" s="41">
        <f>'[5]2026 január'!B$14</f>
        <v>81750</v>
      </c>
      <c r="Q15" s="41"/>
      <c r="R15" s="41"/>
      <c r="S15" s="41"/>
      <c r="T15" s="41"/>
      <c r="U15" s="41"/>
      <c r="V15" s="4"/>
      <c r="W15" s="41"/>
    </row>
    <row r="16" spans="1:26">
      <c r="A16" s="5">
        <v>46036</v>
      </c>
      <c r="B16" s="11">
        <v>64765</v>
      </c>
      <c r="C16" s="11">
        <v>700</v>
      </c>
      <c r="D16" s="11">
        <v>17620</v>
      </c>
      <c r="E16" s="11"/>
      <c r="F16" s="11">
        <v>11073</v>
      </c>
      <c r="G16" s="11">
        <v>4540</v>
      </c>
      <c r="H16" s="11">
        <v>24853</v>
      </c>
      <c r="I16" s="11">
        <v>24853</v>
      </c>
      <c r="J16" s="347" t="s">
        <v>700</v>
      </c>
      <c r="K16" s="72">
        <v>4666020</v>
      </c>
      <c r="L16" s="72"/>
      <c r="M16" s="152"/>
      <c r="N16" s="457" t="s">
        <v>162</v>
      </c>
      <c r="O16" s="41"/>
      <c r="P16" s="41">
        <f>'[5]2026 január'!B$15</f>
        <v>64765</v>
      </c>
      <c r="Q16" s="41"/>
      <c r="R16" s="41"/>
      <c r="S16" s="41"/>
      <c r="T16" s="41"/>
      <c r="U16" s="41"/>
      <c r="V16" s="4"/>
      <c r="W16" s="41"/>
    </row>
    <row r="17" spans="1:23">
      <c r="A17" s="5">
        <v>46037</v>
      </c>
      <c r="B17" s="11">
        <v>90860</v>
      </c>
      <c r="C17" s="11">
        <v>600</v>
      </c>
      <c r="D17" s="11">
        <v>55420</v>
      </c>
      <c r="E17" s="11"/>
      <c r="F17" s="11">
        <v>1430</v>
      </c>
      <c r="G17" s="11">
        <v>5230</v>
      </c>
      <c r="H17" s="75">
        <v>52220</v>
      </c>
      <c r="I17" s="75">
        <v>52213</v>
      </c>
      <c r="J17" s="347" t="s">
        <v>140</v>
      </c>
      <c r="K17" s="72">
        <v>4723470</v>
      </c>
      <c r="L17" s="72"/>
      <c r="M17" s="152"/>
      <c r="N17" s="148"/>
      <c r="O17" s="41"/>
      <c r="P17" s="41">
        <f>'[5]2026 január'!B$16</f>
        <v>90860</v>
      </c>
      <c r="Q17" s="41"/>
      <c r="R17" s="41"/>
      <c r="S17" s="41"/>
      <c r="T17" s="41"/>
      <c r="U17" s="41"/>
      <c r="V17" s="4"/>
      <c r="W17" s="41"/>
    </row>
    <row r="18" spans="1:23">
      <c r="A18" s="5">
        <v>46038</v>
      </c>
      <c r="B18" s="11"/>
      <c r="C18" s="11"/>
      <c r="D18" s="11"/>
      <c r="E18" s="11"/>
      <c r="F18" s="11"/>
      <c r="G18" s="11"/>
      <c r="H18" s="11"/>
      <c r="I18" s="11"/>
      <c r="J18" s="347"/>
      <c r="K18" s="38"/>
      <c r="L18" s="72"/>
      <c r="M18" s="152"/>
      <c r="N18" s="148"/>
      <c r="O18" s="41"/>
      <c r="P18" s="41">
        <f>'[5]2026 január'!B$17</f>
        <v>47705</v>
      </c>
      <c r="Q18" s="41"/>
      <c r="R18" s="41"/>
      <c r="S18" s="41"/>
      <c r="T18" s="41"/>
      <c r="U18" s="41"/>
      <c r="V18" s="4"/>
      <c r="W18" s="41"/>
    </row>
    <row r="19" spans="1:23">
      <c r="A19" s="141">
        <v>46039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3"/>
      <c r="L19" s="146"/>
      <c r="M19" s="151"/>
      <c r="N19" s="153"/>
      <c r="O19" s="41"/>
      <c r="P19" s="41">
        <f>'[5]2026 január'!B$18</f>
        <v>0</v>
      </c>
      <c r="Q19" s="41"/>
      <c r="R19" s="41"/>
      <c r="S19" s="41"/>
      <c r="T19" s="41"/>
      <c r="U19" s="41"/>
      <c r="V19" s="4"/>
      <c r="W19" s="41"/>
    </row>
    <row r="20" spans="1:23">
      <c r="A20" s="141">
        <v>46040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3"/>
      <c r="L20" s="146"/>
      <c r="M20" s="151"/>
      <c r="N20" s="153"/>
      <c r="O20" s="41"/>
      <c r="P20" s="41">
        <f>'[5]2026 január'!B$19</f>
        <v>0</v>
      </c>
      <c r="Q20" s="41"/>
      <c r="R20" s="41"/>
      <c r="S20" s="41"/>
      <c r="T20" s="41"/>
      <c r="U20" s="41"/>
      <c r="V20" s="4"/>
      <c r="W20" s="41"/>
    </row>
    <row r="21" spans="1:23">
      <c r="A21" s="5">
        <v>46041</v>
      </c>
      <c r="B21" s="11"/>
      <c r="C21" s="11"/>
      <c r="D21" s="11"/>
      <c r="E21" s="11"/>
      <c r="F21" s="11"/>
      <c r="G21" s="11"/>
      <c r="H21" s="11"/>
      <c r="I21" s="11"/>
      <c r="J21" s="11"/>
      <c r="K21" s="38"/>
      <c r="L21" s="72"/>
      <c r="M21" s="152"/>
      <c r="N21" s="148"/>
      <c r="O21" s="41"/>
      <c r="P21" s="41">
        <f>'[5]2026 január'!B$20</f>
        <v>98476</v>
      </c>
      <c r="Q21" s="41"/>
      <c r="R21" s="41"/>
      <c r="S21" s="41"/>
      <c r="T21" s="41"/>
      <c r="U21" s="41"/>
      <c r="V21" s="4"/>
      <c r="W21" s="41"/>
    </row>
    <row r="22" spans="1:23">
      <c r="A22" s="5">
        <v>46042</v>
      </c>
      <c r="B22" s="11"/>
      <c r="C22" s="11"/>
      <c r="D22" s="11"/>
      <c r="E22" s="11"/>
      <c r="F22" s="11"/>
      <c r="G22" s="11"/>
      <c r="H22" s="11"/>
      <c r="I22" s="11"/>
      <c r="J22" s="11"/>
      <c r="K22" s="38"/>
      <c r="L22" s="72"/>
      <c r="M22" s="152"/>
      <c r="N22" s="148"/>
      <c r="O22" s="41"/>
      <c r="P22" s="41">
        <f>'[5]2026 január'!B$21</f>
        <v>102553</v>
      </c>
      <c r="Q22" s="41"/>
      <c r="R22" s="41"/>
      <c r="S22" s="41"/>
      <c r="T22" s="41"/>
      <c r="U22" s="41"/>
      <c r="V22" s="4"/>
      <c r="W22" s="41"/>
    </row>
    <row r="23" spans="1:23">
      <c r="A23" s="5">
        <v>46043</v>
      </c>
      <c r="B23" s="11"/>
      <c r="C23" s="11"/>
      <c r="D23" s="11"/>
      <c r="E23" s="11"/>
      <c r="F23" s="11"/>
      <c r="G23" s="11"/>
      <c r="H23" s="11"/>
      <c r="I23" s="11"/>
      <c r="J23" s="11"/>
      <c r="K23" s="38"/>
      <c r="L23" s="72"/>
      <c r="M23" s="152"/>
      <c r="N23" s="148"/>
      <c r="O23" s="41"/>
      <c r="P23" s="41">
        <f>'[5]2026 január'!B$22</f>
        <v>100102</v>
      </c>
      <c r="Q23" s="41"/>
      <c r="R23" s="41"/>
      <c r="S23" s="41"/>
      <c r="T23" s="41"/>
      <c r="U23" s="41"/>
      <c r="V23" s="4"/>
      <c r="W23" s="41"/>
    </row>
    <row r="24" spans="1:23">
      <c r="A24" s="5">
        <v>46044</v>
      </c>
      <c r="B24" s="11"/>
      <c r="C24" s="11"/>
      <c r="D24" s="11"/>
      <c r="E24" s="11"/>
      <c r="F24" s="11"/>
      <c r="G24" s="11"/>
      <c r="H24" s="11"/>
      <c r="I24" s="11"/>
      <c r="J24" s="11"/>
      <c r="K24" s="38"/>
      <c r="L24" s="72"/>
      <c r="M24" s="152"/>
      <c r="N24" s="148"/>
      <c r="O24" s="41"/>
      <c r="P24" s="41">
        <f>'[5]2026 január'!B$23</f>
        <v>134773</v>
      </c>
      <c r="Q24" s="41"/>
      <c r="R24" s="41"/>
      <c r="S24" s="41"/>
      <c r="T24" s="41"/>
      <c r="U24" s="41"/>
      <c r="V24" s="4"/>
      <c r="W24" s="41"/>
    </row>
    <row r="25" spans="1:23">
      <c r="A25" s="5">
        <v>46045</v>
      </c>
      <c r="B25" s="11"/>
      <c r="C25" s="11"/>
      <c r="D25" s="11"/>
      <c r="E25" s="11"/>
      <c r="F25" s="11"/>
      <c r="G25" s="11"/>
      <c r="H25" s="11"/>
      <c r="I25" s="11"/>
      <c r="J25" s="11"/>
      <c r="K25" s="38"/>
      <c r="L25" s="72"/>
      <c r="M25" s="152"/>
      <c r="N25" s="148"/>
      <c r="O25" s="41"/>
      <c r="P25" s="41">
        <f>'[5]2026 január'!B$24</f>
        <v>102605</v>
      </c>
      <c r="Q25" s="41"/>
      <c r="R25" s="41"/>
      <c r="S25" s="41"/>
      <c r="T25" s="41"/>
      <c r="U25" s="41"/>
      <c r="V25" s="4"/>
      <c r="W25" s="41"/>
    </row>
    <row r="26" spans="1:23">
      <c r="A26" s="141">
        <v>46046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3"/>
      <c r="L26" s="146"/>
      <c r="M26" s="151"/>
      <c r="N26" s="153"/>
      <c r="O26" s="41"/>
      <c r="P26" s="41">
        <f>'[5]2026 január'!B$25</f>
        <v>0</v>
      </c>
      <c r="Q26" s="41"/>
      <c r="R26" s="41"/>
      <c r="S26" s="41"/>
      <c r="T26" s="41"/>
      <c r="U26" s="41"/>
      <c r="V26" s="4"/>
      <c r="W26" s="41"/>
    </row>
    <row r="27" spans="1:23">
      <c r="A27" s="141">
        <v>46047</v>
      </c>
      <c r="B27" s="142"/>
      <c r="C27" s="142"/>
      <c r="D27" s="142"/>
      <c r="E27" s="142"/>
      <c r="F27" s="142"/>
      <c r="G27" s="142"/>
      <c r="H27" s="142"/>
      <c r="I27" s="142"/>
      <c r="J27" s="142"/>
      <c r="K27" s="143"/>
      <c r="L27" s="146"/>
      <c r="M27" s="151"/>
      <c r="N27" s="153"/>
      <c r="O27" s="41"/>
      <c r="P27" s="41">
        <f>'[5]2026 január'!B$26</f>
        <v>0</v>
      </c>
      <c r="Q27" s="41"/>
      <c r="R27" s="41"/>
      <c r="S27" s="41"/>
      <c r="T27" s="41"/>
      <c r="U27" s="41"/>
      <c r="V27" s="4"/>
      <c r="W27" s="41"/>
    </row>
    <row r="28" spans="1:23">
      <c r="A28" s="5">
        <v>46048</v>
      </c>
      <c r="B28" s="11"/>
      <c r="C28" s="11"/>
      <c r="D28" s="11"/>
      <c r="E28" s="11"/>
      <c r="F28" s="11"/>
      <c r="G28" s="11"/>
      <c r="H28" s="11"/>
      <c r="I28" s="11"/>
      <c r="J28" s="11"/>
      <c r="K28" s="38"/>
      <c r="L28" s="72"/>
      <c r="M28" s="152"/>
      <c r="N28" s="148"/>
      <c r="O28" s="41"/>
      <c r="P28" s="41">
        <f>'[5]2026 január'!B$27</f>
        <v>118750</v>
      </c>
      <c r="Q28" s="41"/>
      <c r="R28" s="41"/>
      <c r="S28" s="41"/>
      <c r="T28" s="41"/>
      <c r="U28" s="41"/>
      <c r="V28" s="4"/>
      <c r="W28" s="41"/>
    </row>
    <row r="29" spans="1:23">
      <c r="A29" s="5">
        <v>46049</v>
      </c>
      <c r="B29" s="11"/>
      <c r="C29" s="11"/>
      <c r="D29" s="11"/>
      <c r="E29" s="11"/>
      <c r="F29" s="11"/>
      <c r="G29" s="11"/>
      <c r="H29" s="11"/>
      <c r="I29" s="11"/>
      <c r="J29" s="11"/>
      <c r="K29" s="38"/>
      <c r="L29" s="72"/>
      <c r="M29" s="152"/>
      <c r="N29" s="148"/>
      <c r="O29" s="41"/>
      <c r="P29" s="41">
        <f>'[5]2026 január'!B$28</f>
        <v>123103</v>
      </c>
      <c r="Q29" s="41"/>
      <c r="R29" s="41"/>
      <c r="S29" s="41"/>
      <c r="T29" s="41"/>
      <c r="U29" s="41"/>
      <c r="V29" s="4"/>
      <c r="W29" s="41"/>
    </row>
    <row r="30" spans="1:23">
      <c r="A30" s="5">
        <v>46050</v>
      </c>
      <c r="B30" s="11"/>
      <c r="C30" s="11"/>
      <c r="D30" s="11"/>
      <c r="E30" s="11"/>
      <c r="F30" s="11"/>
      <c r="G30" s="11"/>
      <c r="H30" s="11"/>
      <c r="I30" s="11"/>
      <c r="J30" s="11"/>
      <c r="K30" s="38"/>
      <c r="L30" s="72"/>
      <c r="M30" s="152"/>
      <c r="N30" s="148"/>
      <c r="O30" s="41"/>
      <c r="P30" s="41">
        <f>'[5]2026 január'!B$29</f>
        <v>130968</v>
      </c>
      <c r="Q30" s="41"/>
      <c r="R30" s="41"/>
      <c r="S30" s="41"/>
      <c r="T30" s="41"/>
      <c r="U30" s="41"/>
      <c r="V30" s="4"/>
      <c r="W30" s="41"/>
    </row>
    <row r="31" spans="1:23">
      <c r="A31" s="5">
        <v>46051</v>
      </c>
      <c r="B31" s="11"/>
      <c r="C31" s="11"/>
      <c r="D31" s="11"/>
      <c r="E31" s="11"/>
      <c r="F31" s="11"/>
      <c r="G31" s="11"/>
      <c r="H31" s="11"/>
      <c r="I31" s="11"/>
      <c r="J31" s="11"/>
      <c r="K31" s="38"/>
      <c r="L31" s="72"/>
      <c r="M31" s="152"/>
      <c r="N31" s="148"/>
      <c r="O31" s="41"/>
      <c r="P31" s="41">
        <f>'[5]2026 január'!B$30</f>
        <v>69155</v>
      </c>
      <c r="Q31" s="41"/>
      <c r="R31" s="41"/>
      <c r="S31" s="41"/>
      <c r="T31" s="41"/>
      <c r="U31" s="41"/>
      <c r="V31" s="4"/>
      <c r="W31" s="41"/>
    </row>
    <row r="32" spans="1:23">
      <c r="A32" s="5">
        <v>46052</v>
      </c>
      <c r="B32" s="11"/>
      <c r="C32" s="11"/>
      <c r="D32" s="11"/>
      <c r="E32" s="11"/>
      <c r="F32" s="11"/>
      <c r="G32" s="11"/>
      <c r="H32" s="11"/>
      <c r="I32" s="11"/>
      <c r="J32" s="11"/>
      <c r="K32" s="38"/>
      <c r="L32" s="72"/>
      <c r="M32" s="152"/>
      <c r="N32" s="148"/>
      <c r="O32" s="41"/>
      <c r="P32" s="41">
        <f>'[5]2026 január'!B$31</f>
        <v>73206</v>
      </c>
      <c r="Q32" s="41"/>
      <c r="R32" s="41"/>
      <c r="S32" s="41"/>
      <c r="T32" s="41"/>
      <c r="U32" s="41"/>
      <c r="V32" s="4"/>
      <c r="W32" s="41"/>
    </row>
    <row r="33" spans="1:23">
      <c r="A33" s="141">
        <v>46053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3"/>
      <c r="L33" s="146"/>
      <c r="M33" s="151"/>
      <c r="N33" s="153"/>
      <c r="O33" s="41"/>
      <c r="P33" s="41">
        <f>'[5]2026 január'!B$32</f>
        <v>0</v>
      </c>
      <c r="Q33" s="41"/>
      <c r="R33" s="41"/>
      <c r="S33" s="41"/>
      <c r="T33" s="41"/>
      <c r="U33" s="41"/>
      <c r="V33" s="4"/>
      <c r="W33" s="42"/>
    </row>
    <row r="34" spans="1:23" ht="18.75">
      <c r="A34" s="69" t="s">
        <v>64</v>
      </c>
      <c r="B34" s="362"/>
      <c r="C34" s="19">
        <f>SUM(C1:C33)</f>
        <v>4505</v>
      </c>
      <c r="D34" s="19">
        <f>SUM(D1:D33)</f>
        <v>442943.05</v>
      </c>
      <c r="E34" s="19">
        <f>SUM(E1:E33)</f>
        <v>360.18</v>
      </c>
      <c r="F34" s="19">
        <f>SUM(F1:F33)</f>
        <v>59486.270000000004</v>
      </c>
      <c r="G34" s="20">
        <f>SUM(G3:G33)</f>
        <v>52355</v>
      </c>
      <c r="H34" s="20">
        <f>SUM(H3:H33)</f>
        <v>454939</v>
      </c>
      <c r="I34" s="39">
        <f>SUM(I3:I33)</f>
        <v>451932</v>
      </c>
      <c r="J34" s="39"/>
      <c r="K34" s="418">
        <v>4723470</v>
      </c>
      <c r="L34" s="418">
        <v>507294</v>
      </c>
      <c r="M34" s="45"/>
      <c r="N34" s="4"/>
      <c r="O34" s="64"/>
      <c r="P34" s="4"/>
      <c r="Q34" s="4"/>
      <c r="R34" s="4"/>
      <c r="S34" s="64"/>
      <c r="T34" s="4"/>
      <c r="U34" s="4"/>
      <c r="V34" s="4"/>
      <c r="W34" s="4"/>
    </row>
    <row r="35" spans="1:23">
      <c r="A35" s="70"/>
      <c r="B35" s="355"/>
      <c r="C35" s="23">
        <f>C34+D34+E34+F34</f>
        <v>507294.5</v>
      </c>
      <c r="D35" s="9"/>
      <c r="E35" s="9"/>
      <c r="F35" s="9"/>
      <c r="G35" s="22">
        <f>G34+H34</f>
        <v>507294</v>
      </c>
      <c r="H35" s="9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B36" s="356"/>
    </row>
    <row r="37" spans="1:23">
      <c r="B37" s="356"/>
    </row>
    <row r="38" spans="1:23">
      <c r="B38" s="356"/>
    </row>
    <row r="39" spans="1:23" ht="15" customHeight="1">
      <c r="A39" s="389" t="s">
        <v>177</v>
      </c>
      <c r="B39" s="390"/>
      <c r="C39" s="391"/>
      <c r="D39" s="391"/>
      <c r="E39" s="391"/>
      <c r="F39" s="392"/>
      <c r="G39" s="392"/>
      <c r="H39" s="392"/>
      <c r="I39" s="392"/>
      <c r="J39" s="393"/>
      <c r="K39" s="394"/>
      <c r="L39" s="4"/>
    </row>
    <row r="40" spans="1:23" ht="15" customHeight="1">
      <c r="A40" s="395" t="s">
        <v>643</v>
      </c>
      <c r="B40" s="396"/>
      <c r="C40" s="396"/>
      <c r="D40" s="396"/>
      <c r="E40" s="396"/>
      <c r="F40" s="396"/>
      <c r="G40" s="396"/>
      <c r="H40" s="396"/>
      <c r="I40" s="396"/>
      <c r="J40" s="396"/>
      <c r="K40" s="397"/>
      <c r="L40" s="4"/>
    </row>
    <row r="41" spans="1:23">
      <c r="A41" s="398" t="s">
        <v>644</v>
      </c>
      <c r="B41" s="399"/>
      <c r="C41" s="399"/>
      <c r="D41" s="399"/>
      <c r="E41" s="399"/>
      <c r="F41" s="399"/>
      <c r="G41" s="399"/>
      <c r="H41" s="399"/>
      <c r="I41" s="399"/>
      <c r="J41" s="399"/>
      <c r="K41" s="400"/>
      <c r="L41" s="4"/>
    </row>
    <row r="42" spans="1:23" ht="15" customHeight="1">
      <c r="B42" s="356"/>
    </row>
    <row r="43" spans="1:23" ht="15" customHeight="1">
      <c r="A43" s="66" t="s">
        <v>4</v>
      </c>
      <c r="B43" s="351"/>
      <c r="C43" s="26"/>
      <c r="D43" s="26"/>
      <c r="E43" s="26"/>
      <c r="F43" s="26"/>
      <c r="G43" s="26"/>
      <c r="H43" s="26"/>
      <c r="I43" s="26"/>
      <c r="J43" s="34"/>
      <c r="K43" s="349"/>
      <c r="L43" s="255"/>
      <c r="M43" s="385"/>
      <c r="N43" s="157"/>
    </row>
    <row r="44" spans="1:23" ht="15" customHeight="1">
      <c r="A44" s="141">
        <v>46054</v>
      </c>
      <c r="B44" s="142"/>
      <c r="C44" s="142"/>
      <c r="D44" s="142"/>
      <c r="E44" s="142"/>
      <c r="F44" s="142"/>
      <c r="G44" s="142"/>
      <c r="H44" s="142"/>
      <c r="I44" s="142"/>
      <c r="J44" s="143"/>
      <c r="K44" s="144"/>
      <c r="L44" s="256"/>
      <c r="M44" s="381"/>
      <c r="N44" s="158"/>
      <c r="P44" s="41">
        <f>'[5]2026 február'!B$2</f>
        <v>0</v>
      </c>
    </row>
    <row r="45" spans="1:23" ht="15" customHeight="1">
      <c r="A45" s="141">
        <v>46055</v>
      </c>
      <c r="B45" s="11"/>
      <c r="C45" s="11"/>
      <c r="D45" s="11"/>
      <c r="E45" s="11"/>
      <c r="F45" s="11"/>
      <c r="G45" s="11"/>
      <c r="H45" s="11"/>
      <c r="I45" s="11"/>
      <c r="J45" s="38"/>
      <c r="K45" s="71"/>
      <c r="L45" s="377"/>
      <c r="M45" s="216"/>
      <c r="N45" s="9"/>
      <c r="P45" s="41">
        <f>'[5]2026 február'!B$3</f>
        <v>99480</v>
      </c>
    </row>
    <row r="46" spans="1:23" ht="15" customHeight="1">
      <c r="A46" s="141">
        <v>46056</v>
      </c>
      <c r="B46" s="11"/>
      <c r="C46" s="11"/>
      <c r="D46" s="11"/>
      <c r="E46" s="11"/>
      <c r="F46" s="11"/>
      <c r="G46" s="11"/>
      <c r="H46" s="11"/>
      <c r="I46" s="11"/>
      <c r="J46" s="38"/>
      <c r="K46" s="72"/>
      <c r="L46" s="258"/>
      <c r="M46" s="216"/>
      <c r="N46" s="9"/>
      <c r="P46" s="41">
        <f>'[5]2026 február'!B$4</f>
        <v>128013</v>
      </c>
    </row>
    <row r="47" spans="1:23" ht="15" customHeight="1">
      <c r="A47" s="141">
        <v>46057</v>
      </c>
      <c r="B47" s="11"/>
      <c r="C47" s="11"/>
      <c r="D47" s="11"/>
      <c r="E47" s="11"/>
      <c r="F47" s="11"/>
      <c r="G47" s="11"/>
      <c r="H47" s="11"/>
      <c r="I47" s="11"/>
      <c r="J47" s="38"/>
      <c r="K47" s="72"/>
      <c r="L47" s="258"/>
      <c r="M47" s="216"/>
      <c r="N47" s="9"/>
      <c r="P47" s="41">
        <f>'[5]2026 február'!B$5</f>
        <v>108851</v>
      </c>
    </row>
    <row r="48" spans="1:23" ht="15" customHeight="1">
      <c r="A48" s="141">
        <v>46058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38" t="s">
        <v>122</v>
      </c>
      <c r="K48" s="72">
        <v>4723470</v>
      </c>
      <c r="L48" s="258"/>
      <c r="M48" s="216"/>
      <c r="N48" s="9"/>
      <c r="P48" s="41">
        <f>'[5]2026 február'!B$6</f>
        <v>102689</v>
      </c>
    </row>
    <row r="49" spans="1:16" ht="15" customHeight="1">
      <c r="A49" s="141">
        <v>46059</v>
      </c>
      <c r="B49" s="11">
        <v>90959</v>
      </c>
      <c r="C49" s="11">
        <v>580</v>
      </c>
      <c r="D49" s="11">
        <v>57942</v>
      </c>
      <c r="E49" s="11">
        <v>360</v>
      </c>
      <c r="F49" s="11">
        <v>650</v>
      </c>
      <c r="G49" s="11">
        <v>6790</v>
      </c>
      <c r="H49" s="11">
        <v>52742</v>
      </c>
      <c r="I49" s="11">
        <v>52742</v>
      </c>
      <c r="J49" s="38" t="s">
        <v>701</v>
      </c>
      <c r="K49" s="72">
        <v>4783002</v>
      </c>
      <c r="L49" s="258"/>
      <c r="M49" s="216"/>
      <c r="N49" s="9"/>
      <c r="P49" s="41">
        <f>'[5]2026 február'!B$7</f>
        <v>90959</v>
      </c>
    </row>
    <row r="50" spans="1:16" ht="15" customHeight="1">
      <c r="A50" s="141">
        <v>46060</v>
      </c>
      <c r="B50" s="142"/>
      <c r="C50" s="142"/>
      <c r="D50" s="142"/>
      <c r="E50" s="142"/>
      <c r="F50" s="142"/>
      <c r="G50" s="142"/>
      <c r="H50" s="142"/>
      <c r="I50" s="142"/>
      <c r="J50" s="143"/>
      <c r="K50" s="146"/>
      <c r="L50" s="257"/>
      <c r="M50" s="381"/>
      <c r="N50" s="158"/>
      <c r="P50" s="41">
        <f>'[5]2026 február'!B$8</f>
        <v>0</v>
      </c>
    </row>
    <row r="51" spans="1:16" ht="15" customHeight="1">
      <c r="A51" s="141">
        <v>46061</v>
      </c>
      <c r="B51" s="142"/>
      <c r="C51" s="142"/>
      <c r="D51" s="142"/>
      <c r="E51" s="142"/>
      <c r="F51" s="142"/>
      <c r="G51" s="142"/>
      <c r="H51" s="142"/>
      <c r="I51" s="142"/>
      <c r="J51" s="143"/>
      <c r="K51" s="146"/>
      <c r="L51" s="257"/>
      <c r="M51" s="381"/>
      <c r="N51" s="158"/>
      <c r="P51" s="41">
        <f>'[5]2026 február'!B$9</f>
        <v>0</v>
      </c>
    </row>
    <row r="52" spans="1:16" ht="15" customHeight="1">
      <c r="A52" s="141">
        <v>46062</v>
      </c>
      <c r="B52" s="11">
        <v>79545</v>
      </c>
      <c r="C52" s="11">
        <v>500</v>
      </c>
      <c r="D52" s="11">
        <v>49478</v>
      </c>
      <c r="E52" s="11">
        <v>0</v>
      </c>
      <c r="F52" s="11">
        <v>2312</v>
      </c>
      <c r="G52" s="11">
        <v>5450</v>
      </c>
      <c r="H52" s="11">
        <v>46840</v>
      </c>
      <c r="I52" s="11">
        <v>46840</v>
      </c>
      <c r="J52" s="38" t="s">
        <v>702</v>
      </c>
      <c r="K52" s="72">
        <v>4835292</v>
      </c>
      <c r="L52" s="258"/>
      <c r="M52" s="216"/>
      <c r="N52" s="9"/>
      <c r="P52" s="41">
        <f>'[5]2026 február'!B$10</f>
        <v>79545</v>
      </c>
    </row>
    <row r="53" spans="1:16" ht="15" customHeight="1">
      <c r="A53" s="141">
        <v>46063</v>
      </c>
      <c r="B53" s="11">
        <v>116419</v>
      </c>
      <c r="C53" s="11">
        <v>650</v>
      </c>
      <c r="D53" s="11">
        <v>69370</v>
      </c>
      <c r="E53" s="11">
        <v>0</v>
      </c>
      <c r="F53" s="11">
        <v>18879</v>
      </c>
      <c r="G53" s="11">
        <v>4550</v>
      </c>
      <c r="H53" s="11">
        <v>84349</v>
      </c>
      <c r="I53" s="11">
        <v>84349</v>
      </c>
      <c r="J53" s="38" t="s">
        <v>703</v>
      </c>
      <c r="K53" s="72">
        <v>4924191</v>
      </c>
      <c r="L53" s="258"/>
      <c r="M53" s="216"/>
      <c r="N53" s="9"/>
      <c r="P53" s="41">
        <f>'[5]2026 február'!B$11</f>
        <v>116419</v>
      </c>
    </row>
    <row r="54" spans="1:16" ht="15" customHeight="1">
      <c r="A54" s="141">
        <v>46064</v>
      </c>
      <c r="B54" s="11">
        <v>125138</v>
      </c>
      <c r="C54" s="11">
        <v>550</v>
      </c>
      <c r="D54" s="11">
        <v>100455</v>
      </c>
      <c r="E54" s="11"/>
      <c r="F54" s="11">
        <v>6548</v>
      </c>
      <c r="G54" s="11">
        <v>4800</v>
      </c>
      <c r="H54" s="11">
        <v>102753</v>
      </c>
      <c r="I54" s="11">
        <v>102753</v>
      </c>
      <c r="J54" s="38" t="s">
        <v>704</v>
      </c>
      <c r="K54" s="72">
        <v>5031744</v>
      </c>
      <c r="L54" s="258"/>
      <c r="M54" s="216"/>
      <c r="N54" s="9"/>
      <c r="P54" s="41">
        <f>'[5]2026 február'!B$12</f>
        <v>125138</v>
      </c>
    </row>
    <row r="55" spans="1:16" ht="15" customHeight="1">
      <c r="A55" s="141">
        <v>46065</v>
      </c>
      <c r="B55" s="11">
        <v>91966</v>
      </c>
      <c r="C55" s="11">
        <v>700</v>
      </c>
      <c r="D55" s="11">
        <v>72284</v>
      </c>
      <c r="E55" s="11"/>
      <c r="F55" s="11">
        <v>5910</v>
      </c>
      <c r="G55" s="11">
        <v>5650</v>
      </c>
      <c r="H55" s="11">
        <v>73244</v>
      </c>
      <c r="I55" s="11">
        <v>73244</v>
      </c>
      <c r="J55" s="38" t="s">
        <v>705</v>
      </c>
      <c r="K55" s="72">
        <v>5110638</v>
      </c>
      <c r="L55" s="258"/>
      <c r="M55" s="106"/>
      <c r="N55" s="9"/>
      <c r="P55" s="41">
        <f>'[5]2026 február'!B$13</f>
        <v>91966</v>
      </c>
    </row>
    <row r="56" spans="1:16" ht="15" customHeight="1">
      <c r="A56" s="141">
        <v>46066</v>
      </c>
      <c r="B56" s="11">
        <v>45200</v>
      </c>
      <c r="C56" s="11">
        <v>300</v>
      </c>
      <c r="D56" s="11">
        <v>25240</v>
      </c>
      <c r="E56" s="11"/>
      <c r="F56" s="11">
        <v>7460</v>
      </c>
      <c r="G56" s="11">
        <v>3560</v>
      </c>
      <c r="H56" s="11">
        <v>29440</v>
      </c>
      <c r="I56" s="11">
        <v>29440</v>
      </c>
      <c r="J56" s="38" t="s">
        <v>706</v>
      </c>
      <c r="K56" s="72">
        <v>5143638</v>
      </c>
      <c r="L56" s="258"/>
      <c r="M56" s="216"/>
      <c r="N56" s="9"/>
      <c r="P56" s="41">
        <f>'[5]2026 február'!B$14</f>
        <v>45200</v>
      </c>
    </row>
    <row r="57" spans="1:16" ht="15" customHeight="1">
      <c r="A57" s="141">
        <v>46067</v>
      </c>
      <c r="B57" s="142"/>
      <c r="C57" s="142"/>
      <c r="D57" s="142"/>
      <c r="E57" s="142"/>
      <c r="F57" s="142"/>
      <c r="G57" s="142"/>
      <c r="H57" s="142"/>
      <c r="I57" s="142"/>
      <c r="J57" s="143"/>
      <c r="K57" s="146"/>
      <c r="L57" s="257"/>
      <c r="M57" s="381"/>
      <c r="N57" s="158"/>
      <c r="P57" s="41">
        <f>'[5]2026 február'!B$15</f>
        <v>0</v>
      </c>
    </row>
    <row r="58" spans="1:16" ht="15" customHeight="1">
      <c r="A58" s="141">
        <v>46068</v>
      </c>
      <c r="B58" s="142"/>
      <c r="C58" s="142"/>
      <c r="D58" s="142"/>
      <c r="E58" s="142"/>
      <c r="F58" s="142"/>
      <c r="G58" s="142"/>
      <c r="H58" s="142"/>
      <c r="I58" s="142"/>
      <c r="J58" s="143"/>
      <c r="K58" s="146"/>
      <c r="L58" s="257"/>
      <c r="M58" s="381"/>
      <c r="N58" s="158"/>
      <c r="P58" s="41">
        <f>'[5]2026 február'!B$16</f>
        <v>0</v>
      </c>
    </row>
    <row r="59" spans="1:16" ht="15" customHeight="1">
      <c r="A59" s="141">
        <v>46069</v>
      </c>
      <c r="B59" s="11">
        <v>100280</v>
      </c>
      <c r="C59" s="11">
        <v>1250</v>
      </c>
      <c r="D59" s="11">
        <v>76710</v>
      </c>
      <c r="E59" s="11"/>
      <c r="F59" s="11">
        <v>10203</v>
      </c>
      <c r="G59" s="11">
        <v>5250</v>
      </c>
      <c r="H59" s="11">
        <v>82913</v>
      </c>
      <c r="I59" s="11">
        <v>82913</v>
      </c>
      <c r="J59" s="38" t="s">
        <v>707</v>
      </c>
      <c r="K59" s="72">
        <v>5231801</v>
      </c>
      <c r="L59" s="258"/>
      <c r="M59" s="216"/>
      <c r="N59" s="9"/>
      <c r="P59" s="41">
        <v>100280</v>
      </c>
    </row>
    <row r="60" spans="1:16" ht="15" customHeight="1">
      <c r="A60" s="141">
        <v>46070</v>
      </c>
      <c r="B60" s="11">
        <v>95425</v>
      </c>
      <c r="C60" s="11">
        <v>390</v>
      </c>
      <c r="D60" s="11">
        <v>51893</v>
      </c>
      <c r="E60" s="11">
        <v>10000</v>
      </c>
      <c r="F60" s="11">
        <v>11210</v>
      </c>
      <c r="G60" s="11">
        <v>4250</v>
      </c>
      <c r="H60" s="11">
        <v>69243</v>
      </c>
      <c r="I60" s="11">
        <v>69243</v>
      </c>
      <c r="J60" s="38" t="s">
        <v>708</v>
      </c>
      <c r="K60" s="72">
        <v>5305294</v>
      </c>
      <c r="L60" s="258"/>
      <c r="M60" s="216"/>
      <c r="N60" s="9"/>
      <c r="P60" s="41">
        <v>95425</v>
      </c>
    </row>
    <row r="61" spans="1:16" ht="15" customHeight="1">
      <c r="A61" s="141">
        <v>46071</v>
      </c>
      <c r="B61" s="11">
        <v>108465</v>
      </c>
      <c r="C61" s="11">
        <v>600</v>
      </c>
      <c r="D61" s="11">
        <v>82400</v>
      </c>
      <c r="E61" s="11"/>
      <c r="F61" s="11">
        <v>16413</v>
      </c>
      <c r="G61" s="11">
        <v>5250</v>
      </c>
      <c r="H61" s="11">
        <v>94163</v>
      </c>
      <c r="I61" s="11">
        <v>94163</v>
      </c>
      <c r="J61" s="38" t="s">
        <v>709</v>
      </c>
      <c r="K61" s="72">
        <v>5404707</v>
      </c>
      <c r="L61" s="258"/>
      <c r="M61" s="216"/>
      <c r="N61" s="9"/>
      <c r="P61" s="41">
        <v>108465</v>
      </c>
    </row>
    <row r="62" spans="1:16" ht="15" customHeight="1">
      <c r="A62" s="141">
        <v>46072</v>
      </c>
      <c r="B62" s="11">
        <v>88685</v>
      </c>
      <c r="C62" s="11">
        <v>650</v>
      </c>
      <c r="D62" s="11">
        <v>44460</v>
      </c>
      <c r="E62" s="11"/>
      <c r="F62" s="11">
        <v>8603</v>
      </c>
      <c r="G62" s="11">
        <v>8780</v>
      </c>
      <c r="H62" s="11">
        <v>44933</v>
      </c>
      <c r="I62" s="11">
        <v>44933</v>
      </c>
      <c r="J62" s="38" t="s">
        <v>710</v>
      </c>
      <c r="K62" s="72">
        <v>5458420</v>
      </c>
      <c r="L62" s="258"/>
      <c r="M62" s="216"/>
      <c r="N62" s="9"/>
      <c r="P62" s="41">
        <v>88685</v>
      </c>
    </row>
    <row r="63" spans="1:16" ht="15" customHeight="1">
      <c r="A63" s="141">
        <v>46073</v>
      </c>
      <c r="B63" s="11">
        <v>60555</v>
      </c>
      <c r="C63" s="11">
        <v>500</v>
      </c>
      <c r="D63" s="11">
        <v>49725</v>
      </c>
      <c r="E63" s="11"/>
      <c r="F63" s="11">
        <v>6523</v>
      </c>
      <c r="G63" s="11">
        <v>4360</v>
      </c>
      <c r="H63" s="11">
        <v>52388</v>
      </c>
      <c r="I63" s="11">
        <v>52388</v>
      </c>
      <c r="J63" s="38" t="s">
        <v>711</v>
      </c>
      <c r="K63" s="72">
        <v>5515168</v>
      </c>
      <c r="L63" s="258"/>
      <c r="M63" s="216"/>
      <c r="N63" s="9"/>
      <c r="P63" s="41">
        <v>60555</v>
      </c>
    </row>
    <row r="64" spans="1:16" ht="15" customHeight="1">
      <c r="A64" s="141">
        <v>46074</v>
      </c>
      <c r="B64" s="142"/>
      <c r="C64" s="142"/>
      <c r="D64" s="142"/>
      <c r="E64" s="142"/>
      <c r="F64" s="142"/>
      <c r="G64" s="142"/>
      <c r="H64" s="142"/>
      <c r="I64" s="142"/>
      <c r="J64" s="143"/>
      <c r="K64" s="146"/>
      <c r="L64" s="257"/>
      <c r="M64" s="381"/>
      <c r="N64" s="158"/>
      <c r="P64" s="41">
        <f>'[5]2026 február'!B$22</f>
        <v>0</v>
      </c>
    </row>
    <row r="65" spans="1:16" ht="15" customHeight="1">
      <c r="A65" s="141">
        <v>46075</v>
      </c>
      <c r="B65" s="142"/>
      <c r="C65" s="142"/>
      <c r="D65" s="142"/>
      <c r="E65" s="142"/>
      <c r="F65" s="142"/>
      <c r="G65" s="142"/>
      <c r="H65" s="142"/>
      <c r="I65" s="142"/>
      <c r="J65" s="143"/>
      <c r="K65" s="146"/>
      <c r="L65" s="257"/>
      <c r="M65" s="381"/>
      <c r="N65" s="158"/>
      <c r="P65" s="41">
        <f>'[5]2026 február'!B$23</f>
        <v>0</v>
      </c>
    </row>
    <row r="66" spans="1:16" ht="15" customHeight="1">
      <c r="A66" s="141">
        <v>46076</v>
      </c>
      <c r="B66" s="11">
        <v>100380</v>
      </c>
      <c r="C66" s="11"/>
      <c r="D66" s="11">
        <v>76275</v>
      </c>
      <c r="E66" s="11"/>
      <c r="F66" s="11">
        <v>9950</v>
      </c>
      <c r="G66" s="11">
        <v>5520</v>
      </c>
      <c r="H66" s="11">
        <v>80705</v>
      </c>
      <c r="I66" s="11">
        <v>80705</v>
      </c>
      <c r="J66" s="38" t="s">
        <v>123</v>
      </c>
      <c r="K66" s="72">
        <v>5601393</v>
      </c>
      <c r="L66" s="258"/>
      <c r="M66" s="216"/>
      <c r="N66" s="9"/>
      <c r="P66" s="41">
        <v>100380</v>
      </c>
    </row>
    <row r="67" spans="1:16" ht="15" customHeight="1">
      <c r="A67" s="141">
        <v>46077</v>
      </c>
      <c r="B67" s="11"/>
      <c r="C67" s="11"/>
      <c r="D67" s="11"/>
      <c r="E67" s="11"/>
      <c r="F67" s="11"/>
      <c r="G67" s="11"/>
      <c r="H67" s="11"/>
      <c r="I67" s="11"/>
      <c r="J67" s="38"/>
      <c r="K67" s="72"/>
      <c r="L67" s="258"/>
      <c r="M67" s="216"/>
      <c r="N67" s="9"/>
      <c r="P67" s="41">
        <f>'[5]2026 február'!B$25</f>
        <v>122780</v>
      </c>
    </row>
    <row r="68" spans="1:16" ht="15" customHeight="1">
      <c r="A68" s="141">
        <v>46078</v>
      </c>
      <c r="B68" s="11"/>
      <c r="C68" s="11"/>
      <c r="D68" s="11"/>
      <c r="E68" s="11"/>
      <c r="F68" s="11"/>
      <c r="G68" s="11"/>
      <c r="H68" s="11"/>
      <c r="I68" s="11"/>
      <c r="J68" s="38"/>
      <c r="K68" s="72"/>
      <c r="L68" s="258"/>
      <c r="M68" s="216"/>
      <c r="N68" s="9"/>
      <c r="P68" s="41">
        <f>'[5]2026 február'!B$26</f>
        <v>127105</v>
      </c>
    </row>
    <row r="69" spans="1:16">
      <c r="A69" s="141">
        <v>46079</v>
      </c>
      <c r="B69" s="11"/>
      <c r="C69" s="11"/>
      <c r="D69" s="11"/>
      <c r="E69" s="11"/>
      <c r="F69" s="11"/>
      <c r="G69" s="11"/>
      <c r="H69" s="11"/>
      <c r="I69" s="11"/>
      <c r="J69" s="38"/>
      <c r="K69" s="72"/>
      <c r="L69" s="258"/>
      <c r="M69" s="216"/>
      <c r="N69" s="9"/>
      <c r="P69" s="41">
        <f>'[5]2026 február'!B$27</f>
        <v>69725</v>
      </c>
    </row>
    <row r="70" spans="1:16">
      <c r="A70" s="141">
        <v>46080</v>
      </c>
      <c r="B70" s="11"/>
      <c r="C70" s="11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38" t="s">
        <v>712</v>
      </c>
      <c r="K70" s="72">
        <v>5601393</v>
      </c>
      <c r="L70" s="258"/>
      <c r="M70" s="216"/>
      <c r="N70" s="9"/>
      <c r="P70" s="41">
        <f>'[5]2026 február'!B$28</f>
        <v>42460</v>
      </c>
    </row>
    <row r="71" spans="1:16">
      <c r="A71" s="141">
        <v>46081</v>
      </c>
      <c r="B71" s="142"/>
      <c r="C71" s="142"/>
      <c r="D71" s="142"/>
      <c r="E71" s="142"/>
      <c r="F71" s="142"/>
      <c r="G71" s="142"/>
      <c r="H71" s="142"/>
      <c r="I71" s="142"/>
      <c r="J71" s="143"/>
      <c r="K71" s="146"/>
      <c r="L71" s="257"/>
      <c r="M71" s="381"/>
      <c r="N71" s="158"/>
      <c r="P71" s="41">
        <f>'[5]2026 február'!B$29</f>
        <v>0</v>
      </c>
    </row>
    <row r="72" spans="1:16" ht="15" customHeight="1">
      <c r="A72" s="5"/>
      <c r="B72" s="11"/>
      <c r="C72" s="11"/>
      <c r="D72" s="11"/>
      <c r="E72" s="11"/>
      <c r="F72" s="11"/>
      <c r="G72" s="11"/>
      <c r="H72" s="11"/>
      <c r="I72" s="11"/>
      <c r="J72" s="38"/>
      <c r="K72" s="72"/>
      <c r="L72" s="258"/>
      <c r="M72" s="216"/>
      <c r="N72" s="9"/>
      <c r="P72" s="41">
        <f>'[5]2026 február'!B$30</f>
        <v>0</v>
      </c>
    </row>
    <row r="73" spans="1:16">
      <c r="A73" s="5"/>
      <c r="B73" s="11"/>
      <c r="C73" s="11"/>
      <c r="D73" s="11"/>
      <c r="E73" s="11"/>
      <c r="F73" s="11"/>
      <c r="G73" s="11"/>
      <c r="H73" s="11"/>
      <c r="I73" s="11"/>
      <c r="J73" s="38"/>
      <c r="K73" s="72"/>
      <c r="L73" s="258"/>
      <c r="M73" s="216"/>
      <c r="N73" s="9"/>
      <c r="P73" s="41">
        <f>'[5]2026 február'!B$31</f>
        <v>0</v>
      </c>
    </row>
    <row r="74" spans="1:16">
      <c r="A74" s="141"/>
      <c r="B74" s="11"/>
      <c r="C74" s="11"/>
      <c r="D74" s="11"/>
      <c r="E74" s="11"/>
      <c r="F74" s="11"/>
      <c r="G74" s="11"/>
      <c r="H74" s="11"/>
      <c r="I74" s="11"/>
      <c r="J74" s="205"/>
      <c r="K74" s="206"/>
      <c r="L74" s="379"/>
      <c r="M74" s="388"/>
      <c r="N74" s="9"/>
      <c r="P74" s="41">
        <f>'[5]2026 február'!B$32</f>
        <v>0</v>
      </c>
    </row>
    <row r="75" spans="1:16" ht="15" customHeight="1">
      <c r="A75" s="18" t="s">
        <v>64</v>
      </c>
      <c r="B75" s="362"/>
      <c r="C75" s="19">
        <f>SUM(C42:C74)</f>
        <v>6670</v>
      </c>
      <c r="D75" s="19">
        <f>SUM(D42:D74)</f>
        <v>756232</v>
      </c>
      <c r="E75" s="19">
        <f>SUM(E42:E74)</f>
        <v>10360</v>
      </c>
      <c r="F75" s="19">
        <f>SUM(F42:F74)</f>
        <v>104661</v>
      </c>
      <c r="G75" s="20">
        <f>SUM(G42:G74)</f>
        <v>64210</v>
      </c>
      <c r="H75" s="20">
        <f>SUM(H44:H74)</f>
        <v>813713</v>
      </c>
      <c r="I75" s="39">
        <f>SUM(I44:I74)</f>
        <v>813713</v>
      </c>
      <c r="J75" s="32"/>
      <c r="K75" s="417">
        <v>5601393</v>
      </c>
      <c r="L75" s="417">
        <v>877923</v>
      </c>
      <c r="M75" s="216"/>
      <c r="N75" s="9"/>
    </row>
    <row r="76" spans="1:16" ht="15" customHeight="1">
      <c r="A76" s="5"/>
      <c r="B76" s="11"/>
      <c r="C76" s="29">
        <f>C75+D75+E75+F75</f>
        <v>877923</v>
      </c>
      <c r="D76" s="10"/>
      <c r="E76" s="10"/>
      <c r="F76" s="10"/>
      <c r="G76" s="47">
        <f>G75+H75</f>
        <v>877923</v>
      </c>
      <c r="H76" s="10"/>
      <c r="I76" s="10"/>
      <c r="J76" s="33"/>
      <c r="K76" s="11"/>
      <c r="L76" s="260"/>
      <c r="M76" s="216"/>
      <c r="N76" s="9"/>
    </row>
    <row r="77" spans="1:16" ht="15" customHeight="1">
      <c r="B77" s="356"/>
    </row>
    <row r="78" spans="1:16" ht="15" customHeight="1">
      <c r="A78" s="403" t="s">
        <v>177</v>
      </c>
      <c r="B78" s="404"/>
      <c r="C78" s="405"/>
      <c r="D78" s="405"/>
      <c r="E78" s="405"/>
      <c r="F78" s="406"/>
      <c r="G78" s="406"/>
      <c r="H78" s="406"/>
      <c r="I78" s="406"/>
      <c r="J78" s="407"/>
      <c r="K78" s="408"/>
    </row>
    <row r="79" spans="1:16" ht="15" customHeight="1">
      <c r="A79" s="409"/>
      <c r="B79" s="402"/>
      <c r="C79" s="402"/>
      <c r="D79" s="402"/>
      <c r="E79" s="402"/>
      <c r="F79" s="402"/>
      <c r="G79" s="396"/>
      <c r="H79" s="396"/>
      <c r="I79" s="396"/>
      <c r="J79" s="396"/>
      <c r="K79" s="410"/>
    </row>
    <row r="80" spans="1:16" ht="15" customHeight="1">
      <c r="A80" s="628"/>
      <c r="B80" s="629"/>
      <c r="C80" s="629"/>
      <c r="D80" s="629"/>
      <c r="E80" s="629"/>
      <c r="F80" s="629"/>
      <c r="G80" s="411"/>
      <c r="H80" s="411"/>
      <c r="I80" s="411"/>
      <c r="J80" s="411"/>
      <c r="K80" s="412"/>
    </row>
    <row r="81" spans="1:16" ht="15" customHeight="1">
      <c r="B81" s="356"/>
    </row>
    <row r="82" spans="1:16" ht="15" customHeight="1">
      <c r="B82" s="356"/>
    </row>
    <row r="83" spans="1:16" ht="15" customHeight="1">
      <c r="B83" s="356"/>
    </row>
    <row r="84" spans="1:16" ht="15" customHeight="1">
      <c r="A84" s="66" t="s">
        <v>5</v>
      </c>
      <c r="B84" s="351"/>
      <c r="C84" s="26"/>
      <c r="D84" s="26"/>
      <c r="E84" s="26"/>
      <c r="F84" s="26"/>
      <c r="G84" s="26"/>
      <c r="H84" s="26"/>
      <c r="I84" s="26"/>
      <c r="J84" s="34"/>
      <c r="K84" s="349"/>
      <c r="L84" s="255"/>
      <c r="M84" s="157"/>
      <c r="N84" s="157"/>
    </row>
    <row r="85" spans="1:16" ht="15" customHeight="1">
      <c r="A85" s="141">
        <v>46082</v>
      </c>
      <c r="B85" s="142"/>
      <c r="C85" s="142"/>
      <c r="D85" s="142"/>
      <c r="E85" s="142"/>
      <c r="F85" s="142"/>
      <c r="G85" s="142"/>
      <c r="H85" s="142"/>
      <c r="I85" s="142"/>
      <c r="J85" s="143"/>
      <c r="K85" s="144"/>
      <c r="L85" s="256"/>
      <c r="M85" s="158"/>
      <c r="N85" s="158"/>
      <c r="P85" s="41">
        <f>'[5]2026 március'!B$2</f>
        <v>0</v>
      </c>
    </row>
    <row r="86" spans="1:16" ht="15" customHeight="1">
      <c r="A86" s="141">
        <v>46083</v>
      </c>
      <c r="B86" s="11"/>
      <c r="C86" s="11"/>
      <c r="D86" s="11"/>
      <c r="E86" s="11"/>
      <c r="F86" s="11"/>
      <c r="G86" s="11"/>
      <c r="H86" s="11"/>
      <c r="I86" s="11"/>
      <c r="J86" s="38"/>
      <c r="K86" s="38"/>
      <c r="L86" s="72"/>
      <c r="M86" s="9"/>
      <c r="N86" s="9"/>
      <c r="P86" s="41">
        <f>'[5]2026 március'!B$3</f>
        <v>81225</v>
      </c>
    </row>
    <row r="87" spans="1:16" ht="15" customHeight="1">
      <c r="A87" s="141">
        <v>46084</v>
      </c>
      <c r="B87" s="11"/>
      <c r="C87" s="11"/>
      <c r="D87" s="11"/>
      <c r="E87" s="11"/>
      <c r="F87" s="11"/>
      <c r="G87" s="11"/>
      <c r="H87" s="11"/>
      <c r="I87" s="11"/>
      <c r="J87" s="38"/>
      <c r="K87" s="38"/>
      <c r="L87" s="72"/>
      <c r="M87" s="9"/>
      <c r="N87" s="9"/>
      <c r="P87" s="41">
        <f>'[5]2026 március'!B$4</f>
        <v>101460</v>
      </c>
    </row>
    <row r="88" spans="1:16" ht="15" customHeight="1">
      <c r="A88" s="141">
        <v>46085</v>
      </c>
      <c r="B88" s="11">
        <v>103430</v>
      </c>
      <c r="C88" s="11">
        <v>650</v>
      </c>
      <c r="D88" s="11">
        <v>69180</v>
      </c>
      <c r="E88" s="11"/>
      <c r="F88" s="11">
        <v>12933</v>
      </c>
      <c r="G88" s="11">
        <v>6190</v>
      </c>
      <c r="H88" s="11">
        <v>76573</v>
      </c>
      <c r="I88" s="11">
        <v>76573</v>
      </c>
      <c r="J88" s="38" t="s">
        <v>103</v>
      </c>
      <c r="K88" s="72">
        <v>5684156</v>
      </c>
      <c r="L88" s="72"/>
      <c r="M88" s="9"/>
      <c r="N88" s="9"/>
      <c r="P88" s="41">
        <f>'[5]2026 március'!B$5</f>
        <v>103430</v>
      </c>
    </row>
    <row r="89" spans="1:16" ht="15" customHeight="1">
      <c r="A89" s="141">
        <v>46086</v>
      </c>
      <c r="B89" s="11">
        <v>97680</v>
      </c>
      <c r="C89" s="11">
        <v>565</v>
      </c>
      <c r="D89" s="11">
        <v>75825</v>
      </c>
      <c r="E89" s="11"/>
      <c r="F89" s="11">
        <v>960</v>
      </c>
      <c r="G89" s="11">
        <v>7325</v>
      </c>
      <c r="H89" s="11">
        <v>70025</v>
      </c>
      <c r="I89" s="11">
        <v>70025</v>
      </c>
      <c r="J89" s="38" t="s">
        <v>713</v>
      </c>
      <c r="K89" s="72">
        <v>5761506</v>
      </c>
      <c r="L89" s="72"/>
      <c r="M89" s="9"/>
      <c r="N89" s="9"/>
      <c r="P89" s="41">
        <v>97680</v>
      </c>
    </row>
    <row r="90" spans="1:16" ht="15" customHeight="1">
      <c r="A90" s="141">
        <v>46087</v>
      </c>
      <c r="B90" s="11">
        <v>51805</v>
      </c>
      <c r="C90" s="11">
        <v>650</v>
      </c>
      <c r="D90" s="11">
        <v>28500</v>
      </c>
      <c r="E90" s="11"/>
      <c r="F90" s="11">
        <v>6875</v>
      </c>
      <c r="G90" s="11">
        <v>5125</v>
      </c>
      <c r="H90" s="11">
        <v>30900</v>
      </c>
      <c r="I90" s="11">
        <v>30900</v>
      </c>
      <c r="J90" s="38" t="s">
        <v>714</v>
      </c>
      <c r="K90" s="72">
        <v>5797531</v>
      </c>
      <c r="L90" s="72"/>
      <c r="M90" s="9"/>
      <c r="N90" s="9"/>
      <c r="P90" s="41">
        <v>51805</v>
      </c>
    </row>
    <row r="91" spans="1:16" ht="15" customHeight="1">
      <c r="A91" s="141">
        <v>46088</v>
      </c>
      <c r="B91" s="142"/>
      <c r="C91" s="142"/>
      <c r="D91" s="142"/>
      <c r="E91" s="142"/>
      <c r="F91" s="142"/>
      <c r="G91" s="142"/>
      <c r="H91" s="142"/>
      <c r="I91" s="142"/>
      <c r="J91" s="143"/>
      <c r="K91" s="146"/>
      <c r="L91" s="249"/>
      <c r="M91" s="158"/>
      <c r="N91" s="158"/>
      <c r="P91" s="41">
        <f>'[5]2026 március'!B$8</f>
        <v>0</v>
      </c>
    </row>
    <row r="92" spans="1:16" ht="15" customHeight="1">
      <c r="A92" s="141">
        <v>46089</v>
      </c>
      <c r="B92" s="142"/>
      <c r="C92" s="142"/>
      <c r="D92" s="142"/>
      <c r="E92" s="142"/>
      <c r="F92" s="142"/>
      <c r="G92" s="142"/>
      <c r="H92" s="142"/>
      <c r="I92" s="142"/>
      <c r="J92" s="143"/>
      <c r="K92" s="146"/>
      <c r="L92" s="249"/>
      <c r="M92" s="158"/>
      <c r="N92" s="158"/>
      <c r="P92" s="41">
        <f>'[5]2026 március'!B$9</f>
        <v>0</v>
      </c>
    </row>
    <row r="93" spans="1:16" ht="15" customHeight="1">
      <c r="A93" s="141">
        <v>46090</v>
      </c>
      <c r="B93" s="11">
        <v>94520</v>
      </c>
      <c r="C93" s="11"/>
      <c r="D93" s="11">
        <v>81285</v>
      </c>
      <c r="E93" s="11"/>
      <c r="F93" s="11">
        <v>7971</v>
      </c>
      <c r="G93" s="11">
        <v>845</v>
      </c>
      <c r="H93" s="11">
        <v>88411</v>
      </c>
      <c r="I93" s="11">
        <v>88411</v>
      </c>
      <c r="J93" s="38" t="s">
        <v>715</v>
      </c>
      <c r="K93" s="72">
        <v>5886787</v>
      </c>
      <c r="L93" s="72"/>
      <c r="M93" s="9"/>
      <c r="N93" s="9"/>
      <c r="P93" s="41">
        <v>94520</v>
      </c>
    </row>
    <row r="94" spans="1:16" ht="15" customHeight="1">
      <c r="A94" s="141">
        <v>46091</v>
      </c>
      <c r="B94" s="11">
        <v>124890</v>
      </c>
      <c r="C94" s="11">
        <v>700</v>
      </c>
      <c r="D94" s="11">
        <v>85222</v>
      </c>
      <c r="E94" s="11"/>
      <c r="F94" s="11">
        <v>10828</v>
      </c>
      <c r="G94" s="11">
        <v>9335</v>
      </c>
      <c r="H94" s="11">
        <v>87413</v>
      </c>
      <c r="I94" s="11">
        <v>87413</v>
      </c>
      <c r="J94" s="38" t="s">
        <v>716</v>
      </c>
      <c r="K94" s="72">
        <v>5983537</v>
      </c>
      <c r="L94" s="72"/>
      <c r="M94" s="9"/>
      <c r="N94" s="9"/>
      <c r="P94" s="41">
        <v>124890</v>
      </c>
    </row>
    <row r="95" spans="1:16" ht="15" customHeight="1">
      <c r="A95" s="141">
        <v>46092</v>
      </c>
      <c r="B95" s="11">
        <v>110140</v>
      </c>
      <c r="C95" s="11">
        <v>950</v>
      </c>
      <c r="D95" s="11">
        <v>78410</v>
      </c>
      <c r="E95" s="11"/>
      <c r="F95" s="11">
        <v>8978</v>
      </c>
      <c r="G95" s="11">
        <v>3770</v>
      </c>
      <c r="H95" s="11">
        <v>84568</v>
      </c>
      <c r="I95" s="11">
        <v>84568</v>
      </c>
      <c r="J95" s="38" t="s">
        <v>717</v>
      </c>
      <c r="K95" s="72">
        <v>6071875</v>
      </c>
      <c r="L95" s="72"/>
      <c r="M95" s="9"/>
      <c r="N95" s="9"/>
      <c r="P95" s="41">
        <v>110140</v>
      </c>
    </row>
    <row r="96" spans="1:16" ht="15" customHeight="1">
      <c r="A96" s="141">
        <v>46093</v>
      </c>
      <c r="B96" s="11">
        <v>99930</v>
      </c>
      <c r="C96" s="11">
        <v>750</v>
      </c>
      <c r="D96" s="11">
        <v>63190</v>
      </c>
      <c r="E96" s="11"/>
      <c r="F96" s="11">
        <v>4671</v>
      </c>
      <c r="G96" s="11">
        <v>5030</v>
      </c>
      <c r="H96" s="11">
        <v>63581</v>
      </c>
      <c r="I96" s="11">
        <v>81581</v>
      </c>
      <c r="J96" s="38" t="s">
        <v>718</v>
      </c>
      <c r="K96" s="72">
        <v>6140486</v>
      </c>
      <c r="L96" s="72"/>
      <c r="M96" s="378"/>
      <c r="N96" s="9"/>
      <c r="P96" s="41">
        <v>99930</v>
      </c>
    </row>
    <row r="97" spans="1:16" ht="15" customHeight="1">
      <c r="A97" s="141">
        <v>46093</v>
      </c>
      <c r="B97" s="11"/>
      <c r="C97" s="11"/>
      <c r="D97" s="11">
        <v>18000</v>
      </c>
      <c r="E97" s="11"/>
      <c r="F97" s="11"/>
      <c r="G97" s="11"/>
      <c r="H97" s="11">
        <v>18000</v>
      </c>
      <c r="I97" s="11"/>
      <c r="J97" s="38" t="s">
        <v>719</v>
      </c>
      <c r="K97" s="72">
        <v>6158486</v>
      </c>
      <c r="L97" s="72"/>
      <c r="M97" s="378"/>
      <c r="N97" s="9"/>
      <c r="P97" s="41"/>
    </row>
    <row r="98" spans="1:16" ht="15" customHeight="1">
      <c r="A98" s="141">
        <v>46094</v>
      </c>
      <c r="B98" s="11">
        <v>52350</v>
      </c>
      <c r="C98" s="11">
        <v>550</v>
      </c>
      <c r="D98" s="11">
        <v>43678</v>
      </c>
      <c r="E98" s="11"/>
      <c r="F98" s="11">
        <v>1160</v>
      </c>
      <c r="G98" s="11">
        <v>7110</v>
      </c>
      <c r="H98" s="11">
        <v>38278</v>
      </c>
      <c r="I98" s="11">
        <v>38278</v>
      </c>
      <c r="J98" s="38" t="s">
        <v>720</v>
      </c>
      <c r="K98" s="72">
        <v>6203874</v>
      </c>
      <c r="L98" s="72"/>
      <c r="M98" s="9"/>
      <c r="N98" s="9"/>
      <c r="P98" s="41">
        <f>'[5]2026 március'!B$14</f>
        <v>52350</v>
      </c>
    </row>
    <row r="99" spans="1:16" ht="15" customHeight="1">
      <c r="A99" s="141">
        <v>46095</v>
      </c>
      <c r="B99" s="142"/>
      <c r="C99" s="142"/>
      <c r="D99" s="142"/>
      <c r="E99" s="142"/>
      <c r="F99" s="142"/>
      <c r="G99" s="142"/>
      <c r="H99" s="142"/>
      <c r="I99" s="142"/>
      <c r="J99" s="143"/>
      <c r="K99" s="143"/>
      <c r="L99" s="146"/>
      <c r="M99" s="158"/>
      <c r="N99" s="158"/>
      <c r="P99" s="41">
        <f>'[5]2026 március'!B$15</f>
        <v>0</v>
      </c>
    </row>
    <row r="100" spans="1:16" ht="15" customHeight="1">
      <c r="A100" s="141">
        <v>46096</v>
      </c>
      <c r="B100" s="142"/>
      <c r="C100" s="142"/>
      <c r="D100" s="142"/>
      <c r="E100" s="142"/>
      <c r="F100" s="142"/>
      <c r="G100" s="142"/>
      <c r="H100" s="142"/>
      <c r="I100" s="142"/>
      <c r="J100" s="143"/>
      <c r="K100" s="143"/>
      <c r="L100" s="146"/>
      <c r="M100" s="158"/>
      <c r="N100" s="158"/>
      <c r="P100" s="41">
        <f>'[5]2026 március'!B$16</f>
        <v>0</v>
      </c>
    </row>
    <row r="101" spans="1:16" ht="15" customHeight="1">
      <c r="A101" s="141">
        <v>46097</v>
      </c>
      <c r="B101" s="11">
        <v>124445</v>
      </c>
      <c r="C101" s="11">
        <v>500</v>
      </c>
      <c r="D101" s="11">
        <v>62380</v>
      </c>
      <c r="E101" s="11"/>
      <c r="F101" s="11">
        <v>11650</v>
      </c>
      <c r="G101" s="11">
        <v>5380</v>
      </c>
      <c r="H101" s="11">
        <v>69150</v>
      </c>
      <c r="I101" s="11">
        <v>69150</v>
      </c>
      <c r="J101" s="38" t="s">
        <v>721</v>
      </c>
      <c r="K101" s="72">
        <v>6278404</v>
      </c>
      <c r="L101" s="72"/>
      <c r="M101" s="9"/>
      <c r="N101" s="9"/>
      <c r="P101" s="41">
        <v>100280</v>
      </c>
    </row>
    <row r="102" spans="1:16" ht="15" customHeight="1">
      <c r="A102" s="141">
        <v>46098</v>
      </c>
      <c r="B102" s="11">
        <v>192945</v>
      </c>
      <c r="C102" s="11">
        <v>400</v>
      </c>
      <c r="D102" s="11">
        <v>154523</v>
      </c>
      <c r="E102" s="11"/>
      <c r="F102" s="11">
        <v>15841</v>
      </c>
      <c r="G102" s="11">
        <v>12280</v>
      </c>
      <c r="H102" s="11">
        <v>158484</v>
      </c>
      <c r="I102" s="11">
        <v>158454</v>
      </c>
      <c r="J102" s="38" t="s">
        <v>722</v>
      </c>
      <c r="K102" s="72">
        <v>6449168</v>
      </c>
      <c r="L102" s="72"/>
      <c r="M102" s="9"/>
      <c r="N102" s="9"/>
      <c r="P102" s="41">
        <v>95425</v>
      </c>
    </row>
    <row r="103" spans="1:16" ht="15" customHeight="1">
      <c r="A103" s="141">
        <v>46099</v>
      </c>
      <c r="B103" s="11">
        <v>101875</v>
      </c>
      <c r="C103" s="11">
        <v>550</v>
      </c>
      <c r="D103" s="11">
        <v>60995</v>
      </c>
      <c r="E103" s="11"/>
      <c r="F103" s="11">
        <v>12473</v>
      </c>
      <c r="G103" s="11">
        <v>6675</v>
      </c>
      <c r="H103" s="11">
        <v>67343</v>
      </c>
      <c r="I103" s="11">
        <v>77343</v>
      </c>
      <c r="J103" s="38" t="s">
        <v>723</v>
      </c>
      <c r="K103" s="72">
        <v>6523186</v>
      </c>
      <c r="L103" s="72"/>
      <c r="M103" s="9"/>
      <c r="N103" s="588"/>
      <c r="P103" s="41">
        <v>108465</v>
      </c>
    </row>
    <row r="104" spans="1:16">
      <c r="A104" s="141">
        <v>46099</v>
      </c>
      <c r="B104" s="11"/>
      <c r="C104" s="11"/>
      <c r="D104" s="11">
        <v>10000</v>
      </c>
      <c r="E104" s="11"/>
      <c r="F104" s="11"/>
      <c r="G104" s="11"/>
      <c r="H104" s="11">
        <v>10000</v>
      </c>
      <c r="I104" s="11"/>
      <c r="J104" s="38" t="s">
        <v>724</v>
      </c>
      <c r="K104" s="72">
        <v>6533186</v>
      </c>
      <c r="L104" s="72"/>
      <c r="M104" s="9"/>
      <c r="N104" s="9"/>
      <c r="P104" s="41">
        <v>88685</v>
      </c>
    </row>
    <row r="105" spans="1:16">
      <c r="A105" s="141">
        <v>46100</v>
      </c>
      <c r="B105" s="11">
        <v>108250</v>
      </c>
      <c r="C105" s="11">
        <v>550</v>
      </c>
      <c r="D105" s="11">
        <v>67620</v>
      </c>
      <c r="E105" s="11"/>
      <c r="F105" s="11">
        <v>12116</v>
      </c>
      <c r="G105" s="11">
        <v>13030</v>
      </c>
      <c r="H105" s="488">
        <v>67256</v>
      </c>
      <c r="I105" s="488">
        <v>66856</v>
      </c>
      <c r="J105" s="38" t="s">
        <v>104</v>
      </c>
      <c r="K105" s="72">
        <v>6613472</v>
      </c>
      <c r="L105" s="72"/>
      <c r="M105" s="9"/>
      <c r="N105" s="588" t="s">
        <v>210</v>
      </c>
      <c r="P105" s="41">
        <v>60555</v>
      </c>
    </row>
    <row r="106" spans="1:16">
      <c r="A106" s="141">
        <v>46101</v>
      </c>
      <c r="B106" s="11"/>
      <c r="C106" s="11"/>
      <c r="D106" s="11"/>
      <c r="E106" s="11"/>
      <c r="F106" s="11"/>
      <c r="G106" s="11"/>
      <c r="H106" s="11"/>
      <c r="I106" s="11"/>
      <c r="J106" s="38"/>
      <c r="K106" s="38"/>
      <c r="L106" s="72"/>
      <c r="M106" s="9"/>
      <c r="N106" s="9"/>
      <c r="P106" s="41">
        <f>'[5]2026 március'!B$22</f>
        <v>0</v>
      </c>
    </row>
    <row r="107" spans="1:16" ht="15" customHeight="1">
      <c r="A107" s="141">
        <v>46102</v>
      </c>
      <c r="B107" s="142"/>
      <c r="C107" s="142"/>
      <c r="D107" s="142"/>
      <c r="E107" s="142"/>
      <c r="F107" s="142"/>
      <c r="G107" s="142"/>
      <c r="H107" s="142"/>
      <c r="I107" s="142"/>
      <c r="J107" s="143"/>
      <c r="K107" s="143"/>
      <c r="L107" s="146"/>
      <c r="M107" s="158"/>
      <c r="N107" s="158"/>
      <c r="P107" s="41">
        <f>'[5]2026 március'!B$23</f>
        <v>0</v>
      </c>
    </row>
    <row r="108" spans="1:16" ht="15" customHeight="1">
      <c r="A108" s="141">
        <v>46103</v>
      </c>
      <c r="B108" s="142"/>
      <c r="C108" s="142"/>
      <c r="D108" s="142"/>
      <c r="E108" s="142"/>
      <c r="F108" s="142"/>
      <c r="G108" s="142"/>
      <c r="H108" s="142"/>
      <c r="I108" s="142"/>
      <c r="J108" s="143"/>
      <c r="K108" s="143"/>
      <c r="L108" s="146"/>
      <c r="M108" s="158"/>
      <c r="N108" s="158"/>
      <c r="P108" s="41">
        <v>100380</v>
      </c>
    </row>
    <row r="109" spans="1:16" ht="15" customHeight="1">
      <c r="A109" s="141">
        <v>46104</v>
      </c>
      <c r="B109" s="11"/>
      <c r="C109" s="11"/>
      <c r="D109" s="11"/>
      <c r="E109" s="11"/>
      <c r="F109" s="11"/>
      <c r="G109" s="11"/>
      <c r="H109" s="11"/>
      <c r="I109" s="11"/>
      <c r="J109" s="38"/>
      <c r="K109" s="38"/>
      <c r="L109" s="72"/>
      <c r="M109" s="9"/>
      <c r="N109" s="9"/>
      <c r="P109" s="41">
        <f>'[5]2026 március'!B$25</f>
        <v>116270</v>
      </c>
    </row>
    <row r="110" spans="1:16" ht="15" customHeight="1">
      <c r="A110" s="141">
        <v>46105</v>
      </c>
      <c r="B110" s="11"/>
      <c r="C110" s="11"/>
      <c r="D110" s="11"/>
      <c r="E110" s="11"/>
      <c r="F110" s="11"/>
      <c r="G110" s="11"/>
      <c r="H110" s="11"/>
      <c r="I110" s="11"/>
      <c r="J110" s="38"/>
      <c r="K110" s="38"/>
      <c r="L110" s="72"/>
      <c r="M110" s="9"/>
      <c r="N110" s="9"/>
      <c r="P110" s="41">
        <f>'[5]2026 március'!B$26</f>
        <v>102125</v>
      </c>
    </row>
    <row r="111" spans="1:16" ht="15" customHeight="1">
      <c r="A111" s="141">
        <v>46106</v>
      </c>
      <c r="B111" s="11"/>
      <c r="C111" s="11"/>
      <c r="D111" s="11"/>
      <c r="E111" s="11"/>
      <c r="F111" s="11"/>
      <c r="G111" s="11"/>
      <c r="H111" s="11"/>
      <c r="I111" s="11"/>
      <c r="J111" s="38"/>
      <c r="K111" s="38"/>
      <c r="L111" s="72"/>
      <c r="M111" s="9"/>
      <c r="N111" s="9"/>
      <c r="P111" s="41">
        <f>'[5]2026 március'!B$27</f>
        <v>56500</v>
      </c>
    </row>
    <row r="112" spans="1:16" ht="15" customHeight="1">
      <c r="A112" s="141">
        <v>46107</v>
      </c>
      <c r="B112" s="11"/>
      <c r="C112" s="11"/>
      <c r="D112" s="11"/>
      <c r="E112" s="11"/>
      <c r="F112" s="11"/>
      <c r="G112" s="11"/>
      <c r="H112" s="11"/>
      <c r="I112" s="11"/>
      <c r="J112" s="38"/>
      <c r="K112" s="38"/>
      <c r="L112" s="72"/>
      <c r="M112" s="9"/>
      <c r="N112" s="9"/>
      <c r="P112" s="41">
        <f>'[5]2026 március'!B$28</f>
        <v>51550</v>
      </c>
    </row>
    <row r="113" spans="1:16" ht="15" customHeight="1">
      <c r="A113" s="141">
        <v>46108</v>
      </c>
      <c r="B113" s="11"/>
      <c r="C113" s="11"/>
      <c r="D113" s="11"/>
      <c r="E113" s="11"/>
      <c r="F113" s="11"/>
      <c r="G113" s="11"/>
      <c r="H113" s="11"/>
      <c r="I113" s="11"/>
      <c r="J113" s="38"/>
      <c r="K113" s="38"/>
      <c r="L113" s="72"/>
      <c r="M113" s="9"/>
      <c r="N113" s="9"/>
      <c r="P113" s="41">
        <f>'[5]2026 március'!B$29</f>
        <v>0</v>
      </c>
    </row>
    <row r="114" spans="1:16" ht="15" customHeight="1">
      <c r="A114" s="141">
        <v>46109</v>
      </c>
      <c r="B114" s="142"/>
      <c r="C114" s="142"/>
      <c r="D114" s="142"/>
      <c r="E114" s="142"/>
      <c r="F114" s="142"/>
      <c r="G114" s="142"/>
      <c r="H114" s="142"/>
      <c r="I114" s="142"/>
      <c r="J114" s="143"/>
      <c r="K114" s="143"/>
      <c r="L114" s="146"/>
      <c r="M114" s="158"/>
      <c r="N114" s="158"/>
      <c r="P114" s="41">
        <f>'[5]2026 március'!B$30</f>
        <v>0</v>
      </c>
    </row>
    <row r="115" spans="1:16" ht="15" customHeight="1">
      <c r="A115" s="141">
        <v>46110</v>
      </c>
      <c r="B115" s="142"/>
      <c r="C115" s="142"/>
      <c r="D115" s="142"/>
      <c r="E115" s="142"/>
      <c r="F115" s="142"/>
      <c r="G115" s="142"/>
      <c r="H115" s="142"/>
      <c r="I115" s="142"/>
      <c r="J115" s="143"/>
      <c r="K115" s="143"/>
      <c r="L115" s="146"/>
      <c r="M115" s="158"/>
      <c r="N115" s="158"/>
      <c r="P115" s="41">
        <f>'[5]2026 március'!B$31</f>
        <v>102730</v>
      </c>
    </row>
    <row r="116" spans="1:16" ht="15" customHeight="1">
      <c r="A116" s="141">
        <v>46111</v>
      </c>
      <c r="B116" s="11"/>
      <c r="C116" s="11"/>
      <c r="D116" s="11"/>
      <c r="E116" s="11"/>
      <c r="F116" s="11"/>
      <c r="G116" s="11"/>
      <c r="H116" s="11"/>
      <c r="I116" s="11"/>
      <c r="J116" s="38"/>
      <c r="K116" s="38"/>
      <c r="L116" s="72"/>
      <c r="M116" s="9"/>
      <c r="N116" s="9"/>
      <c r="P116" s="41">
        <f>'[5]2026 március'!B$32</f>
        <v>99010</v>
      </c>
    </row>
    <row r="117" spans="1:16">
      <c r="A117" s="141">
        <v>46112</v>
      </c>
      <c r="B117" s="11"/>
      <c r="C117" s="11"/>
      <c r="D117" s="11"/>
      <c r="E117" s="11"/>
      <c r="F117" s="11"/>
      <c r="G117" s="11"/>
      <c r="H117" s="11"/>
      <c r="I117" s="11"/>
      <c r="J117" s="38"/>
      <c r="K117" s="38"/>
      <c r="L117" s="206"/>
      <c r="M117" s="380"/>
      <c r="N117" s="184"/>
    </row>
    <row r="118" spans="1:16" ht="15" customHeight="1">
      <c r="A118" s="18" t="s">
        <v>64</v>
      </c>
      <c r="B118" s="362"/>
      <c r="C118" s="19">
        <f>SUM(C85:C117)</f>
        <v>6815</v>
      </c>
      <c r="D118" s="19">
        <f>SUM(D85:D117)</f>
        <v>898808</v>
      </c>
      <c r="E118" s="19">
        <f>SUM(E85:E117)</f>
        <v>0</v>
      </c>
      <c r="F118" s="19">
        <f>SUM(F85:F117)</f>
        <v>106456</v>
      </c>
      <c r="G118" s="20">
        <f>SUM(G85:G117)</f>
        <v>82095</v>
      </c>
      <c r="H118" s="20">
        <f>SUM(H85:H117)</f>
        <v>929982</v>
      </c>
      <c r="I118" s="39">
        <f>SUM(I85:I117)</f>
        <v>929552</v>
      </c>
      <c r="J118" s="32"/>
      <c r="K118" s="586">
        <v>6613472</v>
      </c>
      <c r="L118" s="242">
        <v>1012079</v>
      </c>
      <c r="M118" s="9"/>
      <c r="N118" s="382"/>
    </row>
    <row r="119" spans="1:16" ht="15" customHeight="1">
      <c r="A119" s="5"/>
      <c r="B119" s="11"/>
      <c r="C119" s="29">
        <f>C118+D118+E118+F118</f>
        <v>1012079</v>
      </c>
      <c r="D119" s="10"/>
      <c r="E119" s="10"/>
      <c r="F119" s="10"/>
      <c r="G119" s="47">
        <f>G118+H118</f>
        <v>1012077</v>
      </c>
      <c r="H119" s="10"/>
      <c r="I119" s="10"/>
      <c r="J119" s="33"/>
      <c r="K119" s="33"/>
      <c r="L119" s="261"/>
      <c r="M119" s="261"/>
      <c r="N119" s="136"/>
    </row>
    <row r="120" spans="1:16" ht="15" customHeight="1">
      <c r="A120" s="67"/>
      <c r="B120" s="356"/>
      <c r="L120" s="261"/>
      <c r="M120" s="261"/>
      <c r="N120" s="136"/>
    </row>
    <row r="121" spans="1:16" ht="15" customHeight="1">
      <c r="A121" s="403" t="s">
        <v>177</v>
      </c>
      <c r="B121" s="404"/>
      <c r="C121" s="405"/>
      <c r="D121" s="405"/>
      <c r="E121" s="405"/>
      <c r="F121" s="406"/>
      <c r="G121" s="406"/>
      <c r="H121" s="406"/>
      <c r="I121" s="406"/>
      <c r="J121" s="407"/>
      <c r="K121" s="408"/>
      <c r="L121" s="261"/>
      <c r="M121" s="261"/>
      <c r="N121" s="136"/>
    </row>
    <row r="122" spans="1:16" ht="15" customHeight="1">
      <c r="A122" s="409"/>
      <c r="B122" s="402"/>
      <c r="C122" s="402"/>
      <c r="D122" s="402"/>
      <c r="E122" s="402"/>
      <c r="F122" s="402"/>
      <c r="G122" s="396"/>
      <c r="H122" s="396"/>
      <c r="I122" s="396"/>
      <c r="J122" s="396"/>
      <c r="K122" s="410"/>
      <c r="L122" s="261"/>
      <c r="M122" s="261"/>
      <c r="N122" s="136"/>
    </row>
    <row r="123" spans="1:16" ht="15" customHeight="1">
      <c r="A123" s="402"/>
      <c r="B123" s="402"/>
      <c r="C123" s="402"/>
      <c r="D123" s="402"/>
      <c r="E123" s="402"/>
      <c r="F123" s="402"/>
      <c r="G123" s="396"/>
      <c r="H123" s="396"/>
      <c r="I123" s="396"/>
      <c r="J123" s="396"/>
      <c r="K123" s="396"/>
      <c r="L123" s="261"/>
      <c r="M123" s="261"/>
      <c r="N123" s="136"/>
    </row>
    <row r="124" spans="1:16" ht="15" customHeight="1">
      <c r="A124" s="402"/>
      <c r="B124" s="402"/>
      <c r="C124" s="402"/>
      <c r="D124" s="402"/>
      <c r="E124" s="402"/>
      <c r="F124" s="402"/>
      <c r="G124" s="396"/>
      <c r="H124" s="396"/>
      <c r="I124" s="396"/>
      <c r="J124" s="396"/>
      <c r="K124" s="396"/>
      <c r="L124" s="261"/>
      <c r="M124" s="261"/>
      <c r="N124" s="136"/>
    </row>
    <row r="125" spans="1:16" ht="15" customHeight="1">
      <c r="A125" s="66" t="s">
        <v>559</v>
      </c>
      <c r="B125" s="351"/>
      <c r="C125" s="26"/>
      <c r="D125" s="26"/>
      <c r="E125" s="26"/>
      <c r="F125" s="26"/>
      <c r="G125" s="26"/>
      <c r="H125" s="26"/>
      <c r="I125" s="26"/>
      <c r="J125" s="34"/>
      <c r="K125" s="349"/>
      <c r="L125" s="377"/>
      <c r="M125" s="9"/>
      <c r="N125" s="9"/>
      <c r="P125" s="41">
        <f>'[5]2026 március'!B$2</f>
        <v>0</v>
      </c>
    </row>
    <row r="126" spans="1:16" ht="15" customHeight="1">
      <c r="A126" s="141">
        <v>46113</v>
      </c>
      <c r="B126" s="11"/>
      <c r="C126" s="11"/>
      <c r="D126" s="11"/>
      <c r="E126" s="11"/>
      <c r="F126" s="11"/>
      <c r="G126" s="11"/>
      <c r="H126" s="11"/>
      <c r="I126" s="11"/>
      <c r="J126" s="38"/>
      <c r="K126" s="71"/>
      <c r="L126" s="72"/>
      <c r="M126" s="9"/>
      <c r="N126" s="9"/>
      <c r="P126" s="41">
        <f>'[5]2026 március'!B$3</f>
        <v>81225</v>
      </c>
    </row>
    <row r="127" spans="1:16" ht="15" customHeight="1">
      <c r="A127" s="141">
        <v>46114</v>
      </c>
      <c r="B127" s="11"/>
      <c r="C127" s="11"/>
      <c r="D127" s="11"/>
      <c r="E127" s="11"/>
      <c r="F127" s="11"/>
      <c r="G127" s="11"/>
      <c r="H127" s="11"/>
      <c r="I127" s="11"/>
      <c r="J127" s="38"/>
      <c r="K127" s="38"/>
      <c r="L127" s="146"/>
      <c r="M127" s="158"/>
      <c r="N127" s="158"/>
      <c r="P127" s="41">
        <f>'[5]2026 március'!B$4</f>
        <v>101460</v>
      </c>
    </row>
    <row r="128" spans="1:16" ht="15" customHeight="1">
      <c r="A128" s="141">
        <v>46115</v>
      </c>
      <c r="B128" s="142"/>
      <c r="C128" s="142"/>
      <c r="D128" s="142"/>
      <c r="E128" s="142"/>
      <c r="F128" s="142"/>
      <c r="G128" s="142"/>
      <c r="H128" s="142"/>
      <c r="I128" s="142"/>
      <c r="J128" s="143"/>
      <c r="K128" s="143"/>
      <c r="L128" s="146"/>
      <c r="M128" s="158"/>
      <c r="N128" s="158"/>
      <c r="P128" s="41">
        <f>'[5]2026 március'!B$5</f>
        <v>103430</v>
      </c>
    </row>
    <row r="129" spans="1:16" ht="15" customHeight="1">
      <c r="A129" s="141">
        <v>46116</v>
      </c>
      <c r="B129" s="142"/>
      <c r="C129" s="142"/>
      <c r="D129" s="142"/>
      <c r="E129" s="142"/>
      <c r="F129" s="142"/>
      <c r="G129" s="142"/>
      <c r="H129" s="142"/>
      <c r="I129" s="142"/>
      <c r="J129" s="143"/>
      <c r="K129" s="146"/>
      <c r="L129" s="146"/>
      <c r="M129" s="158"/>
      <c r="N129" s="158"/>
      <c r="P129" s="41">
        <v>97680</v>
      </c>
    </row>
    <row r="130" spans="1:16" ht="15" customHeight="1">
      <c r="A130" s="141">
        <v>46117</v>
      </c>
      <c r="B130" s="142"/>
      <c r="C130" s="142"/>
      <c r="D130" s="142"/>
      <c r="E130" s="142"/>
      <c r="F130" s="142"/>
      <c r="G130" s="142"/>
      <c r="H130" s="142"/>
      <c r="I130" s="142"/>
      <c r="J130" s="143"/>
      <c r="K130" s="146"/>
      <c r="L130" s="146"/>
      <c r="M130" s="158"/>
      <c r="N130" s="158"/>
      <c r="P130" s="41">
        <v>51805</v>
      </c>
    </row>
    <row r="131" spans="1:16" ht="15" customHeight="1">
      <c r="A131" s="141">
        <v>46118</v>
      </c>
      <c r="B131" s="142"/>
      <c r="C131" s="142"/>
      <c r="D131" s="142"/>
      <c r="E131" s="142"/>
      <c r="F131" s="142"/>
      <c r="G131" s="142"/>
      <c r="H131" s="142"/>
      <c r="I131" s="142"/>
      <c r="J131" s="143"/>
      <c r="K131" s="146"/>
      <c r="L131" s="572"/>
      <c r="M131" s="568"/>
      <c r="N131" s="568"/>
      <c r="P131" s="41">
        <f>'[5]2026 március'!B$8</f>
        <v>0</v>
      </c>
    </row>
    <row r="132" spans="1:16" ht="15" customHeight="1">
      <c r="A132" s="141">
        <v>46119</v>
      </c>
      <c r="B132" s="15"/>
      <c r="C132" s="15"/>
      <c r="D132" s="15"/>
      <c r="E132" s="15"/>
      <c r="F132" s="15"/>
      <c r="G132" s="15"/>
      <c r="H132" s="15"/>
      <c r="I132" s="15"/>
      <c r="J132" s="565"/>
      <c r="K132" s="571"/>
      <c r="L132" s="572"/>
      <c r="M132" s="568"/>
      <c r="N132" s="568"/>
      <c r="P132" s="41">
        <f>'[5]2026 március'!B$9</f>
        <v>0</v>
      </c>
    </row>
    <row r="133" spans="1:16" ht="15" customHeight="1">
      <c r="A133" s="141">
        <v>46120</v>
      </c>
      <c r="B133" s="15"/>
      <c r="C133" s="15"/>
      <c r="D133" s="15"/>
      <c r="E133" s="15"/>
      <c r="F133" s="15"/>
      <c r="G133" s="15"/>
      <c r="H133" s="15"/>
      <c r="I133" s="15"/>
      <c r="J133" s="565"/>
      <c r="K133" s="571"/>
      <c r="L133" s="571"/>
      <c r="M133" s="568"/>
      <c r="N133" s="568"/>
      <c r="P133" s="41">
        <v>94520</v>
      </c>
    </row>
    <row r="134" spans="1:16" ht="15" customHeight="1">
      <c r="A134" s="141">
        <v>46121</v>
      </c>
      <c r="B134" s="15"/>
      <c r="C134" s="15"/>
      <c r="D134" s="15"/>
      <c r="E134" s="15"/>
      <c r="F134" s="15"/>
      <c r="G134" s="15"/>
      <c r="H134" s="15"/>
      <c r="I134" s="15"/>
      <c r="J134" s="565"/>
      <c r="K134" s="571"/>
      <c r="L134" s="571"/>
      <c r="M134" s="568"/>
      <c r="N134" s="568"/>
      <c r="P134" s="41">
        <v>124890</v>
      </c>
    </row>
    <row r="135" spans="1:16" ht="15" customHeight="1">
      <c r="A135" s="141">
        <v>46122</v>
      </c>
      <c r="B135" s="15"/>
      <c r="C135" s="15"/>
      <c r="D135" s="15"/>
      <c r="E135" s="15"/>
      <c r="F135" s="15"/>
      <c r="G135" s="15"/>
      <c r="H135" s="15"/>
      <c r="I135" s="15"/>
      <c r="J135" s="565"/>
      <c r="K135" s="571"/>
      <c r="L135" s="146"/>
      <c r="M135" s="158"/>
      <c r="N135" s="158"/>
      <c r="P135" s="41">
        <v>110140</v>
      </c>
    </row>
    <row r="136" spans="1:16" ht="15" customHeight="1">
      <c r="A136" s="141">
        <v>46123</v>
      </c>
      <c r="B136" s="142"/>
      <c r="C136" s="142"/>
      <c r="D136" s="142"/>
      <c r="E136" s="142"/>
      <c r="F136" s="142"/>
      <c r="G136" s="142"/>
      <c r="H136" s="142"/>
      <c r="I136" s="142"/>
      <c r="J136" s="143"/>
      <c r="K136" s="146"/>
      <c r="L136" s="146"/>
      <c r="M136" s="547"/>
      <c r="N136" s="158"/>
      <c r="P136" s="41">
        <v>99930</v>
      </c>
    </row>
    <row r="137" spans="1:16" ht="15" customHeight="1">
      <c r="A137" s="141">
        <v>46124</v>
      </c>
      <c r="B137" s="142"/>
      <c r="C137" s="142"/>
      <c r="D137" s="142"/>
      <c r="E137" s="142"/>
      <c r="F137" s="142"/>
      <c r="G137" s="142"/>
      <c r="H137" s="142"/>
      <c r="I137" s="142"/>
      <c r="J137" s="143"/>
      <c r="K137" s="146"/>
      <c r="L137" s="571"/>
      <c r="M137" s="573"/>
      <c r="N137" s="568"/>
      <c r="P137" s="41"/>
    </row>
    <row r="138" spans="1:16" ht="15" customHeight="1">
      <c r="A138" s="141">
        <v>46125</v>
      </c>
      <c r="B138" s="15"/>
      <c r="C138" s="15"/>
      <c r="D138" s="15"/>
      <c r="E138" s="15"/>
      <c r="F138" s="15"/>
      <c r="G138" s="15"/>
      <c r="H138" s="15"/>
      <c r="I138" s="15"/>
      <c r="J138" s="565"/>
      <c r="K138" s="571"/>
      <c r="L138" s="571"/>
      <c r="M138" s="568"/>
      <c r="N138" s="568"/>
      <c r="P138" s="41">
        <f>'[5]2026 március'!B$14</f>
        <v>52350</v>
      </c>
    </row>
    <row r="139" spans="1:16" ht="15" customHeight="1">
      <c r="A139" s="141">
        <v>46126</v>
      </c>
      <c r="B139" s="15"/>
      <c r="C139" s="15"/>
      <c r="D139" s="15"/>
      <c r="E139" s="15"/>
      <c r="F139" s="15"/>
      <c r="G139" s="15"/>
      <c r="H139" s="15"/>
      <c r="I139" s="15"/>
      <c r="J139" s="565"/>
      <c r="K139" s="571"/>
      <c r="L139" s="571"/>
      <c r="M139" s="568"/>
      <c r="N139" s="568"/>
      <c r="P139" s="41">
        <f>'[5]2026 március'!B$15</f>
        <v>0</v>
      </c>
    </row>
    <row r="140" spans="1:16" ht="15" customHeight="1">
      <c r="A140" s="141">
        <v>46127</v>
      </c>
      <c r="B140" s="15"/>
      <c r="C140" s="15"/>
      <c r="D140" s="15"/>
      <c r="E140" s="15"/>
      <c r="F140" s="15"/>
      <c r="G140" s="15"/>
      <c r="H140" s="15"/>
      <c r="I140" s="15"/>
      <c r="J140" s="565"/>
      <c r="K140" s="565"/>
      <c r="L140" s="571"/>
      <c r="M140" s="568"/>
      <c r="N140" s="568"/>
      <c r="P140" s="41">
        <f>'[5]2026 március'!B$16</f>
        <v>0</v>
      </c>
    </row>
    <row r="141" spans="1:16" ht="15" customHeight="1">
      <c r="A141" s="141">
        <v>46128</v>
      </c>
      <c r="B141" s="15"/>
      <c r="C141" s="15"/>
      <c r="D141" s="15"/>
      <c r="E141" s="15"/>
      <c r="F141" s="15"/>
      <c r="G141" s="15"/>
      <c r="H141" s="15"/>
      <c r="I141" s="15"/>
      <c r="J141" s="565"/>
      <c r="K141" s="565"/>
      <c r="L141" s="571"/>
      <c r="M141" s="568"/>
      <c r="N141" s="568"/>
      <c r="P141" s="41">
        <v>100280</v>
      </c>
    </row>
    <row r="142" spans="1:16" ht="15" customHeight="1">
      <c r="A142" s="141">
        <v>46129</v>
      </c>
      <c r="B142" s="15"/>
      <c r="C142" s="15"/>
      <c r="D142" s="15"/>
      <c r="E142" s="15"/>
      <c r="F142" s="15"/>
      <c r="G142" s="15"/>
      <c r="H142" s="15"/>
      <c r="I142" s="15"/>
      <c r="J142" s="565"/>
      <c r="K142" s="571"/>
      <c r="L142" s="146"/>
      <c r="M142" s="158"/>
      <c r="N142" s="158"/>
      <c r="P142" s="41">
        <v>95425</v>
      </c>
    </row>
    <row r="143" spans="1:16" ht="15" customHeight="1">
      <c r="A143" s="141">
        <v>46130</v>
      </c>
      <c r="B143" s="142"/>
      <c r="C143" s="142"/>
      <c r="D143" s="142"/>
      <c r="E143" s="142"/>
      <c r="F143" s="142"/>
      <c r="G143" s="142"/>
      <c r="H143" s="142"/>
      <c r="I143" s="142"/>
      <c r="J143" s="143"/>
      <c r="K143" s="146"/>
      <c r="L143" s="146"/>
      <c r="M143" s="158"/>
      <c r="N143" s="158"/>
      <c r="P143" s="41">
        <v>108465</v>
      </c>
    </row>
    <row r="144" spans="1:16" ht="15" customHeight="1">
      <c r="A144" s="141">
        <v>46131</v>
      </c>
      <c r="B144" s="142"/>
      <c r="C144" s="142"/>
      <c r="D144" s="142"/>
      <c r="E144" s="142"/>
      <c r="F144" s="142"/>
      <c r="G144" s="142"/>
      <c r="H144" s="142"/>
      <c r="I144" s="142"/>
      <c r="J144" s="143"/>
      <c r="K144" s="143"/>
      <c r="L144" s="571"/>
      <c r="M144" s="568"/>
      <c r="N144" s="568"/>
      <c r="P144" s="41">
        <v>88685</v>
      </c>
    </row>
    <row r="145" spans="1:16" ht="15" customHeight="1">
      <c r="A145" s="141">
        <v>46132</v>
      </c>
      <c r="B145" s="15"/>
      <c r="C145" s="15"/>
      <c r="D145" s="15"/>
      <c r="E145" s="15"/>
      <c r="F145" s="15"/>
      <c r="G145" s="15"/>
      <c r="H145" s="15"/>
      <c r="I145" s="15"/>
      <c r="J145" s="565"/>
      <c r="K145" s="565"/>
      <c r="L145" s="571"/>
      <c r="M145" s="568"/>
      <c r="N145" s="568"/>
      <c r="P145" s="41">
        <v>60555</v>
      </c>
    </row>
    <row r="146" spans="1:16" ht="15" customHeight="1">
      <c r="A146" s="141">
        <v>46133</v>
      </c>
      <c r="B146" s="15"/>
      <c r="C146" s="15"/>
      <c r="D146" s="15"/>
      <c r="E146" s="15"/>
      <c r="F146" s="15"/>
      <c r="G146" s="15"/>
      <c r="H146" s="15"/>
      <c r="I146" s="15"/>
      <c r="J146" s="565"/>
      <c r="K146" s="565"/>
      <c r="L146" s="571"/>
      <c r="M146" s="568"/>
      <c r="N146" s="568"/>
      <c r="P146" s="41">
        <f>'[5]2026 március'!B$22</f>
        <v>0</v>
      </c>
    </row>
    <row r="147" spans="1:16">
      <c r="A147" s="141">
        <v>46134</v>
      </c>
      <c r="B147" s="15"/>
      <c r="C147" s="15"/>
      <c r="D147" s="15"/>
      <c r="E147" s="15"/>
      <c r="F147" s="15"/>
      <c r="G147" s="15"/>
      <c r="H147" s="15"/>
      <c r="I147" s="15"/>
      <c r="J147" s="565"/>
      <c r="K147" s="565"/>
      <c r="L147" s="571"/>
      <c r="M147" s="568"/>
      <c r="N147" s="568"/>
      <c r="P147" s="41">
        <f>'[5]2026 március'!B$23</f>
        <v>0</v>
      </c>
    </row>
    <row r="148" spans="1:16">
      <c r="A148" s="141">
        <v>46135</v>
      </c>
      <c r="B148" s="15"/>
      <c r="C148" s="15"/>
      <c r="D148" s="15"/>
      <c r="E148" s="15"/>
      <c r="F148" s="15"/>
      <c r="G148" s="15"/>
      <c r="H148" s="15"/>
      <c r="I148" s="15"/>
      <c r="J148" s="565"/>
      <c r="K148" s="565"/>
      <c r="L148" s="571"/>
      <c r="M148" s="568"/>
      <c r="N148" s="568"/>
      <c r="P148" s="41">
        <v>100380</v>
      </c>
    </row>
    <row r="149" spans="1:16">
      <c r="A149" s="141">
        <v>46136</v>
      </c>
      <c r="B149" s="15"/>
      <c r="C149" s="15"/>
      <c r="D149" s="15"/>
      <c r="E149" s="15"/>
      <c r="F149" s="15"/>
      <c r="G149" s="15"/>
      <c r="H149" s="15"/>
      <c r="I149" s="15"/>
      <c r="J149" s="565"/>
      <c r="K149" s="565"/>
      <c r="L149" s="146"/>
      <c r="M149" s="158"/>
      <c r="N149" s="158"/>
      <c r="P149" s="41">
        <f>'[5]2026 március'!B$25</f>
        <v>116270</v>
      </c>
    </row>
    <row r="150" spans="1:16">
      <c r="A150" s="141">
        <v>46137</v>
      </c>
      <c r="B150" s="142"/>
      <c r="C150" s="142"/>
      <c r="D150" s="142"/>
      <c r="E150" s="142"/>
      <c r="F150" s="142"/>
      <c r="G150" s="142"/>
      <c r="H150" s="142"/>
      <c r="I150" s="142"/>
      <c r="J150" s="143"/>
      <c r="K150" s="143"/>
      <c r="L150" s="146"/>
      <c r="M150" s="158"/>
      <c r="N150" s="158"/>
      <c r="P150" s="41">
        <f>'[5]2026 március'!B$26</f>
        <v>102125</v>
      </c>
    </row>
    <row r="151" spans="1:16" ht="15" customHeight="1">
      <c r="A151" s="141">
        <v>46138</v>
      </c>
      <c r="B151" s="142"/>
      <c r="C151" s="142"/>
      <c r="D151" s="142"/>
      <c r="E151" s="142"/>
      <c r="F151" s="142"/>
      <c r="G151" s="142"/>
      <c r="H151" s="142"/>
      <c r="I151" s="142"/>
      <c r="J151" s="143"/>
      <c r="K151" s="143"/>
      <c r="L151" s="571"/>
      <c r="M151" s="568"/>
      <c r="N151" s="568"/>
      <c r="P151" s="41">
        <f>'[5]2026 március'!B$27</f>
        <v>56500</v>
      </c>
    </row>
    <row r="152" spans="1:16">
      <c r="A152" s="141">
        <v>46139</v>
      </c>
      <c r="B152" s="15"/>
      <c r="C152" s="15"/>
      <c r="D152" s="15"/>
      <c r="E152" s="15"/>
      <c r="F152" s="15"/>
      <c r="G152" s="15"/>
      <c r="H152" s="15"/>
      <c r="I152" s="15"/>
      <c r="J152" s="565"/>
      <c r="K152" s="565"/>
      <c r="L152" s="571"/>
      <c r="M152" s="568"/>
      <c r="N152" s="568"/>
      <c r="P152" s="41">
        <f>'[5]2026 március'!B$28</f>
        <v>51550</v>
      </c>
    </row>
    <row r="153" spans="1:16" ht="15" customHeight="1">
      <c r="A153" s="141">
        <v>46140</v>
      </c>
      <c r="B153" s="15"/>
      <c r="C153" s="15"/>
      <c r="D153" s="15"/>
      <c r="E153" s="15"/>
      <c r="F153" s="15"/>
      <c r="G153" s="15"/>
      <c r="H153" s="15"/>
      <c r="I153" s="15"/>
      <c r="J153" s="565"/>
      <c r="K153" s="565"/>
      <c r="L153" s="571"/>
      <c r="M153" s="568"/>
      <c r="N153" s="568"/>
      <c r="P153" s="41">
        <f>'[5]2026 március'!B$29</f>
        <v>0</v>
      </c>
    </row>
    <row r="154" spans="1:16" ht="15" customHeight="1">
      <c r="A154" s="141">
        <v>46141</v>
      </c>
      <c r="B154" s="15"/>
      <c r="C154" s="15"/>
      <c r="D154" s="15"/>
      <c r="E154" s="15"/>
      <c r="F154" s="15"/>
      <c r="G154" s="15"/>
      <c r="H154" s="15"/>
      <c r="I154" s="15"/>
      <c r="J154" s="565"/>
      <c r="K154" s="565"/>
      <c r="L154" s="571"/>
      <c r="M154" s="568"/>
      <c r="N154" s="568"/>
      <c r="P154" s="41">
        <f>'[5]2026 március'!B$30</f>
        <v>0</v>
      </c>
    </row>
    <row r="155" spans="1:16" ht="15" customHeight="1">
      <c r="A155" s="141">
        <v>46142</v>
      </c>
      <c r="B155" s="15"/>
      <c r="C155" s="15"/>
      <c r="D155" s="15"/>
      <c r="E155" s="15"/>
      <c r="F155" s="15"/>
      <c r="G155" s="15"/>
      <c r="H155" s="15"/>
      <c r="I155" s="15"/>
      <c r="J155" s="565"/>
      <c r="K155" s="565"/>
      <c r="L155" s="571"/>
      <c r="M155" s="568"/>
      <c r="N155" s="568"/>
      <c r="P155" s="41">
        <f>'[5]2026 március'!B$31</f>
        <v>102730</v>
      </c>
    </row>
    <row r="156" spans="1:16" ht="15" customHeight="1">
      <c r="A156" s="141"/>
      <c r="B156" s="15"/>
      <c r="C156" s="15"/>
      <c r="D156" s="15"/>
      <c r="E156" s="15"/>
      <c r="F156" s="15"/>
      <c r="G156" s="15"/>
      <c r="H156" s="15"/>
      <c r="I156" s="15"/>
      <c r="J156" s="565"/>
      <c r="K156" s="565"/>
      <c r="L156" s="571"/>
      <c r="M156" s="568"/>
      <c r="N156" s="568"/>
      <c r="P156" s="41">
        <f>'[5]2026 március'!B$32</f>
        <v>99010</v>
      </c>
    </row>
    <row r="157" spans="1:16" ht="15" customHeight="1">
      <c r="A157" s="141"/>
      <c r="B157" s="15"/>
      <c r="C157" s="15"/>
      <c r="D157" s="15"/>
      <c r="E157" s="15"/>
      <c r="F157" s="15"/>
      <c r="G157" s="15"/>
      <c r="H157" s="15"/>
      <c r="I157" s="15"/>
      <c r="J157" s="565"/>
      <c r="K157" s="565"/>
      <c r="L157" s="575"/>
      <c r="M157" s="576"/>
      <c r="N157" s="577"/>
    </row>
    <row r="158" spans="1:16" ht="15" customHeight="1">
      <c r="A158" s="141"/>
      <c r="B158" s="15"/>
      <c r="C158" s="15"/>
      <c r="D158" s="15"/>
      <c r="E158" s="15"/>
      <c r="F158" s="15"/>
      <c r="G158" s="15"/>
      <c r="H158" s="15"/>
      <c r="I158" s="15"/>
      <c r="J158" s="574"/>
      <c r="K158" s="574"/>
      <c r="L158" s="584"/>
      <c r="M158" s="568"/>
      <c r="N158" s="577"/>
    </row>
    <row r="159" spans="1:16" ht="15" customHeight="1">
      <c r="A159" s="18" t="s">
        <v>64</v>
      </c>
      <c r="B159" s="578"/>
      <c r="C159" s="19">
        <f>SUM(C126:C158)</f>
        <v>0</v>
      </c>
      <c r="D159" s="19">
        <f>SUM(D126:D158)</f>
        <v>0</v>
      </c>
      <c r="E159" s="19">
        <f>SUM(E127:E158)</f>
        <v>0</v>
      </c>
      <c r="F159" s="19">
        <f>SUM(F127:F158)</f>
        <v>0</v>
      </c>
      <c r="G159" s="20">
        <f>SUM(G127:G158)</f>
        <v>0</v>
      </c>
      <c r="H159" s="20">
        <f>SUM(H127:H158)</f>
        <v>0</v>
      </c>
      <c r="I159" s="39">
        <f>SUM(I127:I158)</f>
        <v>0</v>
      </c>
      <c r="J159" s="582"/>
      <c r="K159" s="583"/>
      <c r="L159" s="414"/>
      <c r="M159" s="9"/>
      <c r="N159" s="382"/>
    </row>
    <row r="160" spans="1:16" ht="15" customHeight="1">
      <c r="A160" s="5"/>
      <c r="B160" s="11"/>
      <c r="C160" s="29">
        <f>C159+D159+E159+F159</f>
        <v>0</v>
      </c>
      <c r="D160" s="10"/>
      <c r="E160" s="10"/>
      <c r="F160" s="10"/>
      <c r="G160" s="47">
        <f>G159+H159</f>
        <v>0</v>
      </c>
      <c r="H160" s="10"/>
      <c r="I160" s="10"/>
      <c r="J160" s="33"/>
      <c r="K160" s="33"/>
      <c r="L160" s="261"/>
      <c r="M160" s="261"/>
      <c r="N160" s="136"/>
    </row>
    <row r="161" spans="1:14" ht="15" customHeight="1">
      <c r="A161" s="67"/>
      <c r="B161" s="356"/>
      <c r="L161" s="261"/>
      <c r="M161" s="261"/>
      <c r="N161" s="136"/>
    </row>
    <row r="162" spans="1:14" ht="15" customHeight="1">
      <c r="A162" s="403" t="s">
        <v>177</v>
      </c>
      <c r="B162" s="404"/>
      <c r="C162" s="405"/>
      <c r="D162" s="405"/>
      <c r="E162" s="405"/>
      <c r="F162" s="406"/>
      <c r="G162" s="406"/>
      <c r="H162" s="406"/>
      <c r="I162" s="406"/>
      <c r="J162" s="407"/>
      <c r="K162" s="408"/>
      <c r="L162" s="261"/>
      <c r="M162" s="261"/>
      <c r="N162" s="136"/>
    </row>
    <row r="163" spans="1:14" ht="15" customHeight="1">
      <c r="A163" s="409"/>
      <c r="B163" s="402"/>
      <c r="C163" s="402"/>
      <c r="D163" s="402"/>
      <c r="E163" s="402"/>
      <c r="F163" s="402"/>
      <c r="G163" s="396"/>
      <c r="H163" s="396"/>
      <c r="I163" s="396"/>
      <c r="J163" s="396"/>
      <c r="K163" s="410"/>
      <c r="L163" s="261"/>
      <c r="M163" s="261"/>
      <c r="N163" s="136"/>
    </row>
    <row r="164" spans="1:14" ht="15" customHeight="1">
      <c r="A164" s="628"/>
      <c r="B164" s="629"/>
      <c r="C164" s="629"/>
      <c r="D164" s="629"/>
      <c r="E164" s="629"/>
      <c r="F164" s="629"/>
      <c r="G164" s="411"/>
      <c r="H164" s="411"/>
      <c r="I164" s="411"/>
      <c r="J164" s="411"/>
      <c r="K164" s="412"/>
    </row>
    <row r="165" spans="1:14" ht="15" customHeight="1">
      <c r="B165" s="356"/>
    </row>
    <row r="166" spans="1:14" ht="15" customHeight="1">
      <c r="B166" s="356"/>
    </row>
    <row r="167" spans="1:14" ht="15" customHeight="1">
      <c r="B167" s="356"/>
    </row>
    <row r="168" spans="1:14" ht="15" customHeight="1">
      <c r="B168" s="356"/>
    </row>
    <row r="169" spans="1:14" ht="15" customHeight="1">
      <c r="B169" s="356"/>
    </row>
    <row r="170" spans="1:14" ht="15" customHeight="1">
      <c r="B170" s="356"/>
    </row>
    <row r="171" spans="1:14" ht="15" customHeight="1">
      <c r="B171" s="356"/>
    </row>
    <row r="172" spans="1:14" ht="15" customHeight="1">
      <c r="B172" s="356"/>
    </row>
    <row r="173" spans="1:14" ht="15" customHeight="1">
      <c r="B173" s="356"/>
    </row>
    <row r="174" spans="1:14" ht="15" customHeight="1">
      <c r="B174" s="356"/>
    </row>
    <row r="175" spans="1:14" ht="15" customHeight="1">
      <c r="B175" s="356"/>
    </row>
    <row r="176" spans="1:14" ht="15" customHeight="1">
      <c r="B176" s="356"/>
    </row>
    <row r="177" spans="2:2" ht="15" customHeight="1">
      <c r="B177" s="356"/>
    </row>
    <row r="178" spans="2:2" ht="15" customHeight="1">
      <c r="B178" s="356"/>
    </row>
    <row r="179" spans="2:2" ht="15" customHeight="1">
      <c r="B179" s="356"/>
    </row>
    <row r="180" spans="2:2" ht="15" customHeight="1">
      <c r="B180" s="356"/>
    </row>
    <row r="181" spans="2:2" ht="15" customHeight="1">
      <c r="B181" s="356"/>
    </row>
    <row r="182" spans="2:2" ht="15" customHeight="1">
      <c r="B182" s="356"/>
    </row>
    <row r="183" spans="2:2">
      <c r="B183" s="356"/>
    </row>
    <row r="184" spans="2:2">
      <c r="B184" s="356"/>
    </row>
    <row r="185" spans="2:2">
      <c r="B185" s="356"/>
    </row>
    <row r="186" spans="2:2" ht="15" customHeight="1">
      <c r="B186" s="356"/>
    </row>
    <row r="187" spans="2:2" ht="15" customHeight="1">
      <c r="B187" s="356"/>
    </row>
    <row r="188" spans="2:2" ht="15" customHeight="1">
      <c r="B188" s="356"/>
    </row>
    <row r="189" spans="2:2">
      <c r="B189" s="356"/>
    </row>
    <row r="190" spans="2:2">
      <c r="B190" s="356"/>
    </row>
    <row r="191" spans="2:2" ht="15" customHeight="1">
      <c r="B191" s="356"/>
    </row>
    <row r="192" spans="2:2" ht="15" customHeight="1">
      <c r="B192" s="356"/>
    </row>
    <row r="193" spans="2:2" ht="15" customHeight="1">
      <c r="B193" s="356"/>
    </row>
    <row r="194" spans="2:2" ht="15" customHeight="1">
      <c r="B194" s="356"/>
    </row>
    <row r="195" spans="2:2" ht="15" customHeight="1">
      <c r="B195" s="356"/>
    </row>
    <row r="196" spans="2:2" ht="15" customHeight="1">
      <c r="B196" s="356"/>
    </row>
    <row r="197" spans="2:2" ht="15" customHeight="1">
      <c r="B197" s="356"/>
    </row>
    <row r="198" spans="2:2" ht="15" customHeight="1">
      <c r="B198" s="356"/>
    </row>
    <row r="199" spans="2:2" ht="15" customHeight="1">
      <c r="B199" s="356"/>
    </row>
    <row r="200" spans="2:2" ht="15" customHeight="1">
      <c r="B200" s="356"/>
    </row>
    <row r="201" spans="2:2" ht="15" customHeight="1">
      <c r="B201" s="356"/>
    </row>
    <row r="202" spans="2:2" ht="15" customHeight="1">
      <c r="B202" s="356"/>
    </row>
    <row r="203" spans="2:2" ht="15" customHeight="1">
      <c r="B203" s="356"/>
    </row>
    <row r="204" spans="2:2" ht="15" customHeight="1">
      <c r="B204" s="356"/>
    </row>
    <row r="205" spans="2:2" ht="15" customHeight="1">
      <c r="B205" s="356"/>
    </row>
    <row r="206" spans="2:2" ht="15" customHeight="1">
      <c r="B206" s="356"/>
    </row>
    <row r="207" spans="2:2" ht="15" customHeight="1">
      <c r="B207" s="356"/>
    </row>
    <row r="208" spans="2:2" ht="15" customHeight="1">
      <c r="B208" s="356"/>
    </row>
    <row r="209" spans="2:2" ht="15" customHeight="1">
      <c r="B209" s="356"/>
    </row>
    <row r="210" spans="2:2" ht="15" customHeight="1">
      <c r="B210" s="356"/>
    </row>
    <row r="211" spans="2:2" ht="15" customHeight="1">
      <c r="B211" s="356"/>
    </row>
    <row r="212" spans="2:2" ht="15" customHeight="1">
      <c r="B212" s="356"/>
    </row>
    <row r="213" spans="2:2" ht="15" customHeight="1">
      <c r="B213" s="356"/>
    </row>
    <row r="214" spans="2:2" ht="15" customHeight="1">
      <c r="B214" s="356"/>
    </row>
    <row r="215" spans="2:2" ht="15" customHeight="1">
      <c r="B215" s="356"/>
    </row>
    <row r="216" spans="2:2" ht="15" customHeight="1">
      <c r="B216" s="356"/>
    </row>
    <row r="217" spans="2:2" ht="15" customHeight="1">
      <c r="B217" s="356"/>
    </row>
    <row r="218" spans="2:2" ht="15" customHeight="1">
      <c r="B218" s="356"/>
    </row>
    <row r="219" spans="2:2" ht="15" customHeight="1">
      <c r="B219" s="356"/>
    </row>
    <row r="220" spans="2:2">
      <c r="B220" s="356"/>
    </row>
    <row r="221" spans="2:2">
      <c r="B221" s="356"/>
    </row>
    <row r="222" spans="2:2">
      <c r="B222" s="356"/>
    </row>
    <row r="223" spans="2:2" ht="15" customHeight="1">
      <c r="B223" s="356"/>
    </row>
    <row r="224" spans="2:2" ht="15" customHeight="1">
      <c r="B224" s="356"/>
    </row>
    <row r="225" spans="2:2" ht="15" customHeight="1">
      <c r="B225" s="356"/>
    </row>
    <row r="226" spans="2:2" ht="15" customHeight="1">
      <c r="B226" s="356"/>
    </row>
    <row r="227" spans="2:2" ht="15" customHeight="1">
      <c r="B227" s="356"/>
    </row>
    <row r="228" spans="2:2">
      <c r="B228" s="356"/>
    </row>
    <row r="229" spans="2:2" ht="15" customHeight="1">
      <c r="B229" s="356"/>
    </row>
    <row r="230" spans="2:2" ht="15" customHeight="1">
      <c r="B230" s="356"/>
    </row>
    <row r="231" spans="2:2" ht="15" customHeight="1">
      <c r="B231" s="356"/>
    </row>
    <row r="232" spans="2:2" ht="15" customHeight="1">
      <c r="B232" s="356"/>
    </row>
    <row r="233" spans="2:2" ht="15" customHeight="1">
      <c r="B233" s="356"/>
    </row>
    <row r="234" spans="2:2" ht="15" customHeight="1">
      <c r="B234" s="356"/>
    </row>
    <row r="235" spans="2:2" ht="15" customHeight="1">
      <c r="B235" s="356"/>
    </row>
    <row r="236" spans="2:2" ht="15" customHeight="1">
      <c r="B236" s="356"/>
    </row>
    <row r="237" spans="2:2" ht="15" customHeight="1">
      <c r="B237" s="356"/>
    </row>
    <row r="238" spans="2:2" ht="15" customHeight="1">
      <c r="B238" s="356"/>
    </row>
    <row r="239" spans="2:2" ht="15" customHeight="1">
      <c r="B239" s="356"/>
    </row>
    <row r="240" spans="2:2" ht="15" customHeight="1">
      <c r="B240" s="356"/>
    </row>
    <row r="241" spans="2:2" ht="15" customHeight="1">
      <c r="B241" s="356"/>
    </row>
    <row r="242" spans="2:2" ht="15" customHeight="1">
      <c r="B242" s="356"/>
    </row>
    <row r="243" spans="2:2" ht="15" customHeight="1">
      <c r="B243" s="356"/>
    </row>
    <row r="244" spans="2:2" ht="15" customHeight="1">
      <c r="B244" s="356"/>
    </row>
    <row r="245" spans="2:2" ht="15" customHeight="1">
      <c r="B245" s="356"/>
    </row>
    <row r="246" spans="2:2" ht="15" customHeight="1">
      <c r="B246" s="356"/>
    </row>
    <row r="247" spans="2:2" ht="15" customHeight="1">
      <c r="B247" s="356"/>
    </row>
    <row r="248" spans="2:2" ht="15" customHeight="1">
      <c r="B248" s="356"/>
    </row>
    <row r="249" spans="2:2" ht="15" customHeight="1">
      <c r="B249" s="356"/>
    </row>
    <row r="250" spans="2:2" ht="15" customHeight="1">
      <c r="B250" s="356"/>
    </row>
    <row r="251" spans="2:2" ht="15" customHeight="1">
      <c r="B251" s="356"/>
    </row>
    <row r="252" spans="2:2" ht="15" customHeight="1">
      <c r="B252" s="356"/>
    </row>
    <row r="253" spans="2:2" ht="15" customHeight="1">
      <c r="B253" s="356"/>
    </row>
    <row r="254" spans="2:2" ht="15" customHeight="1">
      <c r="B254" s="356"/>
    </row>
    <row r="255" spans="2:2" ht="15" customHeight="1">
      <c r="B255" s="356"/>
    </row>
    <row r="256" spans="2:2" ht="15" customHeight="1">
      <c r="B256" s="356"/>
    </row>
    <row r="257" spans="2:2" ht="15" customHeight="1">
      <c r="B257" s="356"/>
    </row>
    <row r="258" spans="2:2" ht="15" customHeight="1">
      <c r="B258" s="356"/>
    </row>
    <row r="259" spans="2:2" ht="15" customHeight="1">
      <c r="B259" s="356"/>
    </row>
    <row r="260" spans="2:2" ht="15" customHeight="1">
      <c r="B260" s="356"/>
    </row>
    <row r="261" spans="2:2" ht="15" customHeight="1">
      <c r="B261" s="356"/>
    </row>
    <row r="262" spans="2:2" ht="15" customHeight="1">
      <c r="B262" s="356"/>
    </row>
    <row r="263" spans="2:2">
      <c r="B263" s="356"/>
    </row>
    <row r="264" spans="2:2">
      <c r="B264" s="356"/>
    </row>
    <row r="265" spans="2:2" ht="15" customHeight="1">
      <c r="B265" s="356"/>
    </row>
    <row r="266" spans="2:2">
      <c r="B266" s="356"/>
    </row>
    <row r="267" spans="2:2">
      <c r="B267" s="356"/>
    </row>
    <row r="268" spans="2:2" ht="15" customHeight="1">
      <c r="B268" s="356"/>
    </row>
    <row r="269" spans="2:2" ht="15" customHeight="1">
      <c r="B269" s="356"/>
    </row>
    <row r="270" spans="2:2" ht="15" customHeight="1">
      <c r="B270" s="356"/>
    </row>
    <row r="271" spans="2:2" ht="15" customHeight="1">
      <c r="B271" s="356"/>
    </row>
    <row r="272" spans="2:2" ht="15" customHeight="1">
      <c r="B272" s="356"/>
    </row>
    <row r="273" spans="2:2" ht="15" customHeight="1">
      <c r="B273" s="356"/>
    </row>
    <row r="274" spans="2:2" ht="15" customHeight="1">
      <c r="B274" s="356"/>
    </row>
    <row r="275" spans="2:2" ht="15" customHeight="1">
      <c r="B275" s="356"/>
    </row>
    <row r="276" spans="2:2" ht="15" customHeight="1">
      <c r="B276" s="356"/>
    </row>
    <row r="277" spans="2:2" ht="15" customHeight="1">
      <c r="B277" s="356"/>
    </row>
    <row r="278" spans="2:2" ht="15" customHeight="1">
      <c r="B278" s="356"/>
    </row>
    <row r="279" spans="2:2" ht="15" customHeight="1">
      <c r="B279" s="356"/>
    </row>
    <row r="280" spans="2:2" ht="15" customHeight="1">
      <c r="B280" s="356"/>
    </row>
    <row r="281" spans="2:2" ht="15" customHeight="1">
      <c r="B281" s="356"/>
    </row>
    <row r="282" spans="2:2" ht="15" customHeight="1">
      <c r="B282" s="356"/>
    </row>
    <row r="283" spans="2:2" ht="15" customHeight="1">
      <c r="B283" s="356"/>
    </row>
    <row r="284" spans="2:2" ht="15" customHeight="1">
      <c r="B284" s="356"/>
    </row>
    <row r="285" spans="2:2" ht="15" customHeight="1">
      <c r="B285" s="356"/>
    </row>
    <row r="286" spans="2:2" ht="15" customHeight="1">
      <c r="B286" s="356"/>
    </row>
    <row r="287" spans="2:2" ht="15" customHeight="1">
      <c r="B287" s="356"/>
    </row>
    <row r="288" spans="2:2" ht="15" customHeight="1">
      <c r="B288" s="356"/>
    </row>
    <row r="289" spans="2:2" ht="15" customHeight="1">
      <c r="B289" s="356"/>
    </row>
    <row r="290" spans="2:2" ht="15" customHeight="1">
      <c r="B290" s="356"/>
    </row>
    <row r="291" spans="2:2" ht="15" customHeight="1">
      <c r="B291" s="356"/>
    </row>
    <row r="292" spans="2:2" ht="15" customHeight="1">
      <c r="B292" s="356"/>
    </row>
    <row r="293" spans="2:2" ht="15" customHeight="1">
      <c r="B293" s="356"/>
    </row>
    <row r="294" spans="2:2" ht="15" customHeight="1">
      <c r="B294" s="356"/>
    </row>
    <row r="295" spans="2:2" ht="15" customHeight="1">
      <c r="B295" s="356"/>
    </row>
    <row r="296" spans="2:2" ht="15" customHeight="1">
      <c r="B296" s="356"/>
    </row>
    <row r="297" spans="2:2" ht="15" customHeight="1">
      <c r="B297" s="356"/>
    </row>
    <row r="298" spans="2:2" ht="15" customHeight="1">
      <c r="B298" s="356"/>
    </row>
    <row r="299" spans="2:2">
      <c r="B299" s="356"/>
    </row>
    <row r="300" spans="2:2">
      <c r="B300" s="356"/>
    </row>
    <row r="301" spans="2:2" ht="15" customHeight="1">
      <c r="B301" s="356"/>
    </row>
    <row r="302" spans="2:2" ht="15" customHeight="1">
      <c r="B302" s="356"/>
    </row>
    <row r="303" spans="2:2">
      <c r="B303" s="356"/>
    </row>
    <row r="304" spans="2:2" ht="15" customHeight="1">
      <c r="B304" s="356"/>
    </row>
    <row r="305" spans="2:2" ht="15" customHeight="1">
      <c r="B305" s="356"/>
    </row>
    <row r="306" spans="2:2" ht="15" customHeight="1">
      <c r="B306" s="356"/>
    </row>
    <row r="307" spans="2:2" ht="15" customHeight="1">
      <c r="B307" s="356"/>
    </row>
    <row r="308" spans="2:2" ht="15" customHeight="1">
      <c r="B308" s="356"/>
    </row>
    <row r="309" spans="2:2" ht="15" customHeight="1">
      <c r="B309" s="356"/>
    </row>
    <row r="310" spans="2:2" ht="15" customHeight="1">
      <c r="B310" s="356"/>
    </row>
    <row r="311" spans="2:2" ht="15" customHeight="1">
      <c r="B311" s="356"/>
    </row>
    <row r="312" spans="2:2" ht="15" customHeight="1">
      <c r="B312" s="356"/>
    </row>
    <row r="313" spans="2:2" ht="15" customHeight="1">
      <c r="B313" s="356"/>
    </row>
    <row r="314" spans="2:2" ht="15" customHeight="1">
      <c r="B314" s="356"/>
    </row>
    <row r="315" spans="2:2" ht="15" customHeight="1">
      <c r="B315" s="356"/>
    </row>
    <row r="316" spans="2:2" ht="15" customHeight="1">
      <c r="B316" s="356"/>
    </row>
    <row r="317" spans="2:2" ht="15" customHeight="1">
      <c r="B317" s="356"/>
    </row>
    <row r="318" spans="2:2" ht="15" customHeight="1">
      <c r="B318" s="356"/>
    </row>
    <row r="319" spans="2:2" ht="15" customHeight="1">
      <c r="B319" s="356"/>
    </row>
    <row r="320" spans="2:2" ht="15" customHeight="1">
      <c r="B320" s="356"/>
    </row>
    <row r="321" spans="2:2" ht="15" customHeight="1">
      <c r="B321" s="356"/>
    </row>
    <row r="322" spans="2:2" ht="15" customHeight="1">
      <c r="B322" s="356"/>
    </row>
    <row r="323" spans="2:2" ht="15" customHeight="1">
      <c r="B323" s="356"/>
    </row>
    <row r="324" spans="2:2" ht="15" customHeight="1">
      <c r="B324" s="356"/>
    </row>
    <row r="325" spans="2:2" ht="15" customHeight="1">
      <c r="B325" s="356"/>
    </row>
    <row r="326" spans="2:2" ht="15" customHeight="1">
      <c r="B326" s="356"/>
    </row>
    <row r="327" spans="2:2" ht="15" customHeight="1">
      <c r="B327" s="356"/>
    </row>
    <row r="328" spans="2:2" ht="15" customHeight="1">
      <c r="B328" s="356"/>
    </row>
    <row r="329" spans="2:2" ht="15" customHeight="1">
      <c r="B329" s="356"/>
    </row>
    <row r="330" spans="2:2" ht="15" customHeight="1">
      <c r="B330" s="356"/>
    </row>
    <row r="331" spans="2:2" ht="15" customHeight="1">
      <c r="B331" s="356"/>
    </row>
    <row r="332" spans="2:2" ht="15" customHeight="1">
      <c r="B332" s="356"/>
    </row>
    <row r="333" spans="2:2" ht="15" customHeight="1">
      <c r="B333" s="356"/>
    </row>
    <row r="334" spans="2:2" ht="15" customHeight="1">
      <c r="B334" s="356"/>
    </row>
    <row r="335" spans="2:2" ht="15" customHeight="1">
      <c r="B335" s="356"/>
    </row>
    <row r="336" spans="2:2" ht="15" customHeight="1">
      <c r="B336" s="356"/>
    </row>
    <row r="337" spans="2:2" ht="15" customHeight="1">
      <c r="B337" s="356"/>
    </row>
    <row r="338" spans="2:2" ht="15" customHeight="1">
      <c r="B338" s="356"/>
    </row>
    <row r="339" spans="2:2" ht="15" customHeight="1">
      <c r="B339" s="356"/>
    </row>
    <row r="340" spans="2:2" ht="15" customHeight="1">
      <c r="B340" s="356"/>
    </row>
    <row r="341" spans="2:2" ht="15" customHeight="1">
      <c r="B341" s="356"/>
    </row>
    <row r="342" spans="2:2">
      <c r="B342" s="356"/>
    </row>
    <row r="343" spans="2:2">
      <c r="B343" s="356"/>
    </row>
    <row r="344" spans="2:2">
      <c r="B344" s="356"/>
    </row>
    <row r="345" spans="2:2">
      <c r="B345" s="356"/>
    </row>
    <row r="346" spans="2:2" ht="15" customHeight="1">
      <c r="B346" s="356"/>
    </row>
    <row r="347" spans="2:2" ht="15" customHeight="1">
      <c r="B347" s="356"/>
    </row>
    <row r="348" spans="2:2" ht="15" customHeight="1">
      <c r="B348" s="356"/>
    </row>
    <row r="349" spans="2:2" ht="15" customHeight="1">
      <c r="B349" s="356"/>
    </row>
    <row r="350" spans="2:2" ht="15" customHeight="1">
      <c r="B350" s="356"/>
    </row>
    <row r="351" spans="2:2" ht="15" customHeight="1">
      <c r="B351" s="356"/>
    </row>
    <row r="352" spans="2:2">
      <c r="B352" s="356"/>
    </row>
    <row r="353" spans="2:2" ht="15" customHeight="1">
      <c r="B353" s="356"/>
    </row>
    <row r="354" spans="2:2" ht="15" customHeight="1">
      <c r="B354" s="356"/>
    </row>
    <row r="355" spans="2:2" ht="15" customHeight="1">
      <c r="B355" s="356"/>
    </row>
    <row r="356" spans="2:2" ht="15" customHeight="1">
      <c r="B356" s="356"/>
    </row>
    <row r="357" spans="2:2" ht="15" customHeight="1">
      <c r="B357" s="356"/>
    </row>
    <row r="358" spans="2:2">
      <c r="B358" s="356"/>
    </row>
    <row r="359" spans="2:2" ht="15" customHeight="1">
      <c r="B359" s="356"/>
    </row>
    <row r="360" spans="2:2" ht="15" customHeight="1">
      <c r="B360" s="356"/>
    </row>
    <row r="361" spans="2:2" ht="15" customHeight="1">
      <c r="B361" s="356"/>
    </row>
    <row r="362" spans="2:2" ht="15" customHeight="1">
      <c r="B362" s="356"/>
    </row>
    <row r="363" spans="2:2" ht="15" customHeight="1">
      <c r="B363" s="356"/>
    </row>
    <row r="364" spans="2:2" ht="15" customHeight="1">
      <c r="B364" s="356"/>
    </row>
    <row r="365" spans="2:2" ht="15" customHeight="1">
      <c r="B365" s="356"/>
    </row>
    <row r="366" spans="2:2">
      <c r="B366" s="356"/>
    </row>
    <row r="367" spans="2:2">
      <c r="B367" s="356"/>
    </row>
    <row r="368" spans="2:2">
      <c r="B368" s="356"/>
    </row>
    <row r="369" spans="2:2" ht="15" customHeight="1">
      <c r="B369" s="356"/>
    </row>
    <row r="370" spans="2:2" ht="15" customHeight="1">
      <c r="B370" s="356"/>
    </row>
    <row r="371" spans="2:2" ht="15" customHeight="1">
      <c r="B371" s="356"/>
    </row>
    <row r="372" spans="2:2" ht="15" customHeight="1">
      <c r="B372" s="356"/>
    </row>
    <row r="373" spans="2:2" ht="15" customHeight="1">
      <c r="B373" s="356"/>
    </row>
    <row r="374" spans="2:2" ht="15" customHeight="1">
      <c r="B374" s="356"/>
    </row>
    <row r="375" spans="2:2" ht="15" customHeight="1">
      <c r="B375" s="356"/>
    </row>
    <row r="376" spans="2:2" ht="15" customHeight="1">
      <c r="B376" s="356"/>
    </row>
    <row r="377" spans="2:2">
      <c r="B377" s="356"/>
    </row>
    <row r="378" spans="2:2" ht="15" customHeight="1">
      <c r="B378" s="356"/>
    </row>
    <row r="379" spans="2:2" ht="15" customHeight="1">
      <c r="B379" s="356"/>
    </row>
    <row r="380" spans="2:2">
      <c r="B380" s="356"/>
    </row>
    <row r="381" spans="2:2">
      <c r="B381" s="356"/>
    </row>
    <row r="382" spans="2:2">
      <c r="B382" s="356"/>
    </row>
    <row r="383" spans="2:2">
      <c r="B383" s="356"/>
    </row>
    <row r="384" spans="2:2" ht="15" customHeight="1">
      <c r="B384" s="356"/>
    </row>
    <row r="385" spans="2:2">
      <c r="B385" s="356"/>
    </row>
    <row r="386" spans="2:2" ht="15" customHeight="1">
      <c r="B386" s="356"/>
    </row>
    <row r="387" spans="2:2" ht="15" customHeight="1">
      <c r="B387" s="356"/>
    </row>
    <row r="388" spans="2:2" ht="15" customHeight="1">
      <c r="B388" s="356"/>
    </row>
    <row r="389" spans="2:2" ht="15" customHeight="1">
      <c r="B389" s="356"/>
    </row>
    <row r="390" spans="2:2" ht="15" customHeight="1">
      <c r="B390" s="356"/>
    </row>
    <row r="391" spans="2:2" ht="15" customHeight="1">
      <c r="B391" s="356"/>
    </row>
    <row r="392" spans="2:2" ht="15" customHeight="1">
      <c r="B392" s="356"/>
    </row>
    <row r="393" spans="2:2" ht="15" customHeight="1">
      <c r="B393" s="356"/>
    </row>
    <row r="394" spans="2:2" ht="15" customHeight="1">
      <c r="B394" s="356"/>
    </row>
    <row r="395" spans="2:2" ht="15" customHeight="1">
      <c r="B395" s="356"/>
    </row>
    <row r="396" spans="2:2" ht="15" customHeight="1">
      <c r="B396" s="356"/>
    </row>
    <row r="397" spans="2:2" ht="15" customHeight="1">
      <c r="B397" s="356"/>
    </row>
    <row r="398" spans="2:2" ht="15" customHeight="1">
      <c r="B398" s="356"/>
    </row>
    <row r="399" spans="2:2" ht="15" customHeight="1">
      <c r="B399" s="356"/>
    </row>
    <row r="400" spans="2:2" ht="15" customHeight="1">
      <c r="B400" s="356"/>
    </row>
    <row r="401" spans="2:2" ht="15" customHeight="1">
      <c r="B401" s="356"/>
    </row>
    <row r="402" spans="2:2" ht="15" customHeight="1">
      <c r="B402" s="356"/>
    </row>
    <row r="403" spans="2:2" ht="15" customHeight="1">
      <c r="B403" s="356"/>
    </row>
    <row r="404" spans="2:2" ht="15" customHeight="1">
      <c r="B404" s="356"/>
    </row>
    <row r="405" spans="2:2" ht="15" customHeight="1">
      <c r="B405" s="356"/>
    </row>
    <row r="406" spans="2:2" ht="15" customHeight="1">
      <c r="B406" s="356"/>
    </row>
    <row r="407" spans="2:2" ht="15" customHeight="1">
      <c r="B407" s="356"/>
    </row>
    <row r="408" spans="2:2" ht="15" customHeight="1">
      <c r="B408" s="356"/>
    </row>
    <row r="409" spans="2:2" ht="15" customHeight="1">
      <c r="B409" s="356"/>
    </row>
    <row r="410" spans="2:2" ht="15" customHeight="1">
      <c r="B410" s="356"/>
    </row>
    <row r="411" spans="2:2" ht="15" customHeight="1">
      <c r="B411" s="356"/>
    </row>
    <row r="412" spans="2:2" ht="15" customHeight="1">
      <c r="B412" s="356"/>
    </row>
    <row r="413" spans="2:2" ht="15" customHeight="1">
      <c r="B413" s="356"/>
    </row>
    <row r="414" spans="2:2" ht="15" customHeight="1">
      <c r="B414" s="356"/>
    </row>
    <row r="415" spans="2:2" ht="15" customHeight="1">
      <c r="B415" s="356"/>
    </row>
    <row r="416" spans="2:2" ht="15" customHeight="1">
      <c r="B416" s="356"/>
    </row>
    <row r="417" spans="2:2" ht="15" customHeight="1">
      <c r="B417" s="356"/>
    </row>
    <row r="418" spans="2:2">
      <c r="B418" s="356"/>
    </row>
    <row r="419" spans="2:2">
      <c r="B419" s="356"/>
    </row>
    <row r="420" spans="2:2">
      <c r="B420" s="356"/>
    </row>
    <row r="421" spans="2:2" ht="15" customHeight="1">
      <c r="B421" s="356"/>
    </row>
    <row r="422" spans="2:2" ht="15" customHeight="1">
      <c r="B422" s="356"/>
    </row>
    <row r="423" spans="2:2">
      <c r="B423" s="356"/>
    </row>
    <row r="424" spans="2:2" ht="15" customHeight="1">
      <c r="B424" s="356"/>
    </row>
    <row r="425" spans="2:2" ht="15" customHeight="1">
      <c r="B425" s="356"/>
    </row>
    <row r="426" spans="2:2" ht="15" customHeight="1">
      <c r="B426" s="356"/>
    </row>
    <row r="427" spans="2:2" ht="15" customHeight="1">
      <c r="B427" s="356"/>
    </row>
    <row r="428" spans="2:2" ht="15" customHeight="1">
      <c r="B428" s="356"/>
    </row>
    <row r="429" spans="2:2" ht="15" customHeight="1">
      <c r="B429" s="356"/>
    </row>
    <row r="430" spans="2:2" ht="15" customHeight="1">
      <c r="B430" s="356"/>
    </row>
    <row r="431" spans="2:2" ht="15" customHeight="1">
      <c r="B431" s="356"/>
    </row>
    <row r="432" spans="2:2" ht="15" customHeight="1">
      <c r="B432" s="356"/>
    </row>
    <row r="433" spans="2:2" ht="15" customHeight="1">
      <c r="B433" s="356"/>
    </row>
    <row r="434" spans="2:2" ht="15" customHeight="1">
      <c r="B434" s="356"/>
    </row>
    <row r="435" spans="2:2" ht="15" customHeight="1">
      <c r="B435" s="356"/>
    </row>
    <row r="436" spans="2:2" ht="15" customHeight="1">
      <c r="B436" s="356"/>
    </row>
    <row r="437" spans="2:2" ht="15" customHeight="1">
      <c r="B437" s="356"/>
    </row>
    <row r="438" spans="2:2" ht="15" customHeight="1">
      <c r="B438" s="356"/>
    </row>
    <row r="439" spans="2:2" ht="15" customHeight="1">
      <c r="B439" s="356"/>
    </row>
    <row r="440" spans="2:2" ht="15" customHeight="1">
      <c r="B440" s="356"/>
    </row>
    <row r="441" spans="2:2" ht="15" customHeight="1">
      <c r="B441" s="356"/>
    </row>
    <row r="442" spans="2:2" ht="15" customHeight="1">
      <c r="B442" s="356"/>
    </row>
    <row r="443" spans="2:2" ht="15" customHeight="1">
      <c r="B443" s="356"/>
    </row>
    <row r="444" spans="2:2" ht="15" customHeight="1">
      <c r="B444" s="356"/>
    </row>
    <row r="445" spans="2:2" ht="15" customHeight="1">
      <c r="B445" s="356"/>
    </row>
    <row r="446" spans="2:2" ht="15" customHeight="1">
      <c r="B446" s="356"/>
    </row>
    <row r="447" spans="2:2" ht="15" customHeight="1">
      <c r="B447" s="356"/>
    </row>
    <row r="448" spans="2:2" ht="15" customHeight="1">
      <c r="B448" s="356"/>
    </row>
    <row r="449" spans="2:2" ht="15" customHeight="1">
      <c r="B449" s="356"/>
    </row>
    <row r="450" spans="2:2" ht="15" customHeight="1">
      <c r="B450" s="356"/>
    </row>
    <row r="451" spans="2:2" ht="15" customHeight="1">
      <c r="B451" s="356"/>
    </row>
    <row r="452" spans="2:2" ht="15" customHeight="1">
      <c r="B452" s="356"/>
    </row>
    <row r="453" spans="2:2" ht="15" customHeight="1">
      <c r="B453" s="356"/>
    </row>
    <row r="454" spans="2:2" ht="15" customHeight="1">
      <c r="B454" s="356"/>
    </row>
    <row r="455" spans="2:2" ht="15" customHeight="1">
      <c r="B455" s="356"/>
    </row>
    <row r="456" spans="2:2">
      <c r="B456" s="356"/>
    </row>
    <row r="457" spans="2:2">
      <c r="B457" s="356"/>
    </row>
    <row r="458" spans="2:2" ht="15" customHeight="1">
      <c r="B458" s="356"/>
    </row>
  </sheetData>
  <sheetProtection formatCells="0" formatColumns="0" formatRows="0"/>
  <protectedRanges>
    <protectedRange sqref="A36:A38 A459:B583 C42:BC42 M39:BC41 C36:BC38 A42 C77:BC77 O43:BC43 A77 O75:BC76 O44:O74 Q44:BC74 L78:BC80 O125:O158 O84:BC84 P157:P158 O118:BC124 Q85:BC117 P117 O159:P163 C165:K582 Q125:BC163 A165:A458 L164:BC581 O85:O117 A81:A83 C81:BC83" name="Range1"/>
    <protectedRange sqref="I1" name="Range2"/>
    <protectedRange sqref="N35:Z35" name="Range1_4"/>
    <protectedRange sqref="N2:Z2" name="Range1_2_1"/>
    <protectedRange sqref="B36:B38 B42 B77 B165:B458 B81:B83" name="Range1_1"/>
    <protectedRange sqref="B1" name="Range1_1_1"/>
    <protectedRange sqref="A120 C120:K120 A161 C161:K161 L160:N163 L119:N124" name="Range1_2"/>
    <protectedRange sqref="B120 B161" name="Range1_1_1_1"/>
  </protectedRanges>
  <mergeCells count="2">
    <mergeCell ref="A80:F80"/>
    <mergeCell ref="A164:F164"/>
  </mergeCells>
  <conditionalFormatting sqref="A2 C2:M2 B104:B117 L118:N118 B84:M103 L104:M117 C160:K160 J159:N159 B125:N158 C104:K119 A84:A119">
    <cfRule type="containsText" dxfId="602" priority="83" stopIfTrue="1" operator="containsText" text="ELTÉRÉS!">
      <formula>NOT(ISERROR(SEARCH("ELTÉRÉS!",A2)))</formula>
    </cfRule>
    <cfRule type="containsText" dxfId="601" priority="84" stopIfTrue="1" operator="containsText" text="STIMMEL!">
      <formula>NOT(ISERROR(SEARCH("STIMMEL!",A2)))</formula>
    </cfRule>
  </conditionalFormatting>
  <conditionalFormatting sqref="A2 C2:M2 B104:B117 L118:N118 B84:M103 L104:M117 C160:K160 J159:N159 B125:N158 C104:K119 A84:A119">
    <cfRule type="cellIs" dxfId="600" priority="82" operator="equal">
      <formula>0.01</formula>
    </cfRule>
  </conditionalFormatting>
  <conditionalFormatting sqref="M3:M33">
    <cfRule type="containsText" dxfId="599" priority="80" stopIfTrue="1" operator="containsText" text="ELTÉRÉS!">
      <formula>NOT(ISERROR(SEARCH("ELTÉRÉS!",M3)))</formula>
    </cfRule>
    <cfRule type="containsText" dxfId="598" priority="81" stopIfTrue="1" operator="containsText" text="STIMMEL!">
      <formula>NOT(ISERROR(SEARCH("STIMMEL!",M3)))</formula>
    </cfRule>
  </conditionalFormatting>
  <conditionalFormatting sqref="M3:M33">
    <cfRule type="cellIs" dxfId="597" priority="79" operator="equal">
      <formula>0.01</formula>
    </cfRule>
  </conditionalFormatting>
  <conditionalFormatting sqref="A3:A33 C19:L33 C3:L6 L7:L11 C8:I18 K12:L13 K18:L18 L14:L17">
    <cfRule type="containsText" dxfId="596" priority="77" stopIfTrue="1" operator="containsText" text="ELTÉRÉS!">
      <formula>NOT(ISERROR(SEARCH("ELTÉRÉS!",A3)))</formula>
    </cfRule>
    <cfRule type="containsText" dxfId="595" priority="78" stopIfTrue="1" operator="containsText" text="STIMMEL!">
      <formula>NOT(ISERROR(SEARCH("STIMMEL!",A3)))</formula>
    </cfRule>
  </conditionalFormatting>
  <conditionalFormatting sqref="A3:A33 C19:L33 C3:L6 L7:L11 C8:I18 K12:L13 K18:L18 L14:L17">
    <cfRule type="cellIs" dxfId="594" priority="76" operator="equal">
      <formula>0.01</formula>
    </cfRule>
  </conditionalFormatting>
  <conditionalFormatting sqref="L39:L41">
    <cfRule type="containsText" dxfId="593" priority="71" stopIfTrue="1" operator="containsText" text="ELTÉRÉS!">
      <formula>NOT(ISERROR(SEARCH("ELTÉRÉS!",L39)))</formula>
    </cfRule>
    <cfRule type="containsText" dxfId="592" priority="72" stopIfTrue="1" operator="containsText" text="STIMMEL!">
      <formula>NOT(ISERROR(SEARCH("STIMMEL!",L39)))</formula>
    </cfRule>
  </conditionalFormatting>
  <conditionalFormatting sqref="L39:L41">
    <cfRule type="cellIs" dxfId="591" priority="70" operator="equal">
      <formula>0.01</formula>
    </cfRule>
  </conditionalFormatting>
  <conditionalFormatting sqref="C7:K7 J8:K11 J12:J18">
    <cfRule type="containsText" dxfId="590" priority="68" stopIfTrue="1" operator="containsText" text="ELTÉRÉS!">
      <formula>NOT(ISERROR(SEARCH("ELTÉRÉS!",C7)))</formula>
    </cfRule>
    <cfRule type="containsText" dxfId="589" priority="69" stopIfTrue="1" operator="containsText" text="STIMMEL!">
      <formula>NOT(ISERROR(SEARCH("STIMMEL!",C7)))</formula>
    </cfRule>
  </conditionalFormatting>
  <conditionalFormatting sqref="C7:K7 J8:K11 J12:J18">
    <cfRule type="cellIs" dxfId="588" priority="67" operator="equal">
      <formula>0.01</formula>
    </cfRule>
  </conditionalFormatting>
  <conditionalFormatting sqref="B2:B33">
    <cfRule type="containsText" dxfId="587" priority="65" stopIfTrue="1" operator="containsText" text="ELTÉRÉS!">
      <formula>NOT(ISERROR(SEARCH("ELTÉRÉS!",B2)))</formula>
    </cfRule>
    <cfRule type="containsText" dxfId="586" priority="66" stopIfTrue="1" operator="containsText" text="STIMMEL!">
      <formula>NOT(ISERROR(SEARCH("STIMMEL!",B2)))</formula>
    </cfRule>
  </conditionalFormatting>
  <conditionalFormatting sqref="B2:B33">
    <cfRule type="cellIs" dxfId="585" priority="64" operator="equal">
      <formula>0.01</formula>
    </cfRule>
  </conditionalFormatting>
  <conditionalFormatting sqref="K14:K17">
    <cfRule type="containsText" dxfId="584" priority="59" stopIfTrue="1" operator="containsText" text="ELTÉRÉS!">
      <formula>NOT(ISERROR(SEARCH("ELTÉRÉS!",K14)))</formula>
    </cfRule>
    <cfRule type="containsText" dxfId="583" priority="60" stopIfTrue="1" operator="containsText" text="STIMMEL!">
      <formula>NOT(ISERROR(SEARCH("STIMMEL!",K14)))</formula>
    </cfRule>
  </conditionalFormatting>
  <conditionalFormatting sqref="K14:K17">
    <cfRule type="cellIs" dxfId="582" priority="58" operator="equal">
      <formula>0.01</formula>
    </cfRule>
  </conditionalFormatting>
  <conditionalFormatting sqref="C43:N76 A43:A76">
    <cfRule type="containsText" dxfId="581" priority="56" stopIfTrue="1" operator="containsText" text="ELTÉRÉS!">
      <formula>NOT(ISERROR(SEARCH("ELTÉRÉS!",A43)))</formula>
    </cfRule>
    <cfRule type="containsText" dxfId="580" priority="57" stopIfTrue="1" operator="containsText" text="STIMMEL!">
      <formula>NOT(ISERROR(SEARCH("STIMMEL!",A43)))</formula>
    </cfRule>
  </conditionalFormatting>
  <conditionalFormatting sqref="C43:N76 A43:A76">
    <cfRule type="cellIs" dxfId="579" priority="55" operator="equal">
      <formula>0.01</formula>
    </cfRule>
  </conditionalFormatting>
  <conditionalFormatting sqref="B43:B74">
    <cfRule type="containsText" dxfId="578" priority="53" stopIfTrue="1" operator="containsText" text="ELTÉRÉS!">
      <formula>NOT(ISERROR(SEARCH("ELTÉRÉS!",B43)))</formula>
    </cfRule>
    <cfRule type="containsText" dxfId="577" priority="54" stopIfTrue="1" operator="containsText" text="STIMMEL!">
      <formula>NOT(ISERROR(SEARCH("STIMMEL!",B43)))</formula>
    </cfRule>
  </conditionalFormatting>
  <conditionalFormatting sqref="B43:B74">
    <cfRule type="cellIs" dxfId="576" priority="52" operator="equal">
      <formula>0.01</formula>
    </cfRule>
  </conditionalFormatting>
  <conditionalFormatting sqref="F39:K39">
    <cfRule type="containsText" dxfId="575" priority="50" stopIfTrue="1" operator="containsText" text="ELTÉRÉS!">
      <formula>NOT(ISERROR(SEARCH("ELTÉRÉS!",F39)))</formula>
    </cfRule>
    <cfRule type="containsText" dxfId="574" priority="51" stopIfTrue="1" operator="containsText" text="STIMMEL!">
      <formula>NOT(ISERROR(SEARCH("STIMMEL!",F39)))</formula>
    </cfRule>
  </conditionalFormatting>
  <conditionalFormatting sqref="F39:K39">
    <cfRule type="cellIs" dxfId="573" priority="49" operator="equal">
      <formula>0.01</formula>
    </cfRule>
  </conditionalFormatting>
  <conditionalFormatting sqref="A39">
    <cfRule type="containsText" dxfId="572" priority="47" stopIfTrue="1" operator="containsText" text="ELTÉRÉS!">
      <formula>NOT(ISERROR(SEARCH("ELTÉRÉS!",A39)))</formula>
    </cfRule>
    <cfRule type="containsText" dxfId="571" priority="48" stopIfTrue="1" operator="containsText" text="STIMMEL!">
      <formula>NOT(ISERROR(SEARCH("STIMMEL!",A39)))</formula>
    </cfRule>
  </conditionalFormatting>
  <conditionalFormatting sqref="A39">
    <cfRule type="cellIs" dxfId="570" priority="46" operator="equal">
      <formula>0.01</formula>
    </cfRule>
  </conditionalFormatting>
  <conditionalFormatting sqref="B39">
    <cfRule type="containsText" dxfId="569" priority="44" stopIfTrue="1" operator="containsText" text="ELTÉRÉS!">
      <formula>NOT(ISERROR(SEARCH("ELTÉRÉS!",B39)))</formula>
    </cfRule>
    <cfRule type="containsText" dxfId="568" priority="45" stopIfTrue="1" operator="containsText" text="STIMMEL!">
      <formula>NOT(ISERROR(SEARCH("STIMMEL!",B39)))</formula>
    </cfRule>
  </conditionalFormatting>
  <conditionalFormatting sqref="B39">
    <cfRule type="cellIs" dxfId="567" priority="43" operator="equal">
      <formula>0.01</formula>
    </cfRule>
  </conditionalFormatting>
  <conditionalFormatting sqref="F78:K78">
    <cfRule type="containsText" dxfId="566" priority="41" stopIfTrue="1" operator="containsText" text="ELTÉRÉS!">
      <formula>NOT(ISERROR(SEARCH("ELTÉRÉS!",F78)))</formula>
    </cfRule>
    <cfRule type="containsText" dxfId="565" priority="42" stopIfTrue="1" operator="containsText" text="STIMMEL!">
      <formula>NOT(ISERROR(SEARCH("STIMMEL!",F78)))</formula>
    </cfRule>
  </conditionalFormatting>
  <conditionalFormatting sqref="F78:K78">
    <cfRule type="cellIs" dxfId="564" priority="40" operator="equal">
      <formula>0.01</formula>
    </cfRule>
  </conditionalFormatting>
  <conditionalFormatting sqref="A78">
    <cfRule type="containsText" dxfId="563" priority="38" stopIfTrue="1" operator="containsText" text="ELTÉRÉS!">
      <formula>NOT(ISERROR(SEARCH("ELTÉRÉS!",A78)))</formula>
    </cfRule>
    <cfRule type="containsText" dxfId="562" priority="39" stopIfTrue="1" operator="containsText" text="STIMMEL!">
      <formula>NOT(ISERROR(SEARCH("STIMMEL!",A78)))</formula>
    </cfRule>
  </conditionalFormatting>
  <conditionalFormatting sqref="A78">
    <cfRule type="cellIs" dxfId="561" priority="37" operator="equal">
      <formula>0.01</formula>
    </cfRule>
  </conditionalFormatting>
  <conditionalFormatting sqref="B78">
    <cfRule type="containsText" dxfId="560" priority="35" stopIfTrue="1" operator="containsText" text="ELTÉRÉS!">
      <formula>NOT(ISERROR(SEARCH("ELTÉRÉS!",B78)))</formula>
    </cfRule>
    <cfRule type="containsText" dxfId="559" priority="36" stopIfTrue="1" operator="containsText" text="STIMMEL!">
      <formula>NOT(ISERROR(SEARCH("STIMMEL!",B78)))</formula>
    </cfRule>
  </conditionalFormatting>
  <conditionalFormatting sqref="B78">
    <cfRule type="cellIs" dxfId="558" priority="34" operator="equal">
      <formula>0.01</formula>
    </cfRule>
  </conditionalFormatting>
  <conditionalFormatting sqref="F121:K121">
    <cfRule type="containsText" dxfId="557" priority="29" stopIfTrue="1" operator="containsText" text="ELTÉRÉS!">
      <formula>NOT(ISERROR(SEARCH("ELTÉRÉS!",F121)))</formula>
    </cfRule>
    <cfRule type="containsText" dxfId="556" priority="30" stopIfTrue="1" operator="containsText" text="STIMMEL!">
      <formula>NOT(ISERROR(SEARCH("STIMMEL!",F121)))</formula>
    </cfRule>
  </conditionalFormatting>
  <conditionalFormatting sqref="F121:K121">
    <cfRule type="cellIs" dxfId="555" priority="28" operator="equal">
      <formula>0.01</formula>
    </cfRule>
  </conditionalFormatting>
  <conditionalFormatting sqref="A121">
    <cfRule type="containsText" dxfId="554" priority="26" stopIfTrue="1" operator="containsText" text="ELTÉRÉS!">
      <formula>NOT(ISERROR(SEARCH("ELTÉRÉS!",A121)))</formula>
    </cfRule>
    <cfRule type="containsText" dxfId="553" priority="27" stopIfTrue="1" operator="containsText" text="STIMMEL!">
      <formula>NOT(ISERROR(SEARCH("STIMMEL!",A121)))</formula>
    </cfRule>
  </conditionalFormatting>
  <conditionalFormatting sqref="A121">
    <cfRule type="cellIs" dxfId="552" priority="25" operator="equal">
      <formula>0.01</formula>
    </cfRule>
  </conditionalFormatting>
  <conditionalFormatting sqref="B121">
    <cfRule type="containsText" dxfId="551" priority="23" stopIfTrue="1" operator="containsText" text="ELTÉRÉS!">
      <formula>NOT(ISERROR(SEARCH("ELTÉRÉS!",B121)))</formula>
    </cfRule>
    <cfRule type="containsText" dxfId="550" priority="24" stopIfTrue="1" operator="containsText" text="STIMMEL!">
      <formula>NOT(ISERROR(SEARCH("STIMMEL!",B121)))</formula>
    </cfRule>
  </conditionalFormatting>
  <conditionalFormatting sqref="B121">
    <cfRule type="cellIs" dxfId="549" priority="22" operator="equal">
      <formula>0.01</formula>
    </cfRule>
  </conditionalFormatting>
  <conditionalFormatting sqref="N84:N117">
    <cfRule type="containsText" dxfId="548" priority="20" stopIfTrue="1" operator="containsText" text="ELTÉRÉS!">
      <formula>NOT(ISERROR(SEARCH("ELTÉRÉS!",N84)))</formula>
    </cfRule>
    <cfRule type="containsText" dxfId="547" priority="21" stopIfTrue="1" operator="containsText" text="STIMMEL!">
      <formula>NOT(ISERROR(SEARCH("STIMMEL!",N84)))</formula>
    </cfRule>
  </conditionalFormatting>
  <conditionalFormatting sqref="N84:N117">
    <cfRule type="cellIs" dxfId="546" priority="19" operator="equal">
      <formula>0.01</formula>
    </cfRule>
  </conditionalFormatting>
  <conditionalFormatting sqref="A125:A160">
    <cfRule type="containsText" dxfId="545" priority="17" stopIfTrue="1" operator="containsText" text="ELTÉRÉS!">
      <formula>NOT(ISERROR(SEARCH("ELTÉRÉS!",A125)))</formula>
    </cfRule>
    <cfRule type="containsText" dxfId="544" priority="18" stopIfTrue="1" operator="containsText" text="STIMMEL!">
      <formula>NOT(ISERROR(SEARCH("STIMMEL!",A125)))</formula>
    </cfRule>
  </conditionalFormatting>
  <conditionalFormatting sqref="A125:A160">
    <cfRule type="cellIs" dxfId="543" priority="16" operator="equal">
      <formula>0.01</formula>
    </cfRule>
  </conditionalFormatting>
  <conditionalFormatting sqref="F162:K162">
    <cfRule type="containsText" dxfId="542" priority="14" stopIfTrue="1" operator="containsText" text="ELTÉRÉS!">
      <formula>NOT(ISERROR(SEARCH("ELTÉRÉS!",F162)))</formula>
    </cfRule>
    <cfRule type="containsText" dxfId="541" priority="15" stopIfTrue="1" operator="containsText" text="STIMMEL!">
      <formula>NOT(ISERROR(SEARCH("STIMMEL!",F162)))</formula>
    </cfRule>
  </conditionalFormatting>
  <conditionalFormatting sqref="F162:K162">
    <cfRule type="cellIs" dxfId="540" priority="13" operator="equal">
      <formula>0.01</formula>
    </cfRule>
  </conditionalFormatting>
  <conditionalFormatting sqref="A162">
    <cfRule type="containsText" dxfId="539" priority="11" stopIfTrue="1" operator="containsText" text="ELTÉRÉS!">
      <formula>NOT(ISERROR(SEARCH("ELTÉRÉS!",A162)))</formula>
    </cfRule>
    <cfRule type="containsText" dxfId="538" priority="12" stopIfTrue="1" operator="containsText" text="STIMMEL!">
      <formula>NOT(ISERROR(SEARCH("STIMMEL!",A162)))</formula>
    </cfRule>
  </conditionalFormatting>
  <conditionalFormatting sqref="A162">
    <cfRule type="cellIs" dxfId="537" priority="10" operator="equal">
      <formula>0.01</formula>
    </cfRule>
  </conditionalFormatting>
  <conditionalFormatting sqref="B162">
    <cfRule type="containsText" dxfId="536" priority="8" stopIfTrue="1" operator="containsText" text="ELTÉRÉS!">
      <formula>NOT(ISERROR(SEARCH("ELTÉRÉS!",B162)))</formula>
    </cfRule>
    <cfRule type="containsText" dxfId="535" priority="9" stopIfTrue="1" operator="containsText" text="STIMMEL!">
      <formula>NOT(ISERROR(SEARCH("STIMMEL!",B162)))</formula>
    </cfRule>
  </conditionalFormatting>
  <conditionalFormatting sqref="B162">
    <cfRule type="cellIs" dxfId="534" priority="7" operator="equal">
      <formula>0.01</formula>
    </cfRule>
  </conditionalFormatting>
  <conditionalFormatting sqref="C159:I159">
    <cfRule type="containsText" dxfId="533" priority="2" stopIfTrue="1" operator="containsText" text="ELTÉRÉS!">
      <formula>NOT(ISERROR(SEARCH("ELTÉRÉS!",C159)))</formula>
    </cfRule>
    <cfRule type="containsText" dxfId="532" priority="3" stopIfTrue="1" operator="containsText" text="STIMMEL!">
      <formula>NOT(ISERROR(SEARCH("STIMMEL!",C159)))</formula>
    </cfRule>
  </conditionalFormatting>
  <conditionalFormatting sqref="C159:I159">
    <cfRule type="cellIs" dxfId="531" priority="1" operator="equal">
      <formula>0.01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75BA-BF6B-4864-8CA2-816B2785CBCF}">
  <dimension ref="A1:AL460"/>
  <sheetViews>
    <sheetView workbookViewId="0">
      <pane ySplit="1" topLeftCell="A106" activePane="bottomLeft" state="frozen"/>
      <selection pane="bottomLeft" activeCell="K123" sqref="K123"/>
    </sheetView>
  </sheetViews>
  <sheetFormatPr defaultColWidth="9.140625" defaultRowHeight="15" customHeight="1"/>
  <cols>
    <col min="1" max="2" width="16.140625" style="67" customWidth="1"/>
    <col min="3" max="3" width="12.140625" customWidth="1"/>
    <col min="4" max="4" width="12.85546875" bestFit="1" customWidth="1"/>
    <col min="5" max="5" width="10.7109375" customWidth="1"/>
    <col min="6" max="6" width="12.85546875" bestFit="1" customWidth="1"/>
    <col min="7" max="7" width="11.7109375" bestFit="1" customWidth="1"/>
    <col min="8" max="8" width="12.85546875" bestFit="1" customWidth="1"/>
    <col min="9" max="9" width="12.85546875" customWidth="1"/>
    <col min="10" max="10" width="11.5703125" style="37" customWidth="1"/>
    <col min="11" max="11" width="21.85546875" style="261" customWidth="1"/>
    <col min="12" max="12" width="19" style="253" customWidth="1"/>
    <col min="13" max="13" width="10" customWidth="1"/>
    <col min="14" max="14" width="15.28515625" customWidth="1"/>
    <col min="16" max="32" width="0" hidden="1" customWidth="1"/>
    <col min="33" max="33" width="11.28515625" customWidth="1"/>
  </cols>
  <sheetData>
    <row r="1" spans="1:38" ht="27.75" customHeight="1">
      <c r="A1" s="68" t="s">
        <v>725</v>
      </c>
      <c r="B1" s="350" t="s">
        <v>147</v>
      </c>
      <c r="C1" s="3">
        <v>0</v>
      </c>
      <c r="D1" s="3">
        <v>0.05</v>
      </c>
      <c r="E1" s="3">
        <v>0.18</v>
      </c>
      <c r="F1" s="3">
        <v>0.27</v>
      </c>
      <c r="G1" s="2" t="s">
        <v>148</v>
      </c>
      <c r="H1" s="2" t="s">
        <v>149</v>
      </c>
      <c r="I1" s="40" t="s">
        <v>150</v>
      </c>
      <c r="J1" s="31" t="s">
        <v>222</v>
      </c>
      <c r="K1" s="262" t="s">
        <v>152</v>
      </c>
      <c r="L1" s="263" t="s">
        <v>153</v>
      </c>
      <c r="M1" s="44" t="s">
        <v>154</v>
      </c>
      <c r="N1" s="44" t="s">
        <v>155</v>
      </c>
    </row>
    <row r="2" spans="1:38" ht="21">
      <c r="A2" s="66" t="s">
        <v>3</v>
      </c>
      <c r="B2" s="351"/>
      <c r="C2" s="26"/>
      <c r="D2" s="26"/>
      <c r="E2" s="26"/>
      <c r="F2" s="26"/>
      <c r="G2" s="26"/>
      <c r="H2" s="26"/>
      <c r="I2" s="26"/>
      <c r="J2" s="26"/>
      <c r="K2" s="247"/>
      <c r="L2" s="247"/>
      <c r="M2" s="27"/>
      <c r="N2" s="183"/>
      <c r="O2" s="159"/>
      <c r="P2" s="209" t="str">
        <f>'[6]2026 január'!G1</f>
        <v>Tartalék Kiadás</v>
      </c>
      <c r="Q2" s="209" t="str">
        <f>'[6]2026 január'!W1</f>
        <v>Kivét</v>
      </c>
      <c r="R2" s="209" t="s">
        <v>156</v>
      </c>
      <c r="S2" s="26"/>
      <c r="T2" s="34"/>
      <c r="U2" s="209" t="str">
        <f>'[6]2026 január'!S1</f>
        <v>Pénztár nyitó</v>
      </c>
      <c r="V2" s="209" t="str">
        <f>'[6]2026 január'!T1</f>
        <v>novo kp bevétel</v>
      </c>
      <c r="W2" s="209" t="str">
        <f>'[6]2026 január'!U1</f>
        <v>Egyéb bevétel</v>
      </c>
      <c r="X2" s="209" t="str">
        <f>'[6]2026 január'!V1</f>
        <v>Költött</v>
      </c>
      <c r="Y2" s="209" t="str">
        <f>'[6]2026 január'!W1</f>
        <v>Kivét</v>
      </c>
      <c r="Z2" s="209" t="str">
        <f>'[6]2026 január'!X1</f>
        <v>Eltérés</v>
      </c>
      <c r="AA2" s="209" t="str">
        <f>'[6]2026 január'!Y1</f>
        <v>Záró</v>
      </c>
      <c r="AB2" s="209" t="str">
        <f>'[6]2026 január'!Z1</f>
        <v>Megjegyzések</v>
      </c>
      <c r="AC2" s="209">
        <f>'[6]2026 január'!AA1</f>
        <v>0</v>
      </c>
      <c r="AD2" s="209">
        <f>'[6]2026 január'!AB1</f>
        <v>0</v>
      </c>
      <c r="AE2" s="209">
        <f>'[6]2026 január'!AC1</f>
        <v>0</v>
      </c>
      <c r="AF2" s="209" t="str">
        <f>'[6]2026 január'!AD1</f>
        <v>Egyéb kiadás</v>
      </c>
      <c r="AG2" s="209" t="str">
        <f>'[6]2026 január'!B$1</f>
        <v>Novohost</v>
      </c>
      <c r="AH2" s="27"/>
      <c r="AI2" s="27"/>
      <c r="AJ2" s="27"/>
      <c r="AK2" s="27"/>
      <c r="AL2" s="159"/>
    </row>
    <row r="3" spans="1:38">
      <c r="A3" s="141">
        <v>46023</v>
      </c>
      <c r="B3" s="352"/>
      <c r="C3" s="142"/>
      <c r="D3" s="142"/>
      <c r="E3" s="142"/>
      <c r="F3" s="142"/>
      <c r="G3" s="142"/>
      <c r="H3" s="142"/>
      <c r="I3" s="142"/>
      <c r="J3" s="142"/>
      <c r="K3" s="249"/>
      <c r="L3" s="248"/>
      <c r="M3" s="145"/>
      <c r="N3" s="141"/>
      <c r="O3" s="41"/>
      <c r="P3" s="220" t="str">
        <f>IF(OR('[6]2026 január'!G2=0,
       ISBLANK('[6]2026 január'!G2)),
    "",
    '[6]2026 január'!G2
)</f>
        <v/>
      </c>
      <c r="Q3" s="41">
        <f>'[6]2026 január'!W2</f>
        <v>0</v>
      </c>
      <c r="R3" s="41" t="e">
        <f>AG3-P3-Q3-G3-H3</f>
        <v>#VALUE!</v>
      </c>
      <c r="S3" s="41"/>
      <c r="T3" s="4"/>
      <c r="U3" s="220">
        <f>IF('[6]2026 január'!S2=0,
    "",
    '[6]2026 január'!S2
)</f>
        <v>88273</v>
      </c>
      <c r="V3" s="220" t="str">
        <f>IF('[6]2026 január'!T2=0,
    "",
    '[6]2026 január'!T2
)</f>
        <v/>
      </c>
      <c r="W3" s="220" t="str">
        <f>IF('[6]2026 január'!U2=0,
    "",
    '[6]2026 január'!U2
)</f>
        <v/>
      </c>
      <c r="X3" s="220" t="str">
        <f>IF('[6]2026 január'!V2=0,
    "",
    '[6]2026 január'!V2
)</f>
        <v/>
      </c>
      <c r="Y3" s="220" t="str">
        <f>IF('[6]2026 január'!W2=0,
    "",
    '[6]2026 január'!W2
)</f>
        <v/>
      </c>
      <c r="Z3" s="220" t="str">
        <f>IF('[6]2026 január'!X2=0,
    "",
    '[6]2026 január'!X2
)</f>
        <v/>
      </c>
      <c r="AA3" s="220">
        <f>IF('[6]2026 január'!Y2=0,
    "",
    '[6]2026 január'!Y2
)</f>
        <v>88273</v>
      </c>
      <c r="AB3" s="220" t="str">
        <f>IF('[6]2026 január'!Z2=0,
    "",
    '[6]2026 január'!Z2
)</f>
        <v/>
      </c>
      <c r="AC3" s="220" t="str">
        <f>IF('[6]2026 január'!AA2=0,
    "",
    '[6]2026 január'!AA2
)</f>
        <v/>
      </c>
      <c r="AD3" s="220" t="str">
        <f>IF('[6]2026 január'!AB2=0,
    "",
    '[6]2026 január'!AB2
)</f>
        <v/>
      </c>
      <c r="AE3" s="220" t="str">
        <f>IF('[6]2026 január'!AC2=0,
    "",
    '[6]2026 január'!AC2
)</f>
        <v/>
      </c>
      <c r="AF3" s="220" t="str">
        <f>IF('[6]2026 január'!AD2=0,
    "",
    '[6]2026 január'!AD2
)</f>
        <v/>
      </c>
      <c r="AG3" s="220" t="str">
        <f>IF('[6]2026 január'!B$2=0,
    "",
    '[6]2026 január'!B$2
)</f>
        <v/>
      </c>
      <c r="AH3" s="220" t="str">
        <f>IF('[6]2026 január'!AE$2=0,
    "",
    '[6]2026 január'!AE$2
)</f>
        <v/>
      </c>
      <c r="AI3" s="220" t="str">
        <f>IF('[6]2026 január'!AF2=0,
    "",
    '[6]2026 január'!AF2
)</f>
        <v/>
      </c>
      <c r="AJ3" s="220" t="str">
        <f>IF('[6]2026 január'!AG2=0,
    "",
    '[6]2026 január'!AG2
)</f>
        <v/>
      </c>
      <c r="AK3" s="220" t="str">
        <f>IF('[6]2026 január'!AH2=0,
    "",
    '[6]2026 január'!AH2
)</f>
        <v/>
      </c>
    </row>
    <row r="4" spans="1:38">
      <c r="A4" s="141">
        <v>46024</v>
      </c>
      <c r="B4" s="352"/>
      <c r="C4" s="142"/>
      <c r="D4" s="142"/>
      <c r="E4" s="142"/>
      <c r="F4" s="142"/>
      <c r="G4" s="142"/>
      <c r="H4" s="142"/>
      <c r="I4" s="142"/>
      <c r="J4" s="142"/>
      <c r="K4" s="249"/>
      <c r="L4" s="248"/>
      <c r="M4" s="145"/>
      <c r="N4" s="141"/>
      <c r="O4" s="41"/>
      <c r="P4" s="220" t="str">
        <f>IF(OR('[6]2026 január'!G3=0,
       ISBLANK('[6]2026 január'!G3)),
    "",
    '[6]2026 január'!G3
)</f>
        <v/>
      </c>
      <c r="Q4" s="41">
        <f>'[6]2026 január'!W3</f>
        <v>0</v>
      </c>
      <c r="R4" s="41"/>
      <c r="S4" s="41"/>
      <c r="T4" s="4"/>
      <c r="U4" s="220">
        <f>IF('[6]2026 január'!S3=0,
    "",
    '[6]2026 január'!S3
)</f>
        <v>88273</v>
      </c>
      <c r="V4" s="220" t="str">
        <f>IF('[6]2026 január'!T3=0,
    "",
    '[6]2026 január'!T3
)</f>
        <v/>
      </c>
      <c r="W4" s="220" t="str">
        <f>IF('[6]2026 január'!U3=0,
    "",
    '[6]2026 január'!U3
)</f>
        <v/>
      </c>
      <c r="X4" s="220" t="str">
        <f>IF('[6]2026 január'!V3=0,
    "",
    '[6]2026 január'!V3
)</f>
        <v/>
      </c>
      <c r="Y4" s="220" t="str">
        <f>IF('[6]2026 január'!W3=0,
    "",
    '[6]2026 január'!W3
)</f>
        <v/>
      </c>
      <c r="Z4" s="220" t="str">
        <f>IF('[6]2026 január'!X3=0,
    "",
    '[6]2026 január'!X3
)</f>
        <v/>
      </c>
      <c r="AA4" s="220">
        <f>IF('[6]2026 január'!Y3=0,
    "",
    '[6]2026 január'!Y3
)</f>
        <v>88273</v>
      </c>
      <c r="AB4" s="220" t="str">
        <f>IF('[6]2026 január'!Z3=0,
    "",
    '[6]2026 január'!Z3
)</f>
        <v/>
      </c>
      <c r="AC4" s="220" t="str">
        <f>IF('[6]2026 január'!AA3=0,
    "",
    '[6]2026 január'!AA3
)</f>
        <v/>
      </c>
      <c r="AD4" s="220" t="str">
        <f>IF('[6]2026 január'!AB3=0,
    "",
    '[6]2026 január'!AB3
)</f>
        <v/>
      </c>
      <c r="AE4" s="220" t="str">
        <f>IF('[6]2026 január'!AC3=0,
    "",
    '[6]2026 január'!AC3
)</f>
        <v/>
      </c>
      <c r="AF4" s="220" t="str">
        <f>IF('[6]2026 január'!AD3=0,
    "",
    '[6]2026 január'!AD3
)</f>
        <v/>
      </c>
      <c r="AG4" s="220" t="str">
        <f>IF('[6]2026 január'!B$3=0,
    "",
    '[6]2026 január'!B$3
)</f>
        <v/>
      </c>
      <c r="AH4" s="220" t="str">
        <f>IF('[6]2026 január'!AE$3=0,
    "",
    '[6]2026 január'!AE$3
)</f>
        <v/>
      </c>
      <c r="AI4" s="220" t="str">
        <f>IF('[6]2026 január'!AF3=0,
    "",
    '[6]2026 január'!AF3
)</f>
        <v/>
      </c>
      <c r="AJ4" s="220" t="str">
        <f>IF('[6]2026 január'!AG3=0,
    "",
    '[6]2026 január'!AG3
)</f>
        <v/>
      </c>
      <c r="AK4" s="220" t="str">
        <f>IF('[6]2026 január'!AH3=0,
    "",
    '[6]2026 január'!AH3
)</f>
        <v/>
      </c>
    </row>
    <row r="5" spans="1:38">
      <c r="A5" s="141">
        <v>46025</v>
      </c>
      <c r="B5" s="352"/>
      <c r="C5" s="142"/>
      <c r="D5" s="142"/>
      <c r="E5" s="142"/>
      <c r="F5" s="142"/>
      <c r="G5" s="142"/>
      <c r="H5" s="142"/>
      <c r="I5" s="142"/>
      <c r="J5" s="142"/>
      <c r="K5" s="249"/>
      <c r="L5" s="249"/>
      <c r="M5" s="147"/>
      <c r="N5" s="141"/>
      <c r="O5" s="41"/>
      <c r="P5" s="220" t="str">
        <f>IF(OR('[6]2026 január'!G4=0,
       ISBLANK('[6]2026 január'!G4)),
    "",
    '[6]2026 január'!G4
)</f>
        <v/>
      </c>
      <c r="Q5" s="41">
        <f>'[6]2026 január'!W4</f>
        <v>0</v>
      </c>
      <c r="R5" s="41"/>
      <c r="S5" s="41"/>
      <c r="T5" s="4"/>
      <c r="U5" s="220">
        <f>IF('[6]2026 január'!S4=0,
    "",
    '[6]2026 január'!S4
)</f>
        <v>88273</v>
      </c>
      <c r="V5" s="220" t="str">
        <f>IF('[6]2026 január'!T4=0,
    "",
    '[6]2026 január'!T4
)</f>
        <v/>
      </c>
      <c r="W5" s="220" t="str">
        <f>IF('[6]2026 január'!U4=0,
    "",
    '[6]2026 január'!U4
)</f>
        <v/>
      </c>
      <c r="X5" s="220" t="str">
        <f>IF('[6]2026 január'!V4=0,
    "",
    '[6]2026 január'!V4
)</f>
        <v/>
      </c>
      <c r="Y5" s="220" t="str">
        <f>IF('[6]2026 január'!W4=0,
    "",
    '[6]2026 január'!W4
)</f>
        <v/>
      </c>
      <c r="Z5" s="220" t="str">
        <f>IF('[6]2026 január'!X4=0,
    "",
    '[6]2026 január'!X4
)</f>
        <v/>
      </c>
      <c r="AA5" s="220">
        <f>IF('[6]2026 január'!Y4=0,
    "",
    '[6]2026 január'!Y4
)</f>
        <v>88273</v>
      </c>
      <c r="AB5" s="220" t="str">
        <f>IF('[6]2026 január'!Z4=0,
    "",
    '[6]2026 január'!Z4
)</f>
        <v/>
      </c>
      <c r="AC5" s="220" t="str">
        <f>IF('[6]2026 január'!AA4=0,
    "",
    '[6]2026 január'!AA4
)</f>
        <v/>
      </c>
      <c r="AD5" s="220" t="str">
        <f>IF('[6]2026 január'!AB4=0,
    "",
    '[6]2026 január'!AB4
)</f>
        <v/>
      </c>
      <c r="AE5" s="220" t="str">
        <f>IF('[6]2026 január'!AC4=0,
    "",
    '[6]2026 január'!AC4
)</f>
        <v/>
      </c>
      <c r="AF5" s="220" t="str">
        <f>IF('[6]2026 január'!AD4=0,
    "",
    '[6]2026 január'!AD4
)</f>
        <v/>
      </c>
      <c r="AG5" s="220" t="str">
        <f>IF('[6]2026 január'!B$4=0,
    "",
    '[6]2026 január'!B$4
)</f>
        <v/>
      </c>
      <c r="AH5" s="220" t="str">
        <f>IF('[6]2026 január'!AE$4=0,
    "",
    '[6]2026 január'!AE$4
)</f>
        <v/>
      </c>
      <c r="AI5" s="220" t="str">
        <f>IF('[6]2026 január'!AF4=0,
    "",
    '[6]2026 január'!AF4
)</f>
        <v/>
      </c>
      <c r="AJ5" s="220" t="str">
        <f>IF('[6]2026 január'!AG4=0,
    "",
    '[6]2026 január'!AG4
)</f>
        <v/>
      </c>
      <c r="AK5" s="220" t="str">
        <f>IF('[6]2026 január'!AH4=0,
    "",
    '[6]2026 január'!AH4
)</f>
        <v/>
      </c>
    </row>
    <row r="6" spans="1:38">
      <c r="A6" s="141">
        <v>46026</v>
      </c>
      <c r="B6" s="352"/>
      <c r="C6" s="142"/>
      <c r="D6" s="142"/>
      <c r="E6" s="142"/>
      <c r="F6" s="142"/>
      <c r="G6" s="142"/>
      <c r="H6" s="142"/>
      <c r="I6" s="142"/>
      <c r="J6" s="142"/>
      <c r="K6" s="249"/>
      <c r="L6" s="249"/>
      <c r="M6" s="147"/>
      <c r="N6" s="141"/>
      <c r="O6" s="41"/>
      <c r="P6" s="220" t="str">
        <f>IF(OR('[6]2026 január'!G5=0,
       ISBLANK('[6]2026 január'!G5)),
    "",
    '[6]2026 január'!G5
)</f>
        <v/>
      </c>
      <c r="Q6" s="41">
        <f>'[6]2026 január'!W5</f>
        <v>0</v>
      </c>
      <c r="R6" s="41"/>
      <c r="S6" s="41"/>
      <c r="T6" s="4"/>
      <c r="U6" s="220">
        <f>IF('[6]2026 január'!S5=0,
    "",
    '[6]2026 január'!S5
)</f>
        <v>88273</v>
      </c>
      <c r="V6" s="220" t="str">
        <f>IF('[6]2026 január'!T5=0,
    "",
    '[6]2026 január'!T5
)</f>
        <v/>
      </c>
      <c r="W6" s="220" t="str">
        <f>IF('[6]2026 január'!U5=0,
    "",
    '[6]2026 január'!U5
)</f>
        <v/>
      </c>
      <c r="X6" s="220" t="str">
        <f>IF('[6]2026 január'!V5=0,
    "",
    '[6]2026 január'!V5
)</f>
        <v/>
      </c>
      <c r="Y6" s="220" t="str">
        <f>IF('[6]2026 január'!W5=0,
    "",
    '[6]2026 január'!W5
)</f>
        <v/>
      </c>
      <c r="Z6" s="220" t="str">
        <f>IF('[6]2026 január'!X5=0,
    "",
    '[6]2026 január'!X5
)</f>
        <v/>
      </c>
      <c r="AA6" s="220">
        <f>IF('[6]2026 január'!Y5=0,
    "",
    '[6]2026 január'!Y5
)</f>
        <v>88273</v>
      </c>
      <c r="AB6" s="220" t="str">
        <f>IF('[6]2026 január'!Z5=0,
    "",
    '[6]2026 január'!Z5
)</f>
        <v/>
      </c>
      <c r="AC6" s="220" t="str">
        <f>IF('[6]2026 január'!AA5=0,
    "",
    '[6]2026 január'!AA5
)</f>
        <v/>
      </c>
      <c r="AD6" s="220" t="str">
        <f>IF('[6]2026 január'!AB5=0,
    "",
    '[6]2026 január'!AB5
)</f>
        <v/>
      </c>
      <c r="AE6" s="220" t="str">
        <f>IF('[6]2026 január'!AC5=0,
    "",
    '[6]2026 január'!AC5
)</f>
        <v/>
      </c>
      <c r="AF6" s="220" t="str">
        <f>IF('[6]2026 január'!AD5=0,
    "",
    '[6]2026 január'!AD5
)</f>
        <v/>
      </c>
      <c r="AG6" s="220" t="str">
        <f>IF('[6]2026 január'!B$5=0,
    "",
    '[6]2026 január'!B$5
)</f>
        <v/>
      </c>
      <c r="AH6" s="220" t="str">
        <f>IF('[6]2026 január'!AE$5=0,
    "",
    '[6]2026 január'!AE$5
)</f>
        <v/>
      </c>
      <c r="AI6" s="220" t="str">
        <f>IF('[6]2026 január'!AF5=0,
    "",
    '[6]2026 január'!AF5
)</f>
        <v/>
      </c>
      <c r="AJ6" s="220" t="str">
        <f>IF('[6]2026 január'!AG5=0,
    "",
    '[6]2026 január'!AG5
)</f>
        <v/>
      </c>
      <c r="AK6" s="220" t="str">
        <f>IF('[6]2026 január'!AH5=0,
    "",
    '[6]2026 január'!AH5
)</f>
        <v/>
      </c>
    </row>
    <row r="7" spans="1:38">
      <c r="A7" s="5">
        <v>46027</v>
      </c>
      <c r="B7" s="353">
        <v>230215</v>
      </c>
      <c r="C7" s="11">
        <v>1300</v>
      </c>
      <c r="D7" s="11">
        <v>185570</v>
      </c>
      <c r="E7" s="11">
        <v>0</v>
      </c>
      <c r="F7" s="11">
        <v>12670</v>
      </c>
      <c r="G7" s="11">
        <v>1530</v>
      </c>
      <c r="H7" s="11">
        <v>198010</v>
      </c>
      <c r="I7" s="11">
        <v>198010</v>
      </c>
      <c r="J7" s="10">
        <v>2274</v>
      </c>
      <c r="K7" s="72">
        <v>204956475</v>
      </c>
      <c r="L7" s="250"/>
      <c r="M7" s="138"/>
      <c r="N7" s="5"/>
      <c r="O7" s="41"/>
      <c r="P7" s="220" t="str">
        <f>IF(OR('[6]2026 január'!G6=0,
       ISBLANK('[6]2026 január'!G6)),
    "",
    '[6]2026 január'!G6
)</f>
        <v/>
      </c>
      <c r="Q7" s="41">
        <f>'[6]2026 január'!W6</f>
        <v>0</v>
      </c>
      <c r="R7" s="41"/>
      <c r="S7" s="41"/>
      <c r="T7" s="4"/>
      <c r="U7" s="220">
        <f>IF('[6]2026 január'!S6=0,
    "",
    '[6]2026 január'!S6
)</f>
        <v>88273</v>
      </c>
      <c r="V7" s="220">
        <f>IF('[6]2026 január'!T6=0,
    "",
    '[6]2026 január'!T6
)</f>
        <v>32205</v>
      </c>
      <c r="W7" s="220" t="str">
        <f>IF('[6]2026 január'!U6=0,
    "",
    '[6]2026 január'!U6
)</f>
        <v/>
      </c>
      <c r="X7" s="220">
        <f>IF('[6]2026 január'!V6=0,
    "",
    '[6]2026 január'!V6
)</f>
        <v>18950</v>
      </c>
      <c r="Y7" s="220" t="str">
        <f>IF('[6]2026 január'!W6=0,
    "",
    '[6]2026 január'!W6
)</f>
        <v/>
      </c>
      <c r="Z7" s="220" t="str">
        <f>IF('[6]2026 január'!X6=0,
    "",
    '[6]2026 január'!X6
)</f>
        <v/>
      </c>
      <c r="AA7" s="220">
        <f>IF('[6]2026 január'!Y6=0,
    "",
    '[6]2026 január'!Y6
)</f>
        <v>101528</v>
      </c>
      <c r="AB7" s="220" t="str">
        <f>IF('[6]2026 január'!Z6=0,
    "",
    '[6]2026 január'!Z6
)</f>
        <v/>
      </c>
      <c r="AC7" s="220" t="str">
        <f>IF('[6]2026 január'!AA6=0,
    "",
    '[6]2026 január'!AA6
)</f>
        <v/>
      </c>
      <c r="AD7" s="220" t="str">
        <f>IF('[6]2026 január'!AB6=0,
    "",
    '[6]2026 január'!AB6
)</f>
        <v/>
      </c>
      <c r="AE7" s="220" t="str">
        <f>IF('[6]2026 január'!AC6=0,
    "",
    '[6]2026 január'!AC6
)</f>
        <v/>
      </c>
      <c r="AF7" s="220" t="str">
        <f>IF('[6]2026 január'!AD6=0,
    "",
    '[6]2026 január'!AD6
)</f>
        <v/>
      </c>
      <c r="AG7" s="220">
        <f>IF('[6]2026 január'!B$6=0,
    "",
    '[6]2026 január'!B$6
)</f>
        <v>230215</v>
      </c>
      <c r="AH7" s="220" t="str">
        <f>IF('[6]2026 január'!AE$6=0,
    "",
    '[6]2026 január'!AE$6
)</f>
        <v/>
      </c>
      <c r="AI7" s="220" t="str">
        <f>IF('[6]2026 január'!AF6=0,
    "",
    '[6]2026 január'!AF6
)</f>
        <v/>
      </c>
      <c r="AJ7" s="220" t="str">
        <f>IF('[6]2026 január'!AG6=0,
    "",
    '[6]2026 január'!AG6
)</f>
        <v/>
      </c>
      <c r="AK7" s="220" t="str">
        <f>IF('[6]2026 január'!AH6=0,
    "",
    '[6]2026 január'!AH6
)</f>
        <v/>
      </c>
    </row>
    <row r="8" spans="1:38">
      <c r="A8" s="5">
        <v>46028</v>
      </c>
      <c r="B8" s="353">
        <v>252220</v>
      </c>
      <c r="C8" s="11">
        <v>1400</v>
      </c>
      <c r="D8" s="11">
        <v>209395</v>
      </c>
      <c r="E8" s="11">
        <v>0</v>
      </c>
      <c r="F8" s="11">
        <v>2490</v>
      </c>
      <c r="G8" s="11">
        <v>1200</v>
      </c>
      <c r="H8" s="11">
        <v>212085</v>
      </c>
      <c r="I8" s="11">
        <v>212085</v>
      </c>
      <c r="J8" s="10">
        <v>2275</v>
      </c>
      <c r="K8" s="72">
        <v>205169760</v>
      </c>
      <c r="L8" s="250"/>
      <c r="M8" s="138"/>
      <c r="N8" s="5"/>
      <c r="O8" s="41"/>
      <c r="P8" s="220" t="str">
        <f>IF(OR('[6]2026 január'!G7=0,
       ISBLANK('[6]2026 január'!G7)),
    "",
    '[6]2026 január'!G7
)</f>
        <v/>
      </c>
      <c r="Q8" s="41">
        <f>'[6]2026 január'!W7</f>
        <v>0</v>
      </c>
      <c r="R8" s="41"/>
      <c r="S8" s="41"/>
      <c r="T8" s="4"/>
      <c r="U8" s="220">
        <f>IF('[6]2026 január'!S7=0,
    "",
    '[6]2026 január'!S7
)</f>
        <v>101528</v>
      </c>
      <c r="V8" s="220">
        <f>IF('[6]2026 január'!T7=0,
    "",
    '[6]2026 január'!T7
)</f>
        <v>40135</v>
      </c>
      <c r="W8" s="220" t="str">
        <f>IF('[6]2026 január'!U7=0,
    "",
    '[6]2026 január'!U7
)</f>
        <v/>
      </c>
      <c r="X8" s="220">
        <f>IF('[6]2026 január'!V7=0,
    "",
    '[6]2026 január'!V7
)</f>
        <v>3285</v>
      </c>
      <c r="Y8" s="220" t="str">
        <f>IF('[6]2026 január'!W7=0,
    "",
    '[6]2026 január'!W7
)</f>
        <v/>
      </c>
      <c r="Z8" s="220" t="str">
        <f>IF('[6]2026 január'!X7=0,
    "",
    '[6]2026 január'!X7
)</f>
        <v/>
      </c>
      <c r="AA8" s="220">
        <f>IF('[6]2026 január'!Y7=0,
    "",
    '[6]2026 január'!Y7
)</f>
        <v>138378</v>
      </c>
      <c r="AB8" s="220" t="str">
        <f>IF('[6]2026 január'!Z7=0,
    "",
    '[6]2026 január'!Z7
)</f>
        <v/>
      </c>
      <c r="AC8" s="220" t="str">
        <f>IF('[6]2026 január'!AA7=0,
    "",
    '[6]2026 január'!AA7
)</f>
        <v/>
      </c>
      <c r="AD8" s="220" t="str">
        <f>IF('[6]2026 január'!AB7=0,
    "",
    '[6]2026 január'!AB7
)</f>
        <v/>
      </c>
      <c r="AE8" s="220" t="str">
        <f>IF('[6]2026 január'!AC7=0,
    "",
    '[6]2026 január'!AC7
)</f>
        <v/>
      </c>
      <c r="AF8" s="220" t="str">
        <f>IF('[6]2026 január'!AD7=0,
    "",
    '[6]2026 január'!AD7
)</f>
        <v/>
      </c>
      <c r="AG8" s="220">
        <f>IF('[6]2026 január'!B$7=0,
    "",
    '[6]2026 január'!B$7
)</f>
        <v>252220</v>
      </c>
      <c r="AH8" s="220" t="str">
        <f>IF('[6]2026 január'!AE$7=0,
    "",
    '[6]2026 január'!AE$7
)</f>
        <v/>
      </c>
      <c r="AI8" s="220" t="str">
        <f>IF('[6]2026 január'!AF7=0,
    "",
    '[6]2026 január'!AF7
)</f>
        <v/>
      </c>
      <c r="AJ8" s="220" t="str">
        <f>IF('[6]2026 január'!AG7=0,
    "",
    '[6]2026 január'!AG7
)</f>
        <v/>
      </c>
      <c r="AK8" s="220" t="str">
        <f>IF('[6]2026 január'!AH7=0,
    "",
    '[6]2026 január'!AH7
)</f>
        <v/>
      </c>
    </row>
    <row r="9" spans="1:38">
      <c r="A9" s="5">
        <v>46029</v>
      </c>
      <c r="B9" s="353">
        <v>252475</v>
      </c>
      <c r="C9" s="11">
        <v>1400</v>
      </c>
      <c r="D9" s="11">
        <v>208580</v>
      </c>
      <c r="E9" s="11">
        <v>0</v>
      </c>
      <c r="F9" s="11">
        <v>15770</v>
      </c>
      <c r="G9" s="11">
        <v>2080</v>
      </c>
      <c r="H9" s="11">
        <v>223670</v>
      </c>
      <c r="I9" s="11">
        <v>223670</v>
      </c>
      <c r="J9" s="10">
        <v>2276</v>
      </c>
      <c r="K9" s="72">
        <v>205395510</v>
      </c>
      <c r="L9" s="250"/>
      <c r="M9" s="138"/>
      <c r="N9" s="5"/>
      <c r="O9" s="41"/>
      <c r="P9" s="220" t="str">
        <f>IF(OR('[6]2026 január'!G8=0,
       ISBLANK('[6]2026 január'!G8)),
    "",
    '[6]2026 január'!G8
)</f>
        <v/>
      </c>
      <c r="Q9" s="41">
        <f>'[6]2026 január'!W8</f>
        <v>0</v>
      </c>
      <c r="R9" s="41"/>
      <c r="S9" s="41"/>
      <c r="T9" s="4"/>
      <c r="U9" s="220">
        <f>IF('[6]2026 január'!S8=0,
    "",
    '[6]2026 január'!S8
)</f>
        <v>138378</v>
      </c>
      <c r="V9" s="220">
        <f>IF('[6]2026 január'!T8=0,
    "",
    '[6]2026 január'!T8
)</f>
        <v>28805</v>
      </c>
      <c r="W9" s="220" t="str">
        <f>IF('[6]2026 január'!U8=0,
    "",
    '[6]2026 január'!U8
)</f>
        <v/>
      </c>
      <c r="X9" s="220" t="str">
        <f>IF('[6]2026 január'!V8=0,
    "",
    '[6]2026 január'!V8
)</f>
        <v/>
      </c>
      <c r="Y9" s="220" t="str">
        <f>IF('[6]2026 január'!W8=0,
    "",
    '[6]2026 január'!W8
)</f>
        <v/>
      </c>
      <c r="Z9" s="220" t="str">
        <f>IF('[6]2026 január'!X8=0,
    "",
    '[6]2026 január'!X8
)</f>
        <v/>
      </c>
      <c r="AA9" s="220">
        <f>IF('[6]2026 január'!Y8=0,
    "",
    '[6]2026 január'!Y8
)</f>
        <v>167183</v>
      </c>
      <c r="AB9" s="220" t="str">
        <f>IF('[6]2026 január'!Z8=0,
    "",
    '[6]2026 január'!Z8
)</f>
        <v/>
      </c>
      <c r="AC9" s="220" t="str">
        <f>IF('[6]2026 január'!AA8=0,
    "",
    '[6]2026 január'!AA8
)</f>
        <v/>
      </c>
      <c r="AD9" s="220" t="str">
        <f>IF('[6]2026 január'!AB8=0,
    "",
    '[6]2026 január'!AB8
)</f>
        <v/>
      </c>
      <c r="AE9" s="220" t="str">
        <f>IF('[6]2026 január'!AC8=0,
    "",
    '[6]2026 január'!AC8
)</f>
        <v/>
      </c>
      <c r="AF9" s="220" t="str">
        <f>IF('[6]2026 január'!AD8=0,
    "",
    '[6]2026 január'!AD8
)</f>
        <v/>
      </c>
      <c r="AG9" s="220">
        <f>IF('[6]2026 január'!B$8=0,
    "",
    '[6]2026 január'!B$8
)</f>
        <v>252475</v>
      </c>
      <c r="AH9" s="220" t="str">
        <f>IF('[6]2026 január'!AE$8=0,
    "",
    '[6]2026 január'!AE$8
)</f>
        <v/>
      </c>
      <c r="AI9" s="220" t="str">
        <f>IF('[6]2026 január'!AF8=0,
    "",
    '[6]2026 január'!AF8
)</f>
        <v/>
      </c>
      <c r="AJ9" s="220" t="str">
        <f>IF('[6]2026 január'!AG8=0,
    "",
    '[6]2026 január'!AG8
)</f>
        <v/>
      </c>
      <c r="AK9" s="220" t="str">
        <f>IF('[6]2026 január'!AH8=0,
    "",
    '[6]2026 január'!AH8
)</f>
        <v/>
      </c>
    </row>
    <row r="10" spans="1:38">
      <c r="A10" s="5">
        <v>46030</v>
      </c>
      <c r="B10" s="353">
        <v>340790</v>
      </c>
      <c r="C10" s="11">
        <v>1150</v>
      </c>
      <c r="D10" s="11">
        <v>307660</v>
      </c>
      <c r="E10" s="11">
        <v>0</v>
      </c>
      <c r="F10" s="11">
        <v>5680</v>
      </c>
      <c r="G10" s="11">
        <v>1390</v>
      </c>
      <c r="H10" s="11">
        <v>313100</v>
      </c>
      <c r="I10" s="11">
        <v>313100</v>
      </c>
      <c r="J10" s="10">
        <v>2277</v>
      </c>
      <c r="K10" s="72">
        <v>205710000</v>
      </c>
      <c r="L10" s="250"/>
      <c r="M10" s="138"/>
      <c r="N10" s="5"/>
      <c r="O10" s="41"/>
      <c r="P10" s="220" t="str">
        <f>IF(OR('[6]2026 január'!G9=0,
       ISBLANK('[6]2026 január'!G9)),
    "",
    '[6]2026 január'!G9
)</f>
        <v/>
      </c>
      <c r="Q10" s="41">
        <f>'[6]2026 január'!W9</f>
        <v>0</v>
      </c>
      <c r="R10" s="41"/>
      <c r="S10" s="41"/>
      <c r="T10" s="4"/>
      <c r="U10" s="220">
        <f>IF('[6]2026 január'!S9=0,
    "",
    '[6]2026 január'!S9
)</f>
        <v>167183</v>
      </c>
      <c r="V10" s="220">
        <f>IF('[6]2026 január'!T9=0,
    "",
    '[6]2026 január'!T9
)</f>
        <v>27690</v>
      </c>
      <c r="W10" s="220" t="str">
        <f>IF('[6]2026 január'!U9=0,
    "",
    '[6]2026 január'!U9
)</f>
        <v/>
      </c>
      <c r="X10" s="220" t="str">
        <f>IF('[6]2026 január'!V9=0,
    "",
    '[6]2026 január'!V9
)</f>
        <v/>
      </c>
      <c r="Y10" s="220" t="str">
        <f>IF('[6]2026 január'!W9=0,
    "",
    '[6]2026 január'!W9
)</f>
        <v/>
      </c>
      <c r="Z10" s="220" t="str">
        <f>IF('[6]2026 január'!X9=0,
    "",
    '[6]2026 január'!X9
)</f>
        <v/>
      </c>
      <c r="AA10" s="220">
        <f>IF('[6]2026 január'!Y9=0,
    "",
    '[6]2026 január'!Y9
)</f>
        <v>194873</v>
      </c>
      <c r="AB10" s="220" t="str">
        <f>IF('[6]2026 január'!Z9=0,
    "",
    '[6]2026 január'!Z9
)</f>
        <v/>
      </c>
      <c r="AC10" s="220" t="str">
        <f>IF('[6]2026 január'!AA9=0,
    "",
    '[6]2026 január'!AA9
)</f>
        <v/>
      </c>
      <c r="AD10" s="220" t="str">
        <f>IF('[6]2026 január'!AB9=0,
    "",
    '[6]2026 január'!AB9
)</f>
        <v/>
      </c>
      <c r="AE10" s="220" t="str">
        <f>IF('[6]2026 január'!AC9=0,
    "",
    '[6]2026 január'!AC9
)</f>
        <v/>
      </c>
      <c r="AF10" s="220" t="str">
        <f>IF('[6]2026 január'!AD9=0,
    "",
    '[6]2026 január'!AD9
)</f>
        <v/>
      </c>
      <c r="AG10" s="220">
        <f>IF('[6]2026 január'!B$9=0,
    "",
    '[6]2026 január'!B$9
)</f>
        <v>340790</v>
      </c>
      <c r="AH10" s="220" t="str">
        <f>IF('[6]2026 január'!AE$9=0,
    "",
    '[6]2026 január'!AE$9
)</f>
        <v/>
      </c>
      <c r="AI10" s="220" t="str">
        <f>IF('[6]2026 január'!AF9=0,
    "",
    '[6]2026 január'!AF9
)</f>
        <v/>
      </c>
      <c r="AJ10" s="220" t="str">
        <f>IF('[6]2026 január'!AG9=0,
    "",
    '[6]2026 január'!AG9
)</f>
        <v/>
      </c>
      <c r="AK10" s="220" t="str">
        <f>IF('[6]2026 január'!AH9=0,
    "",
    '[6]2026 január'!AH9
)</f>
        <v/>
      </c>
    </row>
    <row r="11" spans="1:38">
      <c r="A11" s="5">
        <v>46031</v>
      </c>
      <c r="B11" s="353">
        <v>270435</v>
      </c>
      <c r="C11" s="11">
        <v>1100</v>
      </c>
      <c r="D11" s="11">
        <v>245725</v>
      </c>
      <c r="E11" s="11">
        <v>0</v>
      </c>
      <c r="F11" s="11">
        <v>2950</v>
      </c>
      <c r="G11" s="11">
        <v>1100</v>
      </c>
      <c r="H11" s="75">
        <v>248675</v>
      </c>
      <c r="I11" s="75">
        <v>248105</v>
      </c>
      <c r="J11" s="10">
        <v>2278</v>
      </c>
      <c r="K11" s="72">
        <v>205959775</v>
      </c>
      <c r="L11" s="250"/>
      <c r="M11" s="138"/>
      <c r="N11" s="461" t="s">
        <v>162</v>
      </c>
      <c r="O11" s="41"/>
      <c r="P11" s="220" t="str">
        <f>IF(OR('[6]2026 január'!G10=0,
       ISBLANK('[6]2026 január'!G10)),
    "",
    '[6]2026 január'!G10
)</f>
        <v/>
      </c>
      <c r="Q11" s="41">
        <f>'[6]2026 január'!W10</f>
        <v>0</v>
      </c>
      <c r="R11" s="41"/>
      <c r="S11" s="41"/>
      <c r="T11" s="4"/>
      <c r="U11" s="220">
        <f>IF('[6]2026 január'!S10=0,
    "",
    '[6]2026 január'!S10
)</f>
        <v>194873</v>
      </c>
      <c r="V11" s="220">
        <f>IF('[6]2026 január'!T10=0,
    "",
    '[6]2026 január'!T10
)</f>
        <v>22330</v>
      </c>
      <c r="W11" s="220" t="str">
        <f>IF('[6]2026 január'!U10=0,
    "",
    '[6]2026 január'!U10
)</f>
        <v/>
      </c>
      <c r="X11" s="220" t="str">
        <f>IF('[6]2026 január'!V10=0,
    "",
    '[6]2026 január'!V10
)</f>
        <v/>
      </c>
      <c r="Y11" s="220" t="str">
        <f>IF('[6]2026 január'!W10=0,
    "",
    '[6]2026 január'!W10
)</f>
        <v/>
      </c>
      <c r="Z11" s="220" t="str">
        <f>IF('[6]2026 január'!X10=0,
    "",
    '[6]2026 január'!X10
)</f>
        <v/>
      </c>
      <c r="AA11" s="220">
        <f>IF('[6]2026 január'!Y10=0,
    "",
    '[6]2026 január'!Y10
)</f>
        <v>217203</v>
      </c>
      <c r="AB11" s="220" t="str">
        <f>IF('[6]2026 január'!Z10=0,
    "",
    '[6]2026 január'!Z10
)</f>
        <v/>
      </c>
      <c r="AC11" s="220" t="str">
        <f>IF('[6]2026 január'!AA10=0,
    "",
    '[6]2026 január'!AA10
)</f>
        <v/>
      </c>
      <c r="AD11" s="220" t="str">
        <f>IF('[6]2026 január'!AB10=0,
    "",
    '[6]2026 január'!AB10
)</f>
        <v/>
      </c>
      <c r="AE11" s="220" t="str">
        <f>IF('[6]2026 január'!AC10=0,
    "",
    '[6]2026 január'!AC10
)</f>
        <v/>
      </c>
      <c r="AF11" s="220" t="str">
        <f>IF('[6]2026 január'!AD10=0,
    "",
    '[6]2026 január'!AD10
)</f>
        <v/>
      </c>
      <c r="AG11" s="220">
        <f>IF('[6]2026 január'!B$10=0,
    "",
    '[6]2026 január'!B$10
)</f>
        <v>270435</v>
      </c>
      <c r="AH11" s="220" t="str">
        <f>IF('[6]2026 január'!AE$10=0,
    "",
    '[6]2026 január'!AE$10
)</f>
        <v/>
      </c>
      <c r="AI11" s="220" t="str">
        <f>IF('[6]2026 január'!AF10=0,
    "",
    '[6]2026 január'!AF10
)</f>
        <v/>
      </c>
      <c r="AJ11" s="220" t="str">
        <f>IF('[6]2026 január'!AG10=0,
    "",
    '[6]2026 január'!AG10
)</f>
        <v/>
      </c>
      <c r="AK11" s="220" t="str">
        <f>IF('[6]2026 január'!AH10=0,
    "",
    '[6]2026 január'!AH10
)</f>
        <v/>
      </c>
    </row>
    <row r="12" spans="1:38">
      <c r="A12" s="5">
        <v>46032</v>
      </c>
      <c r="B12" s="353">
        <v>158545</v>
      </c>
      <c r="C12" s="11">
        <v>600</v>
      </c>
      <c r="D12" s="11">
        <v>137655</v>
      </c>
      <c r="E12" s="11">
        <v>0</v>
      </c>
      <c r="F12" s="11">
        <v>5710</v>
      </c>
      <c r="G12" s="11">
        <v>1590</v>
      </c>
      <c r="H12" s="75">
        <v>142375</v>
      </c>
      <c r="I12" s="75">
        <v>142945</v>
      </c>
      <c r="J12" s="10">
        <v>2279</v>
      </c>
      <c r="K12" s="72">
        <v>206103740</v>
      </c>
      <c r="L12" s="250"/>
      <c r="M12" s="138"/>
      <c r="N12" s="461" t="s">
        <v>300</v>
      </c>
      <c r="O12" s="41"/>
      <c r="P12" s="220" t="str">
        <f>IF(OR('[6]2026 január'!G11=0,
       ISBLANK('[6]2026 január'!G11)),
    "",
    '[6]2026 január'!G11
)</f>
        <v/>
      </c>
      <c r="Q12" s="41">
        <f>'[6]2026 január'!W11</f>
        <v>0</v>
      </c>
      <c r="R12" s="41"/>
      <c r="S12" s="41"/>
      <c r="T12" s="4"/>
      <c r="U12" s="220">
        <f>IF('[6]2026 január'!S11=0,
    "",
    '[6]2026 január'!S11
)</f>
        <v>217203</v>
      </c>
      <c r="V12" s="220">
        <f>IF('[6]2026 január'!T11=0,
    "",
    '[6]2026 január'!T11
)</f>
        <v>15600</v>
      </c>
      <c r="W12" s="220" t="str">
        <f>IF('[6]2026 január'!U11=0,
    "",
    '[6]2026 január'!U11
)</f>
        <v/>
      </c>
      <c r="X12" s="220" t="str">
        <f>IF('[6]2026 január'!V11=0,
    "",
    '[6]2026 január'!V11
)</f>
        <v/>
      </c>
      <c r="Y12" s="220" t="str">
        <f>IF('[6]2026 január'!W11=0,
    "",
    '[6]2026 január'!W11
)</f>
        <v/>
      </c>
      <c r="Z12" s="220" t="str">
        <f>IF('[6]2026 január'!X11=0,
    "",
    '[6]2026 január'!X11
)</f>
        <v/>
      </c>
      <c r="AA12" s="220">
        <f>IF('[6]2026 január'!Y11=0,
    "",
    '[6]2026 január'!Y11
)</f>
        <v>232803</v>
      </c>
      <c r="AB12" s="220" t="str">
        <f>IF('[6]2026 január'!Z11=0,
    "",
    '[6]2026 január'!Z11
)</f>
        <v/>
      </c>
      <c r="AC12" s="220" t="str">
        <f>IF('[6]2026 január'!AA11=0,
    "",
    '[6]2026 január'!AA11
)</f>
        <v/>
      </c>
      <c r="AD12" s="220" t="str">
        <f>IF('[6]2026 január'!AB11=0,
    "",
    '[6]2026 január'!AB11
)</f>
        <v/>
      </c>
      <c r="AE12" s="220" t="str">
        <f>IF('[6]2026 január'!AC11=0,
    "",
    '[6]2026 január'!AC11
)</f>
        <v/>
      </c>
      <c r="AF12" s="220" t="str">
        <f>IF('[6]2026 január'!AD11=0,
    "",
    '[6]2026 január'!AD11
)</f>
        <v/>
      </c>
      <c r="AG12" s="220">
        <f>IF('[6]2026 január'!B$11=0,
    "",
    '[6]2026 január'!B$11
)</f>
        <v>158545</v>
      </c>
      <c r="AH12" s="220" t="str">
        <f>IF('[6]2026 január'!AE$11=0,
    "",
    '[6]2026 január'!AE$11
)</f>
        <v/>
      </c>
      <c r="AI12" s="220" t="str">
        <f>IF('[6]2026 január'!AF11=0,
    "",
    '[6]2026 január'!AF11
)</f>
        <v/>
      </c>
      <c r="AJ12" s="220" t="str">
        <f>IF('[6]2026 január'!AG11=0,
    "",
    '[6]2026 január'!AG11
)</f>
        <v/>
      </c>
      <c r="AK12" s="220" t="str">
        <f>IF('[6]2026 január'!AH11=0,
    "",
    '[6]2026 január'!AH11
)</f>
        <v/>
      </c>
    </row>
    <row r="13" spans="1:38">
      <c r="A13" s="141">
        <v>46033</v>
      </c>
      <c r="B13" s="352"/>
      <c r="C13" s="142"/>
      <c r="D13" s="142"/>
      <c r="E13" s="142"/>
      <c r="F13" s="142"/>
      <c r="G13" s="142"/>
      <c r="H13" s="142"/>
      <c r="I13" s="142"/>
      <c r="J13" s="142"/>
      <c r="K13" s="146"/>
      <c r="L13" s="249"/>
      <c r="M13" s="147"/>
      <c r="N13" s="141"/>
      <c r="O13" s="41"/>
      <c r="P13" s="220" t="str">
        <f>IF(OR('[6]2026 január'!G12=0,
       ISBLANK('[6]2026 január'!G12)),
    "",
    '[6]2026 január'!G12
)</f>
        <v/>
      </c>
      <c r="Q13" s="41">
        <f>'[6]2026 január'!W12</f>
        <v>0</v>
      </c>
      <c r="R13" s="41"/>
      <c r="S13" s="41"/>
      <c r="T13" s="4"/>
      <c r="U13" s="220">
        <f>IF('[6]2026 január'!S12=0,
    "",
    '[6]2026 január'!S12
)</f>
        <v>232803</v>
      </c>
      <c r="V13" s="220" t="str">
        <f>IF('[6]2026 január'!T12=0,
    "",
    '[6]2026 január'!T12
)</f>
        <v/>
      </c>
      <c r="W13" s="220" t="str">
        <f>IF('[6]2026 január'!U12=0,
    "",
    '[6]2026 január'!U12
)</f>
        <v/>
      </c>
      <c r="X13" s="220" t="str">
        <f>IF('[6]2026 január'!V12=0,
    "",
    '[6]2026 január'!V12
)</f>
        <v/>
      </c>
      <c r="Y13" s="220" t="str">
        <f>IF('[6]2026 január'!W12=0,
    "",
    '[6]2026 január'!W12
)</f>
        <v/>
      </c>
      <c r="Z13" s="220" t="str">
        <f>IF('[6]2026 január'!X12=0,
    "",
    '[6]2026 január'!X12
)</f>
        <v/>
      </c>
      <c r="AA13" s="220">
        <f>IF('[6]2026 január'!Y12=0,
    "",
    '[6]2026 január'!Y12
)</f>
        <v>232803</v>
      </c>
      <c r="AB13" s="220" t="str">
        <f>IF('[6]2026 január'!Z12=0,
    "",
    '[6]2026 január'!Z12
)</f>
        <v/>
      </c>
      <c r="AC13" s="220" t="str">
        <f>IF('[6]2026 január'!AA12=0,
    "",
    '[6]2026 január'!AA12
)</f>
        <v/>
      </c>
      <c r="AD13" s="220" t="str">
        <f>IF('[6]2026 január'!AB12=0,
    "",
    '[6]2026 január'!AB12
)</f>
        <v/>
      </c>
      <c r="AE13" s="220" t="str">
        <f>IF('[6]2026 január'!AC12=0,
    "",
    '[6]2026 január'!AC12
)</f>
        <v/>
      </c>
      <c r="AF13" s="220" t="str">
        <f>IF('[6]2026 január'!AD12=0,
    "",
    '[6]2026 január'!AD12
)</f>
        <v/>
      </c>
      <c r="AG13" s="220" t="str">
        <f>IF('[6]2026 január'!B$12=0,
    "",
    '[6]2026 január'!B$12
)</f>
        <v/>
      </c>
      <c r="AH13" s="220" t="str">
        <f>IF('[6]2026 január'!AE$12=0,
    "",
    '[6]2026 január'!AE$12
)</f>
        <v/>
      </c>
      <c r="AI13" s="220" t="str">
        <f>IF('[6]2026 január'!AF12=0,
    "",
    '[6]2026 január'!AF12
)</f>
        <v/>
      </c>
      <c r="AJ13" s="220" t="str">
        <f>IF('[6]2026 január'!AG12=0,
    "",
    '[6]2026 január'!AG12
)</f>
        <v/>
      </c>
      <c r="AK13" s="220" t="str">
        <f>IF('[6]2026 január'!AH12=0,
    "",
    '[6]2026 január'!AH12
)</f>
        <v/>
      </c>
    </row>
    <row r="14" spans="1:38">
      <c r="A14" s="5">
        <v>46034</v>
      </c>
      <c r="B14" s="353">
        <v>318805</v>
      </c>
      <c r="C14" s="11">
        <v>1700</v>
      </c>
      <c r="D14" s="11">
        <v>287610</v>
      </c>
      <c r="E14" s="11">
        <v>0</v>
      </c>
      <c r="F14" s="11">
        <v>11800</v>
      </c>
      <c r="G14" s="11">
        <v>1300</v>
      </c>
      <c r="H14" s="11">
        <v>299810</v>
      </c>
      <c r="I14" s="11">
        <v>299810</v>
      </c>
      <c r="J14" s="10">
        <v>2280</v>
      </c>
      <c r="K14" s="72">
        <v>206404850</v>
      </c>
      <c r="L14" s="250"/>
      <c r="M14" s="138"/>
      <c r="N14" s="5"/>
      <c r="O14" s="41"/>
      <c r="P14" s="220" t="str">
        <f>IF(OR('[6]2026 január'!G13=0,
       ISBLANK('[6]2026 január'!G13)),
    "",
    '[6]2026 január'!G13
)</f>
        <v/>
      </c>
      <c r="Q14" s="41">
        <f>'[6]2026 január'!W13</f>
        <v>0</v>
      </c>
      <c r="R14" s="41"/>
      <c r="S14" s="41"/>
      <c r="T14" s="4"/>
      <c r="U14" s="220">
        <f>IF('[6]2026 január'!S13=0,
    "",
    '[6]2026 január'!S13
)</f>
        <v>232803</v>
      </c>
      <c r="V14" s="220">
        <f>IF('[6]2026 január'!T13=0,
    "",
    '[6]2026 január'!T13
)</f>
        <v>18995</v>
      </c>
      <c r="W14" s="220" t="str">
        <f>IF('[6]2026 január'!U13=0,
    "",
    '[6]2026 január'!U13
)</f>
        <v/>
      </c>
      <c r="X14" s="220">
        <f>IF('[6]2026 január'!V13=0,
    "",
    '[6]2026 január'!V13
)</f>
        <v>12850</v>
      </c>
      <c r="Y14" s="220" t="str">
        <f>IF('[6]2026 január'!W13=0,
    "",
    '[6]2026 január'!W13
)</f>
        <v/>
      </c>
      <c r="Z14" s="220" t="str">
        <f>IF('[6]2026 január'!X13=0,
    "",
    '[6]2026 január'!X13
)</f>
        <v/>
      </c>
      <c r="AA14" s="220">
        <f>IF('[6]2026 január'!Y13=0,
    "",
    '[6]2026 január'!Y13
)</f>
        <v>238948</v>
      </c>
      <c r="AB14" s="220" t="str">
        <f>IF('[6]2026 január'!Z13=0,
    "",
    '[6]2026 január'!Z13
)</f>
        <v/>
      </c>
      <c r="AC14" s="220" t="str">
        <f>IF('[6]2026 január'!AA13=0,
    "",
    '[6]2026 január'!AA13
)</f>
        <v/>
      </c>
      <c r="AD14" s="220" t="str">
        <f>IF('[6]2026 január'!AB13=0,
    "",
    '[6]2026 január'!AB13
)</f>
        <v/>
      </c>
      <c r="AE14" s="220" t="str">
        <f>IF('[6]2026 január'!AC13=0,
    "",
    '[6]2026 január'!AC13
)</f>
        <v/>
      </c>
      <c r="AF14" s="220" t="str">
        <f>IF('[6]2026 január'!AD13=0,
    "",
    '[6]2026 január'!AD13
)</f>
        <v/>
      </c>
      <c r="AG14" s="220">
        <f>IF('[6]2026 január'!B$13=0,
    "",
    '[6]2026 január'!B$13
)</f>
        <v>318805</v>
      </c>
      <c r="AH14" s="220" t="str">
        <f>IF('[6]2026 január'!AE$13=0,
    "",
    '[6]2026 január'!AE$13
)</f>
        <v/>
      </c>
      <c r="AI14" s="220" t="str">
        <f>IF('[6]2026 január'!AF13=0,
    "",
    '[6]2026 január'!AF13
)</f>
        <v/>
      </c>
      <c r="AJ14" s="220" t="str">
        <f>IF('[6]2026 január'!AG13=0,
    "",
    '[6]2026 január'!AG13
)</f>
        <v/>
      </c>
      <c r="AK14" s="220" t="str">
        <f>IF('[6]2026 január'!AH13=0,
    "",
    '[6]2026 január'!AH13
)</f>
        <v/>
      </c>
    </row>
    <row r="15" spans="1:38">
      <c r="A15" s="5">
        <v>46035</v>
      </c>
      <c r="B15" s="353">
        <v>251430</v>
      </c>
      <c r="C15" s="11">
        <v>1000</v>
      </c>
      <c r="D15" s="11">
        <v>228205</v>
      </c>
      <c r="E15" s="11">
        <v>0</v>
      </c>
      <c r="F15" s="11">
        <v>10870</v>
      </c>
      <c r="G15" s="11">
        <v>1050</v>
      </c>
      <c r="H15" s="11">
        <v>239025</v>
      </c>
      <c r="I15" s="11">
        <v>239025</v>
      </c>
      <c r="J15" s="10">
        <v>2281</v>
      </c>
      <c r="K15" s="72">
        <v>206644925</v>
      </c>
      <c r="L15" s="250"/>
      <c r="M15" s="138"/>
      <c r="N15" s="5"/>
      <c r="O15" s="41"/>
      <c r="P15" s="220" t="str">
        <f>IF(OR('[6]2026 január'!G14=0,
       ISBLANK('[6]2026 január'!G14)),
    "",
    '[6]2026 január'!G14
)</f>
        <v/>
      </c>
      <c r="Q15" s="41">
        <f>'[6]2026 január'!W14</f>
        <v>0</v>
      </c>
      <c r="R15" s="41"/>
      <c r="S15" s="41"/>
      <c r="T15" s="4"/>
      <c r="U15" s="220">
        <f>IF('[6]2026 január'!S14=0,
    "",
    '[6]2026 január'!S14
)</f>
        <v>238948</v>
      </c>
      <c r="V15" s="220">
        <f>IF('[6]2026 január'!T14=0,
    "",
    '[6]2026 január'!T14
)</f>
        <v>12405</v>
      </c>
      <c r="W15" s="220" t="str">
        <f>IF('[6]2026 január'!U14=0,
    "",
    '[6]2026 január'!U14
)</f>
        <v/>
      </c>
      <c r="X15" s="220">
        <f>IF('[6]2026 január'!V14=0,
    "",
    '[6]2026 január'!V14
)</f>
        <v>14000</v>
      </c>
      <c r="Y15" s="220" t="str">
        <f>IF('[6]2026 január'!W14=0,
    "",
    '[6]2026 január'!W14
)</f>
        <v/>
      </c>
      <c r="Z15" s="220" t="str">
        <f>IF('[6]2026 január'!X14=0,
    "",
    '[6]2026 január'!X14
)</f>
        <v/>
      </c>
      <c r="AA15" s="220">
        <f>IF('[6]2026 január'!Y14=0,
    "",
    '[6]2026 január'!Y14
)</f>
        <v>237353</v>
      </c>
      <c r="AB15" s="220" t="str">
        <f>IF('[6]2026 január'!Z14=0,
    "",
    '[6]2026 január'!Z14
)</f>
        <v/>
      </c>
      <c r="AC15" s="220" t="str">
        <f>IF('[6]2026 január'!AA14=0,
    "",
    '[6]2026 január'!AA14
)</f>
        <v/>
      </c>
      <c r="AD15" s="220" t="str">
        <f>IF('[6]2026 január'!AB14=0,
    "",
    '[6]2026 január'!AB14
)</f>
        <v/>
      </c>
      <c r="AE15" s="220" t="str">
        <f>IF('[6]2026 január'!AC14=0,
    "",
    '[6]2026 január'!AC14
)</f>
        <v/>
      </c>
      <c r="AF15" s="220" t="str">
        <f>IF('[6]2026 január'!AD14=0,
    "",
    '[6]2026 január'!AD14
)</f>
        <v/>
      </c>
      <c r="AG15" s="220">
        <f>IF('[6]2026 január'!B$14=0,
    "",
    '[6]2026 január'!B$14
)</f>
        <v>251430</v>
      </c>
      <c r="AH15" s="220" t="str">
        <f>IF('[6]2026 január'!AE$14=0,
    "",
    '[6]2026 január'!AE$14
)</f>
        <v/>
      </c>
      <c r="AI15" s="220" t="str">
        <f>IF('[6]2026 január'!AF14=0,
    "",
    '[6]2026 január'!AF14
)</f>
        <v/>
      </c>
      <c r="AJ15" s="220" t="str">
        <f>IF('[6]2026 január'!AG14=0,
    "",
    '[6]2026 január'!AG14
)</f>
        <v/>
      </c>
      <c r="AK15" s="220" t="str">
        <f>IF('[6]2026 január'!AH14=0,
    "",
    '[6]2026 január'!AH14
)</f>
        <v/>
      </c>
    </row>
    <row r="16" spans="1:38">
      <c r="A16" s="5">
        <v>46036</v>
      </c>
      <c r="B16" s="353">
        <v>263730</v>
      </c>
      <c r="C16" s="11">
        <v>1100</v>
      </c>
      <c r="D16" s="11">
        <v>246990</v>
      </c>
      <c r="E16" s="11">
        <v>0</v>
      </c>
      <c r="F16" s="11">
        <v>2840</v>
      </c>
      <c r="G16" s="11">
        <v>1100</v>
      </c>
      <c r="H16" s="11">
        <v>249830</v>
      </c>
      <c r="I16" s="11">
        <v>249830</v>
      </c>
      <c r="J16" s="10">
        <v>2282</v>
      </c>
      <c r="K16" s="72">
        <v>206895855</v>
      </c>
      <c r="L16" s="250"/>
      <c r="M16" s="138"/>
      <c r="N16" s="5"/>
      <c r="O16" s="41"/>
      <c r="P16" s="220" t="str">
        <f>IF(OR('[6]2026 január'!G15=0,
       ISBLANK('[6]2026 január'!G15)),
    "",
    '[6]2026 január'!G15
)</f>
        <v/>
      </c>
      <c r="Q16" s="41">
        <f>'[6]2026 január'!W15</f>
        <v>0</v>
      </c>
      <c r="R16" s="41"/>
      <c r="S16" s="41"/>
      <c r="T16" s="4"/>
      <c r="U16" s="220">
        <f>IF('[6]2026 január'!S15=0,
    "",
    '[6]2026 január'!S15
)</f>
        <v>237353</v>
      </c>
      <c r="V16" s="220">
        <f>IF('[6]2026 január'!T15=0,
    "",
    '[6]2026 január'!T15
)</f>
        <v>13900</v>
      </c>
      <c r="W16" s="220" t="str">
        <f>IF('[6]2026 január'!U15=0,
    "",
    '[6]2026 január'!U15
)</f>
        <v/>
      </c>
      <c r="X16" s="220" t="str">
        <f>IF('[6]2026 január'!V15=0,
    "",
    '[6]2026 január'!V15
)</f>
        <v/>
      </c>
      <c r="Y16" s="220" t="str">
        <f>IF('[6]2026 január'!W15=0,
    "",
    '[6]2026 január'!W15
)</f>
        <v/>
      </c>
      <c r="Z16" s="220" t="str">
        <f>IF('[6]2026 január'!X15=0,
    "",
    '[6]2026 január'!X15
)</f>
        <v/>
      </c>
      <c r="AA16" s="220">
        <f>IF('[6]2026 január'!Y15=0,
    "",
    '[6]2026 január'!Y15
)</f>
        <v>251253</v>
      </c>
      <c r="AB16" s="220" t="str">
        <f>IF('[6]2026 január'!Z15=0,
    "",
    '[6]2026 január'!Z15
)</f>
        <v/>
      </c>
      <c r="AC16" s="220" t="str">
        <f>IF('[6]2026 január'!AA15=0,
    "",
    '[6]2026 január'!AA15
)</f>
        <v/>
      </c>
      <c r="AD16" s="220" t="str">
        <f>IF('[6]2026 január'!AB15=0,
    "",
    '[6]2026 január'!AB15
)</f>
        <v/>
      </c>
      <c r="AE16" s="220" t="str">
        <f>IF('[6]2026 január'!AC15=0,
    "",
    '[6]2026 január'!AC15
)</f>
        <v/>
      </c>
      <c r="AF16" s="220" t="str">
        <f>IF('[6]2026 január'!AD15=0,
    "",
    '[6]2026 január'!AD15
)</f>
        <v/>
      </c>
      <c r="AG16" s="220">
        <f>IF('[6]2026 január'!B$15=0,
    "",
    '[6]2026 január'!B$15
)</f>
        <v>263730</v>
      </c>
      <c r="AH16" s="220" t="str">
        <f>IF('[6]2026 január'!AE$15=0,
    "",
    '[6]2026 január'!AE$15
)</f>
        <v/>
      </c>
      <c r="AI16" s="220" t="str">
        <f>IF('[6]2026 január'!AF15=0,
    "",
    '[6]2026 január'!AF15
)</f>
        <v/>
      </c>
      <c r="AJ16" s="220" t="str">
        <f>IF('[6]2026 január'!AG15=0,
    "",
    '[6]2026 január'!AG15
)</f>
        <v/>
      </c>
      <c r="AK16" s="220" t="str">
        <f>IF('[6]2026 január'!AH15=0,
    "",
    '[6]2026 január'!AH15
)</f>
        <v/>
      </c>
    </row>
    <row r="17" spans="1:37">
      <c r="A17" s="5">
        <v>46037</v>
      </c>
      <c r="B17" s="353">
        <v>288030</v>
      </c>
      <c r="C17" s="11">
        <v>1550</v>
      </c>
      <c r="D17" s="11">
        <v>250140</v>
      </c>
      <c r="E17" s="11">
        <v>0</v>
      </c>
      <c r="F17" s="11">
        <v>12740</v>
      </c>
      <c r="G17" s="11">
        <v>200</v>
      </c>
      <c r="H17" s="11">
        <v>264230</v>
      </c>
      <c r="I17" s="11">
        <v>264230</v>
      </c>
      <c r="J17" s="10">
        <v>2283</v>
      </c>
      <c r="K17" s="72">
        <v>207160285</v>
      </c>
      <c r="L17" s="250"/>
      <c r="M17" s="138"/>
      <c r="N17" s="5"/>
      <c r="O17" s="41"/>
      <c r="P17" s="220" t="str">
        <f>IF(OR('[6]2026 január'!G16=0,
       ISBLANK('[6]2026 január'!G16)),
    "",
    '[6]2026 január'!G16
)</f>
        <v/>
      </c>
      <c r="Q17" s="41">
        <f>'[6]2026 január'!W16</f>
        <v>0</v>
      </c>
      <c r="R17" s="41"/>
      <c r="S17" s="41"/>
      <c r="T17" s="4"/>
      <c r="U17" s="220">
        <f>IF('[6]2026 január'!S16=0,
    "",
    '[6]2026 január'!S16
)</f>
        <v>251253</v>
      </c>
      <c r="V17" s="220">
        <f>IF('[6]2026 január'!T16=0,
    "",
    '[6]2026 január'!T16
)</f>
        <v>23800</v>
      </c>
      <c r="W17" s="220" t="str">
        <f>IF('[6]2026 január'!U16=0,
    "",
    '[6]2026 január'!U16
)</f>
        <v/>
      </c>
      <c r="X17" s="220">
        <f>IF('[6]2026 január'!V16=0,
    "",
    '[6]2026 január'!V16
)</f>
        <v>14000</v>
      </c>
      <c r="Y17" s="220" t="str">
        <f>IF('[6]2026 január'!W16=0,
    "",
    '[6]2026 január'!W16
)</f>
        <v/>
      </c>
      <c r="Z17" s="220" t="str">
        <f>IF('[6]2026 január'!X16=0,
    "",
    '[6]2026 január'!X16
)</f>
        <v/>
      </c>
      <c r="AA17" s="220">
        <f>IF('[6]2026 január'!Y16=0,
    "",
    '[6]2026 január'!Y16
)</f>
        <v>261053</v>
      </c>
      <c r="AB17" s="220" t="str">
        <f>IF('[6]2026 január'!Z16=0,
    "",
    '[6]2026 január'!Z16
)</f>
        <v/>
      </c>
      <c r="AC17" s="220" t="str">
        <f>IF('[6]2026 január'!AA16=0,
    "",
    '[6]2026 január'!AA16
)</f>
        <v/>
      </c>
      <c r="AD17" s="220" t="str">
        <f>IF('[6]2026 január'!AB16=0,
    "",
    '[6]2026 január'!AB16
)</f>
        <v/>
      </c>
      <c r="AE17" s="220" t="str">
        <f>IF('[6]2026 január'!AC16=0,
    "",
    '[6]2026 január'!AC16
)</f>
        <v/>
      </c>
      <c r="AF17" s="220" t="str">
        <f>IF('[6]2026 január'!AD16=0,
    "",
    '[6]2026 január'!AD16
)</f>
        <v/>
      </c>
      <c r="AG17" s="220">
        <f>IF('[6]2026 január'!B$16=0,
    "",
    '[6]2026 január'!B$16
)</f>
        <v>288030</v>
      </c>
      <c r="AH17" s="220" t="str">
        <f>IF('[6]2026 január'!AE$16=0,
    "",
    '[6]2026 január'!AE$16
)</f>
        <v/>
      </c>
      <c r="AI17" s="220" t="str">
        <f>IF('[6]2026 január'!AF16=0,
    "",
    '[6]2026 január'!AF16
)</f>
        <v/>
      </c>
      <c r="AJ17" s="220" t="str">
        <f>IF('[6]2026 január'!AG16=0,
    "",
    '[6]2026 január'!AG16
)</f>
        <v/>
      </c>
      <c r="AK17" s="220" t="str">
        <f>IF('[6]2026 január'!AH16=0,
    "",
    '[6]2026 január'!AH16
)</f>
        <v/>
      </c>
    </row>
    <row r="18" spans="1:37">
      <c r="A18" s="5">
        <v>46038</v>
      </c>
      <c r="B18" s="353">
        <v>252610</v>
      </c>
      <c r="C18" s="11">
        <v>1800</v>
      </c>
      <c r="D18" s="11">
        <v>223600</v>
      </c>
      <c r="E18" s="11">
        <v>0</v>
      </c>
      <c r="F18" s="11">
        <v>12495</v>
      </c>
      <c r="G18" s="11">
        <v>1200</v>
      </c>
      <c r="H18" s="11">
        <v>236695</v>
      </c>
      <c r="I18" s="11">
        <v>236695</v>
      </c>
      <c r="J18" s="10">
        <v>2284</v>
      </c>
      <c r="K18" s="72">
        <v>207398180</v>
      </c>
      <c r="L18" s="250"/>
      <c r="M18" s="138"/>
      <c r="N18" s="5"/>
      <c r="O18" s="41"/>
      <c r="P18" s="220" t="str">
        <f>IF(OR('[6]2026 január'!G17=0,
       ISBLANK('[6]2026 január'!G17)),
    "",
    '[6]2026 január'!G17
)</f>
        <v/>
      </c>
      <c r="Q18" s="41">
        <f>'[6]2026 január'!W17</f>
        <v>0</v>
      </c>
      <c r="R18" s="41"/>
      <c r="S18" s="41"/>
      <c r="T18" s="4"/>
      <c r="U18" s="220">
        <f>IF('[6]2026 január'!S17=0,
    "",
    '[6]2026 január'!S17
)</f>
        <v>261053</v>
      </c>
      <c r="V18" s="220">
        <f>IF('[6]2026 január'!T17=0,
    "",
    '[6]2026 január'!T17
)</f>
        <v>15915</v>
      </c>
      <c r="W18" s="220" t="str">
        <f>IF('[6]2026 január'!U17=0,
    "",
    '[6]2026 január'!U17
)</f>
        <v/>
      </c>
      <c r="X18" s="220">
        <f>IF('[6]2026 január'!V17=0,
    "",
    '[6]2026 január'!V17
)</f>
        <v>162445</v>
      </c>
      <c r="Y18" s="220" t="str">
        <f>IF('[6]2026 január'!W17=0,
    "",
    '[6]2026 január'!W17
)</f>
        <v/>
      </c>
      <c r="Z18" s="220" t="str">
        <f>IF('[6]2026 január'!X17=0,
    "",
    '[6]2026 január'!X17
)</f>
        <v/>
      </c>
      <c r="AA18" s="220">
        <f>IF('[6]2026 január'!Y17=0,
    "",
    '[6]2026 január'!Y17
)</f>
        <v>114523</v>
      </c>
      <c r="AB18" s="220" t="str">
        <f>IF('[6]2026 január'!Z17=0,
    "",
    '[6]2026 január'!Z17
)</f>
        <v/>
      </c>
      <c r="AC18" s="220" t="str">
        <f>IF('[6]2026 január'!AA17=0,
    "",
    '[6]2026 január'!AA17
)</f>
        <v/>
      </c>
      <c r="AD18" s="220" t="str">
        <f>IF('[6]2026 január'!AB17=0,
    "",
    '[6]2026 január'!AB17
)</f>
        <v/>
      </c>
      <c r="AE18" s="220" t="str">
        <f>IF('[6]2026 január'!AC17=0,
    "",
    '[6]2026 január'!AC17
)</f>
        <v/>
      </c>
      <c r="AF18" s="220" t="str">
        <f>IF('[6]2026 január'!AD17=0,
    "",
    '[6]2026 január'!AD17
)</f>
        <v/>
      </c>
      <c r="AG18" s="220">
        <f>IF('[6]2026 január'!B$17=0,
    "",
    '[6]2026 január'!B$17
)</f>
        <v>252610</v>
      </c>
      <c r="AH18" s="220" t="str">
        <f>IF('[6]2026 január'!AE$17=0,
    "",
    '[6]2026 január'!AE$17
)</f>
        <v/>
      </c>
      <c r="AI18" s="220" t="str">
        <f>IF('[6]2026 január'!AF17=0,
    "",
    '[6]2026 január'!AF17
)</f>
        <v/>
      </c>
      <c r="AJ18" s="220" t="str">
        <f>IF('[6]2026 január'!AG17=0,
    "",
    '[6]2026 január'!AG17
)</f>
        <v/>
      </c>
      <c r="AK18" s="220" t="str">
        <f>IF('[6]2026 január'!AH17=0,
    "",
    '[6]2026 január'!AH17
)</f>
        <v/>
      </c>
    </row>
    <row r="19" spans="1:37">
      <c r="A19" s="141">
        <v>46039</v>
      </c>
      <c r="B19" s="352"/>
      <c r="C19" s="142"/>
      <c r="D19" s="142"/>
      <c r="E19" s="142"/>
      <c r="F19" s="142"/>
      <c r="G19" s="142"/>
      <c r="H19" s="142"/>
      <c r="I19" s="142"/>
      <c r="J19" s="83"/>
      <c r="K19" s="146"/>
      <c r="L19" s="249"/>
      <c r="M19" s="147"/>
      <c r="N19" s="141"/>
      <c r="O19" s="41"/>
      <c r="P19" s="220" t="str">
        <f>IF(OR('[6]2026 január'!G18=0,
       ISBLANK('[6]2026 január'!G18)),
    "",
    '[6]2026 január'!G18
)</f>
        <v/>
      </c>
      <c r="Q19" s="41">
        <f>'[6]2026 január'!W18</f>
        <v>0</v>
      </c>
      <c r="R19" s="41"/>
      <c r="S19" s="41"/>
      <c r="T19" s="4"/>
      <c r="U19" s="220">
        <f>IF('[6]2026 január'!S18=0,
    "",
    '[6]2026 január'!S18
)</f>
        <v>114523</v>
      </c>
      <c r="V19" s="220" t="str">
        <f>IF('[6]2026 január'!T18=0,
    "",
    '[6]2026 január'!T18
)</f>
        <v/>
      </c>
      <c r="W19" s="220" t="str">
        <f>IF('[6]2026 január'!U18=0,
    "",
    '[6]2026 január'!U18
)</f>
        <v/>
      </c>
      <c r="X19" s="220" t="str">
        <f>IF('[6]2026 január'!V18=0,
    "",
    '[6]2026 január'!V18
)</f>
        <v/>
      </c>
      <c r="Y19" s="220" t="str">
        <f>IF('[6]2026 január'!W18=0,
    "",
    '[6]2026 január'!W18
)</f>
        <v/>
      </c>
      <c r="Z19" s="220" t="str">
        <f>IF('[6]2026 január'!X18=0,
    "",
    '[6]2026 január'!X18
)</f>
        <v/>
      </c>
      <c r="AA19" s="220">
        <f>IF('[6]2026 január'!Y18=0,
    "",
    '[6]2026 január'!Y18
)</f>
        <v>114523</v>
      </c>
      <c r="AB19" s="220" t="str">
        <f>IF('[6]2026 január'!Z18=0,
    "",
    '[6]2026 január'!Z18
)</f>
        <v/>
      </c>
      <c r="AC19" s="220" t="str">
        <f>IF('[6]2026 január'!AA18=0,
    "",
    '[6]2026 január'!AA18
)</f>
        <v/>
      </c>
      <c r="AD19" s="220" t="str">
        <f>IF('[6]2026 január'!AB18=0,
    "",
    '[6]2026 január'!AB18
)</f>
        <v/>
      </c>
      <c r="AE19" s="220" t="str">
        <f>IF('[6]2026 január'!AC18=0,
    "",
    '[6]2026 január'!AC18
)</f>
        <v/>
      </c>
      <c r="AF19" s="220" t="str">
        <f>IF('[6]2026 január'!AD18=0,
    "",
    '[6]2026 január'!AD18
)</f>
        <v/>
      </c>
      <c r="AG19" s="220" t="str">
        <f>IF('[6]2026 január'!B$18=0,
    "",
    '[6]2026 január'!B$18
)</f>
        <v/>
      </c>
      <c r="AH19" s="220" t="str">
        <f>IF('[6]2026 január'!AE$18=0,
    "",
    '[6]2026 január'!AE$18
)</f>
        <v/>
      </c>
      <c r="AI19" s="220" t="str">
        <f>IF('[6]2026 január'!AF18=0,
    "",
    '[6]2026 január'!AF18
)</f>
        <v/>
      </c>
      <c r="AJ19" s="220" t="str">
        <f>IF('[6]2026 január'!AG18=0,
    "",
    '[6]2026 január'!AG18
)</f>
        <v/>
      </c>
      <c r="AK19" s="220" t="str">
        <f>IF('[6]2026 január'!AH18=0,
    "",
    '[6]2026 január'!AH18
)</f>
        <v/>
      </c>
    </row>
    <row r="20" spans="1:37">
      <c r="A20" s="141">
        <v>46040</v>
      </c>
      <c r="B20" s="352"/>
      <c r="C20" s="142"/>
      <c r="D20" s="142"/>
      <c r="E20" s="142"/>
      <c r="F20" s="142"/>
      <c r="G20" s="142"/>
      <c r="H20" s="142"/>
      <c r="I20" s="142"/>
      <c r="J20" s="83"/>
      <c r="K20" s="146"/>
      <c r="L20" s="249"/>
      <c r="M20" s="147"/>
      <c r="N20" s="141"/>
      <c r="O20" s="41"/>
      <c r="P20" s="220" t="str">
        <f>IF(OR('[6]2026 január'!G19=0,
       ISBLANK('[6]2026 január'!G19)),
    "",
    '[6]2026 január'!G19
)</f>
        <v/>
      </c>
      <c r="Q20" s="41">
        <f>'[6]2026 január'!W19</f>
        <v>0</v>
      </c>
      <c r="R20" s="41"/>
      <c r="S20" s="41"/>
      <c r="T20" s="4"/>
      <c r="U20" s="220">
        <f>IF('[6]2026 január'!S19=0,
    "",
    '[6]2026 január'!S19
)</f>
        <v>114523</v>
      </c>
      <c r="V20" s="220" t="str">
        <f>IF('[6]2026 január'!T19=0,
    "",
    '[6]2026 január'!T19
)</f>
        <v/>
      </c>
      <c r="W20" s="220" t="str">
        <f>IF('[6]2026 január'!U19=0,
    "",
    '[6]2026 január'!U19
)</f>
        <v/>
      </c>
      <c r="X20" s="220" t="str">
        <f>IF('[6]2026 január'!V19=0,
    "",
    '[6]2026 január'!V19
)</f>
        <v/>
      </c>
      <c r="Y20" s="220" t="str">
        <f>IF('[6]2026 január'!W19=0,
    "",
    '[6]2026 január'!W19
)</f>
        <v/>
      </c>
      <c r="Z20" s="220" t="str">
        <f>IF('[6]2026 január'!X19=0,
    "",
    '[6]2026 január'!X19
)</f>
        <v/>
      </c>
      <c r="AA20" s="220">
        <f>IF('[6]2026 január'!Y19=0,
    "",
    '[6]2026 január'!Y19
)</f>
        <v>114523</v>
      </c>
      <c r="AB20" s="220" t="str">
        <f>IF('[6]2026 január'!Z19=0,
    "",
    '[6]2026 január'!Z19
)</f>
        <v/>
      </c>
      <c r="AC20" s="220" t="str">
        <f>IF('[6]2026 január'!AA19=0,
    "",
    '[6]2026 január'!AA19
)</f>
        <v/>
      </c>
      <c r="AD20" s="220" t="str">
        <f>IF('[6]2026 január'!AB19=0,
    "",
    '[6]2026 január'!AB19
)</f>
        <v/>
      </c>
      <c r="AE20" s="220" t="str">
        <f>IF('[6]2026 január'!AC19=0,
    "",
    '[6]2026 január'!AC19
)</f>
        <v/>
      </c>
      <c r="AF20" s="220" t="str">
        <f>IF('[6]2026 január'!AD19=0,
    "",
    '[6]2026 január'!AD19
)</f>
        <v/>
      </c>
      <c r="AG20" s="220" t="str">
        <f>IF('[6]2026 január'!B$19=0,
    "",
    '[6]2026 január'!B$19
)</f>
        <v/>
      </c>
      <c r="AH20" s="220" t="str">
        <f>IF('[6]2026 január'!AE$19=0,
    "",
    '[6]2026 január'!AE$19
)</f>
        <v/>
      </c>
      <c r="AI20" s="220" t="str">
        <f>IF('[6]2026 január'!AF19=0,
    "",
    '[6]2026 január'!AF19
)</f>
        <v/>
      </c>
      <c r="AJ20" s="220" t="str">
        <f>IF('[6]2026 január'!AG19=0,
    "",
    '[6]2026 január'!AG19
)</f>
        <v/>
      </c>
      <c r="AK20" s="220" t="str">
        <f>IF('[6]2026 január'!AH19=0,
    "",
    '[6]2026 január'!AH19
)</f>
        <v/>
      </c>
    </row>
    <row r="21" spans="1:37">
      <c r="A21" s="5">
        <v>46041</v>
      </c>
      <c r="B21" s="353">
        <v>245375</v>
      </c>
      <c r="C21" s="11">
        <v>1400</v>
      </c>
      <c r="D21" s="11">
        <v>216530</v>
      </c>
      <c r="E21" s="11">
        <v>0</v>
      </c>
      <c r="F21" s="11">
        <v>6510</v>
      </c>
      <c r="G21" s="11">
        <v>1200</v>
      </c>
      <c r="H21" s="11">
        <v>223240</v>
      </c>
      <c r="I21" s="11">
        <v>223240</v>
      </c>
      <c r="J21" s="10">
        <v>2285</v>
      </c>
      <c r="K21" s="72">
        <v>207622620</v>
      </c>
      <c r="L21" s="250"/>
      <c r="M21" s="138"/>
      <c r="N21" s="5"/>
      <c r="O21" s="41"/>
      <c r="P21" s="220" t="str">
        <f>IF(OR('[6]2026 január'!G20=0,
       ISBLANK('[6]2026 január'!G20)),
    "",
    '[6]2026 január'!G20
)</f>
        <v/>
      </c>
      <c r="Q21" s="41">
        <f>'[6]2026 január'!W20</f>
        <v>0</v>
      </c>
      <c r="R21" s="41"/>
      <c r="S21" s="41"/>
      <c r="T21" s="4"/>
      <c r="U21" s="220">
        <f>IF('[6]2026 január'!S20=0,
    "",
    '[6]2026 január'!S20
)</f>
        <v>114523</v>
      </c>
      <c r="V21" s="220">
        <f>IF('[6]2026 január'!T20=0,
    "",
    '[6]2026 január'!T20
)</f>
        <v>22135</v>
      </c>
      <c r="W21" s="220" t="str">
        <f>IF('[6]2026 január'!U20=0,
    "",
    '[6]2026 január'!U20
)</f>
        <v/>
      </c>
      <c r="X21" s="220">
        <f>IF('[6]2026 január'!V20=0,
    "",
    '[6]2026 január'!V20
)</f>
        <v>18545</v>
      </c>
      <c r="Y21" s="220" t="str">
        <f>IF('[6]2026 január'!W20=0,
    "",
    '[6]2026 január'!W20
)</f>
        <v/>
      </c>
      <c r="Z21" s="220" t="str">
        <f>IF('[6]2026 január'!X20=0,
    "",
    '[6]2026 január'!X20
)</f>
        <v/>
      </c>
      <c r="AA21" s="220">
        <f>IF('[6]2026 január'!Y20=0,
    "",
    '[6]2026 január'!Y20
)</f>
        <v>118113</v>
      </c>
      <c r="AB21" s="220" t="str">
        <f>IF('[6]2026 január'!Z20=0,
    "",
    '[6]2026 január'!Z20
)</f>
        <v/>
      </c>
      <c r="AC21" s="220" t="str">
        <f>IF('[6]2026 január'!AA20=0,
    "",
    '[6]2026 január'!AA20
)</f>
        <v/>
      </c>
      <c r="AD21" s="220" t="str">
        <f>IF('[6]2026 január'!AB20=0,
    "",
    '[6]2026 január'!AB20
)</f>
        <v/>
      </c>
      <c r="AE21" s="220" t="str">
        <f>IF('[6]2026 január'!AC20=0,
    "",
    '[6]2026 január'!AC20
)</f>
        <v/>
      </c>
      <c r="AF21" s="220" t="str">
        <f>IF('[6]2026 január'!AD20=0,
    "",
    '[6]2026 január'!AD20
)</f>
        <v/>
      </c>
      <c r="AG21" s="220">
        <f>IF('[6]2026 január'!B$20=0,
    "",
    '[6]2026 január'!B$20
)</f>
        <v>245375</v>
      </c>
      <c r="AH21" s="220" t="str">
        <f>IF('[6]2026 január'!AE$20=0,
    "",
    '[6]2026 január'!AE$20
)</f>
        <v/>
      </c>
      <c r="AI21" s="220" t="str">
        <f>IF('[6]2026 január'!AF20=0,
    "",
    '[6]2026 január'!AF20
)</f>
        <v/>
      </c>
      <c r="AJ21" s="220" t="str">
        <f>IF('[6]2026 január'!AG20=0,
    "",
    '[6]2026 január'!AG20
)</f>
        <v/>
      </c>
      <c r="AK21" s="220" t="str">
        <f>IF('[6]2026 január'!AH20=0,
    "",
    '[6]2026 január'!AH20
)</f>
        <v/>
      </c>
    </row>
    <row r="22" spans="1:37">
      <c r="A22" s="5">
        <v>46042</v>
      </c>
      <c r="B22" s="353">
        <v>263795</v>
      </c>
      <c r="C22" s="11">
        <v>1250</v>
      </c>
      <c r="D22" s="11">
        <v>228885</v>
      </c>
      <c r="E22" s="11">
        <v>0</v>
      </c>
      <c r="F22" s="11">
        <v>5990</v>
      </c>
      <c r="G22" s="11">
        <v>1560</v>
      </c>
      <c r="H22" s="11">
        <v>234565</v>
      </c>
      <c r="I22" s="11">
        <v>234565</v>
      </c>
      <c r="J22" s="10">
        <v>2286</v>
      </c>
      <c r="K22" s="72">
        <v>207858745</v>
      </c>
      <c r="L22" s="250"/>
      <c r="M22" s="138"/>
      <c r="N22" s="5"/>
      <c r="O22" s="41"/>
      <c r="P22" s="220" t="str">
        <f>IF(OR('[6]2026 január'!G21=0,
       ISBLANK('[6]2026 január'!G21)),
    "",
    '[6]2026 január'!G21
)</f>
        <v/>
      </c>
      <c r="Q22" s="41">
        <f>'[6]2026 január'!W21</f>
        <v>0</v>
      </c>
      <c r="R22" s="41"/>
      <c r="S22" s="41"/>
      <c r="T22" s="4"/>
      <c r="U22" s="220">
        <f>IF('[6]2026 január'!S21=0,
    "",
    '[6]2026 január'!S21
)</f>
        <v>118113</v>
      </c>
      <c r="V22" s="220">
        <f>IF('[6]2026 január'!T21=0,
    "",
    '[6]2026 január'!T21
)</f>
        <v>29230</v>
      </c>
      <c r="W22" s="220" t="str">
        <f>IF('[6]2026 január'!U21=0,
    "",
    '[6]2026 január'!U21
)</f>
        <v/>
      </c>
      <c r="X22" s="220">
        <f>IF('[6]2026 január'!V21=0,
    "",
    '[6]2026 január'!V21
)</f>
        <v>14000</v>
      </c>
      <c r="Y22" s="220" t="str">
        <f>IF('[6]2026 január'!W21=0,
    "",
    '[6]2026 január'!W21
)</f>
        <v/>
      </c>
      <c r="Z22" s="220" t="str">
        <f>IF('[6]2026 január'!X21=0,
    "",
    '[6]2026 január'!X21
)</f>
        <v/>
      </c>
      <c r="AA22" s="220">
        <f>IF('[6]2026 január'!Y21=0,
    "",
    '[6]2026 január'!Y21
)</f>
        <v>133343</v>
      </c>
      <c r="AB22" s="220" t="str">
        <f>IF('[6]2026 január'!Z21=0,
    "",
    '[6]2026 január'!Z21
)</f>
        <v/>
      </c>
      <c r="AC22" s="220" t="str">
        <f>IF('[6]2026 január'!AA21=0,
    "",
    '[6]2026 január'!AA21
)</f>
        <v/>
      </c>
      <c r="AD22" s="220" t="str">
        <f>IF('[6]2026 január'!AB21=0,
    "",
    '[6]2026 január'!AB21
)</f>
        <v/>
      </c>
      <c r="AE22" s="220" t="str">
        <f>IF('[6]2026 január'!AC21=0,
    "",
    '[6]2026 január'!AC21
)</f>
        <v/>
      </c>
      <c r="AF22" s="220" t="str">
        <f>IF('[6]2026 január'!AD21=0,
    "",
    '[6]2026 január'!AD21
)</f>
        <v/>
      </c>
      <c r="AG22" s="220">
        <f>IF('[6]2026 január'!B$21=0,
    "",
    '[6]2026 január'!B$21
)</f>
        <v>263795</v>
      </c>
      <c r="AH22" s="220" t="str">
        <f>IF('[6]2026 január'!AE$21=0,
    "",
    '[6]2026 január'!AE$21
)</f>
        <v/>
      </c>
      <c r="AI22" s="220" t="str">
        <f>IF('[6]2026 január'!AF21=0,
    "",
    '[6]2026 január'!AF21
)</f>
        <v/>
      </c>
      <c r="AJ22" s="220" t="str">
        <f>IF('[6]2026 január'!AG21=0,
    "",
    '[6]2026 január'!AG21
)</f>
        <v/>
      </c>
      <c r="AK22" s="220" t="str">
        <f>IF('[6]2026 január'!AH21=0,
    "",
    '[6]2026 január'!AH21
)</f>
        <v/>
      </c>
    </row>
    <row r="23" spans="1:37">
      <c r="A23" s="5">
        <v>46043</v>
      </c>
      <c r="B23" s="353">
        <v>265050</v>
      </c>
      <c r="C23" s="11">
        <v>1250</v>
      </c>
      <c r="D23" s="11">
        <v>223670</v>
      </c>
      <c r="E23" s="11">
        <v>0</v>
      </c>
      <c r="F23" s="11">
        <v>14380</v>
      </c>
      <c r="G23" s="11">
        <v>1200</v>
      </c>
      <c r="H23" s="11">
        <v>238100</v>
      </c>
      <c r="I23" s="11">
        <v>238100</v>
      </c>
      <c r="J23" s="10">
        <v>2287</v>
      </c>
      <c r="K23" s="72">
        <v>208098045</v>
      </c>
      <c r="L23" s="250"/>
      <c r="M23" s="138"/>
      <c r="N23" s="5"/>
      <c r="O23" s="41"/>
      <c r="P23" s="220" t="str">
        <f>IF(OR('[6]2026 január'!G22=0,
       ISBLANK('[6]2026 január'!G22)),
    "",
    '[6]2026 január'!G22
)</f>
        <v/>
      </c>
      <c r="Q23" s="41">
        <f>'[6]2026 január'!W22</f>
        <v>0</v>
      </c>
      <c r="R23" s="41"/>
      <c r="S23" s="41"/>
      <c r="T23" s="4"/>
      <c r="U23" s="220">
        <f>IF('[6]2026 január'!S22=0,
    "",
    '[6]2026 január'!S22
)</f>
        <v>133343</v>
      </c>
      <c r="V23" s="220">
        <f>IF('[6]2026 január'!T22=0,
    "",
    '[6]2026 január'!T22
)</f>
        <v>26950</v>
      </c>
      <c r="W23" s="220" t="str">
        <f>IF('[6]2026 január'!U22=0,
    "",
    '[6]2026 január'!U22
)</f>
        <v/>
      </c>
      <c r="X23" s="220">
        <f>IF('[6]2026 január'!V22=0,
    "",
    '[6]2026 január'!V22
)</f>
        <v>14000</v>
      </c>
      <c r="Y23" s="220" t="str">
        <f>IF('[6]2026 január'!W22=0,
    "",
    '[6]2026 január'!W22
)</f>
        <v/>
      </c>
      <c r="Z23" s="220" t="str">
        <f>IF('[6]2026 január'!X22=0,
    "",
    '[6]2026 január'!X22
)</f>
        <v/>
      </c>
      <c r="AA23" s="220">
        <f>IF('[6]2026 január'!Y22=0,
    "",
    '[6]2026 január'!Y22
)</f>
        <v>146293</v>
      </c>
      <c r="AB23" s="220" t="str">
        <f>IF('[6]2026 január'!Z22=0,
    "",
    '[6]2026 január'!Z22
)</f>
        <v/>
      </c>
      <c r="AC23" s="220" t="str">
        <f>IF('[6]2026 január'!AA22=0,
    "",
    '[6]2026 január'!AA22
)</f>
        <v/>
      </c>
      <c r="AD23" s="220" t="str">
        <f>IF('[6]2026 január'!AB22=0,
    "",
    '[6]2026 január'!AB22
)</f>
        <v/>
      </c>
      <c r="AE23" s="220" t="str">
        <f>IF('[6]2026 január'!AC22=0,
    "",
    '[6]2026 január'!AC22
)</f>
        <v/>
      </c>
      <c r="AF23" s="220" t="str">
        <f>IF('[6]2026 január'!AD22=0,
    "",
    '[6]2026 január'!AD22
)</f>
        <v/>
      </c>
      <c r="AG23" s="220">
        <f>IF('[6]2026 január'!B$22=0,
    "",
    '[6]2026 január'!B$22
)</f>
        <v>265050</v>
      </c>
      <c r="AH23" s="220" t="str">
        <f>IF('[6]2026 január'!AE$22=0,
    "",
    '[6]2026 január'!AE$22
)</f>
        <v/>
      </c>
      <c r="AI23" s="220" t="str">
        <f>IF('[6]2026 január'!AF22=0,
    "",
    '[6]2026 január'!AF22
)</f>
        <v/>
      </c>
      <c r="AJ23" s="220" t="str">
        <f>IF('[6]2026 január'!AG22=0,
    "",
    '[6]2026 január'!AG22
)</f>
        <v/>
      </c>
      <c r="AK23" s="220" t="str">
        <f>IF('[6]2026 január'!AH22=0,
    "",
    '[6]2026 január'!AH22
)</f>
        <v/>
      </c>
    </row>
    <row r="24" spans="1:37">
      <c r="A24" s="5">
        <v>46044</v>
      </c>
      <c r="B24" s="353">
        <v>260435</v>
      </c>
      <c r="C24" s="11">
        <v>1300</v>
      </c>
      <c r="D24" s="11">
        <v>234855</v>
      </c>
      <c r="E24" s="11">
        <v>0</v>
      </c>
      <c r="F24" s="11">
        <v>7090</v>
      </c>
      <c r="G24" s="11">
        <v>1100</v>
      </c>
      <c r="H24" s="11">
        <v>242145</v>
      </c>
      <c r="I24" s="11">
        <v>242145</v>
      </c>
      <c r="J24" s="10">
        <v>2288</v>
      </c>
      <c r="K24" s="72">
        <v>208341290</v>
      </c>
      <c r="L24" s="250"/>
      <c r="M24" s="138"/>
      <c r="N24" s="5"/>
      <c r="O24" s="41"/>
      <c r="P24" s="220" t="str">
        <f>IF(OR('[6]2026 január'!G23=0,
       ISBLANK('[6]2026 január'!G23)),
    "",
    '[6]2026 január'!G23
)</f>
        <v/>
      </c>
      <c r="Q24" s="41">
        <f>'[6]2026 január'!W23</f>
        <v>0</v>
      </c>
      <c r="R24" s="41"/>
      <c r="S24" s="41"/>
      <c r="T24" s="4"/>
      <c r="U24" s="220">
        <f>IF('[6]2026 január'!S23=0,
    "",
    '[6]2026 január'!S23
)</f>
        <v>146293</v>
      </c>
      <c r="V24" s="220">
        <f>IF('[6]2026 január'!T23=0,
    "",
    '[6]2026 január'!T23
)</f>
        <v>18290</v>
      </c>
      <c r="W24" s="220" t="str">
        <f>IF('[6]2026 január'!U23=0,
    "",
    '[6]2026 január'!U23
)</f>
        <v/>
      </c>
      <c r="X24" s="220" t="str">
        <f>IF('[6]2026 január'!V23=0,
    "",
    '[6]2026 január'!V23
)</f>
        <v/>
      </c>
      <c r="Y24" s="220" t="str">
        <f>IF('[6]2026 január'!W23=0,
    "",
    '[6]2026 január'!W23
)</f>
        <v/>
      </c>
      <c r="Z24" s="220" t="str">
        <f>IF('[6]2026 január'!X23=0,
    "",
    '[6]2026 január'!X23
)</f>
        <v/>
      </c>
      <c r="AA24" s="220">
        <f>IF('[6]2026 január'!Y23=0,
    "",
    '[6]2026 január'!Y23
)</f>
        <v>164583</v>
      </c>
      <c r="AB24" s="220" t="str">
        <f>IF('[6]2026 január'!Z23=0,
    "",
    '[6]2026 január'!Z23
)</f>
        <v/>
      </c>
      <c r="AC24" s="220" t="str">
        <f>IF('[6]2026 január'!AA23=0,
    "",
    '[6]2026 január'!AA23
)</f>
        <v/>
      </c>
      <c r="AD24" s="220" t="str">
        <f>IF('[6]2026 január'!AB23=0,
    "",
    '[6]2026 január'!AB23
)</f>
        <v/>
      </c>
      <c r="AE24" s="220" t="str">
        <f>IF('[6]2026 január'!AC23=0,
    "",
    '[6]2026 január'!AC23
)</f>
        <v/>
      </c>
      <c r="AF24" s="220" t="str">
        <f>IF('[6]2026 január'!AD23=0,
    "",
    '[6]2026 január'!AD23
)</f>
        <v/>
      </c>
      <c r="AG24" s="220">
        <f>IF('[6]2026 január'!B$23=0,
    "",
    '[6]2026 január'!B$23
)</f>
        <v>260435</v>
      </c>
      <c r="AH24" s="220" t="str">
        <f>IF('[6]2026 január'!AE$23=0,
    "",
    '[6]2026 január'!AE$23
)</f>
        <v/>
      </c>
      <c r="AI24" s="220" t="str">
        <f>IF('[6]2026 január'!AF23=0,
    "",
    '[6]2026 január'!AF23
)</f>
        <v/>
      </c>
      <c r="AJ24" s="220" t="str">
        <f>IF('[6]2026 január'!AG23=0,
    "",
    '[6]2026 január'!AG23
)</f>
        <v/>
      </c>
      <c r="AK24" s="220" t="str">
        <f>IF('[6]2026 január'!AH23=0,
    "",
    '[6]2026 január'!AH23
)</f>
        <v/>
      </c>
    </row>
    <row r="25" spans="1:37">
      <c r="A25" s="5">
        <v>46045</v>
      </c>
      <c r="B25" s="353">
        <v>219760</v>
      </c>
      <c r="C25" s="11">
        <v>1050</v>
      </c>
      <c r="D25" s="11">
        <v>190315</v>
      </c>
      <c r="E25" s="11">
        <v>0</v>
      </c>
      <c r="F25" s="11">
        <v>8385</v>
      </c>
      <c r="G25" s="11">
        <v>1150</v>
      </c>
      <c r="H25" s="11">
        <v>198600</v>
      </c>
      <c r="I25" s="11">
        <v>198600</v>
      </c>
      <c r="J25" s="10">
        <v>2289</v>
      </c>
      <c r="K25" s="72">
        <v>208541040</v>
      </c>
      <c r="L25" s="250"/>
      <c r="M25" s="138"/>
      <c r="N25" s="5"/>
      <c r="O25" s="41"/>
      <c r="P25" s="220" t="str">
        <f>IF(OR('[6]2026 január'!G24=0,
       ISBLANK('[6]2026 január'!G24)),
    "",
    '[6]2026 január'!G24
)</f>
        <v/>
      </c>
      <c r="Q25" s="41">
        <f>'[6]2026 január'!W24</f>
        <v>0</v>
      </c>
      <c r="R25" s="41"/>
      <c r="S25" s="41"/>
      <c r="T25" s="4"/>
      <c r="U25" s="220">
        <f>IF('[6]2026 január'!S24=0,
    "",
    '[6]2026 január'!S24
)</f>
        <v>164583</v>
      </c>
      <c r="V25" s="220">
        <f>IF('[6]2026 január'!T24=0,
    "",
    '[6]2026 január'!T24
)</f>
        <v>21160</v>
      </c>
      <c r="W25" s="220" t="str">
        <f>IF('[6]2026 január'!U24=0,
    "",
    '[6]2026 január'!U24
)</f>
        <v/>
      </c>
      <c r="X25" s="220">
        <f>IF('[6]2026 január'!V24=0,
    "",
    '[6]2026 január'!V24
)</f>
        <v>20000</v>
      </c>
      <c r="Y25" s="220" t="str">
        <f>IF('[6]2026 január'!W24=0,
    "",
    '[6]2026 január'!W24
)</f>
        <v/>
      </c>
      <c r="Z25" s="220" t="str">
        <f>IF('[6]2026 január'!X24=0,
    "",
    '[6]2026 január'!X24
)</f>
        <v/>
      </c>
      <c r="AA25" s="220">
        <f>IF('[6]2026 január'!Y24=0,
    "",
    '[6]2026 január'!Y24
)</f>
        <v>165743</v>
      </c>
      <c r="AB25" s="220" t="str">
        <f>IF('[6]2026 január'!Z24=0,
    "",
    '[6]2026 január'!Z24
)</f>
        <v/>
      </c>
      <c r="AC25" s="220" t="str">
        <f>IF('[6]2026 január'!AA24=0,
    "",
    '[6]2026 január'!AA24
)</f>
        <v/>
      </c>
      <c r="AD25" s="220" t="str">
        <f>IF('[6]2026 január'!AB24=0,
    "",
    '[6]2026 január'!AB24
)</f>
        <v/>
      </c>
      <c r="AE25" s="220" t="str">
        <f>IF('[6]2026 január'!AC24=0,
    "",
    '[6]2026 január'!AC24
)</f>
        <v/>
      </c>
      <c r="AF25" s="220" t="str">
        <f>IF('[6]2026 január'!AD24=0,
    "",
    '[6]2026 január'!AD24
)</f>
        <v/>
      </c>
      <c r="AG25" s="220">
        <f>IF('[6]2026 január'!B$24=0,
    "",
    '[6]2026 január'!B$24
)</f>
        <v>219760</v>
      </c>
      <c r="AH25" s="220" t="str">
        <f>IF('[6]2026 január'!AE$24=0,
    "",
    '[6]2026 január'!AE$24
)</f>
        <v/>
      </c>
      <c r="AI25" s="220" t="str">
        <f>IF('[6]2026 január'!AF24=0,
    "",
    '[6]2026 január'!AF24
)</f>
        <v/>
      </c>
      <c r="AJ25" s="220" t="str">
        <f>IF('[6]2026 január'!AG24=0,
    "",
    '[6]2026 január'!AG24
)</f>
        <v/>
      </c>
      <c r="AK25" s="220" t="str">
        <f>IF('[6]2026 január'!AH24=0,
    "",
    '[6]2026 január'!AH24
)</f>
        <v/>
      </c>
    </row>
    <row r="26" spans="1:37">
      <c r="A26" s="141">
        <v>46046</v>
      </c>
      <c r="B26" s="352"/>
      <c r="C26" s="142"/>
      <c r="D26" s="142"/>
      <c r="E26" s="142"/>
      <c r="F26" s="142"/>
      <c r="G26" s="142"/>
      <c r="H26" s="142"/>
      <c r="I26" s="142"/>
      <c r="J26" s="83"/>
      <c r="K26" s="146"/>
      <c r="L26" s="249"/>
      <c r="M26" s="147"/>
      <c r="N26" s="141"/>
      <c r="O26" s="41"/>
      <c r="P26" s="220" t="str">
        <f>IF(OR('[6]2026 január'!G25=0,
       ISBLANK('[6]2026 január'!G25)),
    "",
    '[6]2026 január'!G25
)</f>
        <v/>
      </c>
      <c r="Q26" s="41">
        <f>'[6]2026 január'!W25</f>
        <v>0</v>
      </c>
      <c r="R26" s="41"/>
      <c r="S26" s="41"/>
      <c r="T26" s="4"/>
      <c r="U26" s="220">
        <f>IF('[6]2026 január'!S25=0,
    "",
    '[6]2026 január'!S25
)</f>
        <v>165743</v>
      </c>
      <c r="V26" s="220" t="str">
        <f>IF('[6]2026 január'!T25=0,
    "",
    '[6]2026 január'!T25
)</f>
        <v/>
      </c>
      <c r="W26" s="220" t="str">
        <f>IF('[6]2026 január'!U25=0,
    "",
    '[6]2026 január'!U25
)</f>
        <v/>
      </c>
      <c r="X26" s="220" t="str">
        <f>IF('[6]2026 január'!V25=0,
    "",
    '[6]2026 január'!V25
)</f>
        <v/>
      </c>
      <c r="Y26" s="220" t="str">
        <f>IF('[6]2026 január'!W25=0,
    "",
    '[6]2026 január'!W25
)</f>
        <v/>
      </c>
      <c r="Z26" s="220" t="str">
        <f>IF('[6]2026 január'!X25=0,
    "",
    '[6]2026 január'!X25
)</f>
        <v/>
      </c>
      <c r="AA26" s="220">
        <f>IF('[6]2026 január'!Y25=0,
    "",
    '[6]2026 január'!Y25
)</f>
        <v>165743</v>
      </c>
      <c r="AB26" s="220" t="str">
        <f>IF('[6]2026 január'!Z25=0,
    "",
    '[6]2026 január'!Z25
)</f>
        <v/>
      </c>
      <c r="AC26" s="220" t="str">
        <f>IF('[6]2026 január'!AA25=0,
    "",
    '[6]2026 január'!AA25
)</f>
        <v/>
      </c>
      <c r="AD26" s="220" t="str">
        <f>IF('[6]2026 január'!AB25=0,
    "",
    '[6]2026 január'!AB25
)</f>
        <v/>
      </c>
      <c r="AE26" s="220" t="str">
        <f>IF('[6]2026 január'!AC25=0,
    "",
    '[6]2026 január'!AC25
)</f>
        <v/>
      </c>
      <c r="AF26" s="220" t="str">
        <f>IF('[6]2026 január'!AD25=0,
    "",
    '[6]2026 január'!AD25
)</f>
        <v/>
      </c>
      <c r="AG26" s="220" t="str">
        <f>IF('[6]2026 január'!B$25=0,
    "",
    '[6]2026 január'!B$25
)</f>
        <v/>
      </c>
      <c r="AH26" s="220" t="str">
        <f>IF('[6]2026 január'!AE$25=0,
    "",
    '[6]2026 január'!AE$25
)</f>
        <v/>
      </c>
      <c r="AI26" s="220" t="str">
        <f>IF('[6]2026 január'!AF25=0,
    "",
    '[6]2026 január'!AF25
)</f>
        <v/>
      </c>
      <c r="AJ26" s="220" t="str">
        <f>IF('[6]2026 január'!AG25=0,
    "",
    '[6]2026 január'!AG25
)</f>
        <v/>
      </c>
      <c r="AK26" s="220" t="str">
        <f>IF('[6]2026 január'!AH25=0,
    "",
    '[6]2026 január'!AH25
)</f>
        <v/>
      </c>
    </row>
    <row r="27" spans="1:37">
      <c r="A27" s="141">
        <v>46047</v>
      </c>
      <c r="B27" s="352"/>
      <c r="C27" s="142"/>
      <c r="D27" s="142"/>
      <c r="E27" s="142"/>
      <c r="F27" s="142"/>
      <c r="G27" s="142"/>
      <c r="H27" s="142"/>
      <c r="I27" s="142"/>
      <c r="J27" s="83"/>
      <c r="K27" s="146"/>
      <c r="L27" s="249"/>
      <c r="M27" s="147"/>
      <c r="N27" s="141"/>
      <c r="O27" s="41"/>
      <c r="P27" s="220" t="str">
        <f>IF(OR('[6]2026 január'!G26=0,
       ISBLANK('[6]2026 január'!G26)),
    "",
    '[6]2026 január'!G26
)</f>
        <v/>
      </c>
      <c r="Q27" s="41">
        <f>'[6]2026 január'!W26</f>
        <v>0</v>
      </c>
      <c r="R27" s="41"/>
      <c r="S27" s="41"/>
      <c r="T27" s="4"/>
      <c r="U27" s="220">
        <f>IF('[6]2026 január'!S26=0,
    "",
    '[6]2026 január'!S26
)</f>
        <v>165743</v>
      </c>
      <c r="V27" s="220" t="str">
        <f>IF('[6]2026 január'!T26=0,
    "",
    '[6]2026 január'!T26
)</f>
        <v/>
      </c>
      <c r="W27" s="220" t="str">
        <f>IF('[6]2026 január'!U26=0,
    "",
    '[6]2026 január'!U26
)</f>
        <v/>
      </c>
      <c r="X27" s="220" t="str">
        <f>IF('[6]2026 január'!V26=0,
    "",
    '[6]2026 január'!V26
)</f>
        <v/>
      </c>
      <c r="Y27" s="220" t="str">
        <f>IF('[6]2026 január'!W26=0,
    "",
    '[6]2026 január'!W26
)</f>
        <v/>
      </c>
      <c r="Z27" s="220" t="str">
        <f>IF('[6]2026 január'!X26=0,
    "",
    '[6]2026 január'!X26
)</f>
        <v/>
      </c>
      <c r="AA27" s="220">
        <f>IF('[6]2026 január'!Y26=0,
    "",
    '[6]2026 január'!Y26
)</f>
        <v>165743</v>
      </c>
      <c r="AB27" s="220" t="str">
        <f>IF('[6]2026 január'!Z26=0,
    "",
    '[6]2026 január'!Z26
)</f>
        <v/>
      </c>
      <c r="AC27" s="220" t="str">
        <f>IF('[6]2026 január'!AA26=0,
    "",
    '[6]2026 január'!AA26
)</f>
        <v/>
      </c>
      <c r="AD27" s="220" t="str">
        <f>IF('[6]2026 január'!AB26=0,
    "",
    '[6]2026 január'!AB26
)</f>
        <v/>
      </c>
      <c r="AE27" s="220" t="str">
        <f>IF('[6]2026 január'!AC26=0,
    "",
    '[6]2026 január'!AC26
)</f>
        <v/>
      </c>
      <c r="AF27" s="220" t="str">
        <f>IF('[6]2026 január'!AD26=0,
    "",
    '[6]2026 január'!AD26
)</f>
        <v/>
      </c>
      <c r="AG27" s="220" t="str">
        <f>IF('[6]2026 január'!B$26=0,
    "",
    '[6]2026 január'!B$26
)</f>
        <v/>
      </c>
      <c r="AH27" s="220" t="str">
        <f>IF('[6]2026 január'!AE$26=0,
    "",
    '[6]2026 január'!AE$26
)</f>
        <v/>
      </c>
      <c r="AI27" s="220" t="str">
        <f>IF('[6]2026 január'!AF26=0,
    "",
    '[6]2026 január'!AF26
)</f>
        <v/>
      </c>
      <c r="AJ27" s="220" t="str">
        <f>IF('[6]2026 január'!AG26=0,
    "",
    '[6]2026 január'!AG26
)</f>
        <v/>
      </c>
      <c r="AK27" s="220" t="str">
        <f>IF('[6]2026 január'!AH26=0,
    "",
    '[6]2026 január'!AH26
)</f>
        <v/>
      </c>
    </row>
    <row r="28" spans="1:37">
      <c r="A28" s="5">
        <v>46048</v>
      </c>
      <c r="B28" s="353">
        <v>225770</v>
      </c>
      <c r="C28" s="11">
        <v>1350</v>
      </c>
      <c r="D28" s="11">
        <v>184745</v>
      </c>
      <c r="E28" s="11">
        <v>0</v>
      </c>
      <c r="F28" s="11">
        <v>6980</v>
      </c>
      <c r="G28" s="11">
        <v>1480</v>
      </c>
      <c r="H28" s="75">
        <v>191595</v>
      </c>
      <c r="I28" s="75">
        <v>203835</v>
      </c>
      <c r="J28" s="10">
        <v>2290</v>
      </c>
      <c r="K28" s="72">
        <v>208734115</v>
      </c>
      <c r="L28" s="250"/>
      <c r="M28" s="138"/>
      <c r="N28" s="461" t="s">
        <v>300</v>
      </c>
      <c r="O28" s="41"/>
      <c r="P28" s="220" t="str">
        <f>IF(OR('[6]2026 január'!G27=0,
       ISBLANK('[6]2026 január'!G27)),
    "",
    '[6]2026 január'!G27
)</f>
        <v/>
      </c>
      <c r="Q28" s="41">
        <f>'[6]2026 január'!W27</f>
        <v>0</v>
      </c>
      <c r="R28" s="41"/>
      <c r="S28" s="41"/>
      <c r="T28" s="4"/>
      <c r="U28" s="220">
        <f>IF('[6]2026 január'!S27=0,
    "",
    '[6]2026 január'!S27
)</f>
        <v>165743</v>
      </c>
      <c r="V28" s="220">
        <f>IF('[6]2026 január'!T27=0,
    "",
    '[6]2026 január'!T27
)</f>
        <v>21935</v>
      </c>
      <c r="W28" s="220" t="str">
        <f>IF('[6]2026 január'!U27=0,
    "",
    '[6]2026 január'!U27
)</f>
        <v/>
      </c>
      <c r="X28" s="220">
        <f>IF('[6]2026 január'!V27=0,
    "",
    '[6]2026 január'!V27
)</f>
        <v>11200</v>
      </c>
      <c r="Y28" s="220" t="str">
        <f>IF('[6]2026 január'!W27=0,
    "",
    '[6]2026 január'!W27
)</f>
        <v/>
      </c>
      <c r="Z28" s="220" t="str">
        <f>IF('[6]2026 január'!X27=0,
    "",
    '[6]2026 január'!X27
)</f>
        <v/>
      </c>
      <c r="AA28" s="220">
        <f>IF('[6]2026 január'!Y27=0,
    "",
    '[6]2026 január'!Y27
)</f>
        <v>176478</v>
      </c>
      <c r="AB28" s="220" t="str">
        <f>IF('[6]2026 január'!Z27=0,
    "",
    '[6]2026 január'!Z27
)</f>
        <v/>
      </c>
      <c r="AC28" s="220" t="str">
        <f>IF('[6]2026 január'!AA27=0,
    "",
    '[6]2026 január'!AA27
)</f>
        <v/>
      </c>
      <c r="AD28" s="220" t="str">
        <f>IF('[6]2026 január'!AB27=0,
    "",
    '[6]2026 január'!AB27
)</f>
        <v/>
      </c>
      <c r="AE28" s="220" t="str">
        <f>IF('[6]2026 január'!AC27=0,
    "",
    '[6]2026 január'!AC27
)</f>
        <v/>
      </c>
      <c r="AF28" s="220" t="str">
        <f>IF('[6]2026 január'!AD27=0,
    "",
    '[6]2026 január'!AD27
)</f>
        <v/>
      </c>
      <c r="AG28" s="220">
        <f>IF('[6]2026 január'!B$27=0,
    "",
    '[6]2026 január'!B$27
)</f>
        <v>225770</v>
      </c>
      <c r="AH28" s="220" t="str">
        <f>IF('[6]2026 január'!AE$27=0,
    "",
    '[6]2026 január'!AE$27
)</f>
        <v/>
      </c>
      <c r="AI28" s="220" t="str">
        <f>IF('[6]2026 január'!AF27=0,
    "",
    '[6]2026 január'!AF27
)</f>
        <v/>
      </c>
      <c r="AJ28" s="220" t="str">
        <f>IF('[6]2026 január'!AG27=0,
    "",
    '[6]2026 január'!AG27
)</f>
        <v/>
      </c>
      <c r="AK28" s="220" t="str">
        <f>IF('[6]2026 január'!AH27=0,
    "",
    '[6]2026 január'!AH27
)</f>
        <v/>
      </c>
    </row>
    <row r="29" spans="1:37">
      <c r="A29" s="5">
        <v>46049</v>
      </c>
      <c r="B29" s="353">
        <v>281895</v>
      </c>
      <c r="C29" s="11">
        <v>1600</v>
      </c>
      <c r="D29" s="11">
        <v>253485</v>
      </c>
      <c r="E29" s="11">
        <v>0</v>
      </c>
      <c r="F29" s="11">
        <v>11530</v>
      </c>
      <c r="G29" s="11">
        <v>1150</v>
      </c>
      <c r="H29" s="75">
        <v>265465</v>
      </c>
      <c r="I29" s="75">
        <v>253225</v>
      </c>
      <c r="J29" s="10">
        <v>2291</v>
      </c>
      <c r="K29" s="72">
        <v>209000730</v>
      </c>
      <c r="L29" s="250"/>
      <c r="M29" s="138"/>
      <c r="N29" s="461" t="s">
        <v>300</v>
      </c>
      <c r="O29" s="41"/>
      <c r="P29" s="220" t="str">
        <f>IF(OR('[6]2026 január'!G28=0,
       ISBLANK('[6]2026 január'!G28)),
    "",
    '[6]2026 január'!G28
)</f>
        <v/>
      </c>
      <c r="Q29" s="41">
        <f>'[6]2026 január'!W28</f>
        <v>0</v>
      </c>
      <c r="R29" s="41"/>
      <c r="S29" s="41"/>
      <c r="T29" s="4"/>
      <c r="U29" s="220">
        <f>IF('[6]2026 január'!S28=0,
    "",
    '[6]2026 január'!S28
)</f>
        <v>176478</v>
      </c>
      <c r="V29" s="220">
        <f>IF('[6]2026 január'!T28=0,
    "",
    '[6]2026 január'!T28
)</f>
        <v>28670</v>
      </c>
      <c r="W29" s="220" t="str">
        <f>IF('[6]2026 január'!U28=0,
    "",
    '[6]2026 január'!U28
)</f>
        <v/>
      </c>
      <c r="X29" s="220">
        <f>IF('[6]2026 január'!V28=0,
    "",
    '[6]2026 január'!V28
)</f>
        <v>11200</v>
      </c>
      <c r="Y29" s="220" t="str">
        <f>IF('[6]2026 január'!W28=0,
    "",
    '[6]2026 január'!W28
)</f>
        <v/>
      </c>
      <c r="Z29" s="220" t="str">
        <f>IF('[6]2026 január'!X28=0,
    "",
    '[6]2026 január'!X28
)</f>
        <v/>
      </c>
      <c r="AA29" s="220">
        <f>IF('[6]2026 január'!Y28=0,
    "",
    '[6]2026 január'!Y28
)</f>
        <v>193948</v>
      </c>
      <c r="AB29" s="220" t="str">
        <f>IF('[6]2026 január'!Z28=0,
    "",
    '[6]2026 január'!Z28
)</f>
        <v/>
      </c>
      <c r="AC29" s="220" t="str">
        <f>IF('[6]2026 január'!AA28=0,
    "",
    '[6]2026 január'!AA28
)</f>
        <v/>
      </c>
      <c r="AD29" s="220" t="str">
        <f>IF('[6]2026 január'!AB28=0,
    "",
    '[6]2026 január'!AB28
)</f>
        <v/>
      </c>
      <c r="AE29" s="220" t="str">
        <f>IF('[6]2026 január'!AC28=0,
    "",
    '[6]2026 január'!AC28
)</f>
        <v/>
      </c>
      <c r="AF29" s="220" t="str">
        <f>IF('[6]2026 január'!AD28=0,
    "",
    '[6]2026 január'!AD28
)</f>
        <v/>
      </c>
      <c r="AG29" s="220">
        <f>IF('[6]2026 január'!B$28=0,
    "",
    '[6]2026 január'!B$28
)</f>
        <v>281895</v>
      </c>
      <c r="AH29" s="220" t="str">
        <f>IF('[6]2026 január'!AE$28=0,
    "",
    '[6]2026 január'!AE$28
)</f>
        <v/>
      </c>
      <c r="AI29" s="220" t="str">
        <f>IF('[6]2026 január'!AF28=0,
    "",
    '[6]2026 január'!AF28
)</f>
        <v/>
      </c>
      <c r="AJ29" s="220" t="str">
        <f>IF('[6]2026 január'!AG28=0,
    "",
    '[6]2026 január'!AG28
)</f>
        <v/>
      </c>
      <c r="AK29" s="220" t="str">
        <f>IF('[6]2026 január'!AH28=0,
    "",
    '[6]2026 január'!AH28
)</f>
        <v/>
      </c>
    </row>
    <row r="30" spans="1:37">
      <c r="A30" s="5">
        <v>46050</v>
      </c>
      <c r="B30" s="353">
        <v>237415</v>
      </c>
      <c r="C30" s="11">
        <v>1050</v>
      </c>
      <c r="D30" s="11">
        <v>202155</v>
      </c>
      <c r="E30" s="11">
        <v>0</v>
      </c>
      <c r="F30" s="11">
        <v>13410</v>
      </c>
      <c r="G30" s="11">
        <v>1050</v>
      </c>
      <c r="H30" s="11">
        <v>215565</v>
      </c>
      <c r="I30" s="11">
        <v>215565</v>
      </c>
      <c r="J30" s="10">
        <v>2292</v>
      </c>
      <c r="K30" s="72">
        <v>209217345</v>
      </c>
      <c r="L30" s="250"/>
      <c r="M30" s="138"/>
      <c r="N30" s="5"/>
      <c r="O30" s="41"/>
      <c r="P30" s="220" t="str">
        <f>IF(OR('[6]2026 január'!G29=0,
       ISBLANK('[6]2026 január'!G29)),
    "",
    '[6]2026 január'!G29
)</f>
        <v/>
      </c>
      <c r="Q30" s="41">
        <f>'[6]2026 január'!W29</f>
        <v>0</v>
      </c>
      <c r="R30" s="41"/>
      <c r="S30" s="41"/>
      <c r="T30" s="4"/>
      <c r="U30" s="220">
        <f>IF('[6]2026 január'!S29=0,
    "",
    '[6]2026 január'!S29
)</f>
        <v>193948</v>
      </c>
      <c r="V30" s="220">
        <f>IF('[6]2026 január'!T29=0,
    "",
    '[6]2026 január'!T29
)</f>
        <v>21850</v>
      </c>
      <c r="W30" s="220" t="str">
        <f>IF('[6]2026 január'!U29=0,
    "",
    '[6]2026 január'!U29
)</f>
        <v/>
      </c>
      <c r="X30" s="220">
        <f>IF('[6]2026 január'!V29=0,
    "",
    '[6]2026 január'!V29
)</f>
        <v>40000</v>
      </c>
      <c r="Y30" s="220" t="str">
        <f>IF('[6]2026 január'!W29=0,
    "",
    '[6]2026 január'!W29
)</f>
        <v/>
      </c>
      <c r="Z30" s="220" t="str">
        <f>IF('[6]2026 január'!X29=0,
    "",
    '[6]2026 január'!X29
)</f>
        <v/>
      </c>
      <c r="AA30" s="220">
        <f>IF('[6]2026 január'!Y29=0,
    "",
    '[6]2026 január'!Y29
)</f>
        <v>175798</v>
      </c>
      <c r="AB30" s="220" t="str">
        <f>IF('[6]2026 január'!Z29=0,
    "",
    '[6]2026 január'!Z29
)</f>
        <v/>
      </c>
      <c r="AC30" s="220" t="str">
        <f>IF('[6]2026 január'!AA29=0,
    "",
    '[6]2026 január'!AA29
)</f>
        <v/>
      </c>
      <c r="AD30" s="220" t="str">
        <f>IF('[6]2026 január'!AB29=0,
    "",
    '[6]2026 január'!AB29
)</f>
        <v/>
      </c>
      <c r="AE30" s="220" t="str">
        <f>IF('[6]2026 január'!AC29=0,
    "",
    '[6]2026 január'!AC29
)</f>
        <v/>
      </c>
      <c r="AF30" s="220" t="str">
        <f>IF('[6]2026 január'!AD29=0,
    "",
    '[6]2026 január'!AD29
)</f>
        <v/>
      </c>
      <c r="AG30" s="220">
        <f>IF('[6]2026 január'!B$29=0,
    "",
    '[6]2026 január'!B$29
)</f>
        <v>237415</v>
      </c>
      <c r="AH30" s="220" t="str">
        <f>IF('[6]2026 január'!AE$29=0,
    "",
    '[6]2026 január'!AE$29
)</f>
        <v/>
      </c>
      <c r="AI30" s="220" t="str">
        <f>IF('[6]2026 január'!AF29=0,
    "",
    '[6]2026 január'!AF29
)</f>
        <v/>
      </c>
      <c r="AJ30" s="220" t="str">
        <f>IF('[6]2026 január'!AG29=0,
    "",
    '[6]2026 január'!AG29
)</f>
        <v/>
      </c>
      <c r="AK30" s="220" t="str">
        <f>IF('[6]2026 január'!AH29=0,
    "",
    '[6]2026 január'!AH29
)</f>
        <v/>
      </c>
    </row>
    <row r="31" spans="1:37">
      <c r="A31" s="5">
        <v>46051</v>
      </c>
      <c r="B31" s="353">
        <v>299310</v>
      </c>
      <c r="C31" s="11">
        <v>1050</v>
      </c>
      <c r="D31" s="11">
        <v>270290</v>
      </c>
      <c r="E31" s="11">
        <v>0</v>
      </c>
      <c r="F31" s="11">
        <v>11855</v>
      </c>
      <c r="G31" s="11">
        <v>2890</v>
      </c>
      <c r="H31" s="11">
        <v>280305</v>
      </c>
      <c r="I31" s="11">
        <v>280305</v>
      </c>
      <c r="J31" s="10">
        <v>2293</v>
      </c>
      <c r="K31" s="72">
        <v>209500540</v>
      </c>
      <c r="L31" s="250"/>
      <c r="M31" s="138"/>
      <c r="N31" s="5"/>
      <c r="O31" s="41"/>
      <c r="P31" s="220" t="str">
        <f>IF(OR('[6]2026 január'!G30=0,
       ISBLANK('[6]2026 január'!G30)),
    "",
    '[6]2026 január'!G30
)</f>
        <v/>
      </c>
      <c r="Q31" s="41">
        <f>'[6]2026 január'!W30</f>
        <v>0</v>
      </c>
      <c r="R31" s="41"/>
      <c r="S31" s="41"/>
      <c r="T31" s="4"/>
      <c r="U31" s="220">
        <f>IF('[6]2026 január'!S30=0,
    "",
    '[6]2026 január'!S30
)</f>
        <v>175798</v>
      </c>
      <c r="V31" s="220">
        <f>IF('[6]2026 január'!T30=0,
    "",
    '[6]2026 január'!T30
)</f>
        <v>19005</v>
      </c>
      <c r="W31" s="220" t="str">
        <f>IF('[6]2026 január'!U30=0,
    "",
    '[6]2026 január'!U30
)</f>
        <v/>
      </c>
      <c r="X31" s="220" t="str">
        <f>IF('[6]2026 január'!V30=0,
    "",
    '[6]2026 január'!V30
)</f>
        <v/>
      </c>
      <c r="Y31" s="220" t="str">
        <f>IF('[6]2026 január'!W30=0,
    "",
    '[6]2026 január'!W30
)</f>
        <v/>
      </c>
      <c r="Z31" s="220" t="str">
        <f>IF('[6]2026 január'!X30=0,
    "",
    '[6]2026 január'!X30
)</f>
        <v/>
      </c>
      <c r="AA31" s="220">
        <f>IF('[6]2026 január'!Y30=0,
    "",
    '[6]2026 január'!Y30
)</f>
        <v>194803</v>
      </c>
      <c r="AB31" s="220" t="str">
        <f>IF('[6]2026 január'!Z30=0,
    "",
    '[6]2026 január'!Z30
)</f>
        <v/>
      </c>
      <c r="AC31" s="220" t="str">
        <f>IF('[6]2026 január'!AA30=0,
    "",
    '[6]2026 január'!AA30
)</f>
        <v/>
      </c>
      <c r="AD31" s="220" t="str">
        <f>IF('[6]2026 január'!AB30=0,
    "",
    '[6]2026 január'!AB30
)</f>
        <v/>
      </c>
      <c r="AE31" s="220" t="str">
        <f>IF('[6]2026 január'!AC30=0,
    "",
    '[6]2026 január'!AC30
)</f>
        <v/>
      </c>
      <c r="AF31" s="220" t="str">
        <f>IF('[6]2026 január'!AD30=0,
    "",
    '[6]2026 január'!AD30
)</f>
        <v/>
      </c>
      <c r="AG31" s="220">
        <f>IF('[6]2026 január'!B$30=0,
    "",
    '[6]2026 január'!B$30
)</f>
        <v>299310</v>
      </c>
      <c r="AH31" s="220" t="str">
        <f>IF('[6]2026 január'!AE$30=0,
    "",
    '[6]2026 január'!AE$30
)</f>
        <v/>
      </c>
      <c r="AI31" s="220" t="str">
        <f>IF('[6]2026 január'!AF30=0,
    "",
    '[6]2026 január'!AF30
)</f>
        <v/>
      </c>
      <c r="AJ31" s="220" t="str">
        <f>IF('[6]2026 január'!AG30=0,
    "",
    '[6]2026 január'!AG30
)</f>
        <v/>
      </c>
      <c r="AK31" s="220" t="str">
        <f>IF('[6]2026 január'!AH30=0,
    "",
    '[6]2026 január'!AH30
)</f>
        <v/>
      </c>
    </row>
    <row r="32" spans="1:37">
      <c r="A32" s="5">
        <v>46052</v>
      </c>
      <c r="B32" s="353">
        <v>268700</v>
      </c>
      <c r="C32" s="11">
        <v>1550</v>
      </c>
      <c r="D32" s="11">
        <v>231370</v>
      </c>
      <c r="E32" s="11">
        <v>0</v>
      </c>
      <c r="F32" s="11">
        <v>9220</v>
      </c>
      <c r="G32" s="11">
        <v>3370</v>
      </c>
      <c r="H32" s="11">
        <v>238770</v>
      </c>
      <c r="I32" s="11">
        <v>238770</v>
      </c>
      <c r="J32" s="10">
        <v>2294</v>
      </c>
      <c r="K32" s="72">
        <v>209742680</v>
      </c>
      <c r="L32" s="250"/>
      <c r="M32" s="138"/>
      <c r="N32" s="5"/>
      <c r="O32" s="41"/>
      <c r="P32" s="220" t="str">
        <f>IF(OR('[6]2026 január'!G31=0,
       ISBLANK('[6]2026 január'!G31)),
    "",
    '[6]2026 január'!G31
)</f>
        <v/>
      </c>
      <c r="Q32" s="41">
        <f>'[6]2026 január'!W31</f>
        <v>0</v>
      </c>
      <c r="R32" s="41"/>
      <c r="S32" s="41"/>
      <c r="T32" s="4"/>
      <c r="U32" s="220">
        <f>IF('[6]2026 január'!S31=0,
    "",
    '[6]2026 január'!S31
)</f>
        <v>194803</v>
      </c>
      <c r="V32" s="220">
        <f>IF('[6]2026 január'!T31=0,
    "",
    '[6]2026 január'!T31
)</f>
        <v>29930</v>
      </c>
      <c r="W32" s="220" t="str">
        <f>IF('[6]2026 január'!U31=0,
    "",
    '[6]2026 január'!U31
)</f>
        <v/>
      </c>
      <c r="X32" s="220">
        <f>IF('[6]2026 január'!V31=0,
    "",
    '[6]2026 január'!V31
)</f>
        <v>10000</v>
      </c>
      <c r="Y32" s="220" t="str">
        <f>IF('[6]2026 január'!W31=0,
    "",
    '[6]2026 január'!W31
)</f>
        <v/>
      </c>
      <c r="Z32" s="220" t="str">
        <f>IF('[6]2026 január'!X31=0,
    "",
    '[6]2026 január'!X31
)</f>
        <v/>
      </c>
      <c r="AA32" s="220">
        <f>IF('[6]2026 január'!Y31=0,
    "",
    '[6]2026 január'!Y31
)</f>
        <v>214733</v>
      </c>
      <c r="AB32" s="220" t="str">
        <f>IF('[6]2026 január'!Z31=0,
    "",
    '[6]2026 január'!Z31
)</f>
        <v/>
      </c>
      <c r="AC32" s="220" t="str">
        <f>IF('[6]2026 január'!AA31=0,
    "",
    '[6]2026 január'!AA31
)</f>
        <v/>
      </c>
      <c r="AD32" s="220" t="str">
        <f>IF('[6]2026 január'!AB31=0,
    "",
    '[6]2026 január'!AB31
)</f>
        <v/>
      </c>
      <c r="AE32" s="220" t="str">
        <f>IF('[6]2026 január'!AC31=0,
    "",
    '[6]2026 január'!AC31
)</f>
        <v/>
      </c>
      <c r="AF32" s="220" t="str">
        <f>IF('[6]2026 január'!AD31=0,
    "",
    '[6]2026 január'!AD31
)</f>
        <v/>
      </c>
      <c r="AG32" s="220">
        <f>IF('[6]2026 január'!B$31=0,
    "",
    '[6]2026 január'!B$31
)</f>
        <v>268700</v>
      </c>
      <c r="AH32" s="220" t="str">
        <f>IF('[6]2026 január'!AE$31=0,
    "",
    '[6]2026 január'!AE$31
)</f>
        <v/>
      </c>
      <c r="AI32" s="220" t="str">
        <f>IF('[6]2026 január'!AF31=0,
    "",
    '[6]2026 január'!AF31
)</f>
        <v/>
      </c>
      <c r="AJ32" s="220" t="str">
        <f>IF('[6]2026 január'!AG31=0,
    "",
    '[6]2026 január'!AG31
)</f>
        <v/>
      </c>
      <c r="AK32" s="220" t="str">
        <f>IF('[6]2026 január'!AH31=0,
    "",
    '[6]2026 január'!AH31
)</f>
        <v/>
      </c>
    </row>
    <row r="33" spans="1:37">
      <c r="A33" s="141">
        <v>46053</v>
      </c>
      <c r="B33" s="352"/>
      <c r="C33" s="142"/>
      <c r="D33" s="142"/>
      <c r="E33" s="142"/>
      <c r="F33" s="142"/>
      <c r="G33" s="142"/>
      <c r="H33" s="193"/>
      <c r="I33" s="193"/>
      <c r="J33" s="83"/>
      <c r="K33" s="146"/>
      <c r="L33" s="251"/>
      <c r="M33" s="194"/>
      <c r="N33" s="197"/>
      <c r="O33" s="41"/>
      <c r="P33" s="220" t="str">
        <f>IF(OR('[6]2026 január'!G32=0,
       ISBLANK('[6]2026 január'!G32)),
    "",
    '[6]2026 január'!G32
)</f>
        <v/>
      </c>
      <c r="Q33" s="41">
        <f>'[6]2026 január'!W32</f>
        <v>0</v>
      </c>
      <c r="R33" s="41"/>
      <c r="S33" s="41"/>
      <c r="T33" s="4"/>
      <c r="U33" s="220">
        <f>IF('[6]2026 január'!S32=0,
    "",
    '[6]2026 január'!S32
)</f>
        <v>214733</v>
      </c>
      <c r="V33" s="220" t="str">
        <f>IF('[6]2026 január'!T32=0,
    "",
    '[6]2026 január'!T32
)</f>
        <v/>
      </c>
      <c r="W33" s="220" t="str">
        <f>IF('[6]2026 január'!U32=0,
    "",
    '[6]2026 január'!U32
)</f>
        <v/>
      </c>
      <c r="X33" s="220" t="str">
        <f>IF('[6]2026 január'!V32=0,
    "",
    '[6]2026 január'!V32
)</f>
        <v/>
      </c>
      <c r="Y33" s="220" t="str">
        <f>IF('[6]2026 január'!W32=0,
    "",
    '[6]2026 január'!W32
)</f>
        <v/>
      </c>
      <c r="Z33" s="220" t="str">
        <f>IF('[6]2026 január'!X32=0,
    "",
    '[6]2026 január'!X32
)</f>
        <v/>
      </c>
      <c r="AA33" s="220">
        <f>IF('[6]2026 január'!Y32=0,
    "",
    '[6]2026 január'!Y32
)</f>
        <v>214733</v>
      </c>
      <c r="AB33" s="220" t="str">
        <f>IF('[6]2026 január'!Z32=0,
    "",
    '[6]2026 január'!Z32
)</f>
        <v/>
      </c>
      <c r="AC33" s="220" t="str">
        <f>IF('[6]2026 január'!AA32=0,
    "",
    '[6]2026 január'!AA32
)</f>
        <v/>
      </c>
      <c r="AD33" s="220" t="str">
        <f>IF('[6]2026 január'!AB32=0,
    "",
    '[6]2026 január'!AB32
)</f>
        <v/>
      </c>
      <c r="AE33" s="220" t="str">
        <f>IF('[6]2026 január'!AC32=0,
    "",
    '[6]2026 január'!AC32
)</f>
        <v/>
      </c>
      <c r="AF33" s="220" t="str">
        <f>IF('[6]2026 január'!AD32=0,
    "",
    '[6]2026 január'!AD32
)</f>
        <v/>
      </c>
      <c r="AG33" s="220" t="str">
        <f>IF('[6]2026 január'!B$32=0,
    "",
    '[6]2026 január'!B$32
)</f>
        <v/>
      </c>
      <c r="AH33" s="220" t="str">
        <f>IF('[6]2026 január'!AE$32=0,
    "",
    '[6]2026 január'!AE$32
)</f>
        <v/>
      </c>
      <c r="AI33" s="220" t="str">
        <f>IF('[6]2026 január'!AF32=0,
    "",
    '[6]2026 január'!AF32
)</f>
        <v/>
      </c>
      <c r="AJ33" s="220" t="str">
        <f>IF('[6]2026 január'!AG32=0,
    "",
    '[6]2026 január'!AG32
)</f>
        <v/>
      </c>
      <c r="AK33" s="220" t="str">
        <f>IF('[6]2026 január'!AH32=0,
    "",
    '[6]2026 január'!AH32
)</f>
        <v/>
      </c>
    </row>
    <row r="34" spans="1:37" ht="24.75" customHeight="1">
      <c r="A34" s="69" t="s">
        <v>64</v>
      </c>
      <c r="B34" s="354"/>
      <c r="C34" s="19">
        <f>SUM(C1:C33)</f>
        <v>26950</v>
      </c>
      <c r="D34" s="19">
        <f>SUM(D1:D33)</f>
        <v>4767430.05</v>
      </c>
      <c r="E34" s="19">
        <f>SUM(E1:E33)</f>
        <v>0.18</v>
      </c>
      <c r="F34" s="19">
        <f>SUM(F1:F33)</f>
        <v>191365.27000000002</v>
      </c>
      <c r="G34" s="192">
        <f>SUM(G3:G33)</f>
        <v>29890</v>
      </c>
      <c r="H34" s="190">
        <f>SUM(H3:H33)</f>
        <v>4955855</v>
      </c>
      <c r="I34" s="191">
        <f>SUM(I3:I33)</f>
        <v>4955855</v>
      </c>
      <c r="J34" s="12"/>
      <c r="K34" s="417">
        <v>209742680</v>
      </c>
      <c r="L34" s="417">
        <v>4985745</v>
      </c>
      <c r="M34" s="9"/>
      <c r="N34" s="8"/>
      <c r="O34" s="63"/>
      <c r="P34" s="220" t="str">
        <f>IF(OR('[6]2026 január'!G33=0,
       ISBLANK('[6]2026 január'!G33)),
    "",
    '[6]2026 január'!G33
)</f>
        <v/>
      </c>
      <c r="Q34" s="64">
        <f>'[6]2026 január'!W33</f>
        <v>0</v>
      </c>
      <c r="R34" s="4"/>
      <c r="S34" s="4"/>
      <c r="T34" s="4"/>
      <c r="U34" s="235" t="str">
        <f>IF('[6]2026 január'!S33=0,
    "",
    '[6]2026 január'!S33
)</f>
        <v/>
      </c>
      <c r="V34" s="235">
        <f>IF('[6]2026 január'!T33=0,
    "",
    '[6]2026 január'!T33
)</f>
        <v>490935</v>
      </c>
      <c r="W34" s="235" t="str">
        <f>IF('[6]2026 január'!U33=0,
    "",
    '[6]2026 január'!U33
)</f>
        <v/>
      </c>
      <c r="X34" s="235" t="str">
        <f>IF('[6]2026 január'!V33=0,
    "",
    '[6]2026 január'!V33
)</f>
        <v/>
      </c>
      <c r="Y34" s="235" t="str">
        <f>IF('[6]2026 január'!W33=0,
    "",
    '[6]2026 január'!W33
)</f>
        <v/>
      </c>
      <c r="Z34" s="235" t="str">
        <f>IF('[6]2026 január'!X33=0,
    "",
    '[6]2026 január'!X33
)</f>
        <v/>
      </c>
      <c r="AA34" s="235" t="str">
        <f>IF('[6]2026 január'!Y33=0,
    "",
    '[6]2026 január'!Y33
)</f>
        <v/>
      </c>
      <c r="AB34" s="235" t="str">
        <f>IF('[6]2026 január'!Z33=0,
    "",
    '[6]2026 január'!Z33
)</f>
        <v/>
      </c>
      <c r="AC34" s="235" t="str">
        <f>IF('[6]2026 január'!AA33=0,
    "",
    '[6]2026 január'!AA33
)</f>
        <v/>
      </c>
      <c r="AD34" s="235" t="str">
        <f>IF('[6]2026 január'!AB33=0,
    "",
    '[6]2026 január'!AB33
)</f>
        <v/>
      </c>
      <c r="AE34" s="235" t="str">
        <f>IF('[6]2026 január'!AC33=0,
    "",
    '[6]2026 január'!AC33
)</f>
        <v/>
      </c>
      <c r="AF34" s="235" t="str">
        <f>IF('[6]2026 január'!AD33=0,
    "",
    '[6]2026 január'!AD33
)</f>
        <v/>
      </c>
      <c r="AG34" s="220">
        <f>IF('[6]2026 január'!B$33=0,
    "",
    '[6]2026 január'!B$33
)</f>
        <v>5446790</v>
      </c>
      <c r="AH34" s="235" t="str">
        <f>IF('[6]2026 január'!AE$33=0,
    "",
    '[6]2026 január'!AE$33
)</f>
        <v/>
      </c>
      <c r="AI34" s="235" t="str">
        <f>IF('[6]2026 január'!AF33=0,
    "",
    '[6]2026 január'!AF33
)</f>
        <v/>
      </c>
      <c r="AJ34" s="235" t="str">
        <f>IF('[6]2026 január'!AG33=0,
    "",
    '[6]2026 január'!AG33
)</f>
        <v/>
      </c>
      <c r="AK34" s="235" t="str">
        <f>IF('[6]2026 január'!AH33=0,
    "",
    '[6]2026 január'!AH33
)</f>
        <v/>
      </c>
    </row>
    <row r="35" spans="1:37" ht="26.25" customHeight="1">
      <c r="A35" s="70"/>
      <c r="B35" s="355"/>
      <c r="C35" s="23">
        <f>C34+D34+E34+F34</f>
        <v>4985745.5</v>
      </c>
      <c r="D35" s="9"/>
      <c r="E35" s="9"/>
      <c r="F35" s="9"/>
      <c r="G35" s="22">
        <f>G34+H34</f>
        <v>4985745</v>
      </c>
      <c r="H35" s="196"/>
      <c r="J35"/>
      <c r="L35" s="261"/>
      <c r="N35" s="4"/>
      <c r="O35" s="64"/>
      <c r="P35" s="4"/>
      <c r="Q35" s="4"/>
      <c r="R35" s="64"/>
      <c r="S35" s="4"/>
      <c r="T35" s="4"/>
      <c r="U35" s="4"/>
      <c r="V35" s="4"/>
      <c r="W35" s="4"/>
      <c r="Y35" s="4"/>
      <c r="Z35" s="64"/>
      <c r="AA35" s="4"/>
      <c r="AB35" s="4"/>
      <c r="AC35" s="4"/>
      <c r="AD35" s="64"/>
      <c r="AE35" s="4"/>
      <c r="AF35" s="4"/>
      <c r="AG35" s="4"/>
      <c r="AH35" s="4"/>
      <c r="AI35" s="4"/>
    </row>
    <row r="36" spans="1:37">
      <c r="B36" s="356"/>
      <c r="J36"/>
      <c r="L36" s="261"/>
      <c r="N36" s="4"/>
      <c r="O36" s="4"/>
      <c r="P36" s="4"/>
      <c r="Q36" s="4"/>
      <c r="R36" s="4"/>
      <c r="S36" s="4"/>
      <c r="T36" s="4"/>
      <c r="U36" s="4"/>
      <c r="V36" s="4"/>
      <c r="W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7">
      <c r="B37" s="356"/>
      <c r="J37"/>
      <c r="L37" s="261"/>
      <c r="N37" s="4"/>
      <c r="O37" s="4"/>
      <c r="P37" s="4"/>
      <c r="Q37" s="4"/>
      <c r="R37" s="4"/>
      <c r="S37" s="4"/>
      <c r="T37" s="4"/>
      <c r="U37" s="4"/>
      <c r="V37" s="4"/>
      <c r="W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7">
      <c r="B38" s="356"/>
    </row>
    <row r="39" spans="1:37">
      <c r="A39" s="429" t="s">
        <v>177</v>
      </c>
      <c r="B39" s="404"/>
      <c r="C39" s="405"/>
      <c r="D39" s="405"/>
      <c r="E39" s="405"/>
      <c r="F39" s="406"/>
      <c r="G39" s="406"/>
      <c r="H39" s="406"/>
      <c r="I39" s="406"/>
      <c r="J39" s="407"/>
      <c r="K39" s="408"/>
    </row>
    <row r="40" spans="1:37" ht="14.45" customHeight="1">
      <c r="A40" s="430"/>
      <c r="B40" s="396"/>
      <c r="C40" s="396"/>
      <c r="D40" s="396"/>
      <c r="E40" s="396"/>
      <c r="F40" s="396"/>
      <c r="G40" s="396"/>
      <c r="H40" s="396"/>
      <c r="I40" s="396"/>
      <c r="J40" s="396"/>
      <c r="K40" s="410"/>
    </row>
    <row r="41" spans="1:37" ht="14.45" customHeight="1">
      <c r="A41" s="431"/>
      <c r="B41" s="411"/>
      <c r="C41" s="411"/>
      <c r="D41" s="411"/>
      <c r="E41" s="411"/>
      <c r="F41" s="411"/>
      <c r="G41" s="411"/>
      <c r="H41" s="411"/>
      <c r="I41" s="411"/>
      <c r="J41" s="411"/>
      <c r="K41" s="412"/>
    </row>
    <row r="42" spans="1:37">
      <c r="B42" s="356"/>
    </row>
    <row r="43" spans="1:37" ht="15" customHeight="1">
      <c r="A43" s="66" t="s">
        <v>4</v>
      </c>
      <c r="B43" s="351"/>
      <c r="C43" s="26"/>
      <c r="D43" s="26"/>
      <c r="E43" s="26"/>
      <c r="F43" s="26"/>
      <c r="G43" s="26"/>
      <c r="H43" s="26"/>
      <c r="I43" s="26"/>
      <c r="J43" s="34"/>
      <c r="K43" s="349"/>
      <c r="L43" s="255"/>
      <c r="M43" s="385"/>
      <c r="N43" s="157"/>
    </row>
    <row r="44" spans="1:37" ht="15" customHeight="1">
      <c r="A44" s="141">
        <v>46054</v>
      </c>
      <c r="B44" s="142"/>
      <c r="C44" s="142"/>
      <c r="D44" s="142"/>
      <c r="E44" s="142"/>
      <c r="F44" s="142"/>
      <c r="G44" s="142"/>
      <c r="H44" s="142"/>
      <c r="I44" s="142"/>
      <c r="J44" s="143"/>
      <c r="K44" s="144"/>
      <c r="L44" s="256"/>
      <c r="M44" s="381"/>
      <c r="N44" s="158"/>
    </row>
    <row r="45" spans="1:37" ht="15" customHeight="1">
      <c r="A45" s="141">
        <v>46055</v>
      </c>
      <c r="B45" s="11">
        <v>262700</v>
      </c>
      <c r="C45" s="11">
        <v>1220</v>
      </c>
      <c r="D45" s="11">
        <v>238185</v>
      </c>
      <c r="E45" s="11">
        <v>0</v>
      </c>
      <c r="F45" s="11">
        <v>12795</v>
      </c>
      <c r="G45" s="11">
        <v>2510</v>
      </c>
      <c r="H45" s="11">
        <v>249690</v>
      </c>
      <c r="I45" s="11">
        <v>249690</v>
      </c>
      <c r="J45" s="38" t="s">
        <v>726</v>
      </c>
      <c r="K45" s="71">
        <v>209994880</v>
      </c>
      <c r="L45" s="377"/>
      <c r="M45" s="216"/>
      <c r="N45" s="9"/>
      <c r="AG45" s="220">
        <f>IF('[6]2026 február'!B$3=0,
    "",
    '[6]2026 február'!B$3
)</f>
        <v>262700</v>
      </c>
    </row>
    <row r="46" spans="1:37" ht="15" customHeight="1">
      <c r="A46" s="141">
        <v>46056</v>
      </c>
      <c r="B46" s="11">
        <v>275260</v>
      </c>
      <c r="C46" s="11">
        <v>1150</v>
      </c>
      <c r="D46" s="11">
        <v>255075</v>
      </c>
      <c r="E46" s="11">
        <v>0</v>
      </c>
      <c r="F46" s="11">
        <v>1580</v>
      </c>
      <c r="G46" s="11">
        <v>2050</v>
      </c>
      <c r="H46" s="11">
        <v>255755</v>
      </c>
      <c r="I46" s="11">
        <v>255755</v>
      </c>
      <c r="J46" s="38" t="s">
        <v>727</v>
      </c>
      <c r="K46" s="72">
        <v>210252685</v>
      </c>
      <c r="L46" s="258"/>
      <c r="M46" s="216"/>
      <c r="N46" s="9"/>
      <c r="AG46" s="220">
        <f>IF('[6]2026 február'!B$4=0,
    "",
    '[6]2026 február'!B$4
)</f>
        <v>275260</v>
      </c>
    </row>
    <row r="47" spans="1:37" ht="15" customHeight="1">
      <c r="A47" s="141">
        <v>46057</v>
      </c>
      <c r="B47" s="11">
        <v>316575</v>
      </c>
      <c r="C47" s="11">
        <v>1650</v>
      </c>
      <c r="D47" s="11">
        <v>264355</v>
      </c>
      <c r="E47" s="11">
        <v>0</v>
      </c>
      <c r="F47" s="11">
        <v>9980</v>
      </c>
      <c r="G47" s="11">
        <v>2300</v>
      </c>
      <c r="H47" s="11">
        <v>273685</v>
      </c>
      <c r="I47" s="11">
        <v>273685</v>
      </c>
      <c r="J47" s="38" t="s">
        <v>728</v>
      </c>
      <c r="K47" s="72">
        <v>210528670</v>
      </c>
      <c r="L47" s="258"/>
      <c r="M47" s="216"/>
      <c r="N47" s="9"/>
      <c r="AG47" s="220">
        <f>IF('[6]2026 február'!B$5=0,
    "",
    '[6]2026 február'!B$5
)</f>
        <v>316575</v>
      </c>
    </row>
    <row r="48" spans="1:37" ht="15" customHeight="1">
      <c r="A48" s="141">
        <v>46058</v>
      </c>
      <c r="B48" s="11">
        <v>285770</v>
      </c>
      <c r="C48" s="11">
        <v>1700</v>
      </c>
      <c r="D48" s="11">
        <v>262450</v>
      </c>
      <c r="E48" s="11">
        <v>0</v>
      </c>
      <c r="F48" s="11">
        <v>8720</v>
      </c>
      <c r="G48" s="11">
        <v>1200</v>
      </c>
      <c r="H48" s="11">
        <v>271670</v>
      </c>
      <c r="I48" s="11">
        <v>271670</v>
      </c>
      <c r="J48" s="38" t="s">
        <v>729</v>
      </c>
      <c r="K48" s="72">
        <v>210801540</v>
      </c>
      <c r="L48" s="258"/>
      <c r="M48" s="216"/>
      <c r="N48" s="9"/>
      <c r="AG48" s="220">
        <f>IF('[6]2026 február'!B$6=0,
    "",
    '[6]2026 február'!B$6
)</f>
        <v>285770</v>
      </c>
    </row>
    <row r="49" spans="1:33" ht="15" customHeight="1">
      <c r="A49" s="141">
        <v>46059</v>
      </c>
      <c r="B49" s="11">
        <v>273375</v>
      </c>
      <c r="C49" s="11">
        <v>1400</v>
      </c>
      <c r="D49" s="11">
        <v>251285</v>
      </c>
      <c r="E49" s="11">
        <v>0</v>
      </c>
      <c r="F49" s="11">
        <v>4590</v>
      </c>
      <c r="G49" s="11">
        <v>2050</v>
      </c>
      <c r="H49" s="11">
        <v>255225</v>
      </c>
      <c r="I49" s="11">
        <v>255225</v>
      </c>
      <c r="J49" s="38" t="s">
        <v>730</v>
      </c>
      <c r="K49" s="72">
        <v>211058815</v>
      </c>
      <c r="L49" s="258"/>
      <c r="M49" s="216"/>
      <c r="N49" s="9"/>
      <c r="AG49" s="220">
        <f>IF('[6]2026 február'!B$7=0,
    "",
    '[6]2026 február'!B$7
)</f>
        <v>273375</v>
      </c>
    </row>
    <row r="50" spans="1:33" ht="15" customHeight="1">
      <c r="A50" s="141">
        <v>46060</v>
      </c>
      <c r="B50" s="142"/>
      <c r="C50" s="142"/>
      <c r="D50" s="142"/>
      <c r="E50" s="142"/>
      <c r="F50" s="142"/>
      <c r="G50" s="142"/>
      <c r="H50" s="142"/>
      <c r="I50" s="142"/>
      <c r="J50" s="143"/>
      <c r="K50" s="146"/>
      <c r="L50" s="257"/>
      <c r="M50" s="381"/>
      <c r="N50" s="158"/>
      <c r="AG50" s="220" t="str">
        <f>IF('[6]2026 február'!B$8=0,
    "",
    '[6]2026 február'!B$8
)</f>
        <v/>
      </c>
    </row>
    <row r="51" spans="1:33" ht="15" customHeight="1">
      <c r="A51" s="141">
        <v>46061</v>
      </c>
      <c r="B51" s="142"/>
      <c r="C51" s="142"/>
      <c r="D51" s="142"/>
      <c r="E51" s="142"/>
      <c r="F51" s="142"/>
      <c r="G51" s="142"/>
      <c r="H51" s="142"/>
      <c r="I51" s="142"/>
      <c r="J51" s="143"/>
      <c r="K51" s="146"/>
      <c r="L51" s="257"/>
      <c r="M51" s="381"/>
      <c r="N51" s="158"/>
      <c r="AG51" s="220" t="str">
        <f>IF('[6]2026 február'!B$9=0,
    "",
    '[6]2026 február'!B$9
)</f>
        <v/>
      </c>
    </row>
    <row r="52" spans="1:33" ht="15" customHeight="1">
      <c r="A52" s="141">
        <v>46062</v>
      </c>
      <c r="B52" s="11">
        <v>236370</v>
      </c>
      <c r="C52" s="11">
        <v>1950</v>
      </c>
      <c r="D52" s="11">
        <v>192210</v>
      </c>
      <c r="E52" s="11">
        <v>0</v>
      </c>
      <c r="F52" s="11">
        <v>15080</v>
      </c>
      <c r="G52" s="11">
        <v>1450</v>
      </c>
      <c r="H52" s="11">
        <v>207790</v>
      </c>
      <c r="I52" s="11">
        <v>207790</v>
      </c>
      <c r="J52" s="38" t="s">
        <v>731</v>
      </c>
      <c r="K52" s="72">
        <v>211268055</v>
      </c>
      <c r="L52" s="258"/>
      <c r="M52" s="216"/>
      <c r="N52" s="9"/>
      <c r="AG52" s="220"/>
    </row>
    <row r="53" spans="1:33" ht="15" customHeight="1">
      <c r="A53" s="141">
        <v>46063</v>
      </c>
      <c r="B53" s="11">
        <v>282680</v>
      </c>
      <c r="C53" s="11">
        <v>1250</v>
      </c>
      <c r="D53" s="11">
        <v>243685</v>
      </c>
      <c r="E53" s="11">
        <v>0</v>
      </c>
      <c r="F53" s="11">
        <v>10580</v>
      </c>
      <c r="G53" s="11">
        <v>2150</v>
      </c>
      <c r="H53" s="11">
        <v>253365</v>
      </c>
      <c r="I53" s="11">
        <v>253365</v>
      </c>
      <c r="J53" s="38" t="s">
        <v>732</v>
      </c>
      <c r="K53" s="72">
        <v>211523570</v>
      </c>
      <c r="L53" s="258"/>
      <c r="M53" s="216"/>
      <c r="N53" s="9"/>
      <c r="AG53" s="220">
        <f>IF('[6]2026 február'!B$11=0,
    "",
    '[6]2026 február'!B$11
)</f>
        <v>282680</v>
      </c>
    </row>
    <row r="54" spans="1:33" ht="15" customHeight="1">
      <c r="A54" s="141">
        <v>46064</v>
      </c>
      <c r="B54" s="11">
        <v>203835</v>
      </c>
      <c r="C54" s="11">
        <v>1300</v>
      </c>
      <c r="D54" s="11">
        <v>179115</v>
      </c>
      <c r="E54" s="11">
        <v>0</v>
      </c>
      <c r="F54" s="11">
        <v>6750</v>
      </c>
      <c r="G54" s="11">
        <v>2250</v>
      </c>
      <c r="H54" s="11">
        <v>184915</v>
      </c>
      <c r="I54" s="11">
        <v>184915</v>
      </c>
      <c r="J54" s="38" t="s">
        <v>733</v>
      </c>
      <c r="K54" s="72">
        <v>211710735</v>
      </c>
      <c r="L54" s="258"/>
      <c r="M54" s="216"/>
      <c r="N54" s="9"/>
      <c r="AG54" s="220">
        <f>IF('[6]2026 február'!B$12=0,
    "",
    '[6]2026 február'!B$12
)</f>
        <v>203835</v>
      </c>
    </row>
    <row r="55" spans="1:33" ht="15" customHeight="1">
      <c r="A55" s="141">
        <v>46065</v>
      </c>
      <c r="B55" s="11">
        <v>239820</v>
      </c>
      <c r="C55" s="11">
        <v>1250</v>
      </c>
      <c r="D55" s="11">
        <v>208050</v>
      </c>
      <c r="E55" s="11">
        <v>0</v>
      </c>
      <c r="F55" s="11">
        <v>9640</v>
      </c>
      <c r="G55" s="11">
        <v>1520</v>
      </c>
      <c r="H55" s="11">
        <v>217420</v>
      </c>
      <c r="I55" s="11">
        <v>217420</v>
      </c>
      <c r="J55" s="38" t="s">
        <v>734</v>
      </c>
      <c r="K55" s="72">
        <v>211929675</v>
      </c>
      <c r="L55" s="258"/>
      <c r="M55" s="106"/>
      <c r="N55" s="9"/>
      <c r="AG55" s="220">
        <f>IF('[6]2026 február'!B$13=0,
    "",
    '[6]2026 február'!B$13
)</f>
        <v>239820</v>
      </c>
    </row>
    <row r="56" spans="1:33" ht="15" customHeight="1">
      <c r="A56" s="141">
        <v>46066</v>
      </c>
      <c r="B56" s="11">
        <v>237355</v>
      </c>
      <c r="C56" s="11">
        <v>1150</v>
      </c>
      <c r="D56" s="11">
        <v>209800</v>
      </c>
      <c r="E56" s="11">
        <v>0</v>
      </c>
      <c r="F56" s="11">
        <v>4555</v>
      </c>
      <c r="G56" s="11">
        <v>1150</v>
      </c>
      <c r="H56" s="11">
        <v>214355</v>
      </c>
      <c r="I56" s="11">
        <v>214355</v>
      </c>
      <c r="J56" s="38" t="s">
        <v>735</v>
      </c>
      <c r="K56" s="72">
        <v>212145180</v>
      </c>
      <c r="L56" s="258"/>
      <c r="M56" s="216"/>
      <c r="N56" s="9"/>
      <c r="AG56" s="220">
        <f>IF('[6]2026 február'!B$14=0,
    "",
    '[6]2026 február'!B$14
)</f>
        <v>237355</v>
      </c>
    </row>
    <row r="57" spans="1:33" ht="15" customHeight="1">
      <c r="A57" s="141">
        <v>46067</v>
      </c>
      <c r="B57" s="142"/>
      <c r="C57" s="142"/>
      <c r="D57" s="142"/>
      <c r="E57" s="142"/>
      <c r="F57" s="142"/>
      <c r="G57" s="142"/>
      <c r="H57" s="142"/>
      <c r="I57" s="142"/>
      <c r="J57" s="143"/>
      <c r="K57" s="146"/>
      <c r="L57" s="257"/>
      <c r="M57" s="381"/>
      <c r="N57" s="158"/>
      <c r="AG57" s="220" t="str">
        <f>IF('[6]2026 február'!B$15=0,
    "",
    '[6]2026 február'!B$15
)</f>
        <v/>
      </c>
    </row>
    <row r="58" spans="1:33" ht="15" customHeight="1">
      <c r="A58" s="141">
        <v>46068</v>
      </c>
      <c r="B58" s="142"/>
      <c r="C58" s="142"/>
      <c r="D58" s="142"/>
      <c r="E58" s="142"/>
      <c r="F58" s="142"/>
      <c r="G58" s="142"/>
      <c r="H58" s="142"/>
      <c r="I58" s="142"/>
      <c r="J58" s="143"/>
      <c r="K58" s="146"/>
      <c r="L58" s="257"/>
      <c r="M58" s="381"/>
      <c r="N58" s="158"/>
      <c r="AG58" s="220" t="str">
        <f>IF('[6]2026 február'!B$16=0,
    "",
    '[6]2026 február'!B$16
)</f>
        <v/>
      </c>
    </row>
    <row r="59" spans="1:33" ht="15" customHeight="1">
      <c r="A59" s="141">
        <v>46069</v>
      </c>
      <c r="B59" s="11">
        <v>249980</v>
      </c>
      <c r="C59" s="11">
        <v>1450</v>
      </c>
      <c r="D59" s="11">
        <v>222475</v>
      </c>
      <c r="E59" s="11">
        <v>0</v>
      </c>
      <c r="F59" s="11">
        <v>9310</v>
      </c>
      <c r="G59" s="11">
        <v>2260</v>
      </c>
      <c r="H59" s="11">
        <v>230975</v>
      </c>
      <c r="I59" s="11">
        <v>230975</v>
      </c>
      <c r="J59" s="38" t="s">
        <v>736</v>
      </c>
      <c r="K59" s="72">
        <v>212378415</v>
      </c>
      <c r="L59" s="258"/>
      <c r="M59" s="216"/>
      <c r="N59" s="9"/>
      <c r="AG59" s="220">
        <f>IF('[6]2026 február'!B$17=0,
    "",
    '[6]2026 február'!B$17
)</f>
        <v>249980</v>
      </c>
    </row>
    <row r="60" spans="1:33" ht="15" customHeight="1">
      <c r="A60" s="141">
        <v>46070</v>
      </c>
      <c r="B60" s="11">
        <v>308290</v>
      </c>
      <c r="C60" s="11">
        <v>850</v>
      </c>
      <c r="D60" s="11">
        <v>270560</v>
      </c>
      <c r="E60" s="11">
        <v>0</v>
      </c>
      <c r="F60" s="11">
        <v>10150</v>
      </c>
      <c r="G60" s="11">
        <v>1100</v>
      </c>
      <c r="H60" s="11">
        <v>280460</v>
      </c>
      <c r="I60" s="11">
        <v>280460</v>
      </c>
      <c r="J60" s="38" t="s">
        <v>737</v>
      </c>
      <c r="K60" s="72">
        <v>212659975</v>
      </c>
      <c r="L60" s="258"/>
      <c r="M60" s="216"/>
      <c r="N60" s="9"/>
      <c r="AG60" s="220">
        <f>IF('[6]2026 február'!B$18=0,
    "",
    '[6]2026 február'!B$18
)</f>
        <v>308290</v>
      </c>
    </row>
    <row r="61" spans="1:33" ht="15" customHeight="1">
      <c r="A61" s="141">
        <v>46071</v>
      </c>
      <c r="B61" s="11">
        <v>309045</v>
      </c>
      <c r="C61" s="11">
        <v>1550</v>
      </c>
      <c r="D61" s="11">
        <v>260185</v>
      </c>
      <c r="E61" s="11">
        <v>0</v>
      </c>
      <c r="F61" s="11">
        <v>10060</v>
      </c>
      <c r="G61" s="11">
        <v>2450</v>
      </c>
      <c r="H61" s="11">
        <v>269345</v>
      </c>
      <c r="I61" s="11">
        <v>269345</v>
      </c>
      <c r="J61" s="38" t="s">
        <v>738</v>
      </c>
      <c r="K61" s="72">
        <v>212931770</v>
      </c>
      <c r="L61" s="258"/>
      <c r="M61" s="216"/>
      <c r="N61" s="9"/>
      <c r="AG61" s="220">
        <f>IF('[6]2026 február'!B$19=0,
    "",
    '[6]2026 február'!B$19
)</f>
        <v>309045</v>
      </c>
    </row>
    <row r="62" spans="1:33" ht="15" customHeight="1">
      <c r="A62" s="141">
        <v>46072</v>
      </c>
      <c r="B62" s="11">
        <v>342070</v>
      </c>
      <c r="C62" s="11">
        <v>1700</v>
      </c>
      <c r="D62" s="11">
        <v>291475</v>
      </c>
      <c r="E62" s="11">
        <v>0</v>
      </c>
      <c r="F62" s="11">
        <v>8075</v>
      </c>
      <c r="G62" s="11">
        <v>2300</v>
      </c>
      <c r="H62" s="11">
        <v>298950</v>
      </c>
      <c r="I62" s="11">
        <v>298950</v>
      </c>
      <c r="J62" s="38" t="s">
        <v>739</v>
      </c>
      <c r="K62" s="72">
        <v>213233020</v>
      </c>
      <c r="L62" s="258"/>
      <c r="M62" s="216"/>
      <c r="N62" s="9"/>
      <c r="AG62" s="220">
        <f>IF('[6]2026 február'!B$20=0,
    "",
    '[6]2026 február'!B$20
)</f>
        <v>342070</v>
      </c>
    </row>
    <row r="63" spans="1:33" ht="15" customHeight="1">
      <c r="A63" s="141">
        <v>46073</v>
      </c>
      <c r="B63" s="11">
        <v>269185</v>
      </c>
      <c r="C63" s="11">
        <v>1700</v>
      </c>
      <c r="D63" s="11">
        <v>240545</v>
      </c>
      <c r="E63" s="11">
        <v>0</v>
      </c>
      <c r="F63" s="11">
        <v>0</v>
      </c>
      <c r="G63" s="11">
        <v>1050</v>
      </c>
      <c r="H63" s="11">
        <v>241195</v>
      </c>
      <c r="I63" s="11">
        <v>241195</v>
      </c>
      <c r="J63" s="38" t="s">
        <v>740</v>
      </c>
      <c r="K63" s="72">
        <v>213475265</v>
      </c>
      <c r="L63" s="258"/>
      <c r="M63" s="216"/>
      <c r="N63" s="9"/>
      <c r="AG63" s="220">
        <f>IF('[6]2026 február'!B$21=0,
    "",
    '[6]2026 február'!B$21
)</f>
        <v>269185</v>
      </c>
    </row>
    <row r="64" spans="1:33" ht="15" customHeight="1">
      <c r="A64" s="141">
        <v>46074</v>
      </c>
      <c r="B64" s="142"/>
      <c r="C64" s="142"/>
      <c r="D64" s="142"/>
      <c r="E64" s="142"/>
      <c r="F64" s="142"/>
      <c r="G64" s="142"/>
      <c r="H64" s="142"/>
      <c r="I64" s="142"/>
      <c r="J64" s="143"/>
      <c r="K64" s="146"/>
      <c r="L64" s="257"/>
      <c r="M64" s="381"/>
      <c r="N64" s="158"/>
      <c r="AG64" s="220" t="str">
        <f>IF('[6]2026 február'!B$22=0,
    "",
    '[6]2026 február'!B$22
)</f>
        <v/>
      </c>
    </row>
    <row r="65" spans="1:33" ht="15" customHeight="1">
      <c r="A65" s="141">
        <v>46075</v>
      </c>
      <c r="B65" s="142"/>
      <c r="C65" s="142"/>
      <c r="D65" s="142"/>
      <c r="E65" s="142"/>
      <c r="F65" s="142"/>
      <c r="G65" s="142"/>
      <c r="H65" s="142"/>
      <c r="I65" s="142"/>
      <c r="J65" s="143"/>
      <c r="K65" s="146"/>
      <c r="L65" s="257"/>
      <c r="M65" s="381"/>
      <c r="N65" s="158"/>
      <c r="AG65" s="220" t="str">
        <f>IF('[6]2026 február'!B$23=0,
    "",
    '[6]2026 február'!B$23
)</f>
        <v/>
      </c>
    </row>
    <row r="66" spans="1:33" ht="15" customHeight="1">
      <c r="A66" s="141">
        <v>46076</v>
      </c>
      <c r="B66" s="11">
        <v>223475</v>
      </c>
      <c r="C66" s="11">
        <v>1200</v>
      </c>
      <c r="D66" s="11">
        <v>195635</v>
      </c>
      <c r="E66" s="11">
        <v>0</v>
      </c>
      <c r="F66" s="11">
        <v>0</v>
      </c>
      <c r="G66" s="11">
        <v>3200</v>
      </c>
      <c r="H66" s="11">
        <v>193635</v>
      </c>
      <c r="I66" s="11">
        <v>193635</v>
      </c>
      <c r="J66" s="38" t="s">
        <v>315</v>
      </c>
      <c r="K66" s="72">
        <v>213672100</v>
      </c>
      <c r="L66" s="258"/>
      <c r="M66" s="216"/>
      <c r="N66" s="9"/>
      <c r="AG66" s="220">
        <f>IF('[6]2026 február'!B$24=0,
    "",
    '[6]2026 február'!B$24
)</f>
        <v>223475</v>
      </c>
    </row>
    <row r="67" spans="1:33" ht="15" customHeight="1">
      <c r="A67" s="141">
        <v>46077</v>
      </c>
      <c r="B67" s="11">
        <v>259710</v>
      </c>
      <c r="C67" s="11">
        <v>1450</v>
      </c>
      <c r="D67" s="11">
        <v>222365</v>
      </c>
      <c r="E67" s="11">
        <v>0</v>
      </c>
      <c r="F67" s="11">
        <v>15640</v>
      </c>
      <c r="G67" s="11">
        <v>1200</v>
      </c>
      <c r="H67" s="11">
        <v>238255</v>
      </c>
      <c r="I67" s="11">
        <v>238255</v>
      </c>
      <c r="J67" s="38" t="s">
        <v>741</v>
      </c>
      <c r="K67" s="72">
        <v>213911555</v>
      </c>
      <c r="L67" s="258"/>
      <c r="M67" s="216"/>
      <c r="N67" s="9"/>
      <c r="AG67" s="220">
        <f>IF('[6]2026 február'!B$25=0,
    "",
    '[6]2026 február'!B$25
)</f>
        <v>259710</v>
      </c>
    </row>
    <row r="68" spans="1:33" ht="15" customHeight="1">
      <c r="A68" s="141">
        <v>46078</v>
      </c>
      <c r="B68" s="11">
        <v>290500</v>
      </c>
      <c r="C68" s="11">
        <v>1550</v>
      </c>
      <c r="D68" s="11">
        <v>268730</v>
      </c>
      <c r="E68" s="11">
        <v>0</v>
      </c>
      <c r="F68" s="11">
        <v>0</v>
      </c>
      <c r="G68" s="11">
        <v>1580</v>
      </c>
      <c r="H68" s="11">
        <v>268700</v>
      </c>
      <c r="I68" s="11">
        <v>268700</v>
      </c>
      <c r="J68" s="38" t="s">
        <v>742</v>
      </c>
      <c r="K68" s="72">
        <v>214181835</v>
      </c>
      <c r="L68" s="258"/>
      <c r="M68" s="216"/>
      <c r="N68" s="9"/>
      <c r="AG68" s="220">
        <f>IF('[6]2026 február'!B$26=0,
    "",
    '[6]2026 február'!B$26
)</f>
        <v>290500</v>
      </c>
    </row>
    <row r="69" spans="1:33">
      <c r="A69" s="141">
        <v>46079</v>
      </c>
      <c r="B69" s="11">
        <v>245600</v>
      </c>
      <c r="C69" s="11">
        <v>1650</v>
      </c>
      <c r="D69" s="11">
        <v>214775</v>
      </c>
      <c r="E69" s="11">
        <v>0</v>
      </c>
      <c r="F69" s="11">
        <v>7010</v>
      </c>
      <c r="G69" s="11">
        <v>2310</v>
      </c>
      <c r="H69" s="11">
        <v>221125</v>
      </c>
      <c r="I69" s="11">
        <v>221125</v>
      </c>
      <c r="J69" s="38" t="s">
        <v>743</v>
      </c>
      <c r="K69" s="72">
        <v>214405270</v>
      </c>
      <c r="L69" s="258"/>
      <c r="M69" s="216"/>
      <c r="N69" s="9"/>
      <c r="AG69" s="220">
        <f>IF('[6]2026 február'!B$27=0,
    "",
    '[6]2026 február'!B$27
)</f>
        <v>245600</v>
      </c>
    </row>
    <row r="70" spans="1:33">
      <c r="A70" s="141">
        <v>46080</v>
      </c>
      <c r="B70" s="11">
        <v>274405</v>
      </c>
      <c r="C70" s="11">
        <v>1500</v>
      </c>
      <c r="D70" s="11">
        <v>236445</v>
      </c>
      <c r="E70" s="11">
        <v>0</v>
      </c>
      <c r="F70" s="11">
        <v>1610</v>
      </c>
      <c r="G70" s="11">
        <v>1150</v>
      </c>
      <c r="H70" s="11">
        <v>238405</v>
      </c>
      <c r="I70" s="11">
        <v>238405</v>
      </c>
      <c r="J70" s="38" t="s">
        <v>744</v>
      </c>
      <c r="K70" s="72">
        <v>214644825</v>
      </c>
      <c r="L70" s="258"/>
      <c r="M70" s="216"/>
      <c r="N70" s="9"/>
      <c r="AG70" s="220">
        <f>IF('[6]2026 február'!B$28=0,
    "",
    '[6]2026 február'!B$28
)</f>
        <v>274405</v>
      </c>
    </row>
    <row r="71" spans="1:33">
      <c r="A71" s="141">
        <v>46081</v>
      </c>
      <c r="B71" s="142"/>
      <c r="C71" s="142"/>
      <c r="D71" s="142"/>
      <c r="E71" s="142"/>
      <c r="F71" s="142"/>
      <c r="G71" s="142"/>
      <c r="H71" s="142"/>
      <c r="I71" s="142"/>
      <c r="J71" s="143"/>
      <c r="K71" s="146"/>
      <c r="L71" s="257"/>
      <c r="M71" s="381"/>
      <c r="N71" s="158"/>
      <c r="AG71" s="220" t="str">
        <f>IF('[6]2026 február'!B$29=0,
    "",
    '[6]2026 február'!B$29
)</f>
        <v/>
      </c>
    </row>
    <row r="72" spans="1:33" ht="15" customHeight="1">
      <c r="A72" s="5"/>
      <c r="B72" s="11"/>
      <c r="C72" s="11"/>
      <c r="D72" s="11"/>
      <c r="E72" s="11"/>
      <c r="F72" s="11"/>
      <c r="G72" s="11"/>
      <c r="H72" s="11"/>
      <c r="I72" s="11"/>
      <c r="J72" s="38"/>
      <c r="K72" s="72"/>
      <c r="L72" s="258"/>
      <c r="M72" s="216"/>
      <c r="N72" s="9"/>
      <c r="AG72" s="220" t="str">
        <f>IF('[6]2026 február'!B$30=0,
    "",
    '[6]2026 február'!B$30
)</f>
        <v/>
      </c>
    </row>
    <row r="73" spans="1:33" ht="15" customHeight="1">
      <c r="A73" s="5"/>
      <c r="B73" s="11"/>
      <c r="C73" s="11"/>
      <c r="D73" s="11"/>
      <c r="E73" s="11"/>
      <c r="F73" s="11"/>
      <c r="G73" s="11"/>
      <c r="H73" s="11"/>
      <c r="I73" s="11"/>
      <c r="J73" s="38"/>
      <c r="K73" s="72"/>
      <c r="L73" s="258"/>
      <c r="M73" s="216"/>
      <c r="N73" s="9"/>
      <c r="AG73" s="220" t="str">
        <f>IF('[6]2026 február'!B$31=0,
    "",
    '[6]2026 február'!B$31
)</f>
        <v/>
      </c>
    </row>
    <row r="74" spans="1:33">
      <c r="A74" s="141"/>
      <c r="B74" s="11"/>
      <c r="C74" s="11"/>
      <c r="D74" s="11"/>
      <c r="E74" s="11"/>
      <c r="F74" s="11"/>
      <c r="G74" s="11"/>
      <c r="H74" s="11"/>
      <c r="I74" s="11"/>
      <c r="J74" s="205"/>
      <c r="K74" s="206"/>
      <c r="L74" s="379"/>
      <c r="M74" s="388"/>
      <c r="N74" s="9"/>
      <c r="AG74" s="220" t="str">
        <f>IF('[6]2026 február'!B$32=0,
    "",
    '[6]2026 február'!B$32
)</f>
        <v/>
      </c>
    </row>
    <row r="75" spans="1:33">
      <c r="A75" s="18" t="s">
        <v>64</v>
      </c>
      <c r="B75" s="362"/>
      <c r="C75" s="19">
        <f>SUM(C42:C74)</f>
        <v>28620</v>
      </c>
      <c r="D75" s="19">
        <f>SUM(D42:D74)</f>
        <v>4727400</v>
      </c>
      <c r="E75" s="19">
        <f>SUM(E42:E74)</f>
        <v>0</v>
      </c>
      <c r="F75" s="19">
        <f>SUM(F42:F74)</f>
        <v>146125</v>
      </c>
      <c r="G75" s="20">
        <f>SUM(G42:G74)</f>
        <v>37230</v>
      </c>
      <c r="H75" s="20">
        <f>SUM(H44:H74)</f>
        <v>4864915</v>
      </c>
      <c r="I75" s="39">
        <f>SUM(I45:I74)</f>
        <v>4864915</v>
      </c>
      <c r="J75" s="32"/>
      <c r="K75" s="75">
        <v>214644825</v>
      </c>
      <c r="L75" s="75">
        <v>4902145</v>
      </c>
      <c r="M75" s="216"/>
      <c r="N75" s="9"/>
      <c r="AG75" s="220">
        <f>IF('[6]2026 február'!B$33=0,
    "",
    '[6]2026 február'!B$33
)</f>
        <v>5386000</v>
      </c>
    </row>
    <row r="76" spans="1:33" ht="15" customHeight="1">
      <c r="A76" s="5"/>
      <c r="B76" s="11"/>
      <c r="C76" s="29">
        <f>C75+D75+E75+F75</f>
        <v>4902145</v>
      </c>
      <c r="D76" s="10"/>
      <c r="E76" s="10"/>
      <c r="F76" s="10"/>
      <c r="G76" s="47">
        <f>G75+H75</f>
        <v>4902145</v>
      </c>
      <c r="H76" s="10"/>
      <c r="I76" s="10"/>
      <c r="J76" s="33"/>
      <c r="K76" s="11"/>
      <c r="L76" s="11"/>
      <c r="M76" s="216"/>
      <c r="N76" s="9"/>
    </row>
    <row r="77" spans="1:33" ht="15" customHeight="1">
      <c r="B77" s="356"/>
      <c r="G77" s="406"/>
    </row>
    <row r="78" spans="1:33" ht="15" customHeight="1">
      <c r="A78" s="403" t="s">
        <v>177</v>
      </c>
      <c r="B78" s="404"/>
      <c r="C78" s="405"/>
      <c r="D78" s="405"/>
      <c r="E78" s="405"/>
      <c r="F78" s="406"/>
      <c r="G78" s="406"/>
      <c r="I78" s="406"/>
      <c r="J78" s="407"/>
      <c r="K78" s="408"/>
    </row>
    <row r="79" spans="1:33" ht="15" customHeight="1">
      <c r="A79" s="409"/>
      <c r="B79" s="402"/>
      <c r="C79" s="402"/>
      <c r="D79" s="402"/>
      <c r="E79" s="402"/>
      <c r="F79" s="402"/>
      <c r="G79" s="396"/>
      <c r="H79" s="396"/>
      <c r="I79" s="396"/>
      <c r="J79" s="396"/>
      <c r="K79" s="410"/>
    </row>
    <row r="80" spans="1:33" ht="15" customHeight="1">
      <c r="A80" s="628"/>
      <c r="B80" s="629"/>
      <c r="C80" s="629"/>
      <c r="D80" s="629"/>
      <c r="E80" s="629"/>
      <c r="F80" s="629"/>
      <c r="G80" s="411"/>
      <c r="H80" s="411"/>
      <c r="I80" s="411"/>
      <c r="J80" s="411"/>
      <c r="K80" s="412"/>
    </row>
    <row r="81" spans="1:33" ht="15" customHeight="1">
      <c r="B81" s="356"/>
    </row>
    <row r="82" spans="1:33" ht="15" customHeight="1">
      <c r="B82" s="356"/>
    </row>
    <row r="83" spans="1:33" ht="15" customHeight="1">
      <c r="B83" s="356"/>
    </row>
    <row r="84" spans="1:33" ht="15" customHeight="1">
      <c r="B84" s="356"/>
    </row>
    <row r="85" spans="1:33" ht="15" customHeight="1">
      <c r="A85" s="66" t="s">
        <v>5</v>
      </c>
      <c r="B85" s="351"/>
      <c r="C85" s="26"/>
      <c r="D85" s="26"/>
      <c r="E85" s="26"/>
      <c r="F85" s="26"/>
      <c r="G85" s="26"/>
      <c r="H85" s="26"/>
      <c r="I85" s="26"/>
      <c r="J85" s="34"/>
      <c r="K85" s="349"/>
      <c r="L85" s="255"/>
      <c r="M85" s="157"/>
      <c r="N85" s="157"/>
    </row>
    <row r="86" spans="1:33" ht="15" customHeight="1">
      <c r="A86" s="141">
        <v>46082</v>
      </c>
      <c r="B86" s="142"/>
      <c r="C86" s="142"/>
      <c r="D86" s="142"/>
      <c r="E86" s="142"/>
      <c r="F86" s="142"/>
      <c r="G86" s="142"/>
      <c r="H86" s="142"/>
      <c r="I86" s="142"/>
      <c r="J86" s="143"/>
      <c r="K86" s="144"/>
      <c r="L86" s="256"/>
      <c r="M86" s="158"/>
      <c r="N86" s="158"/>
    </row>
    <row r="87" spans="1:33" ht="15" customHeight="1">
      <c r="A87" s="141">
        <v>46083</v>
      </c>
      <c r="B87" s="11">
        <v>232030</v>
      </c>
      <c r="C87" s="11">
        <v>1200</v>
      </c>
      <c r="D87" s="11">
        <v>200705</v>
      </c>
      <c r="E87" s="11">
        <v>0</v>
      </c>
      <c r="F87" s="11">
        <v>11740</v>
      </c>
      <c r="G87" s="11">
        <v>1250</v>
      </c>
      <c r="H87" s="11">
        <v>212395</v>
      </c>
      <c r="I87" s="11">
        <v>212395</v>
      </c>
      <c r="J87" s="38" t="s">
        <v>564</v>
      </c>
      <c r="K87" s="72">
        <v>214858470</v>
      </c>
      <c r="L87" s="72"/>
      <c r="M87" s="9"/>
      <c r="N87" s="9"/>
      <c r="AG87" s="220">
        <f>IF('[6]2026 március'!B$3=0,
    "",
    '[6]2026 március'!B$3
)</f>
        <v>232030</v>
      </c>
    </row>
    <row r="88" spans="1:33" ht="15" customHeight="1">
      <c r="A88" s="141">
        <v>46084</v>
      </c>
      <c r="B88" s="11">
        <v>231625</v>
      </c>
      <c r="C88" s="11">
        <v>1350</v>
      </c>
      <c r="D88" s="11">
        <v>193135</v>
      </c>
      <c r="E88" s="11">
        <v>0</v>
      </c>
      <c r="F88" s="11">
        <v>6600</v>
      </c>
      <c r="G88" s="11">
        <v>1870</v>
      </c>
      <c r="H88" s="11">
        <v>199215</v>
      </c>
      <c r="I88" s="11">
        <v>199215</v>
      </c>
      <c r="J88" s="38" t="s">
        <v>745</v>
      </c>
      <c r="K88" s="72">
        <v>215059555</v>
      </c>
      <c r="L88" s="72"/>
      <c r="M88" s="9"/>
      <c r="N88" s="9"/>
      <c r="AG88" s="220">
        <f>IF('[6]2026 március'!B$4=0,
    "",
    '[6]2026 március'!B$4
)</f>
        <v>231625</v>
      </c>
    </row>
    <row r="89" spans="1:33" ht="15" customHeight="1">
      <c r="A89" s="141">
        <v>46085</v>
      </c>
      <c r="B89" s="11">
        <v>247535</v>
      </c>
      <c r="C89" s="11">
        <v>1550</v>
      </c>
      <c r="D89" s="11">
        <v>187565</v>
      </c>
      <c r="E89" s="11">
        <v>0</v>
      </c>
      <c r="F89" s="11">
        <v>19865</v>
      </c>
      <c r="G89" s="11">
        <v>2450</v>
      </c>
      <c r="H89" s="11">
        <v>206530</v>
      </c>
      <c r="I89" s="11">
        <v>206530</v>
      </c>
      <c r="J89" s="38" t="s">
        <v>746</v>
      </c>
      <c r="K89" s="72">
        <v>215268535</v>
      </c>
      <c r="L89" s="72"/>
      <c r="M89" s="9"/>
      <c r="N89" s="9"/>
      <c r="AG89" s="220">
        <f>IF('[6]2026 március'!B$5=0,
    "",
    '[6]2026 március'!B$5
)</f>
        <v>247535</v>
      </c>
    </row>
    <row r="90" spans="1:33" ht="15" customHeight="1">
      <c r="A90" s="141">
        <v>46086</v>
      </c>
      <c r="B90" s="11">
        <v>258230</v>
      </c>
      <c r="C90" s="11">
        <v>1300</v>
      </c>
      <c r="D90" s="11">
        <v>218740</v>
      </c>
      <c r="E90" s="11">
        <v>0</v>
      </c>
      <c r="F90" s="11">
        <v>8610</v>
      </c>
      <c r="G90" s="11">
        <v>1300</v>
      </c>
      <c r="H90" s="11">
        <v>227350</v>
      </c>
      <c r="I90" s="11">
        <v>227350</v>
      </c>
      <c r="J90" s="38" t="s">
        <v>747</v>
      </c>
      <c r="K90" s="72">
        <v>215497185</v>
      </c>
      <c r="L90" s="72"/>
      <c r="M90" s="9"/>
      <c r="N90" s="9"/>
      <c r="AG90" s="220">
        <f>IF('[6]2026 március'!B$6=0,
    "",
    '[6]2026 március'!B$6
)</f>
        <v>258230</v>
      </c>
    </row>
    <row r="91" spans="1:33" ht="15" customHeight="1">
      <c r="A91" s="141">
        <v>46087</v>
      </c>
      <c r="B91" s="11">
        <v>281765</v>
      </c>
      <c r="C91" s="11">
        <v>4140</v>
      </c>
      <c r="D91" s="11">
        <v>236750</v>
      </c>
      <c r="E91" s="11">
        <v>0</v>
      </c>
      <c r="F91" s="11">
        <v>7260</v>
      </c>
      <c r="G91" s="11">
        <v>100</v>
      </c>
      <c r="H91" s="11">
        <v>248050</v>
      </c>
      <c r="I91" s="11">
        <v>248050</v>
      </c>
      <c r="J91" s="38" t="s">
        <v>748</v>
      </c>
      <c r="K91" s="72">
        <v>215745335</v>
      </c>
      <c r="L91" s="72"/>
      <c r="M91" s="9"/>
      <c r="N91" s="9"/>
      <c r="AG91" s="220">
        <f>IF('[6]2026 március'!B$7=0,
    "",
    '[6]2026 március'!B$7
)</f>
        <v>281765</v>
      </c>
    </row>
    <row r="92" spans="1:33" ht="15" customHeight="1">
      <c r="A92" s="141">
        <v>46088</v>
      </c>
      <c r="B92" s="142"/>
      <c r="C92" s="142"/>
      <c r="D92" s="142"/>
      <c r="E92" s="142"/>
      <c r="F92" s="142"/>
      <c r="G92" s="142"/>
      <c r="H92" s="142"/>
      <c r="I92" s="142"/>
      <c r="J92" s="143"/>
      <c r="K92" s="146"/>
      <c r="L92" s="249"/>
      <c r="M92" s="158"/>
      <c r="N92" s="158"/>
      <c r="AG92" s="220" t="str">
        <f>IF('[6]2026 március'!B$8=0,
    "",
    '[6]2026 március'!B$8
)</f>
        <v/>
      </c>
    </row>
    <row r="93" spans="1:33" ht="15" customHeight="1">
      <c r="A93" s="141">
        <v>46089</v>
      </c>
      <c r="B93" s="142"/>
      <c r="C93" s="142"/>
      <c r="D93" s="142"/>
      <c r="E93" s="142"/>
      <c r="F93" s="142"/>
      <c r="G93" s="142"/>
      <c r="H93" s="142"/>
      <c r="I93" s="142"/>
      <c r="J93" s="143"/>
      <c r="K93" s="146"/>
      <c r="L93" s="249"/>
      <c r="M93" s="158"/>
      <c r="N93" s="158"/>
      <c r="AG93" s="220" t="str">
        <f>IF('[6]2026 március'!B$9=0,
    "",
    '[6]2026 március'!B$9
)</f>
        <v/>
      </c>
    </row>
    <row r="94" spans="1:33" ht="15" customHeight="1">
      <c r="A94" s="141">
        <v>46090</v>
      </c>
      <c r="B94" s="11">
        <v>283205</v>
      </c>
      <c r="C94" s="11">
        <v>1800</v>
      </c>
      <c r="D94" s="11">
        <v>242065</v>
      </c>
      <c r="E94" s="11">
        <v>0</v>
      </c>
      <c r="F94" s="11">
        <v>12640</v>
      </c>
      <c r="G94" s="11">
        <v>2200</v>
      </c>
      <c r="H94" s="11">
        <v>254305</v>
      </c>
      <c r="I94" s="11">
        <v>254305</v>
      </c>
      <c r="J94" s="38" t="s">
        <v>749</v>
      </c>
      <c r="K94" s="72">
        <v>216001840</v>
      </c>
      <c r="L94" s="72"/>
      <c r="M94" s="9"/>
      <c r="N94" s="9"/>
      <c r="AG94" s="220"/>
    </row>
    <row r="95" spans="1:33" ht="15" customHeight="1">
      <c r="A95" s="141">
        <v>46091</v>
      </c>
      <c r="B95" s="11">
        <v>281550</v>
      </c>
      <c r="C95" s="11">
        <v>1450</v>
      </c>
      <c r="D95" s="11">
        <v>255030</v>
      </c>
      <c r="E95" s="11">
        <v>0</v>
      </c>
      <c r="F95" s="11">
        <v>6760</v>
      </c>
      <c r="G95" s="11">
        <v>1150</v>
      </c>
      <c r="H95" s="11">
        <v>262090</v>
      </c>
      <c r="I95" s="11">
        <v>262090</v>
      </c>
      <c r="J95" s="38" t="s">
        <v>750</v>
      </c>
      <c r="K95" s="72">
        <v>216265080</v>
      </c>
      <c r="L95" s="72"/>
      <c r="M95" s="9"/>
      <c r="N95" s="9"/>
      <c r="AG95" s="220">
        <f>IF('[6]2026 március'!B$11=0,
    "",
    '[6]2026 március'!B$11
)</f>
        <v>281550</v>
      </c>
    </row>
    <row r="96" spans="1:33" ht="15" customHeight="1">
      <c r="A96" s="141">
        <v>46092</v>
      </c>
      <c r="B96" s="11">
        <v>310570</v>
      </c>
      <c r="C96" s="11">
        <v>1350</v>
      </c>
      <c r="D96" s="11">
        <v>291250</v>
      </c>
      <c r="E96" s="11">
        <v>0</v>
      </c>
      <c r="F96" s="11">
        <v>0</v>
      </c>
      <c r="G96" s="11">
        <v>2990</v>
      </c>
      <c r="H96" s="11">
        <v>289610</v>
      </c>
      <c r="I96" s="11">
        <v>289610</v>
      </c>
      <c r="J96" s="38" t="s">
        <v>751</v>
      </c>
      <c r="K96" s="72">
        <v>216557680</v>
      </c>
      <c r="L96" s="72"/>
      <c r="M96" s="9"/>
      <c r="N96" s="9"/>
      <c r="AG96" s="220">
        <f>IF('[6]2026 március'!B$12=0,
    "",
    '[6]2026 március'!B$12
)</f>
        <v>310570</v>
      </c>
    </row>
    <row r="97" spans="1:33" ht="15" customHeight="1">
      <c r="A97" s="141">
        <v>46093</v>
      </c>
      <c r="B97" s="11">
        <v>320005</v>
      </c>
      <c r="C97" s="11">
        <v>2150</v>
      </c>
      <c r="D97" s="11">
        <v>282320</v>
      </c>
      <c r="E97" s="11">
        <v>0</v>
      </c>
      <c r="F97" s="11">
        <v>12330</v>
      </c>
      <c r="G97" s="11">
        <v>2930</v>
      </c>
      <c r="H97" s="11">
        <v>293870</v>
      </c>
      <c r="I97" s="11">
        <v>293870</v>
      </c>
      <c r="J97" s="38" t="s">
        <v>752</v>
      </c>
      <c r="K97" s="72">
        <v>216854480</v>
      </c>
      <c r="L97" s="72"/>
      <c r="M97" s="378"/>
      <c r="N97" s="9"/>
      <c r="AG97" s="220">
        <f>IF('[6]2026 március'!B$13=0,
    "",
    '[6]2026 március'!B$13
)</f>
        <v>320005</v>
      </c>
    </row>
    <row r="98" spans="1:33" ht="15" customHeight="1">
      <c r="A98" s="141">
        <v>46094</v>
      </c>
      <c r="B98" s="11">
        <v>283895</v>
      </c>
      <c r="C98" s="11">
        <v>3030</v>
      </c>
      <c r="D98" s="11">
        <v>236830</v>
      </c>
      <c r="E98" s="11">
        <v>0</v>
      </c>
      <c r="F98" s="11">
        <v>23525</v>
      </c>
      <c r="G98" s="11">
        <v>2280</v>
      </c>
      <c r="H98" s="11">
        <v>261105</v>
      </c>
      <c r="I98" s="11">
        <v>261105</v>
      </c>
      <c r="J98" s="38" t="s">
        <v>753</v>
      </c>
      <c r="K98" s="72">
        <v>217117865</v>
      </c>
      <c r="L98" s="72"/>
      <c r="M98" s="9"/>
      <c r="N98" s="9"/>
      <c r="AG98" s="220">
        <f>IF('[6]2026 március'!B$14=0,
    "",
    '[6]2026 március'!B$14
)</f>
        <v>283895</v>
      </c>
    </row>
    <row r="99" spans="1:33" ht="15" customHeight="1">
      <c r="A99" s="141">
        <v>46095</v>
      </c>
      <c r="B99" s="142"/>
      <c r="C99" s="142"/>
      <c r="D99" s="142"/>
      <c r="E99" s="142"/>
      <c r="F99" s="142"/>
      <c r="G99" s="142"/>
      <c r="H99" s="142"/>
      <c r="I99" s="142"/>
      <c r="J99" s="143"/>
      <c r="K99" s="146"/>
      <c r="L99" s="146"/>
      <c r="M99" s="158"/>
      <c r="N99" s="158"/>
      <c r="AG99" s="220" t="str">
        <f>IF('[6]2026 március'!B$15=0,
    "",
    '[6]2026 március'!B$15
)</f>
        <v/>
      </c>
    </row>
    <row r="100" spans="1:33" ht="15" customHeight="1">
      <c r="A100" s="141">
        <v>46096</v>
      </c>
      <c r="B100" s="142"/>
      <c r="C100" s="142"/>
      <c r="D100" s="142"/>
      <c r="E100" s="142"/>
      <c r="F100" s="142"/>
      <c r="G100" s="142"/>
      <c r="H100" s="142"/>
      <c r="I100" s="142"/>
      <c r="J100" s="143"/>
      <c r="K100" s="146"/>
      <c r="L100" s="146"/>
      <c r="M100" s="158"/>
      <c r="N100" s="158"/>
      <c r="AG100" s="220" t="str">
        <f>IF('[6]2026 március'!B$16=0,
    "",
    '[6]2026 március'!B$16
)</f>
        <v/>
      </c>
    </row>
    <row r="101" spans="1:33" ht="15" customHeight="1">
      <c r="A101" s="141">
        <v>46097</v>
      </c>
      <c r="B101" s="11">
        <v>270445</v>
      </c>
      <c r="C101" s="11">
        <v>1900</v>
      </c>
      <c r="D101" s="11">
        <v>228760</v>
      </c>
      <c r="E101" s="11">
        <v>0</v>
      </c>
      <c r="F101" s="11">
        <v>8650</v>
      </c>
      <c r="G101" s="11">
        <v>2400</v>
      </c>
      <c r="H101" s="11">
        <v>236910</v>
      </c>
      <c r="I101" s="11">
        <v>236910</v>
      </c>
      <c r="J101" s="38" t="s">
        <v>754</v>
      </c>
      <c r="K101" s="72">
        <v>217357175</v>
      </c>
      <c r="L101" s="72"/>
      <c r="M101" s="9"/>
      <c r="N101" s="9"/>
      <c r="AG101" s="220">
        <f>IF('[6]2026 március'!B$17=0,
    "",
    '[6]2026 március'!B$17
)</f>
        <v>270445</v>
      </c>
    </row>
    <row r="102" spans="1:33" ht="15" customHeight="1">
      <c r="A102" s="141">
        <v>46098</v>
      </c>
      <c r="B102" s="11">
        <v>292155</v>
      </c>
      <c r="C102" s="11">
        <v>1950</v>
      </c>
      <c r="D102" s="11">
        <v>268330</v>
      </c>
      <c r="E102" s="11">
        <v>0</v>
      </c>
      <c r="F102" s="11">
        <v>6460</v>
      </c>
      <c r="G102" s="11">
        <v>1300</v>
      </c>
      <c r="H102" s="11">
        <v>275440</v>
      </c>
      <c r="I102" s="11">
        <v>275440</v>
      </c>
      <c r="J102" s="38" t="s">
        <v>755</v>
      </c>
      <c r="K102" s="72">
        <v>217633915</v>
      </c>
      <c r="L102" s="72"/>
      <c r="M102" s="9"/>
      <c r="N102" s="9"/>
      <c r="AG102" s="220">
        <f>IF('[6]2026 március'!B$18=0,
    "",
    '[6]2026 március'!B$18
)</f>
        <v>292155</v>
      </c>
    </row>
    <row r="103" spans="1:33" ht="15" customHeight="1">
      <c r="A103" s="141">
        <v>46099</v>
      </c>
      <c r="B103" s="11">
        <v>291840</v>
      </c>
      <c r="C103" s="11">
        <v>2000</v>
      </c>
      <c r="D103" s="11">
        <v>246180</v>
      </c>
      <c r="E103" s="11">
        <v>0</v>
      </c>
      <c r="F103" s="11">
        <v>14000</v>
      </c>
      <c r="G103" s="11">
        <v>400</v>
      </c>
      <c r="H103" s="11">
        <v>261780</v>
      </c>
      <c r="I103" s="11">
        <v>261780</v>
      </c>
      <c r="J103" s="38" t="s">
        <v>756</v>
      </c>
      <c r="K103" s="72">
        <v>217896095</v>
      </c>
      <c r="L103" s="72"/>
      <c r="M103" s="9"/>
      <c r="N103" s="9"/>
      <c r="AG103" s="220">
        <f>IF('[6]2026 március'!B$19=0,
    "",
    '[6]2026 március'!B$19
)</f>
        <v>291840</v>
      </c>
    </row>
    <row r="104" spans="1:33" ht="15" customHeight="1">
      <c r="A104" s="141">
        <v>46100</v>
      </c>
      <c r="B104" s="11">
        <v>309920</v>
      </c>
      <c r="C104" s="11">
        <v>1870</v>
      </c>
      <c r="D104" s="11">
        <v>287325</v>
      </c>
      <c r="E104" s="11">
        <v>0</v>
      </c>
      <c r="F104" s="11">
        <v>11480</v>
      </c>
      <c r="G104" s="11">
        <v>2740</v>
      </c>
      <c r="H104" s="11">
        <v>297935</v>
      </c>
      <c r="I104" s="11">
        <v>297935</v>
      </c>
      <c r="J104" s="38" t="s">
        <v>757</v>
      </c>
      <c r="K104" s="72">
        <v>218196770</v>
      </c>
      <c r="L104" s="72"/>
      <c r="M104" s="9"/>
      <c r="N104" s="9"/>
      <c r="AG104" s="220">
        <f>IF('[6]2026 március'!B$20=0,
    "",
    '[6]2026 március'!B$20
)</f>
        <v>309920</v>
      </c>
    </row>
    <row r="105" spans="1:33">
      <c r="A105" s="141">
        <v>46101</v>
      </c>
      <c r="B105" s="11">
        <v>224775</v>
      </c>
      <c r="C105" s="11">
        <v>1400</v>
      </c>
      <c r="D105" s="11">
        <v>207380</v>
      </c>
      <c r="E105" s="11">
        <v>0</v>
      </c>
      <c r="F105" s="11">
        <v>3230</v>
      </c>
      <c r="G105" s="11">
        <v>1100</v>
      </c>
      <c r="H105" s="11">
        <v>210910</v>
      </c>
      <c r="I105" s="11">
        <v>210910</v>
      </c>
      <c r="J105" s="38" t="s">
        <v>758</v>
      </c>
      <c r="K105" s="72">
        <v>218408780</v>
      </c>
      <c r="L105" s="72"/>
      <c r="M105" s="9"/>
      <c r="N105" s="9"/>
      <c r="AG105" s="220">
        <f>IF('[6]2026 március'!B$21=0,
    "",
    '[6]2026 március'!B$21
)</f>
        <v>224775</v>
      </c>
    </row>
    <row r="106" spans="1:33">
      <c r="A106" s="141">
        <v>46102</v>
      </c>
      <c r="B106" s="142"/>
      <c r="C106" s="142"/>
      <c r="D106" s="142"/>
      <c r="E106" s="142"/>
      <c r="F106" s="142"/>
      <c r="G106" s="142"/>
      <c r="H106" s="142"/>
      <c r="I106" s="142"/>
      <c r="J106" s="143"/>
      <c r="K106" s="146"/>
      <c r="L106" s="146"/>
      <c r="M106" s="158"/>
      <c r="N106" s="158"/>
      <c r="AG106" s="220" t="str">
        <f>IF('[6]2026 március'!B$22=0,
    "",
    '[6]2026 március'!B$22
)</f>
        <v/>
      </c>
    </row>
    <row r="107" spans="1:33">
      <c r="A107" s="141">
        <v>46103</v>
      </c>
      <c r="B107" s="142"/>
      <c r="C107" s="142"/>
      <c r="D107" s="142"/>
      <c r="E107" s="142"/>
      <c r="F107" s="142"/>
      <c r="G107" s="142"/>
      <c r="H107" s="142"/>
      <c r="I107" s="142"/>
      <c r="J107" s="143"/>
      <c r="K107" s="146"/>
      <c r="L107" s="146"/>
      <c r="M107" s="158"/>
      <c r="N107" s="158"/>
      <c r="AG107" s="220" t="str">
        <f>IF('[6]2026 március'!B$23=0,
    "",
    '[6]2026 március'!B$23
)</f>
        <v/>
      </c>
    </row>
    <row r="108" spans="1:33" ht="15" customHeight="1">
      <c r="A108" s="141">
        <v>46104</v>
      </c>
      <c r="B108" s="11">
        <v>231925</v>
      </c>
      <c r="C108" s="11">
        <v>1750</v>
      </c>
      <c r="D108" s="11">
        <v>213840</v>
      </c>
      <c r="E108" s="11">
        <v>0</v>
      </c>
      <c r="F108" s="11">
        <v>2730</v>
      </c>
      <c r="G108" s="11">
        <v>2840</v>
      </c>
      <c r="H108" s="11">
        <v>215480</v>
      </c>
      <c r="I108" s="11">
        <v>215480</v>
      </c>
      <c r="J108" s="38" t="s">
        <v>759</v>
      </c>
      <c r="K108" s="72">
        <v>218627100</v>
      </c>
      <c r="L108" s="72"/>
      <c r="M108" s="9"/>
      <c r="N108" s="9"/>
      <c r="AG108" s="220">
        <f>IF('[6]2026 március'!B$24=0,
    "",
    '[6]2026 március'!B$24
)</f>
        <v>231925</v>
      </c>
    </row>
    <row r="109" spans="1:33" ht="15" customHeight="1">
      <c r="A109" s="141">
        <v>46105</v>
      </c>
      <c r="B109" s="11">
        <v>311175</v>
      </c>
      <c r="C109" s="11">
        <v>1800</v>
      </c>
      <c r="D109" s="11">
        <v>281130</v>
      </c>
      <c r="E109" s="11">
        <v>0</v>
      </c>
      <c r="F109" s="11">
        <v>9870</v>
      </c>
      <c r="G109" s="11">
        <v>2150</v>
      </c>
      <c r="H109" s="11">
        <v>290650</v>
      </c>
      <c r="I109" s="11">
        <v>290650</v>
      </c>
      <c r="J109" s="38" t="s">
        <v>760</v>
      </c>
      <c r="K109" s="72">
        <v>218919900</v>
      </c>
      <c r="L109" s="72"/>
      <c r="M109" s="9"/>
      <c r="N109" s="9"/>
      <c r="AG109" s="220">
        <f>IF('[6]2026 március'!B$25=0,
    "",
    '[6]2026 március'!B$25
)</f>
        <v>311175</v>
      </c>
    </row>
    <row r="110" spans="1:33" ht="15" customHeight="1">
      <c r="A110" s="141">
        <v>46106</v>
      </c>
      <c r="B110" s="11">
        <v>340245</v>
      </c>
      <c r="C110" s="11">
        <v>2500</v>
      </c>
      <c r="D110" s="11">
        <v>295710</v>
      </c>
      <c r="E110" s="11">
        <v>0</v>
      </c>
      <c r="F110" s="11">
        <v>6850</v>
      </c>
      <c r="G110" s="11">
        <v>2300</v>
      </c>
      <c r="H110" s="11">
        <v>302760</v>
      </c>
      <c r="I110" s="11">
        <v>302760</v>
      </c>
      <c r="J110" s="38" t="s">
        <v>761</v>
      </c>
      <c r="K110" s="72">
        <v>219224960</v>
      </c>
      <c r="L110" s="72"/>
      <c r="M110" s="9"/>
      <c r="N110" s="9"/>
      <c r="AG110" s="220">
        <f>IF('[6]2026 március'!B$26=0,
    "",
    '[6]2026 március'!B$26
)</f>
        <v>340245</v>
      </c>
    </row>
    <row r="111" spans="1:33" ht="15" customHeight="1">
      <c r="A111" s="141">
        <v>46107</v>
      </c>
      <c r="B111" s="11">
        <v>312915</v>
      </c>
      <c r="C111" s="11">
        <v>1700</v>
      </c>
      <c r="D111" s="11">
        <v>277600</v>
      </c>
      <c r="E111" s="11">
        <v>0</v>
      </c>
      <c r="F111" s="11">
        <v>490</v>
      </c>
      <c r="G111" s="11">
        <v>2300</v>
      </c>
      <c r="H111" s="589">
        <v>277490</v>
      </c>
      <c r="I111" s="589">
        <v>277790</v>
      </c>
      <c r="J111" s="38" t="s">
        <v>762</v>
      </c>
      <c r="K111" s="72">
        <v>219504750</v>
      </c>
      <c r="L111" s="72"/>
      <c r="M111" s="9"/>
      <c r="N111" s="604" t="s">
        <v>162</v>
      </c>
      <c r="AG111" s="220">
        <f>IF('[6]2026 március'!B$27=0,
    "",
    '[6]2026 március'!B$27
)</f>
        <v>312915</v>
      </c>
    </row>
    <row r="112" spans="1:33" ht="15" customHeight="1">
      <c r="A112" s="141">
        <v>46108</v>
      </c>
      <c r="B112" s="11">
        <v>270445</v>
      </c>
      <c r="C112" s="11">
        <v>1600</v>
      </c>
      <c r="D112" s="11">
        <v>238395</v>
      </c>
      <c r="E112" s="11">
        <v>0</v>
      </c>
      <c r="F112" s="11">
        <v>8720</v>
      </c>
      <c r="G112" s="11">
        <v>1200</v>
      </c>
      <c r="H112" s="589">
        <v>247515</v>
      </c>
      <c r="I112" s="589">
        <v>247215</v>
      </c>
      <c r="J112" s="38" t="s">
        <v>763</v>
      </c>
      <c r="K112" s="72">
        <v>219753465</v>
      </c>
      <c r="L112" s="72"/>
      <c r="M112" s="9"/>
      <c r="N112" s="604" t="s">
        <v>162</v>
      </c>
      <c r="AG112" s="220">
        <f>IF('[6]2026 március'!B$28=0,
    "",
    '[6]2026 március'!B$28
)</f>
        <v>270445</v>
      </c>
    </row>
    <row r="113" spans="1:33" ht="15" customHeight="1">
      <c r="A113" s="141">
        <v>46109</v>
      </c>
      <c r="B113" s="142"/>
      <c r="C113" s="142"/>
      <c r="D113" s="142"/>
      <c r="E113" s="142"/>
      <c r="F113" s="142"/>
      <c r="G113" s="142"/>
      <c r="H113" s="142"/>
      <c r="I113" s="142"/>
      <c r="J113" s="143"/>
      <c r="K113" s="146"/>
      <c r="L113" s="146"/>
      <c r="M113" s="158"/>
      <c r="N113" s="158"/>
      <c r="AG113" s="220" t="str">
        <f>IF('[6]2026 március'!B$29=0,
    "",
    '[6]2026 március'!B$29
)</f>
        <v/>
      </c>
    </row>
    <row r="114" spans="1:33" ht="15" customHeight="1">
      <c r="A114" s="141">
        <v>46110</v>
      </c>
      <c r="B114" s="142"/>
      <c r="C114" s="142"/>
      <c r="D114" s="142"/>
      <c r="E114" s="142"/>
      <c r="F114" s="142"/>
      <c r="G114" s="142"/>
      <c r="H114" s="142"/>
      <c r="I114" s="142"/>
      <c r="J114" s="143"/>
      <c r="K114" s="146"/>
      <c r="L114" s="146"/>
      <c r="M114" s="158"/>
      <c r="N114" s="158"/>
      <c r="AG114" s="220" t="str">
        <f>IF('[6]2026 március'!B$30=0,
    "",
    '[6]2026 március'!B$30
)</f>
        <v/>
      </c>
    </row>
    <row r="115" spans="1:33" ht="15" customHeight="1">
      <c r="A115" s="141">
        <v>46111</v>
      </c>
      <c r="B115" s="11">
        <v>257371</v>
      </c>
      <c r="C115" s="11">
        <v>1500</v>
      </c>
      <c r="D115" s="11">
        <v>233996</v>
      </c>
      <c r="E115" s="11">
        <v>0</v>
      </c>
      <c r="F115" s="11">
        <v>11220</v>
      </c>
      <c r="G115" s="11">
        <v>5300</v>
      </c>
      <c r="H115" s="11">
        <v>241416</v>
      </c>
      <c r="I115" s="11">
        <v>241416</v>
      </c>
      <c r="J115" s="38" t="s">
        <v>764</v>
      </c>
      <c r="K115" s="72">
        <v>220000181</v>
      </c>
      <c r="L115" s="72"/>
      <c r="M115" s="9"/>
      <c r="N115" s="9"/>
      <c r="AG115" s="220">
        <f>IF('[6]2026 március'!B$31=0,
    "",
    '[6]2026 március'!B$31
)</f>
        <v>257371</v>
      </c>
    </row>
    <row r="116" spans="1:33" ht="15" customHeight="1">
      <c r="A116" s="141">
        <v>46112</v>
      </c>
      <c r="B116" s="11">
        <v>283863</v>
      </c>
      <c r="C116" s="11">
        <v>1900</v>
      </c>
      <c r="D116" s="11">
        <v>242768</v>
      </c>
      <c r="E116" s="11">
        <v>0</v>
      </c>
      <c r="F116" s="11">
        <v>13380</v>
      </c>
      <c r="G116" s="11">
        <v>1200</v>
      </c>
      <c r="H116" s="11">
        <v>256848</v>
      </c>
      <c r="I116" s="11">
        <v>256848</v>
      </c>
      <c r="J116" s="38" t="s">
        <v>765</v>
      </c>
      <c r="K116" s="72">
        <v>220258229</v>
      </c>
      <c r="L116" s="72"/>
      <c r="M116" s="9"/>
      <c r="N116" s="9"/>
      <c r="AG116" s="220">
        <f>IF('[6]2026 március'!B$32=0,
    "",
    '[6]2026 március'!B$32
)</f>
        <v>283863</v>
      </c>
    </row>
    <row r="117" spans="1:33" ht="15" customHeight="1">
      <c r="A117" s="141"/>
      <c r="B117" s="11"/>
      <c r="C117" s="11"/>
      <c r="D117" s="11"/>
      <c r="E117" s="11"/>
      <c r="F117" s="11"/>
      <c r="G117" s="11"/>
      <c r="H117" s="11"/>
      <c r="I117" s="11"/>
      <c r="J117" s="205"/>
      <c r="K117" s="206"/>
      <c r="L117" s="206"/>
      <c r="M117" s="380"/>
      <c r="N117" s="184"/>
      <c r="AG117" s="220">
        <f>IF('[6]2026 március'!B$33=0,
    "",
    '[6]2026 március'!B$33
)</f>
        <v>6127484</v>
      </c>
    </row>
    <row r="118" spans="1:33">
      <c r="A118" s="18" t="s">
        <v>64</v>
      </c>
      <c r="B118" s="362"/>
      <c r="C118" s="19">
        <f>SUM(C86:C117)</f>
        <v>41190</v>
      </c>
      <c r="D118" s="19">
        <f>SUM(D86:D117)</f>
        <v>5365804</v>
      </c>
      <c r="E118" s="19">
        <f>SUM(E86:E117)</f>
        <v>0</v>
      </c>
      <c r="F118" s="19">
        <f>SUM(F86:F117)</f>
        <v>206410</v>
      </c>
      <c r="G118" s="20">
        <f>SUM(G86:G117)</f>
        <v>43750</v>
      </c>
      <c r="H118" s="20">
        <f>SUM(H86:H117)</f>
        <v>5569654</v>
      </c>
      <c r="I118" s="39">
        <f>SUM(I86:I117)</f>
        <v>5569654</v>
      </c>
      <c r="J118" s="32"/>
      <c r="K118" s="586">
        <v>220258229</v>
      </c>
      <c r="L118" s="586">
        <v>4613404</v>
      </c>
      <c r="M118" s="9"/>
      <c r="N118" s="184"/>
    </row>
    <row r="119" spans="1:33">
      <c r="A119" s="5"/>
      <c r="B119" s="11"/>
      <c r="C119" s="29">
        <f>C118+D118+E118+F118</f>
        <v>5613404</v>
      </c>
      <c r="D119" s="10"/>
      <c r="E119" s="10"/>
      <c r="F119" s="10"/>
      <c r="G119" s="47">
        <f>G118+H118</f>
        <v>5613404</v>
      </c>
      <c r="H119" s="10"/>
      <c r="I119" s="10"/>
      <c r="J119" s="33"/>
      <c r="K119" s="11"/>
      <c r="L119" s="414"/>
      <c r="M119" s="9"/>
      <c r="N119" s="382"/>
    </row>
    <row r="120" spans="1:33" ht="15" customHeight="1">
      <c r="B120" s="356"/>
      <c r="J120"/>
      <c r="K120"/>
      <c r="L120" s="261"/>
      <c r="M120" s="261"/>
      <c r="N120" s="136"/>
    </row>
    <row r="121" spans="1:33" ht="15" customHeight="1">
      <c r="A121" s="403" t="s">
        <v>177</v>
      </c>
      <c r="B121" s="592"/>
      <c r="C121" s="405"/>
      <c r="D121" s="405"/>
      <c r="E121" s="405"/>
      <c r="F121" s="593"/>
      <c r="G121" s="593"/>
      <c r="H121" s="593"/>
      <c r="I121" s="593"/>
      <c r="J121" s="594"/>
      <c r="K121" s="595"/>
      <c r="L121" s="261"/>
      <c r="M121" s="261"/>
      <c r="N121" s="136"/>
    </row>
    <row r="122" spans="1:33" ht="15" customHeight="1">
      <c r="A122" s="409"/>
      <c r="B122" s="402"/>
      <c r="C122" s="402"/>
      <c r="D122" s="402"/>
      <c r="E122" s="402"/>
      <c r="F122" s="402"/>
      <c r="G122" s="402"/>
      <c r="H122" s="402"/>
      <c r="I122" s="402"/>
      <c r="J122" s="402"/>
      <c r="K122" s="596"/>
      <c r="L122" s="261"/>
      <c r="M122" s="261"/>
      <c r="N122" s="136"/>
    </row>
    <row r="123" spans="1:33" ht="15" customHeight="1">
      <c r="A123" s="590"/>
      <c r="B123" s="591"/>
      <c r="C123" s="591"/>
      <c r="D123" s="591"/>
      <c r="E123" s="591"/>
      <c r="F123" s="591"/>
      <c r="G123" s="591"/>
      <c r="H123" s="591"/>
      <c r="I123" s="591"/>
      <c r="J123" s="591"/>
      <c r="K123" s="597"/>
      <c r="L123" s="261"/>
      <c r="M123" s="261"/>
      <c r="N123" s="136"/>
    </row>
    <row r="124" spans="1:33" ht="15" customHeight="1">
      <c r="B124" s="356"/>
    </row>
    <row r="125" spans="1:33" ht="15" customHeight="1">
      <c r="B125" s="356"/>
    </row>
    <row r="126" spans="1:33" ht="15" customHeight="1">
      <c r="A126" s="66" t="s">
        <v>6</v>
      </c>
      <c r="B126" s="351"/>
      <c r="C126" s="26"/>
      <c r="D126" s="26"/>
      <c r="E126" s="26"/>
      <c r="F126" s="26"/>
      <c r="G126" s="26"/>
      <c r="H126" s="26"/>
      <c r="I126" s="26"/>
      <c r="J126" s="34"/>
      <c r="K126" s="349"/>
      <c r="L126" s="255"/>
      <c r="M126" s="157"/>
      <c r="N126" s="157"/>
    </row>
    <row r="127" spans="1:33" ht="15" customHeight="1">
      <c r="A127" s="141">
        <v>46113</v>
      </c>
      <c r="B127" s="11"/>
      <c r="C127" s="11"/>
      <c r="D127" s="11"/>
      <c r="E127" s="11"/>
      <c r="F127" s="11"/>
      <c r="G127" s="11"/>
      <c r="H127" s="11"/>
      <c r="I127" s="11"/>
      <c r="J127" s="38"/>
      <c r="K127" s="71"/>
      <c r="L127" s="377"/>
      <c r="M127" s="9"/>
      <c r="N127" s="9"/>
    </row>
    <row r="128" spans="1:33" ht="15" customHeight="1">
      <c r="A128" s="141">
        <v>46114</v>
      </c>
      <c r="B128" s="11"/>
      <c r="C128" s="11"/>
      <c r="D128" s="11"/>
      <c r="E128" s="11"/>
      <c r="F128" s="11"/>
      <c r="G128" s="11"/>
      <c r="H128" s="11"/>
      <c r="I128" s="11"/>
      <c r="J128" s="38"/>
      <c r="K128" s="72"/>
      <c r="L128" s="72"/>
      <c r="M128" s="9"/>
      <c r="N128" s="9"/>
      <c r="AG128" s="220">
        <f>IF('[6]2026 március'!B$3=0,
    "",
    '[6]2026 március'!B$3
)</f>
        <v>232030</v>
      </c>
    </row>
    <row r="129" spans="1:33" ht="15" customHeight="1">
      <c r="A129" s="141">
        <v>46115</v>
      </c>
      <c r="B129" s="142"/>
      <c r="C129" s="142"/>
      <c r="D129" s="142"/>
      <c r="E129" s="142"/>
      <c r="F129" s="142"/>
      <c r="G129" s="142"/>
      <c r="H129" s="142"/>
      <c r="I129" s="142"/>
      <c r="J129" s="143"/>
      <c r="K129" s="146"/>
      <c r="L129" s="146"/>
      <c r="M129" s="158"/>
      <c r="N129" s="158"/>
      <c r="AG129" s="220">
        <f>IF('[6]2026 március'!B$4=0,
    "",
    '[6]2026 március'!B$4
)</f>
        <v>231625</v>
      </c>
    </row>
    <row r="130" spans="1:33" ht="15" customHeight="1">
      <c r="A130" s="141">
        <v>46116</v>
      </c>
      <c r="B130" s="142"/>
      <c r="C130" s="142"/>
      <c r="D130" s="142"/>
      <c r="E130" s="142"/>
      <c r="F130" s="142"/>
      <c r="G130" s="142"/>
      <c r="H130" s="142"/>
      <c r="I130" s="142"/>
      <c r="J130" s="143"/>
      <c r="K130" s="146"/>
      <c r="L130" s="146"/>
      <c r="M130" s="158"/>
      <c r="N130" s="158"/>
      <c r="AG130" s="220">
        <f>IF('[6]2026 március'!B$5=0,
    "",
    '[6]2026 március'!B$5
)</f>
        <v>247535</v>
      </c>
    </row>
    <row r="131" spans="1:33" ht="15" customHeight="1">
      <c r="A131" s="141">
        <v>46117</v>
      </c>
      <c r="B131" s="142"/>
      <c r="C131" s="142"/>
      <c r="D131" s="142"/>
      <c r="E131" s="142"/>
      <c r="F131" s="142"/>
      <c r="G131" s="142"/>
      <c r="H131" s="142"/>
      <c r="I131" s="142"/>
      <c r="J131" s="143"/>
      <c r="K131" s="146"/>
      <c r="L131" s="146"/>
      <c r="M131" s="158"/>
      <c r="N131" s="158"/>
      <c r="AG131" s="220">
        <f>IF('[6]2026 március'!B$6=0,
    "",
    '[6]2026 március'!B$6
)</f>
        <v>258230</v>
      </c>
    </row>
    <row r="132" spans="1:33" ht="15" customHeight="1">
      <c r="A132" s="141">
        <v>46118</v>
      </c>
      <c r="B132" s="142"/>
      <c r="C132" s="142"/>
      <c r="D132" s="142"/>
      <c r="E132" s="142"/>
      <c r="F132" s="142"/>
      <c r="G132" s="142"/>
      <c r="H132" s="142"/>
      <c r="I132" s="142"/>
      <c r="J132" s="143"/>
      <c r="K132" s="146"/>
      <c r="L132" s="146"/>
      <c r="M132" s="158"/>
      <c r="N132" s="158"/>
      <c r="AG132" s="220">
        <f>IF('[6]2026 március'!B$7=0,
    "",
    '[6]2026 március'!B$7
)</f>
        <v>281765</v>
      </c>
    </row>
    <row r="133" spans="1:33" ht="15" customHeight="1">
      <c r="A133" s="141">
        <v>46119</v>
      </c>
      <c r="B133" s="11"/>
      <c r="C133" s="11"/>
      <c r="D133" s="11"/>
      <c r="E133" s="11"/>
      <c r="F133" s="11"/>
      <c r="G133" s="11"/>
      <c r="H133" s="11"/>
      <c r="I133" s="11"/>
      <c r="J133" s="38"/>
      <c r="K133" s="72"/>
      <c r="L133" s="250"/>
      <c r="M133" s="9"/>
      <c r="N133" s="9"/>
      <c r="AG133" s="220" t="str">
        <f>IF('[6]2026 március'!B$8=0,
    "",
    '[6]2026 március'!B$8
)</f>
        <v/>
      </c>
    </row>
    <row r="134" spans="1:33" ht="15" customHeight="1">
      <c r="A134" s="141">
        <v>46120</v>
      </c>
      <c r="B134" s="11"/>
      <c r="C134" s="11"/>
      <c r="D134" s="11"/>
      <c r="E134" s="11"/>
      <c r="F134" s="11"/>
      <c r="G134" s="11"/>
      <c r="H134" s="11"/>
      <c r="I134" s="11"/>
      <c r="J134" s="38"/>
      <c r="K134" s="72"/>
      <c r="L134" s="250"/>
      <c r="M134" s="9"/>
      <c r="N134" s="9"/>
      <c r="AG134" s="220" t="str">
        <f>IF('[6]2026 március'!B$9=0,
    "",
    '[6]2026 március'!B$9
)</f>
        <v/>
      </c>
    </row>
    <row r="135" spans="1:33" ht="15" customHeight="1">
      <c r="A135" s="141">
        <v>46121</v>
      </c>
      <c r="B135" s="11"/>
      <c r="C135" s="11"/>
      <c r="D135" s="11"/>
      <c r="E135" s="11"/>
      <c r="F135" s="11"/>
      <c r="G135" s="11"/>
      <c r="H135" s="11"/>
      <c r="I135" s="11"/>
      <c r="J135" s="38"/>
      <c r="K135" s="72"/>
      <c r="L135" s="72"/>
      <c r="M135" s="9"/>
      <c r="N135" s="9"/>
      <c r="AG135" s="220"/>
    </row>
    <row r="136" spans="1:33" ht="15" customHeight="1">
      <c r="A136" s="141">
        <v>46122</v>
      </c>
      <c r="B136" s="11"/>
      <c r="C136" s="11"/>
      <c r="D136" s="11"/>
      <c r="E136" s="11"/>
      <c r="F136" s="11"/>
      <c r="G136" s="11"/>
      <c r="H136" s="11"/>
      <c r="I136" s="11"/>
      <c r="J136" s="38"/>
      <c r="K136" s="72"/>
      <c r="L136" s="72"/>
      <c r="M136" s="9"/>
      <c r="N136" s="9"/>
      <c r="AG136" s="220">
        <f>IF('[6]2026 március'!B$11=0,
    "",
    '[6]2026 március'!B$11
)</f>
        <v>281550</v>
      </c>
    </row>
    <row r="137" spans="1:33" ht="15" customHeight="1">
      <c r="A137" s="141">
        <v>46123</v>
      </c>
      <c r="B137" s="142"/>
      <c r="C137" s="142"/>
      <c r="D137" s="142"/>
      <c r="E137" s="142"/>
      <c r="F137" s="142"/>
      <c r="G137" s="142"/>
      <c r="H137" s="142"/>
      <c r="I137" s="142"/>
      <c r="J137" s="143"/>
      <c r="K137" s="146"/>
      <c r="L137" s="146"/>
      <c r="M137" s="158"/>
      <c r="N137" s="158"/>
      <c r="AG137" s="220">
        <f>IF('[6]2026 március'!B$12=0,
    "",
    '[6]2026 március'!B$12
)</f>
        <v>310570</v>
      </c>
    </row>
    <row r="138" spans="1:33" ht="15" customHeight="1">
      <c r="A138" s="141">
        <v>46124</v>
      </c>
      <c r="B138" s="142"/>
      <c r="C138" s="142"/>
      <c r="D138" s="142"/>
      <c r="E138" s="142"/>
      <c r="F138" s="142"/>
      <c r="G138" s="142"/>
      <c r="H138" s="142"/>
      <c r="I138" s="142"/>
      <c r="J138" s="143"/>
      <c r="K138" s="146"/>
      <c r="L138" s="146"/>
      <c r="M138" s="547"/>
      <c r="N138" s="158"/>
      <c r="AG138" s="220">
        <f>IF('[6]2026 március'!B$13=0,
    "",
    '[6]2026 március'!B$13
)</f>
        <v>320005</v>
      </c>
    </row>
    <row r="139" spans="1:33" ht="15" customHeight="1">
      <c r="A139" s="141">
        <v>46125</v>
      </c>
      <c r="B139" s="11"/>
      <c r="C139" s="11"/>
      <c r="D139" s="11"/>
      <c r="E139" s="11"/>
      <c r="F139" s="11"/>
      <c r="G139" s="11"/>
      <c r="H139" s="11"/>
      <c r="I139" s="11"/>
      <c r="J139" s="38"/>
      <c r="K139" s="72"/>
      <c r="L139" s="72"/>
      <c r="M139" s="9"/>
      <c r="N139" s="9"/>
      <c r="AG139" s="220">
        <f>IF('[6]2026 március'!B$14=0,
    "",
    '[6]2026 március'!B$14
)</f>
        <v>283895</v>
      </c>
    </row>
    <row r="140" spans="1:33" ht="15" customHeight="1">
      <c r="A140" s="141">
        <v>46126</v>
      </c>
      <c r="B140" s="11"/>
      <c r="C140" s="11"/>
      <c r="D140" s="11"/>
      <c r="E140" s="11"/>
      <c r="F140" s="11"/>
      <c r="G140" s="11"/>
      <c r="H140" s="11"/>
      <c r="I140" s="11"/>
      <c r="J140" s="38"/>
      <c r="K140" s="72"/>
      <c r="L140" s="72"/>
      <c r="M140" s="9"/>
      <c r="N140" s="9"/>
      <c r="AG140" s="220" t="str">
        <f>IF('[6]2026 március'!B$15=0,
    "",
    '[6]2026 március'!B$15
)</f>
        <v/>
      </c>
    </row>
    <row r="141" spans="1:33" ht="15" customHeight="1">
      <c r="A141" s="141">
        <v>46127</v>
      </c>
      <c r="B141" s="11"/>
      <c r="C141" s="11"/>
      <c r="D141" s="11"/>
      <c r="E141" s="11"/>
      <c r="F141" s="11"/>
      <c r="G141" s="11"/>
      <c r="H141" s="11"/>
      <c r="I141" s="11"/>
      <c r="J141" s="38"/>
      <c r="K141" s="72"/>
      <c r="L141" s="72"/>
      <c r="M141" s="9"/>
      <c r="N141" s="9"/>
      <c r="AG141" s="220" t="str">
        <f>IF('[6]2026 március'!B$16=0,
    "",
    '[6]2026 március'!B$16
)</f>
        <v/>
      </c>
    </row>
    <row r="142" spans="1:33" ht="15" customHeight="1">
      <c r="A142" s="141">
        <v>46128</v>
      </c>
      <c r="B142" s="11"/>
      <c r="C142" s="11"/>
      <c r="D142" s="11"/>
      <c r="E142" s="11"/>
      <c r="F142" s="11"/>
      <c r="G142" s="11"/>
      <c r="H142" s="11"/>
      <c r="I142" s="11"/>
      <c r="J142" s="38"/>
      <c r="K142" s="72"/>
      <c r="L142" s="72"/>
      <c r="M142" s="9"/>
      <c r="N142" s="9"/>
      <c r="AG142" s="220">
        <f>IF('[6]2026 március'!B$17=0,
    "",
    '[6]2026 március'!B$17
)</f>
        <v>270445</v>
      </c>
    </row>
    <row r="143" spans="1:33" ht="15" customHeight="1">
      <c r="A143" s="141">
        <v>46129</v>
      </c>
      <c r="B143" s="11"/>
      <c r="C143" s="11"/>
      <c r="D143" s="11"/>
      <c r="E143" s="11"/>
      <c r="F143" s="11"/>
      <c r="G143" s="11"/>
      <c r="H143" s="11"/>
      <c r="I143" s="11"/>
      <c r="J143" s="38"/>
      <c r="K143" s="72"/>
      <c r="L143" s="72"/>
      <c r="M143" s="9"/>
      <c r="N143" s="9"/>
      <c r="AG143" s="220">
        <f>IF('[6]2026 március'!B$18=0,
    "",
    '[6]2026 március'!B$18
)</f>
        <v>292155</v>
      </c>
    </row>
    <row r="144" spans="1:33" ht="15" customHeight="1">
      <c r="A144" s="141">
        <v>46130</v>
      </c>
      <c r="B144" s="142"/>
      <c r="C144" s="142"/>
      <c r="D144" s="142"/>
      <c r="E144" s="142"/>
      <c r="F144" s="142"/>
      <c r="G144" s="142"/>
      <c r="H144" s="142"/>
      <c r="I144" s="142"/>
      <c r="J144" s="143"/>
      <c r="K144" s="146"/>
      <c r="L144" s="146"/>
      <c r="M144" s="158"/>
      <c r="N144" s="158"/>
      <c r="AG144" s="220">
        <f>IF('[6]2026 március'!B$19=0,
    "",
    '[6]2026 március'!B$19
)</f>
        <v>291840</v>
      </c>
    </row>
    <row r="145" spans="1:33" ht="15" customHeight="1">
      <c r="A145" s="141">
        <v>46131</v>
      </c>
      <c r="B145" s="142"/>
      <c r="C145" s="142"/>
      <c r="D145" s="142"/>
      <c r="E145" s="142"/>
      <c r="F145" s="142"/>
      <c r="G145" s="142"/>
      <c r="H145" s="142"/>
      <c r="I145" s="142"/>
      <c r="J145" s="143"/>
      <c r="K145" s="146"/>
      <c r="L145" s="146"/>
      <c r="M145" s="158"/>
      <c r="N145" s="158"/>
      <c r="AG145" s="220">
        <f>IF('[6]2026 március'!B$20=0,
    "",
    '[6]2026 március'!B$20
)</f>
        <v>309920</v>
      </c>
    </row>
    <row r="146" spans="1:33" ht="15" customHeight="1">
      <c r="A146" s="141">
        <v>46132</v>
      </c>
      <c r="B146" s="11"/>
      <c r="C146" s="11"/>
      <c r="D146" s="11"/>
      <c r="E146" s="11"/>
      <c r="F146" s="11"/>
      <c r="G146" s="11"/>
      <c r="H146" s="11"/>
      <c r="I146" s="11"/>
      <c r="J146" s="38"/>
      <c r="K146" s="72"/>
      <c r="L146" s="72"/>
      <c r="M146" s="9"/>
      <c r="N146" s="9"/>
      <c r="AG146" s="220">
        <f>IF('[6]2026 március'!B$21=0,
    "",
    '[6]2026 március'!B$21
)</f>
        <v>224775</v>
      </c>
    </row>
    <row r="147" spans="1:33" ht="15" customHeight="1">
      <c r="A147" s="141">
        <v>46133</v>
      </c>
      <c r="B147" s="11"/>
      <c r="C147" s="11"/>
      <c r="D147" s="11"/>
      <c r="E147" s="11"/>
      <c r="F147" s="11"/>
      <c r="G147" s="11"/>
      <c r="H147" s="11"/>
      <c r="I147" s="11"/>
      <c r="J147" s="38"/>
      <c r="K147" s="72"/>
      <c r="L147" s="72"/>
      <c r="M147" s="9"/>
      <c r="N147" s="9"/>
      <c r="AG147" s="220" t="str">
        <f>IF('[6]2026 március'!B$22=0,
    "",
    '[6]2026 március'!B$22
)</f>
        <v/>
      </c>
    </row>
    <row r="148" spans="1:33" ht="15" customHeight="1">
      <c r="A148" s="141">
        <v>46134</v>
      </c>
      <c r="B148" s="11"/>
      <c r="C148" s="11"/>
      <c r="D148" s="11"/>
      <c r="E148" s="11"/>
      <c r="F148" s="11"/>
      <c r="G148" s="11"/>
      <c r="H148" s="11"/>
      <c r="I148" s="11"/>
      <c r="J148" s="38"/>
      <c r="K148" s="72"/>
      <c r="L148" s="72"/>
      <c r="M148" s="9"/>
      <c r="N148" s="9"/>
      <c r="AG148" s="220" t="str">
        <f>IF('[6]2026 március'!B$23=0,
    "",
    '[6]2026 március'!B$23
)</f>
        <v/>
      </c>
    </row>
    <row r="149" spans="1:33">
      <c r="A149" s="141">
        <v>46135</v>
      </c>
      <c r="B149" s="11"/>
      <c r="C149" s="11"/>
      <c r="D149" s="11"/>
      <c r="E149" s="11"/>
      <c r="F149" s="11"/>
      <c r="G149" s="11"/>
      <c r="H149" s="11"/>
      <c r="I149" s="11"/>
      <c r="J149" s="38"/>
      <c r="K149" s="72"/>
      <c r="L149" s="72"/>
      <c r="M149" s="9"/>
      <c r="N149" s="9"/>
      <c r="AG149" s="220">
        <f>IF('[6]2026 március'!B$24=0,
    "",
    '[6]2026 március'!B$24
)</f>
        <v>231925</v>
      </c>
    </row>
    <row r="150" spans="1:33">
      <c r="A150" s="141">
        <v>46136</v>
      </c>
      <c r="B150" s="11"/>
      <c r="C150" s="11"/>
      <c r="D150" s="11"/>
      <c r="E150" s="11"/>
      <c r="F150" s="11"/>
      <c r="G150" s="11"/>
      <c r="H150" s="11"/>
      <c r="I150" s="11"/>
      <c r="J150" s="38"/>
      <c r="K150" s="72"/>
      <c r="L150" s="72"/>
      <c r="M150" s="9"/>
      <c r="N150" s="9"/>
      <c r="AG150" s="220">
        <f>IF('[6]2026 március'!B$25=0,
    "",
    '[6]2026 március'!B$25
)</f>
        <v>311175</v>
      </c>
    </row>
    <row r="151" spans="1:33">
      <c r="A151" s="141">
        <v>46137</v>
      </c>
      <c r="B151" s="142"/>
      <c r="C151" s="142"/>
      <c r="D151" s="142"/>
      <c r="E151" s="142"/>
      <c r="F151" s="142"/>
      <c r="G151" s="142"/>
      <c r="H151" s="142"/>
      <c r="I151" s="142"/>
      <c r="J151" s="143"/>
      <c r="K151" s="146"/>
      <c r="L151" s="146"/>
      <c r="M151" s="158"/>
      <c r="N151" s="158"/>
      <c r="AG151" s="220">
        <f>IF('[6]2026 március'!B$26=0,
    "",
    '[6]2026 március'!B$26
)</f>
        <v>340245</v>
      </c>
    </row>
    <row r="152" spans="1:33">
      <c r="A152" s="141">
        <v>46138</v>
      </c>
      <c r="B152" s="142"/>
      <c r="C152" s="142"/>
      <c r="D152" s="142"/>
      <c r="E152" s="142"/>
      <c r="F152" s="142"/>
      <c r="G152" s="142"/>
      <c r="H152" s="142"/>
      <c r="I152" s="142"/>
      <c r="J152" s="143"/>
      <c r="K152" s="146"/>
      <c r="L152" s="146"/>
      <c r="M152" s="158"/>
      <c r="N152" s="158"/>
      <c r="AG152" s="220">
        <f>IF('[6]2026 március'!B$27=0,
    "",
    '[6]2026 március'!B$27
)</f>
        <v>312915</v>
      </c>
    </row>
    <row r="153" spans="1:33" ht="15" customHeight="1">
      <c r="A153" s="141">
        <v>46139</v>
      </c>
      <c r="B153" s="11"/>
      <c r="C153" s="11"/>
      <c r="D153" s="11"/>
      <c r="E153" s="11"/>
      <c r="F153" s="11"/>
      <c r="G153" s="11"/>
      <c r="H153" s="11"/>
      <c r="I153" s="11"/>
      <c r="J153" s="38"/>
      <c r="K153" s="72"/>
      <c r="L153" s="72"/>
      <c r="M153" s="9"/>
      <c r="N153" s="9"/>
      <c r="AG153" s="220">
        <f>IF('[6]2026 március'!B$28=0,
    "",
    '[6]2026 március'!B$28
)</f>
        <v>270445</v>
      </c>
    </row>
    <row r="154" spans="1:33" ht="15" customHeight="1">
      <c r="A154" s="141">
        <v>46140</v>
      </c>
      <c r="B154" s="11"/>
      <c r="C154" s="11"/>
      <c r="D154" s="11"/>
      <c r="E154" s="11"/>
      <c r="F154" s="11"/>
      <c r="G154" s="11"/>
      <c r="H154" s="11"/>
      <c r="I154" s="11"/>
      <c r="J154" s="38"/>
      <c r="K154" s="72"/>
      <c r="L154" s="72"/>
      <c r="M154" s="9"/>
      <c r="N154" s="9"/>
      <c r="AG154" s="220" t="str">
        <f>IF('[6]2026 március'!B$29=0,
    "",
    '[6]2026 március'!B$29
)</f>
        <v/>
      </c>
    </row>
    <row r="155" spans="1:33">
      <c r="A155" s="141">
        <v>46141</v>
      </c>
      <c r="B155" s="11"/>
      <c r="C155" s="11"/>
      <c r="D155" s="11"/>
      <c r="E155" s="11"/>
      <c r="F155" s="11"/>
      <c r="G155" s="11"/>
      <c r="H155" s="11"/>
      <c r="I155" s="11"/>
      <c r="J155" s="38"/>
      <c r="K155" s="72"/>
      <c r="L155" s="72"/>
      <c r="M155" s="9"/>
      <c r="N155" s="9"/>
      <c r="AG155" s="220" t="str">
        <f>IF('[6]2026 március'!B$30=0,
    "",
    '[6]2026 március'!B$30
)</f>
        <v/>
      </c>
    </row>
    <row r="156" spans="1:33">
      <c r="A156" s="141">
        <v>46142</v>
      </c>
      <c r="B156" s="11"/>
      <c r="C156" s="11"/>
      <c r="D156" s="11"/>
      <c r="E156" s="11"/>
      <c r="F156" s="11"/>
      <c r="G156" s="11"/>
      <c r="H156" s="11"/>
      <c r="I156" s="11"/>
      <c r="J156" s="38"/>
      <c r="K156" s="72"/>
      <c r="L156" s="72"/>
      <c r="M156" s="9"/>
      <c r="N156" s="9"/>
      <c r="AG156" s="220">
        <f>IF('[6]2026 március'!B$31=0,
    "",
    '[6]2026 március'!B$31
)</f>
        <v>257371</v>
      </c>
    </row>
    <row r="157" spans="1:33" ht="15" customHeight="1">
      <c r="A157" s="141"/>
      <c r="B157" s="11"/>
      <c r="C157" s="11"/>
      <c r="D157" s="11"/>
      <c r="E157" s="11"/>
      <c r="F157" s="11"/>
      <c r="G157" s="11"/>
      <c r="H157" s="11"/>
      <c r="I157" s="11"/>
      <c r="J157" s="38"/>
      <c r="K157" s="72"/>
      <c r="L157" s="72"/>
      <c r="M157" s="9"/>
      <c r="N157" s="9"/>
      <c r="AG157" s="220">
        <f>IF('[6]2026 március'!B$32=0,
    "",
    '[6]2026 március'!B$32
)</f>
        <v>283863</v>
      </c>
    </row>
    <row r="158" spans="1:33" ht="15" customHeight="1">
      <c r="A158" s="141"/>
      <c r="B158" s="11"/>
      <c r="C158" s="11"/>
      <c r="D158" s="11"/>
      <c r="E158" s="11"/>
      <c r="F158" s="11"/>
      <c r="G158" s="11"/>
      <c r="H158" s="11"/>
      <c r="I158" s="11"/>
      <c r="J158" s="205"/>
      <c r="K158" s="206"/>
      <c r="L158" s="206"/>
      <c r="M158" s="380"/>
      <c r="N158" s="184"/>
      <c r="AG158" s="220">
        <f>IF('[6]2026 március'!B$33=0,
    "",
    '[6]2026 március'!B$33
)</f>
        <v>6127484</v>
      </c>
    </row>
    <row r="159" spans="1:33" ht="15" customHeight="1">
      <c r="A159" s="18" t="s">
        <v>64</v>
      </c>
      <c r="B159" s="362"/>
      <c r="C159" s="19">
        <f>SUM(C127:C158)</f>
        <v>0</v>
      </c>
      <c r="D159" s="19">
        <f>SUM(D127:D158)</f>
        <v>0</v>
      </c>
      <c r="E159" s="19">
        <f>SUM(E127:E158)</f>
        <v>0</v>
      </c>
      <c r="F159" s="19">
        <f>SUM(F127:F158)</f>
        <v>0</v>
      </c>
      <c r="G159" s="20">
        <f>SUM(G127:G158)</f>
        <v>0</v>
      </c>
      <c r="H159" s="20">
        <f>SUM(H127:H158)</f>
        <v>0</v>
      </c>
      <c r="I159" s="39">
        <f>SUM(I127:I158)</f>
        <v>0</v>
      </c>
      <c r="J159" s="32"/>
      <c r="K159" s="17"/>
      <c r="L159" s="252"/>
      <c r="M159" s="9"/>
      <c r="N159" s="184"/>
    </row>
    <row r="160" spans="1:33" ht="15" customHeight="1">
      <c r="A160" s="5"/>
      <c r="B160" s="11"/>
      <c r="C160" s="29">
        <f>C159+D159+E159+F159</f>
        <v>0</v>
      </c>
      <c r="D160" s="10"/>
      <c r="E160" s="10"/>
      <c r="F160" s="10"/>
      <c r="G160" s="47">
        <f>G159+H159</f>
        <v>0</v>
      </c>
      <c r="H160" s="10"/>
      <c r="I160" s="10"/>
      <c r="J160" s="33"/>
      <c r="K160" s="11"/>
      <c r="L160" s="414"/>
      <c r="M160" s="9"/>
      <c r="N160" s="382"/>
    </row>
    <row r="161" spans="1:14" ht="15" customHeight="1">
      <c r="B161" s="356"/>
      <c r="J161"/>
      <c r="K161"/>
      <c r="L161" s="261"/>
      <c r="M161" s="261"/>
      <c r="N161" s="136"/>
    </row>
    <row r="162" spans="1:14" ht="15" customHeight="1">
      <c r="A162" s="403" t="s">
        <v>177</v>
      </c>
      <c r="B162" s="404"/>
      <c r="C162" s="405"/>
      <c r="D162" s="405"/>
      <c r="E162" s="405"/>
      <c r="F162" s="406"/>
      <c r="G162" s="406"/>
      <c r="H162" s="406"/>
      <c r="I162" s="406"/>
      <c r="J162" s="407"/>
      <c r="K162" s="408"/>
      <c r="L162" s="261"/>
      <c r="M162" s="261"/>
      <c r="N162" s="136"/>
    </row>
    <row r="163" spans="1:14" ht="15" customHeight="1">
      <c r="A163" s="409"/>
      <c r="B163" s="402"/>
      <c r="C163" s="402"/>
      <c r="D163" s="402"/>
      <c r="E163" s="402"/>
      <c r="F163" s="402"/>
      <c r="G163" s="396"/>
      <c r="H163" s="396"/>
      <c r="I163" s="396"/>
      <c r="J163" s="396"/>
      <c r="K163" s="410"/>
      <c r="L163" s="261"/>
      <c r="M163" s="261"/>
      <c r="N163" s="136"/>
    </row>
    <row r="164" spans="1:14" ht="15" customHeight="1">
      <c r="A164" s="628"/>
      <c r="B164" s="629"/>
      <c r="C164" s="629"/>
      <c r="D164" s="629"/>
      <c r="E164" s="629"/>
      <c r="F164" s="629"/>
      <c r="G164" s="411"/>
      <c r="H164" s="411"/>
      <c r="I164" s="411"/>
      <c r="J164" s="411"/>
      <c r="K164" s="412"/>
      <c r="L164" s="261"/>
      <c r="M164" s="261"/>
      <c r="N164" s="136"/>
    </row>
    <row r="165" spans="1:14" ht="15" customHeight="1">
      <c r="B165" s="356"/>
    </row>
    <row r="166" spans="1:14" ht="15" customHeight="1">
      <c r="B166" s="356"/>
    </row>
    <row r="167" spans="1:14" ht="15" customHeight="1">
      <c r="B167" s="356"/>
    </row>
    <row r="168" spans="1:14" ht="15" customHeight="1">
      <c r="B168" s="356"/>
    </row>
    <row r="169" spans="1:14" ht="15" customHeight="1">
      <c r="B169" s="356"/>
    </row>
    <row r="170" spans="1:14" ht="15" customHeight="1">
      <c r="B170" s="356"/>
    </row>
    <row r="171" spans="1:14" ht="15" customHeight="1">
      <c r="B171" s="356"/>
    </row>
    <row r="172" spans="1:14" ht="15" customHeight="1">
      <c r="B172" s="356"/>
    </row>
    <row r="173" spans="1:14" ht="15" customHeight="1">
      <c r="B173" s="356"/>
    </row>
    <row r="174" spans="1:14" ht="15" customHeight="1">
      <c r="B174" s="356"/>
    </row>
    <row r="175" spans="1:14" ht="15" customHeight="1">
      <c r="B175" s="356"/>
    </row>
    <row r="176" spans="1:14" ht="15" customHeight="1">
      <c r="B176" s="356"/>
    </row>
    <row r="177" spans="2:2" ht="15" customHeight="1">
      <c r="B177" s="356"/>
    </row>
    <row r="178" spans="2:2" ht="15" customHeight="1">
      <c r="B178" s="356"/>
    </row>
    <row r="179" spans="2:2" ht="15" customHeight="1">
      <c r="B179" s="356"/>
    </row>
    <row r="180" spans="2:2" ht="15" customHeight="1">
      <c r="B180" s="356"/>
    </row>
    <row r="181" spans="2:2" ht="15" customHeight="1">
      <c r="B181" s="356"/>
    </row>
    <row r="182" spans="2:2" ht="15" customHeight="1">
      <c r="B182" s="356"/>
    </row>
    <row r="183" spans="2:2" ht="15" customHeight="1">
      <c r="B183" s="356"/>
    </row>
    <row r="184" spans="2:2" ht="15" customHeight="1">
      <c r="B184" s="356"/>
    </row>
    <row r="185" spans="2:2" ht="15" customHeight="1">
      <c r="B185" s="356"/>
    </row>
    <row r="186" spans="2:2">
      <c r="B186" s="356"/>
    </row>
    <row r="187" spans="2:2">
      <c r="B187" s="356"/>
    </row>
    <row r="188" spans="2:2">
      <c r="B188" s="356"/>
    </row>
    <row r="189" spans="2:2" ht="15" customHeight="1">
      <c r="B189" s="356"/>
    </row>
    <row r="190" spans="2:2" ht="15" customHeight="1">
      <c r="B190" s="356"/>
    </row>
    <row r="191" spans="2:2" ht="15" customHeight="1">
      <c r="B191" s="356"/>
    </row>
    <row r="192" spans="2:2">
      <c r="B192" s="356"/>
    </row>
    <row r="193" spans="2:2">
      <c r="B193" s="356"/>
    </row>
    <row r="194" spans="2:2" ht="15" customHeight="1">
      <c r="B194" s="356"/>
    </row>
    <row r="195" spans="2:2" ht="15" customHeight="1">
      <c r="B195" s="356"/>
    </row>
    <row r="196" spans="2:2" ht="15" customHeight="1">
      <c r="B196" s="356"/>
    </row>
    <row r="197" spans="2:2" ht="15" customHeight="1">
      <c r="B197" s="356"/>
    </row>
    <row r="198" spans="2:2" ht="15" customHeight="1">
      <c r="B198" s="356"/>
    </row>
    <row r="199" spans="2:2" ht="15" customHeight="1">
      <c r="B199" s="356"/>
    </row>
    <row r="200" spans="2:2" ht="15" customHeight="1">
      <c r="B200" s="356"/>
    </row>
    <row r="201" spans="2:2" ht="15" customHeight="1">
      <c r="B201" s="356"/>
    </row>
    <row r="202" spans="2:2" ht="15" customHeight="1">
      <c r="B202" s="356"/>
    </row>
    <row r="203" spans="2:2" ht="15" customHeight="1">
      <c r="B203" s="356"/>
    </row>
    <row r="204" spans="2:2" ht="15" customHeight="1">
      <c r="B204" s="356"/>
    </row>
    <row r="205" spans="2:2" ht="15" customHeight="1">
      <c r="B205" s="356"/>
    </row>
    <row r="206" spans="2:2" ht="15" customHeight="1">
      <c r="B206" s="356"/>
    </row>
    <row r="207" spans="2:2" ht="15" customHeight="1">
      <c r="B207" s="356"/>
    </row>
    <row r="208" spans="2:2" ht="15" customHeight="1">
      <c r="B208" s="356"/>
    </row>
    <row r="209" spans="2:2" ht="15" customHeight="1">
      <c r="B209" s="356"/>
    </row>
    <row r="210" spans="2:2" ht="15" customHeight="1">
      <c r="B210" s="356"/>
    </row>
    <row r="211" spans="2:2" ht="15" customHeight="1">
      <c r="B211" s="356"/>
    </row>
    <row r="212" spans="2:2" ht="15" customHeight="1">
      <c r="B212" s="356"/>
    </row>
    <row r="213" spans="2:2" ht="15" customHeight="1">
      <c r="B213" s="356"/>
    </row>
    <row r="214" spans="2:2" ht="15" customHeight="1">
      <c r="B214" s="356"/>
    </row>
    <row r="215" spans="2:2" ht="15" customHeight="1">
      <c r="B215" s="356"/>
    </row>
    <row r="216" spans="2:2" ht="15" customHeight="1">
      <c r="B216" s="356"/>
    </row>
    <row r="217" spans="2:2" ht="15" customHeight="1">
      <c r="B217" s="356"/>
    </row>
    <row r="218" spans="2:2" ht="15" customHeight="1">
      <c r="B218" s="356"/>
    </row>
    <row r="219" spans="2:2" ht="15" customHeight="1">
      <c r="B219" s="356"/>
    </row>
    <row r="220" spans="2:2" ht="15" customHeight="1">
      <c r="B220" s="356"/>
    </row>
    <row r="221" spans="2:2" ht="15" customHeight="1">
      <c r="B221" s="356"/>
    </row>
    <row r="222" spans="2:2" ht="15" customHeight="1">
      <c r="B222" s="356"/>
    </row>
    <row r="223" spans="2:2">
      <c r="B223" s="356"/>
    </row>
    <row r="224" spans="2:2">
      <c r="B224" s="356"/>
    </row>
    <row r="225" spans="2:2">
      <c r="B225" s="356"/>
    </row>
    <row r="226" spans="2:2" ht="15" customHeight="1">
      <c r="B226" s="356"/>
    </row>
    <row r="227" spans="2:2" ht="15" customHeight="1">
      <c r="B227" s="356"/>
    </row>
    <row r="228" spans="2:2" ht="15" customHeight="1">
      <c r="B228" s="356"/>
    </row>
    <row r="229" spans="2:2" ht="15" customHeight="1">
      <c r="B229" s="356"/>
    </row>
    <row r="230" spans="2:2" ht="15" customHeight="1">
      <c r="B230" s="356"/>
    </row>
    <row r="231" spans="2:2">
      <c r="B231" s="356"/>
    </row>
    <row r="232" spans="2:2">
      <c r="B232" s="356"/>
    </row>
    <row r="233" spans="2:2" ht="15" customHeight="1">
      <c r="B233" s="356"/>
    </row>
    <row r="234" spans="2:2" ht="15" customHeight="1">
      <c r="B234" s="356"/>
    </row>
    <row r="235" spans="2:2" ht="15" customHeight="1">
      <c r="B235" s="356"/>
    </row>
    <row r="236" spans="2:2" ht="15" customHeight="1">
      <c r="B236" s="356"/>
    </row>
    <row r="237" spans="2:2" ht="15" customHeight="1">
      <c r="B237" s="356"/>
    </row>
    <row r="238" spans="2:2" ht="15" customHeight="1">
      <c r="B238" s="356"/>
    </row>
    <row r="239" spans="2:2" ht="15" customHeight="1">
      <c r="B239" s="356"/>
    </row>
    <row r="240" spans="2:2" ht="15" customHeight="1">
      <c r="B240" s="356"/>
    </row>
    <row r="241" spans="2:2" ht="15" customHeight="1">
      <c r="B241" s="356"/>
    </row>
    <row r="242" spans="2:2" ht="15" customHeight="1">
      <c r="B242" s="356"/>
    </row>
    <row r="243" spans="2:2" ht="15" customHeight="1">
      <c r="B243" s="356"/>
    </row>
    <row r="244" spans="2:2" ht="15" customHeight="1">
      <c r="B244" s="356"/>
    </row>
    <row r="245" spans="2:2" ht="15" customHeight="1">
      <c r="B245" s="356"/>
    </row>
    <row r="246" spans="2:2" ht="15" customHeight="1">
      <c r="B246" s="356"/>
    </row>
    <row r="247" spans="2:2" ht="15" customHeight="1">
      <c r="B247" s="356"/>
    </row>
    <row r="248" spans="2:2" ht="15" customHeight="1">
      <c r="B248" s="356"/>
    </row>
    <row r="249" spans="2:2" ht="15" customHeight="1">
      <c r="B249" s="356"/>
    </row>
    <row r="250" spans="2:2" ht="15" customHeight="1">
      <c r="B250" s="356"/>
    </row>
    <row r="251" spans="2:2" ht="15" customHeight="1">
      <c r="B251" s="356"/>
    </row>
    <row r="252" spans="2:2" ht="15" customHeight="1">
      <c r="B252" s="356"/>
    </row>
    <row r="253" spans="2:2" ht="15" customHeight="1">
      <c r="B253" s="356"/>
    </row>
    <row r="254" spans="2:2" ht="15" customHeight="1">
      <c r="B254" s="356"/>
    </row>
    <row r="255" spans="2:2" ht="15" customHeight="1">
      <c r="B255" s="356"/>
    </row>
    <row r="256" spans="2:2" ht="15" customHeight="1">
      <c r="B256" s="356"/>
    </row>
    <row r="257" spans="2:2" ht="15" customHeight="1">
      <c r="B257" s="356"/>
    </row>
    <row r="258" spans="2:2" ht="15" customHeight="1">
      <c r="B258" s="356"/>
    </row>
    <row r="259" spans="2:2" ht="15" customHeight="1">
      <c r="B259" s="356"/>
    </row>
    <row r="260" spans="2:2" ht="15" customHeight="1">
      <c r="B260" s="356"/>
    </row>
    <row r="261" spans="2:2" ht="15" customHeight="1">
      <c r="B261" s="356"/>
    </row>
    <row r="262" spans="2:2" ht="15" customHeight="1">
      <c r="B262" s="356"/>
    </row>
    <row r="263" spans="2:2" ht="15" customHeight="1">
      <c r="B263" s="356"/>
    </row>
    <row r="264" spans="2:2">
      <c r="B264" s="356"/>
    </row>
    <row r="265" spans="2:2">
      <c r="B265" s="356"/>
    </row>
    <row r="266" spans="2:2" ht="15" customHeight="1">
      <c r="B266" s="356"/>
    </row>
    <row r="267" spans="2:2" ht="15" customHeight="1">
      <c r="B267" s="356"/>
    </row>
    <row r="268" spans="2:2" ht="15" customHeight="1">
      <c r="B268" s="356"/>
    </row>
    <row r="269" spans="2:2">
      <c r="B269" s="356"/>
    </row>
    <row r="270" spans="2:2">
      <c r="B270" s="356"/>
    </row>
    <row r="271" spans="2:2" ht="15" customHeight="1">
      <c r="B271" s="356"/>
    </row>
    <row r="272" spans="2:2" ht="15" customHeight="1">
      <c r="B272" s="356"/>
    </row>
    <row r="273" spans="2:2" ht="15" customHeight="1">
      <c r="B273" s="356"/>
    </row>
    <row r="274" spans="2:2" ht="15" customHeight="1">
      <c r="B274" s="356"/>
    </row>
    <row r="275" spans="2:2" ht="15" customHeight="1">
      <c r="B275" s="356"/>
    </row>
    <row r="276" spans="2:2" ht="15" customHeight="1">
      <c r="B276" s="356"/>
    </row>
    <row r="277" spans="2:2" ht="15" customHeight="1">
      <c r="B277" s="356"/>
    </row>
    <row r="278" spans="2:2" ht="15" customHeight="1">
      <c r="B278" s="356"/>
    </row>
    <row r="279" spans="2:2" ht="15" customHeight="1">
      <c r="B279" s="356"/>
    </row>
    <row r="280" spans="2:2" ht="15" customHeight="1">
      <c r="B280" s="356"/>
    </row>
    <row r="281" spans="2:2" ht="15" customHeight="1">
      <c r="B281" s="356"/>
    </row>
    <row r="282" spans="2:2" ht="15" customHeight="1">
      <c r="B282" s="356"/>
    </row>
    <row r="283" spans="2:2" ht="15" customHeight="1">
      <c r="B283" s="356"/>
    </row>
    <row r="284" spans="2:2" ht="15" customHeight="1">
      <c r="B284" s="356"/>
    </row>
    <row r="285" spans="2:2" ht="15" customHeight="1">
      <c r="B285" s="356"/>
    </row>
    <row r="286" spans="2:2" ht="15" customHeight="1">
      <c r="B286" s="356"/>
    </row>
    <row r="287" spans="2:2" ht="15" customHeight="1">
      <c r="B287" s="356"/>
    </row>
    <row r="288" spans="2:2" ht="15" customHeight="1">
      <c r="B288" s="356"/>
    </row>
    <row r="289" spans="2:2" ht="15" customHeight="1">
      <c r="B289" s="356"/>
    </row>
    <row r="290" spans="2:2" ht="15" customHeight="1">
      <c r="B290" s="356"/>
    </row>
    <row r="291" spans="2:2" ht="15" customHeight="1">
      <c r="B291" s="356"/>
    </row>
    <row r="292" spans="2:2" ht="15" customHeight="1">
      <c r="B292" s="356"/>
    </row>
    <row r="293" spans="2:2" ht="15" customHeight="1">
      <c r="B293" s="356"/>
    </row>
    <row r="294" spans="2:2" ht="15" customHeight="1">
      <c r="B294" s="356"/>
    </row>
    <row r="295" spans="2:2" ht="15" customHeight="1">
      <c r="B295" s="356"/>
    </row>
    <row r="296" spans="2:2" ht="15" customHeight="1">
      <c r="B296" s="356"/>
    </row>
    <row r="297" spans="2:2" ht="15" customHeight="1">
      <c r="B297" s="356"/>
    </row>
    <row r="298" spans="2:2" ht="15" customHeight="1">
      <c r="B298" s="356"/>
    </row>
    <row r="299" spans="2:2" ht="15" customHeight="1">
      <c r="B299" s="356"/>
    </row>
    <row r="300" spans="2:2" ht="15" customHeight="1">
      <c r="B300" s="356"/>
    </row>
    <row r="301" spans="2:2" ht="15" customHeight="1">
      <c r="B301" s="356"/>
    </row>
    <row r="302" spans="2:2">
      <c r="B302" s="356"/>
    </row>
    <row r="303" spans="2:2">
      <c r="B303" s="356"/>
    </row>
    <row r="304" spans="2:2" ht="15" customHeight="1">
      <c r="B304" s="356"/>
    </row>
    <row r="305" spans="2:2" ht="15" customHeight="1">
      <c r="B305" s="356"/>
    </row>
    <row r="306" spans="2:2">
      <c r="B306" s="356"/>
    </row>
    <row r="307" spans="2:2" ht="15" customHeight="1">
      <c r="B307" s="356"/>
    </row>
    <row r="308" spans="2:2" ht="15" customHeight="1">
      <c r="B308" s="356"/>
    </row>
    <row r="309" spans="2:2" ht="15" customHeight="1">
      <c r="B309" s="356"/>
    </row>
    <row r="310" spans="2:2" ht="15" customHeight="1">
      <c r="B310" s="356"/>
    </row>
    <row r="311" spans="2:2" ht="15" customHeight="1">
      <c r="B311" s="356"/>
    </row>
    <row r="312" spans="2:2" ht="15" customHeight="1">
      <c r="B312" s="356"/>
    </row>
    <row r="313" spans="2:2" ht="15" customHeight="1">
      <c r="B313" s="356"/>
    </row>
    <row r="314" spans="2:2" ht="15" customHeight="1">
      <c r="B314" s="356"/>
    </row>
    <row r="315" spans="2:2" ht="15" customHeight="1">
      <c r="B315" s="356"/>
    </row>
    <row r="316" spans="2:2" ht="15" customHeight="1">
      <c r="B316" s="356"/>
    </row>
    <row r="317" spans="2:2" ht="15" customHeight="1">
      <c r="B317" s="356"/>
    </row>
    <row r="318" spans="2:2" ht="15" customHeight="1">
      <c r="B318" s="356"/>
    </row>
    <row r="319" spans="2:2" ht="15" customHeight="1">
      <c r="B319" s="356"/>
    </row>
    <row r="320" spans="2:2" ht="15" customHeight="1">
      <c r="B320" s="356"/>
    </row>
    <row r="321" spans="2:2" ht="15" customHeight="1">
      <c r="B321" s="356"/>
    </row>
    <row r="322" spans="2:2" ht="15" customHeight="1">
      <c r="B322" s="356"/>
    </row>
    <row r="323" spans="2:2" ht="15" customHeight="1">
      <c r="B323" s="356"/>
    </row>
    <row r="324" spans="2:2" ht="15" customHeight="1">
      <c r="B324" s="356"/>
    </row>
    <row r="325" spans="2:2" ht="15" customHeight="1">
      <c r="B325" s="356"/>
    </row>
    <row r="326" spans="2:2" ht="15" customHeight="1">
      <c r="B326" s="356"/>
    </row>
    <row r="327" spans="2:2" ht="15" customHeight="1">
      <c r="B327" s="356"/>
    </row>
    <row r="328" spans="2:2" ht="15" customHeight="1">
      <c r="B328" s="356"/>
    </row>
    <row r="329" spans="2:2" ht="15" customHeight="1">
      <c r="B329" s="356"/>
    </row>
    <row r="330" spans="2:2" ht="15" customHeight="1">
      <c r="B330" s="356"/>
    </row>
    <row r="331" spans="2:2" ht="15" customHeight="1">
      <c r="B331" s="356"/>
    </row>
    <row r="332" spans="2:2" ht="15" customHeight="1">
      <c r="B332" s="356"/>
    </row>
    <row r="333" spans="2:2" ht="15" customHeight="1">
      <c r="B333" s="356"/>
    </row>
    <row r="334" spans="2:2" ht="15" customHeight="1">
      <c r="B334" s="356"/>
    </row>
    <row r="335" spans="2:2" ht="15" customHeight="1">
      <c r="B335" s="356"/>
    </row>
    <row r="336" spans="2:2" ht="15" customHeight="1">
      <c r="B336" s="356"/>
    </row>
    <row r="337" spans="2:2" ht="15" customHeight="1">
      <c r="B337" s="356"/>
    </row>
    <row r="338" spans="2:2" ht="15" customHeight="1">
      <c r="B338" s="356"/>
    </row>
    <row r="339" spans="2:2">
      <c r="B339" s="356"/>
    </row>
    <row r="340" spans="2:2">
      <c r="B340" s="356"/>
    </row>
    <row r="341" spans="2:2" ht="15" customHeight="1">
      <c r="B341" s="356"/>
    </row>
    <row r="342" spans="2:2" ht="15" customHeight="1">
      <c r="B342" s="356"/>
    </row>
    <row r="343" spans="2:2" ht="15" customHeight="1">
      <c r="B343" s="356"/>
    </row>
    <row r="344" spans="2:2">
      <c r="B344" s="356"/>
    </row>
    <row r="345" spans="2:2" ht="15" customHeight="1">
      <c r="B345" s="356"/>
    </row>
    <row r="346" spans="2:2" ht="15" customHeight="1">
      <c r="B346" s="356"/>
    </row>
    <row r="347" spans="2:2" ht="15" customHeight="1">
      <c r="B347" s="356"/>
    </row>
    <row r="348" spans="2:2">
      <c r="B348" s="356"/>
    </row>
    <row r="349" spans="2:2" ht="15" customHeight="1">
      <c r="B349" s="356"/>
    </row>
    <row r="350" spans="2:2">
      <c r="B350" s="356"/>
    </row>
    <row r="351" spans="2:2">
      <c r="B351" s="356"/>
    </row>
    <row r="352" spans="2:2" ht="15" customHeight="1">
      <c r="B352" s="356"/>
    </row>
    <row r="353" spans="2:2" ht="15" customHeight="1">
      <c r="B353" s="356"/>
    </row>
    <row r="354" spans="2:2" ht="15" customHeight="1">
      <c r="B354" s="356"/>
    </row>
    <row r="355" spans="2:2" ht="15" customHeight="1">
      <c r="B355" s="356"/>
    </row>
    <row r="356" spans="2:2" ht="15" customHeight="1">
      <c r="B356" s="356"/>
    </row>
    <row r="357" spans="2:2" ht="15" customHeight="1">
      <c r="B357" s="356"/>
    </row>
    <row r="358" spans="2:2" ht="15" customHeight="1">
      <c r="B358" s="356"/>
    </row>
    <row r="359" spans="2:2" ht="15" customHeight="1">
      <c r="B359" s="356"/>
    </row>
    <row r="360" spans="2:2" ht="15" customHeight="1">
      <c r="B360" s="356"/>
    </row>
    <row r="361" spans="2:2" ht="15" customHeight="1">
      <c r="B361" s="356"/>
    </row>
    <row r="362" spans="2:2" ht="15" customHeight="1">
      <c r="B362" s="356"/>
    </row>
    <row r="363" spans="2:2" ht="15" customHeight="1">
      <c r="B363" s="356"/>
    </row>
    <row r="364" spans="2:2" ht="15" customHeight="1">
      <c r="B364" s="356"/>
    </row>
    <row r="365" spans="2:2" ht="15" customHeight="1">
      <c r="B365" s="356"/>
    </row>
    <row r="366" spans="2:2" ht="15" customHeight="1">
      <c r="B366" s="356"/>
    </row>
    <row r="367" spans="2:2" ht="15" customHeight="1">
      <c r="B367" s="356"/>
    </row>
    <row r="368" spans="2:2" ht="15" customHeight="1">
      <c r="B368" s="356"/>
    </row>
    <row r="369" spans="2:2" ht="15" customHeight="1">
      <c r="B369" s="356"/>
    </row>
    <row r="370" spans="2:2" ht="15" customHeight="1">
      <c r="B370" s="356"/>
    </row>
    <row r="371" spans="2:2" ht="15" customHeight="1">
      <c r="B371" s="356"/>
    </row>
    <row r="372" spans="2:2" ht="15" customHeight="1">
      <c r="B372" s="356"/>
    </row>
    <row r="373" spans="2:2" ht="15" customHeight="1">
      <c r="B373" s="356"/>
    </row>
    <row r="374" spans="2:2" ht="15" customHeight="1">
      <c r="B374" s="356"/>
    </row>
    <row r="375" spans="2:2" ht="15" customHeight="1">
      <c r="B375" s="356"/>
    </row>
    <row r="376" spans="2:2" ht="15" customHeight="1">
      <c r="B376" s="356"/>
    </row>
    <row r="377" spans="2:2" ht="15" customHeight="1">
      <c r="B377" s="356"/>
    </row>
    <row r="378" spans="2:2" ht="15" customHeight="1">
      <c r="B378" s="356"/>
    </row>
    <row r="379" spans="2:2" ht="15" customHeight="1">
      <c r="B379" s="356"/>
    </row>
    <row r="380" spans="2:2" ht="15" customHeight="1">
      <c r="B380" s="356"/>
    </row>
    <row r="381" spans="2:2">
      <c r="B381" s="356"/>
    </row>
    <row r="382" spans="2:2">
      <c r="B382" s="356"/>
    </row>
    <row r="383" spans="2:2">
      <c r="B383" s="356"/>
    </row>
    <row r="384" spans="2:2" ht="15" customHeight="1">
      <c r="B384" s="356"/>
    </row>
    <row r="385" spans="2:2" ht="15" customHeight="1">
      <c r="B385" s="356"/>
    </row>
    <row r="386" spans="2:2">
      <c r="B386" s="356"/>
    </row>
    <row r="387" spans="2:2" ht="15" customHeight="1">
      <c r="B387" s="356"/>
    </row>
    <row r="388" spans="2:2" ht="15" customHeight="1">
      <c r="B388" s="356"/>
    </row>
    <row r="389" spans="2:2" ht="15" customHeight="1">
      <c r="B389" s="356"/>
    </row>
    <row r="390" spans="2:2" ht="15" customHeight="1">
      <c r="B390" s="356"/>
    </row>
    <row r="391" spans="2:2" ht="15" customHeight="1">
      <c r="B391" s="356"/>
    </row>
    <row r="392" spans="2:2" ht="15" customHeight="1">
      <c r="B392" s="356"/>
    </row>
    <row r="393" spans="2:2" ht="15" customHeight="1">
      <c r="B393" s="356"/>
    </row>
    <row r="394" spans="2:2" ht="15" customHeight="1">
      <c r="B394" s="356"/>
    </row>
    <row r="395" spans="2:2" ht="15" customHeight="1">
      <c r="B395" s="356"/>
    </row>
    <row r="396" spans="2:2" ht="15" customHeight="1">
      <c r="B396" s="356"/>
    </row>
    <row r="397" spans="2:2" ht="15" customHeight="1">
      <c r="B397" s="356"/>
    </row>
    <row r="398" spans="2:2" ht="15" customHeight="1">
      <c r="B398" s="356"/>
    </row>
    <row r="399" spans="2:2" ht="15" customHeight="1">
      <c r="B399" s="356"/>
    </row>
    <row r="400" spans="2:2" ht="15" customHeight="1">
      <c r="B400" s="356"/>
    </row>
    <row r="401" spans="2:2" ht="15" customHeight="1">
      <c r="B401" s="356"/>
    </row>
    <row r="402" spans="2:2" ht="15" customHeight="1">
      <c r="B402" s="356"/>
    </row>
    <row r="403" spans="2:2" ht="15" customHeight="1">
      <c r="B403" s="356"/>
    </row>
    <row r="404" spans="2:2" ht="15" customHeight="1">
      <c r="B404" s="356"/>
    </row>
    <row r="405" spans="2:2" ht="15" customHeight="1">
      <c r="B405" s="356"/>
    </row>
    <row r="406" spans="2:2" ht="15" customHeight="1">
      <c r="B406" s="356"/>
    </row>
    <row r="407" spans="2:2" ht="15" customHeight="1">
      <c r="B407" s="356"/>
    </row>
    <row r="408" spans="2:2" ht="15" customHeight="1">
      <c r="B408" s="356"/>
    </row>
    <row r="409" spans="2:2" ht="15" customHeight="1">
      <c r="B409" s="356"/>
    </row>
    <row r="410" spans="2:2" ht="15" customHeight="1">
      <c r="B410" s="356"/>
    </row>
    <row r="411" spans="2:2" ht="15" customHeight="1">
      <c r="B411" s="356"/>
    </row>
    <row r="412" spans="2:2" ht="15" customHeight="1">
      <c r="B412" s="356"/>
    </row>
    <row r="413" spans="2:2" ht="15" customHeight="1">
      <c r="B413" s="356"/>
    </row>
    <row r="414" spans="2:2" ht="15" customHeight="1">
      <c r="B414" s="356"/>
    </row>
    <row r="415" spans="2:2" ht="15" customHeight="1">
      <c r="B415" s="356"/>
    </row>
    <row r="416" spans="2:2" ht="15" customHeight="1">
      <c r="B416" s="356"/>
    </row>
    <row r="417" spans="2:2" ht="15" customHeight="1">
      <c r="B417" s="356"/>
    </row>
    <row r="418" spans="2:2" ht="15" customHeight="1">
      <c r="B418" s="356"/>
    </row>
    <row r="419" spans="2:2">
      <c r="B419" s="356"/>
    </row>
    <row r="420" spans="2:2">
      <c r="B420" s="356"/>
    </row>
    <row r="421" spans="2:2" ht="15" customHeight="1">
      <c r="B421" s="356"/>
    </row>
    <row r="422" spans="2:2" ht="15" customHeight="1">
      <c r="B422" s="356"/>
    </row>
    <row r="423" spans="2:2" ht="15" customHeight="1">
      <c r="B423" s="356"/>
    </row>
    <row r="424" spans="2:2" ht="15" customHeight="1">
      <c r="B424" s="356"/>
    </row>
    <row r="425" spans="2:2" ht="15" customHeight="1">
      <c r="B425" s="356"/>
    </row>
    <row r="426" spans="2:2">
      <c r="B426" s="356"/>
    </row>
    <row r="427" spans="2:2" ht="15" customHeight="1">
      <c r="B427" s="356"/>
    </row>
    <row r="428" spans="2:2" ht="15" customHeight="1">
      <c r="B428" s="356"/>
    </row>
    <row r="429" spans="2:2" ht="15" customHeight="1">
      <c r="B429" s="356"/>
    </row>
    <row r="430" spans="2:2" ht="15" customHeight="1">
      <c r="B430" s="356"/>
    </row>
    <row r="431" spans="2:2" ht="15" customHeight="1">
      <c r="B431" s="356"/>
    </row>
    <row r="432" spans="2:2" ht="15" customHeight="1">
      <c r="B432" s="356"/>
    </row>
    <row r="433" spans="2:2" ht="15" customHeight="1">
      <c r="B433" s="356"/>
    </row>
    <row r="434" spans="2:2" ht="15" customHeight="1">
      <c r="B434" s="356"/>
    </row>
    <row r="435" spans="2:2" ht="15" customHeight="1">
      <c r="B435" s="356"/>
    </row>
    <row r="436" spans="2:2" ht="15" customHeight="1">
      <c r="B436" s="356"/>
    </row>
    <row r="437" spans="2:2" ht="15" customHeight="1">
      <c r="B437" s="356"/>
    </row>
    <row r="438" spans="2:2" ht="15" customHeight="1">
      <c r="B438" s="356"/>
    </row>
    <row r="439" spans="2:2" ht="15" customHeight="1">
      <c r="B439" s="356"/>
    </row>
    <row r="440" spans="2:2" ht="15" customHeight="1">
      <c r="B440" s="356"/>
    </row>
    <row r="441" spans="2:2" ht="15" customHeight="1">
      <c r="B441" s="356"/>
    </row>
    <row r="442" spans="2:2" ht="15" customHeight="1">
      <c r="B442" s="356"/>
    </row>
    <row r="443" spans="2:2" ht="15" customHeight="1">
      <c r="B443" s="356"/>
    </row>
    <row r="444" spans="2:2" ht="15" customHeight="1">
      <c r="B444" s="356"/>
    </row>
    <row r="445" spans="2:2" ht="15" customHeight="1">
      <c r="B445" s="356"/>
    </row>
    <row r="446" spans="2:2" ht="15" customHeight="1">
      <c r="B446" s="356"/>
    </row>
    <row r="447" spans="2:2" ht="15" customHeight="1">
      <c r="B447" s="356"/>
    </row>
    <row r="448" spans="2:2" ht="15" customHeight="1">
      <c r="B448" s="356"/>
    </row>
    <row r="449" spans="2:2" ht="15" customHeight="1">
      <c r="B449" s="356"/>
    </row>
    <row r="450" spans="2:2" ht="15" customHeight="1">
      <c r="B450" s="356"/>
    </row>
    <row r="451" spans="2:2" ht="15" customHeight="1">
      <c r="B451" s="356"/>
    </row>
    <row r="452" spans="2:2" ht="15" customHeight="1">
      <c r="B452" s="356"/>
    </row>
    <row r="453" spans="2:2" ht="15" customHeight="1">
      <c r="B453" s="356"/>
    </row>
    <row r="454" spans="2:2" ht="15" customHeight="1">
      <c r="B454" s="356"/>
    </row>
    <row r="455" spans="2:2" ht="15" customHeight="1">
      <c r="B455" s="356"/>
    </row>
    <row r="456" spans="2:2" ht="15" customHeight="1">
      <c r="B456" s="356"/>
    </row>
    <row r="457" spans="2:2" ht="15" customHeight="1">
      <c r="B457" s="356"/>
    </row>
    <row r="458" spans="2:2" ht="15" customHeight="1">
      <c r="B458" s="356"/>
    </row>
    <row r="459" spans="2:2">
      <c r="B459" s="356"/>
    </row>
    <row r="460" spans="2:2">
      <c r="B460" s="356"/>
    </row>
  </sheetData>
  <sheetProtection formatCells="0" formatColumns="0" formatRows="0"/>
  <protectedRanges>
    <protectedRange sqref="A38 AM37:BO37 A42 A77 A81:A84 L78:AG80 C81:AG84 AH78:BO460 A461:BO579 O43:BO43 AG118 C42:BO42 C38:BO38 O39:BO41 O44:AF76 AH44:BO76 AG76 A124:A125 C124:AG125 O85:AG85 O119:AG123 O86:AF118 C77:F77 H77:BO77 A165:A460 C165:AG460 AG159 O126:AG126 O160:AG164 O127:AF159" name="Range1"/>
    <protectedRange sqref="I1" name="Range2"/>
    <protectedRange sqref="A36:A37 C36:AL37" name="Range1_4"/>
    <protectedRange sqref="N2:O2 AL2" name="Range1_2_1"/>
    <protectedRange sqref="S2:AF2 AH2:AK2" name="Range1_2_1_1"/>
    <protectedRange sqref="B36:B38 B42 B77 B81:B84 B124:B125 B165:B460" name="Range1_1"/>
    <protectedRange sqref="B1" name="Range1_1_1"/>
    <protectedRange sqref="A120 N120:N123 C120:M120 L121:M123 A161 N161:N164 C161:M161 L162:M164" name="Range1_2_2"/>
    <protectedRange sqref="B120 B161" name="Range1_1_1_1"/>
  </protectedRanges>
  <mergeCells count="2">
    <mergeCell ref="A80:F80"/>
    <mergeCell ref="A164:F164"/>
  </mergeCells>
  <conditionalFormatting sqref="A2 C2:M2 M3:M33 F78:G78 I78:K78 G77">
    <cfRule type="containsText" dxfId="530" priority="71" stopIfTrue="1" operator="containsText" text="ELTÉRÉS!">
      <formula>NOT(ISERROR(SEARCH("ELTÉRÉS!",A2)))</formula>
    </cfRule>
    <cfRule type="containsText" dxfId="529" priority="72" stopIfTrue="1" operator="containsText" text="STIMMEL!">
      <formula>NOT(ISERROR(SEARCH("STIMMEL!",A2)))</formula>
    </cfRule>
  </conditionalFormatting>
  <conditionalFormatting sqref="A2 C2:M2 M3:M33 F78:G78 I78:K78 G77">
    <cfRule type="cellIs" dxfId="528" priority="70" operator="equal">
      <formula>0.01</formula>
    </cfRule>
  </conditionalFormatting>
  <conditionalFormatting sqref="A3:A33 C3:L33">
    <cfRule type="containsText" dxfId="527" priority="68" stopIfTrue="1" operator="containsText" text="ELTÉRÉS!">
      <formula>NOT(ISERROR(SEARCH("ELTÉRÉS!",A3)))</formula>
    </cfRule>
    <cfRule type="containsText" dxfId="526" priority="69" stopIfTrue="1" operator="containsText" text="STIMMEL!">
      <formula>NOT(ISERROR(SEARCH("STIMMEL!",A3)))</formula>
    </cfRule>
  </conditionalFormatting>
  <conditionalFormatting sqref="A3:A33 C3:L33">
    <cfRule type="cellIs" dxfId="525" priority="67" operator="equal">
      <formula>0.01</formula>
    </cfRule>
  </conditionalFormatting>
  <conditionalFormatting sqref="M39:N41">
    <cfRule type="containsText" dxfId="524" priority="65" stopIfTrue="1" operator="containsText" text="ELTÉRÉS!">
      <formula>NOT(ISERROR(SEARCH("ELTÉRÉS!",M39)))</formula>
    </cfRule>
    <cfRule type="containsText" dxfId="523" priority="66" stopIfTrue="1" operator="containsText" text="STIMMEL!">
      <formula>NOT(ISERROR(SEARCH("STIMMEL!",M39)))</formula>
    </cfRule>
  </conditionalFormatting>
  <conditionalFormatting sqref="M39:N41">
    <cfRule type="cellIs" dxfId="522" priority="64" operator="equal">
      <formula>0.01</formula>
    </cfRule>
  </conditionalFormatting>
  <conditionalFormatting sqref="L39:L41">
    <cfRule type="containsText" dxfId="521" priority="62" stopIfTrue="1" operator="containsText" text="ELTÉRÉS!">
      <formula>NOT(ISERROR(SEARCH("ELTÉRÉS!",L39)))</formula>
    </cfRule>
    <cfRule type="containsText" dxfId="520" priority="63" stopIfTrue="1" operator="containsText" text="STIMMEL!">
      <formula>NOT(ISERROR(SEARCH("STIMMEL!",L39)))</formula>
    </cfRule>
  </conditionalFormatting>
  <conditionalFormatting sqref="L39:L41">
    <cfRule type="cellIs" dxfId="519" priority="61" operator="equal">
      <formula>0.01</formula>
    </cfRule>
  </conditionalFormatting>
  <conditionalFormatting sqref="B2:B33">
    <cfRule type="containsText" dxfId="518" priority="59" stopIfTrue="1" operator="containsText" text="ELTÉRÉS!">
      <formula>NOT(ISERROR(SEARCH("ELTÉRÉS!",B2)))</formula>
    </cfRule>
    <cfRule type="containsText" dxfId="517" priority="60" stopIfTrue="1" operator="containsText" text="STIMMEL!">
      <formula>NOT(ISERROR(SEARCH("STIMMEL!",B2)))</formula>
    </cfRule>
  </conditionalFormatting>
  <conditionalFormatting sqref="B2:B33">
    <cfRule type="cellIs" dxfId="516" priority="58" operator="equal">
      <formula>0.01</formula>
    </cfRule>
  </conditionalFormatting>
  <conditionalFormatting sqref="A43:A76 C43:N76">
    <cfRule type="containsText" dxfId="515" priority="53" stopIfTrue="1" operator="containsText" text="ELTÉRÉS!">
      <formula>NOT(ISERROR(SEARCH("ELTÉRÉS!",A43)))</formula>
    </cfRule>
    <cfRule type="containsText" dxfId="514" priority="54" stopIfTrue="1" operator="containsText" text="STIMMEL!">
      <formula>NOT(ISERROR(SEARCH("STIMMEL!",A43)))</formula>
    </cfRule>
  </conditionalFormatting>
  <conditionalFormatting sqref="A43:A76 C43:N76">
    <cfRule type="cellIs" dxfId="513" priority="52" operator="equal">
      <formula>0.01</formula>
    </cfRule>
  </conditionalFormatting>
  <conditionalFormatting sqref="B43:B74">
    <cfRule type="containsText" dxfId="512" priority="50" stopIfTrue="1" operator="containsText" text="ELTÉRÉS!">
      <formula>NOT(ISERROR(SEARCH("ELTÉRÉS!",B43)))</formula>
    </cfRule>
    <cfRule type="containsText" dxfId="511" priority="51" stopIfTrue="1" operator="containsText" text="STIMMEL!">
      <formula>NOT(ISERROR(SEARCH("STIMMEL!",B43)))</formula>
    </cfRule>
  </conditionalFormatting>
  <conditionalFormatting sqref="B43:B74">
    <cfRule type="cellIs" dxfId="510" priority="49" operator="equal">
      <formula>0.01</formula>
    </cfRule>
  </conditionalFormatting>
  <conditionalFormatting sqref="F39:K39">
    <cfRule type="containsText" dxfId="509" priority="47" stopIfTrue="1" operator="containsText" text="ELTÉRÉS!">
      <formula>NOT(ISERROR(SEARCH("ELTÉRÉS!",F39)))</formula>
    </cfRule>
    <cfRule type="containsText" dxfId="508" priority="48" stopIfTrue="1" operator="containsText" text="STIMMEL!">
      <formula>NOT(ISERROR(SEARCH("STIMMEL!",F39)))</formula>
    </cfRule>
  </conditionalFormatting>
  <conditionalFormatting sqref="F39:K39">
    <cfRule type="cellIs" dxfId="507" priority="46" operator="equal">
      <formula>0.01</formula>
    </cfRule>
  </conditionalFormatting>
  <conditionalFormatting sqref="A39">
    <cfRule type="containsText" dxfId="506" priority="44" stopIfTrue="1" operator="containsText" text="ELTÉRÉS!">
      <formula>NOT(ISERROR(SEARCH("ELTÉRÉS!",A39)))</formula>
    </cfRule>
    <cfRule type="containsText" dxfId="505" priority="45" stopIfTrue="1" operator="containsText" text="STIMMEL!">
      <formula>NOT(ISERROR(SEARCH("STIMMEL!",A39)))</formula>
    </cfRule>
  </conditionalFormatting>
  <conditionalFormatting sqref="A39">
    <cfRule type="cellIs" dxfId="504" priority="43" operator="equal">
      <formula>0.01</formula>
    </cfRule>
  </conditionalFormatting>
  <conditionalFormatting sqref="B39">
    <cfRule type="containsText" dxfId="503" priority="41" stopIfTrue="1" operator="containsText" text="ELTÉRÉS!">
      <formula>NOT(ISERROR(SEARCH("ELTÉRÉS!",B39)))</formula>
    </cfRule>
    <cfRule type="containsText" dxfId="502" priority="42" stopIfTrue="1" operator="containsText" text="STIMMEL!">
      <formula>NOT(ISERROR(SEARCH("STIMMEL!",B39)))</formula>
    </cfRule>
  </conditionalFormatting>
  <conditionalFormatting sqref="B39">
    <cfRule type="cellIs" dxfId="501" priority="40" operator="equal">
      <formula>0.01</formula>
    </cfRule>
  </conditionalFormatting>
  <conditionalFormatting sqref="A78">
    <cfRule type="containsText" dxfId="500" priority="35" stopIfTrue="1" operator="containsText" text="ELTÉRÉS!">
      <formula>NOT(ISERROR(SEARCH("ELTÉRÉS!",A78)))</formula>
    </cfRule>
    <cfRule type="containsText" dxfId="499" priority="36" stopIfTrue="1" operator="containsText" text="STIMMEL!">
      <formula>NOT(ISERROR(SEARCH("STIMMEL!",A78)))</formula>
    </cfRule>
  </conditionalFormatting>
  <conditionalFormatting sqref="A78">
    <cfRule type="cellIs" dxfId="498" priority="34" operator="equal">
      <formula>0.01</formula>
    </cfRule>
  </conditionalFormatting>
  <conditionalFormatting sqref="B78">
    <cfRule type="containsText" dxfId="497" priority="32" stopIfTrue="1" operator="containsText" text="ELTÉRÉS!">
      <formula>NOT(ISERROR(SEARCH("ELTÉRÉS!",B78)))</formula>
    </cfRule>
    <cfRule type="containsText" dxfId="496" priority="33" stopIfTrue="1" operator="containsText" text="STIMMEL!">
      <formula>NOT(ISERROR(SEARCH("STIMMEL!",B78)))</formula>
    </cfRule>
  </conditionalFormatting>
  <conditionalFormatting sqref="B78">
    <cfRule type="cellIs" dxfId="495" priority="31" operator="equal">
      <formula>0.01</formula>
    </cfRule>
  </conditionalFormatting>
  <conditionalFormatting sqref="B85:B117 A85:A119 C119:N119 C85:M118">
    <cfRule type="containsText" dxfId="494" priority="29" stopIfTrue="1" operator="containsText" text="ELTÉRÉS!">
      <formula>NOT(ISERROR(SEARCH("ELTÉRÉS!",A85)))</formula>
    </cfRule>
    <cfRule type="containsText" dxfId="493" priority="30" stopIfTrue="1" operator="containsText" text="STIMMEL!">
      <formula>NOT(ISERROR(SEARCH("STIMMEL!",A85)))</formula>
    </cfRule>
  </conditionalFormatting>
  <conditionalFormatting sqref="B85:B117 A85:A119 C119:N119 C85:M118">
    <cfRule type="cellIs" dxfId="492" priority="28" operator="equal">
      <formula>0.01</formula>
    </cfRule>
  </conditionalFormatting>
  <conditionalFormatting sqref="F121:K121">
    <cfRule type="containsText" dxfId="491" priority="26" stopIfTrue="1" operator="containsText" text="ELTÉRÉS!">
      <formula>NOT(ISERROR(SEARCH("ELTÉRÉS!",F121)))</formula>
    </cfRule>
    <cfRule type="containsText" dxfId="490" priority="27" stopIfTrue="1" operator="containsText" text="STIMMEL!">
      <formula>NOT(ISERROR(SEARCH("STIMMEL!",F121)))</formula>
    </cfRule>
  </conditionalFormatting>
  <conditionalFormatting sqref="F121:K121">
    <cfRule type="cellIs" dxfId="489" priority="25" operator="equal">
      <formula>0.01</formula>
    </cfRule>
  </conditionalFormatting>
  <conditionalFormatting sqref="A121">
    <cfRule type="containsText" dxfId="488" priority="23" stopIfTrue="1" operator="containsText" text="ELTÉRÉS!">
      <formula>NOT(ISERROR(SEARCH("ELTÉRÉS!",A121)))</formula>
    </cfRule>
    <cfRule type="containsText" dxfId="487" priority="24" stopIfTrue="1" operator="containsText" text="STIMMEL!">
      <formula>NOT(ISERROR(SEARCH("STIMMEL!",A121)))</formula>
    </cfRule>
  </conditionalFormatting>
  <conditionalFormatting sqref="A121">
    <cfRule type="cellIs" dxfId="486" priority="22" operator="equal">
      <formula>0.01</formula>
    </cfRule>
  </conditionalFormatting>
  <conditionalFormatting sqref="B121">
    <cfRule type="containsText" dxfId="485" priority="20" stopIfTrue="1" operator="containsText" text="ELTÉRÉS!">
      <formula>NOT(ISERROR(SEARCH("ELTÉRÉS!",B121)))</formula>
    </cfRule>
    <cfRule type="containsText" dxfId="484" priority="21" stopIfTrue="1" operator="containsText" text="STIMMEL!">
      <formula>NOT(ISERROR(SEARCH("STIMMEL!",B121)))</formula>
    </cfRule>
  </conditionalFormatting>
  <conditionalFormatting sqref="B121">
    <cfRule type="cellIs" dxfId="483" priority="19" operator="equal">
      <formula>0.01</formula>
    </cfRule>
  </conditionalFormatting>
  <conditionalFormatting sqref="N85:N118">
    <cfRule type="containsText" dxfId="482" priority="17" stopIfTrue="1" operator="containsText" text="ELTÉRÉS!">
      <formula>NOT(ISERROR(SEARCH("ELTÉRÉS!",N85)))</formula>
    </cfRule>
    <cfRule type="containsText" dxfId="481" priority="18" stopIfTrue="1" operator="containsText" text="STIMMEL!">
      <formula>NOT(ISERROR(SEARCH("STIMMEL!",N85)))</formula>
    </cfRule>
  </conditionalFormatting>
  <conditionalFormatting sqref="N85:N118">
    <cfRule type="cellIs" dxfId="480" priority="16" operator="equal">
      <formula>0.01</formula>
    </cfRule>
  </conditionalFormatting>
  <conditionalFormatting sqref="B126:B158 C160:N160 C126:M159 A126:A160">
    <cfRule type="containsText" dxfId="479" priority="14" stopIfTrue="1" operator="containsText" text="ELTÉRÉS!">
      <formula>NOT(ISERROR(SEARCH("ELTÉRÉS!",A126)))</formula>
    </cfRule>
    <cfRule type="containsText" dxfId="478" priority="15" stopIfTrue="1" operator="containsText" text="STIMMEL!">
      <formula>NOT(ISERROR(SEARCH("STIMMEL!",A126)))</formula>
    </cfRule>
  </conditionalFormatting>
  <conditionalFormatting sqref="B126:B158 C160:N160 C126:M159 A126:A160">
    <cfRule type="cellIs" dxfId="477" priority="13" operator="equal">
      <formula>0.01</formula>
    </cfRule>
  </conditionalFormatting>
  <conditionalFormatting sqref="F162:K162">
    <cfRule type="containsText" dxfId="476" priority="11" stopIfTrue="1" operator="containsText" text="ELTÉRÉS!">
      <formula>NOT(ISERROR(SEARCH("ELTÉRÉS!",F162)))</formula>
    </cfRule>
    <cfRule type="containsText" dxfId="475" priority="12" stopIfTrue="1" operator="containsText" text="STIMMEL!">
      <formula>NOT(ISERROR(SEARCH("STIMMEL!",F162)))</formula>
    </cfRule>
  </conditionalFormatting>
  <conditionalFormatting sqref="F162:K162">
    <cfRule type="cellIs" dxfId="474" priority="10" operator="equal">
      <formula>0.01</formula>
    </cfRule>
  </conditionalFormatting>
  <conditionalFormatting sqref="A162">
    <cfRule type="containsText" dxfId="473" priority="8" stopIfTrue="1" operator="containsText" text="ELTÉRÉS!">
      <formula>NOT(ISERROR(SEARCH("ELTÉRÉS!",A162)))</formula>
    </cfRule>
    <cfRule type="containsText" dxfId="472" priority="9" stopIfTrue="1" operator="containsText" text="STIMMEL!">
      <formula>NOT(ISERROR(SEARCH("STIMMEL!",A162)))</formula>
    </cfRule>
  </conditionalFormatting>
  <conditionalFormatting sqref="A162">
    <cfRule type="cellIs" dxfId="471" priority="7" operator="equal">
      <formula>0.01</formula>
    </cfRule>
  </conditionalFormatting>
  <conditionalFormatting sqref="B162">
    <cfRule type="containsText" dxfId="470" priority="5" stopIfTrue="1" operator="containsText" text="ELTÉRÉS!">
      <formula>NOT(ISERROR(SEARCH("ELTÉRÉS!",B162)))</formula>
    </cfRule>
    <cfRule type="containsText" dxfId="469" priority="6" stopIfTrue="1" operator="containsText" text="STIMMEL!">
      <formula>NOT(ISERROR(SEARCH("STIMMEL!",B162)))</formula>
    </cfRule>
  </conditionalFormatting>
  <conditionalFormatting sqref="B162">
    <cfRule type="cellIs" dxfId="468" priority="4" operator="equal">
      <formula>0.01</formula>
    </cfRule>
  </conditionalFormatting>
  <conditionalFormatting sqref="N126:N159">
    <cfRule type="containsText" dxfId="467" priority="2" stopIfTrue="1" operator="containsText" text="ELTÉRÉS!">
      <formula>NOT(ISERROR(SEARCH("ELTÉRÉS!",N126)))</formula>
    </cfRule>
    <cfRule type="containsText" dxfId="466" priority="3" stopIfTrue="1" operator="containsText" text="STIMMEL!">
      <formula>NOT(ISERROR(SEARCH("STIMMEL!",N126)))</formula>
    </cfRule>
  </conditionalFormatting>
  <conditionalFormatting sqref="N126:N159">
    <cfRule type="cellIs" dxfId="465" priority="1" operator="equal">
      <formula>0.01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C4B2-9D23-4EC8-822B-8707C68379B7}">
  <dimension ref="A1:CR461"/>
  <sheetViews>
    <sheetView workbookViewId="0">
      <pane ySplit="1" topLeftCell="A105" activePane="bottomLeft" state="frozen"/>
      <selection pane="bottomLeft" activeCell="I89" sqref="I89"/>
    </sheetView>
  </sheetViews>
  <sheetFormatPr defaultRowHeight="15" customHeight="1"/>
  <cols>
    <col min="1" max="1" width="15.28515625" style="62" customWidth="1"/>
    <col min="2" max="2" width="16" style="356" customWidth="1"/>
    <col min="3" max="5" width="12.28515625" style="4" customWidth="1"/>
    <col min="6" max="6" width="12.85546875" style="4" bestFit="1" customWidth="1"/>
    <col min="7" max="7" width="15.28515625" style="4" bestFit="1" customWidth="1"/>
    <col min="8" max="8" width="12.85546875" style="4" bestFit="1" customWidth="1"/>
    <col min="9" max="9" width="18.28515625" style="4" customWidth="1"/>
    <col min="10" max="10" width="12.85546875" style="4" customWidth="1"/>
    <col min="11" max="11" width="14.28515625" style="35" customWidth="1"/>
    <col min="12" max="12" width="18.85546875" style="41" customWidth="1"/>
    <col min="13" max="13" width="15.140625" style="41" customWidth="1"/>
    <col min="14" max="14" width="8.5703125" customWidth="1"/>
    <col min="15" max="15" width="20" customWidth="1"/>
    <col min="16" max="16" width="7.140625" style="4" customWidth="1"/>
    <col min="17" max="18" width="15.85546875" style="4" customWidth="1"/>
    <col min="19" max="20" width="11.85546875" style="4" customWidth="1"/>
    <col min="21" max="21" width="11.5703125" style="4" customWidth="1"/>
    <col min="22" max="22" width="14.140625" style="4" customWidth="1"/>
    <col min="23" max="23" width="13.28515625" style="4" customWidth="1"/>
    <col min="24" max="24" width="13" style="4" customWidth="1"/>
    <col min="25" max="25" width="12.140625" style="41" customWidth="1"/>
    <col min="26" max="26" width="12.140625" style="35" customWidth="1"/>
    <col min="27" max="27" width="9.5703125" style="4" customWidth="1"/>
    <col min="28" max="28" width="18.42578125" style="4" customWidth="1"/>
    <col min="29" max="29" width="17" customWidth="1"/>
    <col min="31" max="31" width="12.85546875" customWidth="1"/>
    <col min="33" max="33" width="17" customWidth="1"/>
    <col min="34" max="34" width="12.140625" customWidth="1"/>
    <col min="35" max="35" width="11.85546875" customWidth="1"/>
    <col min="36" max="36" width="13.28515625" customWidth="1"/>
    <col min="37" max="37" width="11.42578125" customWidth="1"/>
    <col min="38" max="38" width="11.140625" customWidth="1"/>
    <col min="39" max="39" width="14.5703125" customWidth="1"/>
    <col min="40" max="40" width="15.7109375" customWidth="1"/>
    <col min="41" max="41" width="13.7109375" customWidth="1"/>
    <col min="42" max="42" width="11.7109375" bestFit="1" customWidth="1"/>
    <col min="44" max="44" width="22.5703125" customWidth="1"/>
    <col min="45" max="45" width="14.7109375" customWidth="1"/>
    <col min="47" max="47" width="12.42578125" customWidth="1"/>
    <col min="49" max="49" width="14.42578125" customWidth="1"/>
    <col min="50" max="50" width="11.5703125" customWidth="1"/>
    <col min="51" max="51" width="11.28515625" customWidth="1"/>
    <col min="52" max="52" width="10.5703125" customWidth="1"/>
    <col min="53" max="53" width="11.140625" customWidth="1"/>
    <col min="54" max="54" width="10.85546875" customWidth="1"/>
    <col min="55" max="55" width="11.42578125" customWidth="1"/>
    <col min="56" max="56" width="11" customWidth="1"/>
    <col min="57" max="57" width="13.85546875" customWidth="1"/>
    <col min="58" max="58" width="10.7109375" bestFit="1" customWidth="1"/>
    <col min="60" max="60" width="18.140625" customWidth="1"/>
    <col min="61" max="61" width="14.85546875" customWidth="1"/>
    <col min="63" max="63" width="16.7109375" customWidth="1"/>
  </cols>
  <sheetData>
    <row r="1" spans="1:66" ht="26.25" customHeight="1">
      <c r="A1" s="68" t="s">
        <v>46</v>
      </c>
      <c r="B1" s="350" t="s">
        <v>147</v>
      </c>
      <c r="C1" s="3">
        <v>0</v>
      </c>
      <c r="D1" s="3">
        <v>0.05</v>
      </c>
      <c r="E1" s="3">
        <v>0.18</v>
      </c>
      <c r="F1" s="3">
        <v>0.27</v>
      </c>
      <c r="G1" s="2" t="s">
        <v>148</v>
      </c>
      <c r="H1" s="2" t="s">
        <v>149</v>
      </c>
      <c r="I1" s="40" t="s">
        <v>150</v>
      </c>
      <c r="J1" s="127" t="s">
        <v>221</v>
      </c>
      <c r="K1" s="31" t="s">
        <v>222</v>
      </c>
      <c r="L1" s="227" t="s">
        <v>152</v>
      </c>
      <c r="M1" s="420" t="s">
        <v>153</v>
      </c>
      <c r="N1" s="44" t="s">
        <v>154</v>
      </c>
      <c r="O1" s="44" t="s">
        <v>155</v>
      </c>
      <c r="Q1" s="2" t="s">
        <v>49</v>
      </c>
      <c r="R1" s="350" t="s">
        <v>147</v>
      </c>
      <c r="S1" s="162">
        <v>0</v>
      </c>
      <c r="T1" s="3">
        <v>0.05</v>
      </c>
      <c r="U1" s="3">
        <v>0.18</v>
      </c>
      <c r="V1" s="3">
        <v>0.27</v>
      </c>
      <c r="W1" s="2" t="s">
        <v>148</v>
      </c>
      <c r="X1" s="2" t="s">
        <v>149</v>
      </c>
      <c r="Y1" s="40" t="s">
        <v>150</v>
      </c>
      <c r="Z1" s="137" t="s">
        <v>221</v>
      </c>
      <c r="AA1" s="31" t="s">
        <v>222</v>
      </c>
      <c r="AB1" s="225" t="s">
        <v>152</v>
      </c>
      <c r="AC1" s="420" t="s">
        <v>153</v>
      </c>
      <c r="AD1" s="44" t="s">
        <v>154</v>
      </c>
      <c r="AE1" s="44" t="s">
        <v>155</v>
      </c>
      <c r="AG1" s="432" t="s">
        <v>53</v>
      </c>
      <c r="AH1" s="350" t="s">
        <v>147</v>
      </c>
      <c r="AI1" s="3">
        <v>0</v>
      </c>
      <c r="AJ1" s="3">
        <v>0.05</v>
      </c>
      <c r="AK1" s="3">
        <v>0.18</v>
      </c>
      <c r="AL1" s="3">
        <v>0.27</v>
      </c>
      <c r="AM1" s="2" t="s">
        <v>148</v>
      </c>
      <c r="AN1" s="2" t="s">
        <v>149</v>
      </c>
      <c r="AO1" s="40" t="s">
        <v>150</v>
      </c>
      <c r="AP1" s="131" t="s">
        <v>221</v>
      </c>
      <c r="AQ1" s="31" t="s">
        <v>222</v>
      </c>
      <c r="AR1" s="189" t="s">
        <v>152</v>
      </c>
      <c r="AS1" s="61" t="s">
        <v>153</v>
      </c>
      <c r="AT1" s="44" t="s">
        <v>154</v>
      </c>
      <c r="AU1" s="44" t="s">
        <v>155</v>
      </c>
      <c r="AW1" s="432" t="s">
        <v>55</v>
      </c>
      <c r="AX1" s="350" t="s">
        <v>147</v>
      </c>
      <c r="AY1" s="3">
        <v>0</v>
      </c>
      <c r="AZ1" s="3">
        <v>0.05</v>
      </c>
      <c r="BA1" s="3">
        <v>0.18</v>
      </c>
      <c r="BB1" s="3">
        <v>0.27</v>
      </c>
      <c r="BC1" s="2" t="s">
        <v>148</v>
      </c>
      <c r="BD1" s="2" t="s">
        <v>149</v>
      </c>
      <c r="BE1" s="40" t="s">
        <v>150</v>
      </c>
      <c r="BF1" s="131" t="s">
        <v>221</v>
      </c>
      <c r="BG1" s="31" t="s">
        <v>222</v>
      </c>
      <c r="BH1" s="189" t="s">
        <v>152</v>
      </c>
      <c r="BI1" s="61" t="s">
        <v>153</v>
      </c>
      <c r="BJ1" s="44" t="s">
        <v>154</v>
      </c>
      <c r="BK1" s="44" t="s">
        <v>155</v>
      </c>
      <c r="BN1" t="s">
        <v>693</v>
      </c>
    </row>
    <row r="2" spans="1:66" ht="21">
      <c r="A2" s="66" t="s">
        <v>3</v>
      </c>
      <c r="B2" s="351"/>
      <c r="C2" s="26"/>
      <c r="D2" s="26"/>
      <c r="E2" s="26"/>
      <c r="F2" s="26"/>
      <c r="G2" s="26"/>
      <c r="H2" s="26"/>
      <c r="I2" s="26"/>
      <c r="J2" s="26"/>
      <c r="K2" s="34"/>
      <c r="L2" s="26"/>
      <c r="M2" s="27"/>
      <c r="N2" s="27"/>
      <c r="O2" s="27"/>
      <c r="Q2" s="160" t="s">
        <v>3</v>
      </c>
      <c r="R2" s="351"/>
      <c r="S2" s="26"/>
      <c r="T2" s="26"/>
      <c r="U2" s="26"/>
      <c r="V2" s="26"/>
      <c r="W2" s="26"/>
      <c r="X2" s="26"/>
      <c r="Y2" s="26"/>
      <c r="Z2" s="26"/>
      <c r="AA2" s="34"/>
      <c r="AB2" s="26"/>
      <c r="AC2" s="27"/>
      <c r="AD2" s="27"/>
      <c r="AE2" s="27"/>
      <c r="AG2" s="66" t="s">
        <v>3</v>
      </c>
      <c r="AH2" s="66"/>
      <c r="AI2" s="26"/>
      <c r="AJ2" s="26"/>
      <c r="AK2" s="26"/>
      <c r="AL2" s="26"/>
      <c r="AM2" s="26"/>
      <c r="AN2" s="26"/>
      <c r="AO2" s="26"/>
      <c r="AP2" s="26"/>
      <c r="AQ2" s="34"/>
      <c r="AR2" s="26"/>
      <c r="AS2" s="27"/>
      <c r="AT2" s="27"/>
      <c r="AU2" s="27"/>
      <c r="AW2" s="66" t="s">
        <v>3</v>
      </c>
      <c r="AX2" s="26"/>
      <c r="AY2" s="26"/>
      <c r="AZ2" s="26"/>
      <c r="BA2" s="26"/>
      <c r="BB2" s="26"/>
      <c r="BC2" s="26"/>
      <c r="BD2" s="26"/>
      <c r="BE2" s="26"/>
      <c r="BF2" s="34"/>
      <c r="BG2" s="26"/>
      <c r="BH2" s="27"/>
      <c r="BI2" s="27"/>
      <c r="BJ2" s="27"/>
      <c r="BK2" s="463"/>
      <c r="BN2" t="str">
        <f>'[7]2026 január'!B$1</f>
        <v>Novohost</v>
      </c>
    </row>
    <row r="3" spans="1:66">
      <c r="A3" s="141">
        <v>46023</v>
      </c>
      <c r="B3" s="142"/>
      <c r="C3" s="142"/>
      <c r="D3" s="142"/>
      <c r="E3" s="142"/>
      <c r="F3" s="142"/>
      <c r="G3" s="142"/>
      <c r="H3" s="142"/>
      <c r="I3" s="142"/>
      <c r="J3" s="142"/>
      <c r="K3" s="143"/>
      <c r="L3" s="199"/>
      <c r="M3" s="145"/>
      <c r="N3" s="153"/>
      <c r="O3" s="153"/>
      <c r="Q3" s="141">
        <v>46023</v>
      </c>
      <c r="R3" s="352"/>
      <c r="S3" s="166"/>
      <c r="T3" s="142"/>
      <c r="U3" s="142"/>
      <c r="V3" s="142"/>
      <c r="W3" s="142"/>
      <c r="X3" s="142"/>
      <c r="Y3" s="142"/>
      <c r="Z3" s="142"/>
      <c r="AA3" s="143"/>
      <c r="AB3" s="199"/>
      <c r="AC3" s="145"/>
      <c r="AD3" s="153"/>
      <c r="AE3" s="153"/>
      <c r="AG3" s="141">
        <v>46023</v>
      </c>
      <c r="AH3" s="141"/>
      <c r="AI3" s="142"/>
      <c r="AJ3" s="142"/>
      <c r="AK3" s="142"/>
      <c r="AL3" s="142"/>
      <c r="AM3" s="142"/>
      <c r="AN3" s="142"/>
      <c r="AO3" s="142"/>
      <c r="AP3" s="142"/>
      <c r="AQ3" s="143"/>
      <c r="AR3" s="199"/>
      <c r="AS3" s="145"/>
      <c r="AT3" s="153"/>
      <c r="AU3" s="153"/>
      <c r="AW3" s="141">
        <v>46023</v>
      </c>
      <c r="AX3" s="142"/>
      <c r="AY3" s="142"/>
      <c r="AZ3" s="142"/>
      <c r="BA3" s="142"/>
      <c r="BB3" s="142"/>
      <c r="BC3" s="142"/>
      <c r="BD3" s="142"/>
      <c r="BE3" s="142"/>
      <c r="BF3" s="143"/>
      <c r="BG3" s="144"/>
      <c r="BH3" s="145"/>
      <c r="BI3" s="153"/>
      <c r="BJ3" s="464"/>
      <c r="BK3" s="9"/>
      <c r="BN3">
        <f>'[7]2026 január'!B$2</f>
        <v>0</v>
      </c>
    </row>
    <row r="4" spans="1:66">
      <c r="A4" s="141">
        <v>46024</v>
      </c>
      <c r="B4" s="142"/>
      <c r="C4" s="142"/>
      <c r="D4" s="142"/>
      <c r="E4" s="142"/>
      <c r="F4" s="142"/>
      <c r="G4" s="142"/>
      <c r="H4" s="142"/>
      <c r="I4" s="142"/>
      <c r="J4" s="142"/>
      <c r="K4" s="143"/>
      <c r="L4" s="226"/>
      <c r="M4" s="223"/>
      <c r="N4" s="224"/>
      <c r="O4" s="224"/>
      <c r="Q4" s="141">
        <v>46024</v>
      </c>
      <c r="R4" s="352"/>
      <c r="S4" s="166"/>
      <c r="T4" s="142"/>
      <c r="U4" s="142"/>
      <c r="V4" s="142"/>
      <c r="W4" s="142"/>
      <c r="X4" s="142"/>
      <c r="Y4" s="142"/>
      <c r="Z4" s="142"/>
      <c r="AA4" s="143"/>
      <c r="AB4" s="226"/>
      <c r="AC4" s="223"/>
      <c r="AD4" s="224"/>
      <c r="AE4" s="224"/>
      <c r="AG4" s="141">
        <v>46024</v>
      </c>
      <c r="AH4" s="141"/>
      <c r="AI4" s="142"/>
      <c r="AJ4" s="142"/>
      <c r="AK4" s="142"/>
      <c r="AL4" s="142"/>
      <c r="AM4" s="142"/>
      <c r="AN4" s="142"/>
      <c r="AO4" s="142"/>
      <c r="AP4" s="142"/>
      <c r="AQ4" s="143"/>
      <c r="AR4" s="199"/>
      <c r="AS4" s="145"/>
      <c r="AT4" s="153"/>
      <c r="AU4" s="153"/>
      <c r="AW4" s="141">
        <v>46024</v>
      </c>
      <c r="AX4" s="142"/>
      <c r="AY4" s="142"/>
      <c r="AZ4" s="142"/>
      <c r="BA4" s="142"/>
      <c r="BB4" s="142"/>
      <c r="BC4" s="142"/>
      <c r="BD4" s="142"/>
      <c r="BE4" s="142"/>
      <c r="BF4" s="143"/>
      <c r="BG4" s="144"/>
      <c r="BH4" s="145"/>
      <c r="BI4" s="153"/>
      <c r="BJ4" s="464"/>
      <c r="BK4" s="9"/>
      <c r="BN4">
        <f>'[7]2026 január'!B$3</f>
        <v>0</v>
      </c>
    </row>
    <row r="5" spans="1:66">
      <c r="A5" s="141">
        <v>46025</v>
      </c>
      <c r="B5" s="142">
        <v>41440</v>
      </c>
      <c r="C5" s="142">
        <v>950</v>
      </c>
      <c r="D5" s="142">
        <v>2190</v>
      </c>
      <c r="E5" s="142"/>
      <c r="F5" s="142">
        <v>37060</v>
      </c>
      <c r="G5" s="142">
        <v>9110</v>
      </c>
      <c r="H5" s="142">
        <v>31090</v>
      </c>
      <c r="I5" s="142">
        <v>31090</v>
      </c>
      <c r="J5" s="142">
        <v>1200</v>
      </c>
      <c r="K5" s="143" t="s">
        <v>141</v>
      </c>
      <c r="L5" s="146">
        <v>102238949</v>
      </c>
      <c r="M5" s="151"/>
      <c r="N5" s="153"/>
      <c r="O5" s="153"/>
      <c r="Q5" s="141">
        <v>46025</v>
      </c>
      <c r="R5" s="352">
        <v>0</v>
      </c>
      <c r="S5" s="166">
        <v>0</v>
      </c>
      <c r="T5" s="142">
        <v>0</v>
      </c>
      <c r="U5" s="142">
        <v>0</v>
      </c>
      <c r="V5" s="142">
        <v>0</v>
      </c>
      <c r="W5" s="142">
        <v>0</v>
      </c>
      <c r="X5" s="142">
        <v>0</v>
      </c>
      <c r="Y5" s="142">
        <v>0</v>
      </c>
      <c r="Z5" s="142">
        <v>0</v>
      </c>
      <c r="AA5" s="143" t="s">
        <v>143</v>
      </c>
      <c r="AB5" s="146">
        <v>42739974</v>
      </c>
      <c r="AC5" s="151"/>
      <c r="AD5" s="153"/>
      <c r="AE5" s="153"/>
      <c r="AG5" s="141">
        <v>46025</v>
      </c>
      <c r="AH5" s="141"/>
      <c r="AI5" s="142">
        <v>0</v>
      </c>
      <c r="AJ5" s="142">
        <v>0</v>
      </c>
      <c r="AK5" s="142">
        <v>0</v>
      </c>
      <c r="AL5" s="142">
        <v>0</v>
      </c>
      <c r="AM5" s="142">
        <v>0</v>
      </c>
      <c r="AN5" s="142">
        <v>0</v>
      </c>
      <c r="AO5" s="142">
        <v>0</v>
      </c>
      <c r="AP5" s="142"/>
      <c r="AQ5" s="143" t="s">
        <v>163</v>
      </c>
      <c r="AR5" s="229">
        <v>272779049</v>
      </c>
      <c r="AS5" s="230"/>
      <c r="AT5" s="224"/>
      <c r="AU5" s="224"/>
      <c r="AW5" s="141">
        <v>46025</v>
      </c>
      <c r="AX5" s="142"/>
      <c r="AY5" s="142"/>
      <c r="AZ5" s="142"/>
      <c r="BA5" s="142"/>
      <c r="BB5" s="142"/>
      <c r="BC5" s="142"/>
      <c r="BD5" s="142"/>
      <c r="BE5" s="142"/>
      <c r="BF5" s="143"/>
      <c r="BG5" s="146"/>
      <c r="BH5" s="230"/>
      <c r="BI5" s="224"/>
      <c r="BJ5" s="465"/>
      <c r="BK5" s="9"/>
      <c r="BN5">
        <f>'[7]2026 január'!B$4</f>
        <v>41440</v>
      </c>
    </row>
    <row r="6" spans="1:66">
      <c r="A6" s="141">
        <v>46026</v>
      </c>
      <c r="B6" s="142"/>
      <c r="C6" s="142"/>
      <c r="D6" s="142"/>
      <c r="E6" s="142"/>
      <c r="F6" s="142"/>
      <c r="G6" s="142"/>
      <c r="H6" s="142"/>
      <c r="I6" s="142"/>
      <c r="J6" s="142"/>
      <c r="K6" s="143"/>
      <c r="L6" s="146"/>
      <c r="M6" s="151"/>
      <c r="N6" s="153"/>
      <c r="O6" s="153"/>
      <c r="Q6" s="141">
        <v>46026</v>
      </c>
      <c r="R6" s="352"/>
      <c r="S6" s="166"/>
      <c r="T6" s="142"/>
      <c r="U6" s="142"/>
      <c r="V6" s="142"/>
      <c r="W6" s="142"/>
      <c r="X6" s="142"/>
      <c r="Y6" s="142"/>
      <c r="Z6" s="142"/>
      <c r="AA6" s="143"/>
      <c r="AB6" s="146"/>
      <c r="AC6" s="151"/>
      <c r="AD6" s="153"/>
      <c r="AE6" s="153"/>
      <c r="AG6" s="141">
        <v>46026</v>
      </c>
      <c r="AH6" s="141"/>
      <c r="AI6" s="142"/>
      <c r="AJ6" s="142"/>
      <c r="AK6" s="142"/>
      <c r="AL6" s="142"/>
      <c r="AM6" s="142"/>
      <c r="AN6" s="142"/>
      <c r="AO6" s="142"/>
      <c r="AP6" s="142"/>
      <c r="AQ6" s="143"/>
      <c r="AR6" s="146"/>
      <c r="AS6" s="147"/>
      <c r="AT6" s="153"/>
      <c r="AU6" s="153"/>
      <c r="AW6" s="141">
        <v>46026</v>
      </c>
      <c r="AX6" s="142"/>
      <c r="AY6" s="142"/>
      <c r="AZ6" s="142"/>
      <c r="BA6" s="142"/>
      <c r="BB6" s="142"/>
      <c r="BC6" s="142"/>
      <c r="BD6" s="142"/>
      <c r="BE6" s="142"/>
      <c r="BF6" s="143"/>
      <c r="BG6" s="146"/>
      <c r="BH6" s="147"/>
      <c r="BI6" s="153"/>
      <c r="BJ6" s="464"/>
      <c r="BK6" s="9"/>
      <c r="BN6">
        <f>'[7]2026 január'!B$5</f>
        <v>0</v>
      </c>
    </row>
    <row r="7" spans="1:66">
      <c r="A7" s="5">
        <v>46027</v>
      </c>
      <c r="B7" s="11"/>
      <c r="C7" s="11"/>
      <c r="D7" s="11"/>
      <c r="E7" s="11"/>
      <c r="F7" s="11"/>
      <c r="G7" s="11"/>
      <c r="H7" s="11"/>
      <c r="I7" s="11"/>
      <c r="J7" s="11"/>
      <c r="K7" s="38"/>
      <c r="L7" s="72"/>
      <c r="M7" s="152"/>
      <c r="N7" s="148"/>
      <c r="O7" s="148"/>
      <c r="Q7" s="5">
        <v>46027</v>
      </c>
      <c r="R7" s="353"/>
      <c r="S7" s="167"/>
      <c r="T7" s="11"/>
      <c r="U7" s="11"/>
      <c r="V7" s="11"/>
      <c r="W7" s="11"/>
      <c r="X7" s="11"/>
      <c r="Y7" s="11"/>
      <c r="Z7" s="11"/>
      <c r="AA7" s="38"/>
      <c r="AB7" s="72"/>
      <c r="AC7" s="152"/>
      <c r="AD7" s="148"/>
      <c r="AE7" s="148"/>
      <c r="AG7" s="5">
        <v>46027</v>
      </c>
      <c r="AH7" s="5"/>
      <c r="AI7" s="11"/>
      <c r="AJ7" s="11"/>
      <c r="AK7" s="11"/>
      <c r="AL7" s="11"/>
      <c r="AM7" s="11"/>
      <c r="AN7" s="11"/>
      <c r="AO7" s="11"/>
      <c r="AP7" s="11"/>
      <c r="AQ7" s="38"/>
      <c r="AR7" s="72"/>
      <c r="AS7" s="138"/>
      <c r="AT7" s="148"/>
      <c r="AU7" s="148"/>
      <c r="AW7" s="5">
        <v>46027</v>
      </c>
      <c r="AX7" s="11"/>
      <c r="AY7" s="11"/>
      <c r="AZ7" s="11"/>
      <c r="BA7" s="11"/>
      <c r="BB7" s="11"/>
      <c r="BC7" s="11"/>
      <c r="BD7" s="11"/>
      <c r="BE7" s="11"/>
      <c r="BF7" s="38"/>
      <c r="BG7" s="72"/>
      <c r="BH7" s="138"/>
      <c r="BI7" s="148"/>
      <c r="BJ7" s="466"/>
      <c r="BK7" s="9"/>
      <c r="BN7">
        <f>'[7]2026 január'!B$6</f>
        <v>0</v>
      </c>
    </row>
    <row r="8" spans="1:66">
      <c r="A8" s="5">
        <v>46028</v>
      </c>
      <c r="B8" s="11"/>
      <c r="C8" s="11"/>
      <c r="D8" s="11"/>
      <c r="E8" s="11"/>
      <c r="F8" s="11"/>
      <c r="G8" s="11"/>
      <c r="H8" s="11"/>
      <c r="I8" s="11"/>
      <c r="J8" s="11"/>
      <c r="K8" s="38"/>
      <c r="L8" s="72"/>
      <c r="M8" s="152"/>
      <c r="N8" s="148"/>
      <c r="O8" s="148"/>
      <c r="Q8" s="5">
        <v>46028</v>
      </c>
      <c r="R8" s="353"/>
      <c r="S8" s="167"/>
      <c r="T8" s="11"/>
      <c r="U8" s="11"/>
      <c r="V8" s="11"/>
      <c r="W8" s="11"/>
      <c r="X8" s="11"/>
      <c r="Y8" s="11"/>
      <c r="Z8" s="11"/>
      <c r="AA8" s="38"/>
      <c r="AB8" s="72"/>
      <c r="AC8" s="152"/>
      <c r="AD8" s="148"/>
      <c r="AE8" s="148"/>
      <c r="AG8" s="5">
        <v>46028</v>
      </c>
      <c r="AH8" s="5"/>
      <c r="AI8" s="11"/>
      <c r="AJ8" s="11"/>
      <c r="AK8" s="11"/>
      <c r="AL8" s="11"/>
      <c r="AM8" s="11"/>
      <c r="AN8" s="11"/>
      <c r="AO8" s="11"/>
      <c r="AP8" s="11"/>
      <c r="AQ8" s="38"/>
      <c r="AR8" s="72"/>
      <c r="AS8" s="138"/>
      <c r="AT8" s="148"/>
      <c r="AU8" s="148"/>
      <c r="AW8" s="5">
        <v>46028</v>
      </c>
      <c r="AX8" s="11"/>
      <c r="AY8" s="11"/>
      <c r="AZ8" s="11"/>
      <c r="BA8" s="11"/>
      <c r="BB8" s="11"/>
      <c r="BC8" s="11"/>
      <c r="BD8" s="11"/>
      <c r="BE8" s="11"/>
      <c r="BF8" s="38"/>
      <c r="BG8" s="72"/>
      <c r="BH8" s="138"/>
      <c r="BI8" s="148"/>
      <c r="BJ8" s="466"/>
      <c r="BK8" s="9"/>
      <c r="BN8">
        <f>'[7]2026 január'!B$7</f>
        <v>0</v>
      </c>
    </row>
    <row r="9" spans="1:66">
      <c r="A9" s="5">
        <v>46029</v>
      </c>
      <c r="B9" s="11">
        <v>8470</v>
      </c>
      <c r="C9" s="11"/>
      <c r="D9" s="11">
        <v>8470</v>
      </c>
      <c r="E9" s="11"/>
      <c r="F9" s="11"/>
      <c r="G9" s="11">
        <v>4130</v>
      </c>
      <c r="H9" s="11">
        <v>4340</v>
      </c>
      <c r="I9" s="11">
        <v>4340</v>
      </c>
      <c r="J9" s="11" t="s">
        <v>67</v>
      </c>
      <c r="K9" s="38" t="s">
        <v>766</v>
      </c>
      <c r="L9" s="72">
        <v>102247419</v>
      </c>
      <c r="M9" s="152"/>
      <c r="N9" s="149"/>
      <c r="O9" s="149"/>
      <c r="Q9" s="5">
        <v>46029</v>
      </c>
      <c r="R9" s="353"/>
      <c r="S9" s="167"/>
      <c r="T9" s="11"/>
      <c r="U9" s="11"/>
      <c r="V9" s="11"/>
      <c r="W9" s="11"/>
      <c r="X9" s="11"/>
      <c r="Y9" s="11"/>
      <c r="Z9" s="11"/>
      <c r="AA9" s="38"/>
      <c r="AB9" s="72"/>
      <c r="AC9" s="152"/>
      <c r="AD9" s="149"/>
      <c r="AE9" s="149"/>
      <c r="AG9" s="5">
        <v>46029</v>
      </c>
      <c r="AH9" s="5"/>
      <c r="AI9" s="11"/>
      <c r="AJ9" s="11"/>
      <c r="AK9" s="11"/>
      <c r="AL9" s="11"/>
      <c r="AM9" s="11"/>
      <c r="AN9" s="11"/>
      <c r="AO9" s="11"/>
      <c r="AP9" s="11"/>
      <c r="AQ9" s="38"/>
      <c r="AR9" s="72"/>
      <c r="AS9" s="138"/>
      <c r="AT9" s="149"/>
      <c r="AU9" s="149"/>
      <c r="AW9" s="5">
        <v>46029</v>
      </c>
      <c r="AX9" s="11"/>
      <c r="AY9" s="11"/>
      <c r="AZ9" s="11"/>
      <c r="BA9" s="11"/>
      <c r="BB9" s="11"/>
      <c r="BC9" s="11"/>
      <c r="BD9" s="11"/>
      <c r="BE9" s="11"/>
      <c r="BF9" s="38"/>
      <c r="BG9" s="72"/>
      <c r="BH9" s="138"/>
      <c r="BI9" s="149"/>
      <c r="BJ9" s="467"/>
      <c r="BK9" s="9"/>
      <c r="BN9">
        <f>'[7]2026 január'!B$8</f>
        <v>0</v>
      </c>
    </row>
    <row r="10" spans="1:66">
      <c r="A10" s="5">
        <v>46030</v>
      </c>
      <c r="B10" s="11"/>
      <c r="C10" s="11"/>
      <c r="D10" s="11"/>
      <c r="E10" s="11"/>
      <c r="F10" s="11"/>
      <c r="G10" s="11"/>
      <c r="H10" s="11"/>
      <c r="I10" s="11"/>
      <c r="J10" s="11"/>
      <c r="K10" s="38"/>
      <c r="L10" s="72"/>
      <c r="M10" s="152"/>
      <c r="N10" s="148"/>
      <c r="O10" s="148"/>
      <c r="Q10" s="5">
        <v>46030</v>
      </c>
      <c r="R10" s="353"/>
      <c r="S10" s="167"/>
      <c r="T10" s="11"/>
      <c r="U10" s="11"/>
      <c r="V10" s="11"/>
      <c r="W10" s="11"/>
      <c r="X10" s="11"/>
      <c r="Y10" s="11"/>
      <c r="Z10" s="11"/>
      <c r="AA10" s="38"/>
      <c r="AB10" s="72"/>
      <c r="AC10" s="152"/>
      <c r="AD10" s="148"/>
      <c r="AE10" s="148"/>
      <c r="AG10" s="5">
        <v>46030</v>
      </c>
      <c r="AH10" s="5"/>
      <c r="AI10" s="11"/>
      <c r="AJ10" s="11" t="s">
        <v>93</v>
      </c>
      <c r="AK10" s="11"/>
      <c r="AL10" s="11"/>
      <c r="AM10" s="11"/>
      <c r="AN10" s="11"/>
      <c r="AO10" s="11"/>
      <c r="AP10" s="11"/>
      <c r="AQ10" s="38"/>
      <c r="AR10" s="72"/>
      <c r="AS10" s="138"/>
      <c r="AT10" s="148"/>
      <c r="AU10" s="148"/>
      <c r="AW10" s="5">
        <v>46030</v>
      </c>
      <c r="AX10" s="11"/>
      <c r="AY10" s="11"/>
      <c r="AZ10" s="11"/>
      <c r="BA10" s="11"/>
      <c r="BB10" s="11"/>
      <c r="BC10" s="11"/>
      <c r="BD10" s="11"/>
      <c r="BE10" s="11"/>
      <c r="BF10" s="38"/>
      <c r="BG10" s="72"/>
      <c r="BH10" s="138"/>
      <c r="BI10" s="148"/>
      <c r="BJ10" s="466"/>
      <c r="BK10" s="9"/>
      <c r="BN10">
        <f>'[7]2026 január'!B$9</f>
        <v>0</v>
      </c>
    </row>
    <row r="11" spans="1:66">
      <c r="A11" s="5">
        <v>46031</v>
      </c>
      <c r="B11" s="11">
        <v>850</v>
      </c>
      <c r="C11" s="11"/>
      <c r="D11" s="11">
        <v>850</v>
      </c>
      <c r="E11" s="11"/>
      <c r="F11" s="11"/>
      <c r="G11" s="11"/>
      <c r="H11" s="11">
        <v>850</v>
      </c>
      <c r="I11" s="11">
        <v>850</v>
      </c>
      <c r="J11" s="11" t="s">
        <v>67</v>
      </c>
      <c r="K11" s="38" t="s">
        <v>767</v>
      </c>
      <c r="L11" s="72">
        <v>102248269</v>
      </c>
      <c r="M11" s="152"/>
      <c r="N11" s="148"/>
      <c r="O11" s="148"/>
      <c r="Q11" s="5">
        <v>46031</v>
      </c>
      <c r="R11" s="353"/>
      <c r="S11" s="167"/>
      <c r="T11" s="11"/>
      <c r="U11" s="11"/>
      <c r="V11" s="11"/>
      <c r="W11" s="11"/>
      <c r="X11" s="11"/>
      <c r="Y11" s="11"/>
      <c r="Z11" s="11"/>
      <c r="AA11" s="38"/>
      <c r="AB11" s="72"/>
      <c r="AC11" s="152"/>
      <c r="AD11" s="148"/>
      <c r="AE11" s="148"/>
      <c r="AG11" s="5">
        <v>46031</v>
      </c>
      <c r="AH11" s="5"/>
      <c r="AI11" s="11"/>
      <c r="AJ11" s="11"/>
      <c r="AK11" s="11"/>
      <c r="AL11" s="11"/>
      <c r="AM11" s="11"/>
      <c r="AN11" s="11"/>
      <c r="AO11" s="11"/>
      <c r="AP11" s="11"/>
      <c r="AQ11" s="38"/>
      <c r="AR11" s="72"/>
      <c r="AS11" s="138"/>
      <c r="AT11" s="148"/>
      <c r="AU11" s="148"/>
      <c r="AW11" s="5">
        <v>46031</v>
      </c>
      <c r="AX11" s="11"/>
      <c r="AY11" s="11"/>
      <c r="AZ11" s="11"/>
      <c r="BA11" s="11"/>
      <c r="BB11" s="11"/>
      <c r="BC11" s="11"/>
      <c r="BD11" s="11"/>
      <c r="BE11" s="11"/>
      <c r="BF11" s="38"/>
      <c r="BG11" s="72"/>
      <c r="BH11" s="138"/>
      <c r="BI11" s="148"/>
      <c r="BJ11" s="466"/>
      <c r="BK11" s="9"/>
      <c r="BN11">
        <f>'[7]2026 január'!B$10</f>
        <v>0</v>
      </c>
    </row>
    <row r="12" spans="1:66">
      <c r="A12" s="5">
        <v>46032</v>
      </c>
      <c r="B12" s="11">
        <v>395635</v>
      </c>
      <c r="C12" s="11">
        <v>946</v>
      </c>
      <c r="D12" s="11">
        <v>2920</v>
      </c>
      <c r="E12" s="11">
        <v>32290</v>
      </c>
      <c r="F12" s="11">
        <v>362587</v>
      </c>
      <c r="G12" s="11">
        <v>135605</v>
      </c>
      <c r="H12" s="11">
        <v>263137</v>
      </c>
      <c r="I12" s="11">
        <v>263137</v>
      </c>
      <c r="J12" s="11">
        <v>9108</v>
      </c>
      <c r="K12" s="38" t="s">
        <v>768</v>
      </c>
      <c r="L12" s="72">
        <v>102647012</v>
      </c>
      <c r="M12" s="152"/>
      <c r="N12" s="148"/>
      <c r="O12" s="148"/>
      <c r="Q12" s="141">
        <v>46032</v>
      </c>
      <c r="R12" s="352"/>
      <c r="S12" s="166">
        <v>350</v>
      </c>
      <c r="T12" s="142">
        <v>49362</v>
      </c>
      <c r="U12" s="142"/>
      <c r="V12" s="142">
        <v>1600</v>
      </c>
      <c r="W12" s="142">
        <v>7580</v>
      </c>
      <c r="X12" s="75">
        <v>43732</v>
      </c>
      <c r="Y12" s="75">
        <v>30700</v>
      </c>
      <c r="Z12" s="142">
        <v>1480</v>
      </c>
      <c r="AA12" s="143" t="s">
        <v>769</v>
      </c>
      <c r="AB12" s="146">
        <v>42791286</v>
      </c>
      <c r="AC12" s="151"/>
      <c r="AD12" s="153"/>
      <c r="AE12" s="153"/>
      <c r="AG12" s="141">
        <v>46032</v>
      </c>
      <c r="AH12" s="141"/>
      <c r="AI12" s="142"/>
      <c r="AJ12" s="142"/>
      <c r="AK12" s="142"/>
      <c r="AL12" s="142"/>
      <c r="AM12" s="142"/>
      <c r="AN12" s="142"/>
      <c r="AO12" s="142"/>
      <c r="AP12" s="142"/>
      <c r="AQ12" s="143"/>
      <c r="AR12" s="146"/>
      <c r="AS12" s="147"/>
      <c r="AT12" s="153"/>
      <c r="AU12" s="153"/>
      <c r="AW12" s="141">
        <v>46032</v>
      </c>
      <c r="AX12" s="142"/>
      <c r="AY12" s="142"/>
      <c r="AZ12" s="142"/>
      <c r="BA12" s="142"/>
      <c r="BB12" s="142"/>
      <c r="BC12" s="142"/>
      <c r="BD12" s="142"/>
      <c r="BE12" s="142"/>
      <c r="BF12" s="143"/>
      <c r="BG12" s="146"/>
      <c r="BH12" s="147"/>
      <c r="BI12" s="153"/>
      <c r="BJ12" s="464"/>
      <c r="BK12" s="9"/>
      <c r="BN12">
        <f>'[7]2026 január'!B$11</f>
        <v>438565</v>
      </c>
    </row>
    <row r="13" spans="1:66">
      <c r="A13" s="141">
        <v>46033</v>
      </c>
      <c r="B13" s="142">
        <v>539480</v>
      </c>
      <c r="C13" s="142">
        <v>2500</v>
      </c>
      <c r="D13" s="142">
        <v>2740</v>
      </c>
      <c r="E13" s="142">
        <v>26280</v>
      </c>
      <c r="F13" s="142">
        <v>507956</v>
      </c>
      <c r="G13" s="142">
        <v>169690</v>
      </c>
      <c r="H13" s="142">
        <v>369792</v>
      </c>
      <c r="I13" s="142">
        <v>357924</v>
      </c>
      <c r="J13" s="142">
        <v>11868</v>
      </c>
      <c r="K13" s="143" t="s">
        <v>770</v>
      </c>
      <c r="L13" s="146">
        <v>103186488</v>
      </c>
      <c r="M13" s="151"/>
      <c r="N13" s="153"/>
      <c r="O13" s="153"/>
      <c r="Q13" s="141">
        <v>46033</v>
      </c>
      <c r="R13" s="142">
        <v>319630</v>
      </c>
      <c r="S13" s="166">
        <v>200</v>
      </c>
      <c r="T13" s="142">
        <v>273130</v>
      </c>
      <c r="U13" s="142"/>
      <c r="V13" s="142">
        <v>46300</v>
      </c>
      <c r="W13" s="142">
        <v>108345</v>
      </c>
      <c r="X13" s="142">
        <v>241283</v>
      </c>
      <c r="Y13" s="142">
        <v>241283</v>
      </c>
      <c r="Z13" s="142">
        <v>6523</v>
      </c>
      <c r="AA13" s="143" t="s">
        <v>771</v>
      </c>
      <c r="AB13" s="146">
        <v>43110916</v>
      </c>
      <c r="AC13" s="151"/>
      <c r="AD13" s="153"/>
      <c r="AE13" s="153"/>
      <c r="AG13" s="141">
        <v>46033</v>
      </c>
      <c r="AH13" s="141"/>
      <c r="AI13" s="142"/>
      <c r="AJ13" s="142"/>
      <c r="AK13" s="142"/>
      <c r="AL13" s="142"/>
      <c r="AM13" s="142"/>
      <c r="AN13" s="142"/>
      <c r="AO13" s="142"/>
      <c r="AP13" s="142"/>
      <c r="AQ13" s="143"/>
      <c r="AR13" s="146"/>
      <c r="AS13" s="147"/>
      <c r="AT13" s="153"/>
      <c r="AU13" s="153"/>
      <c r="AW13" s="141">
        <v>46033</v>
      </c>
      <c r="AX13" s="142"/>
      <c r="AY13" s="142"/>
      <c r="AZ13" s="142"/>
      <c r="BA13" s="142"/>
      <c r="BB13" s="142"/>
      <c r="BC13" s="142"/>
      <c r="BD13" s="142"/>
      <c r="BE13" s="142"/>
      <c r="BF13" s="143"/>
      <c r="BG13" s="146"/>
      <c r="BH13" s="147"/>
      <c r="BI13" s="153"/>
      <c r="BJ13" s="464"/>
      <c r="BK13" s="9"/>
      <c r="BN13">
        <f>'[7]2026 január'!B$12</f>
        <v>0</v>
      </c>
    </row>
    <row r="14" spans="1:66">
      <c r="A14" s="5">
        <v>46034</v>
      </c>
      <c r="B14" s="11"/>
      <c r="C14" s="11"/>
      <c r="D14" s="11"/>
      <c r="E14" s="11"/>
      <c r="F14" s="11"/>
      <c r="G14" s="11"/>
      <c r="H14" s="11"/>
      <c r="I14" s="11"/>
      <c r="J14" s="11"/>
      <c r="K14" s="38"/>
      <c r="L14" s="72"/>
      <c r="M14" s="152"/>
      <c r="N14" s="148"/>
      <c r="O14" s="148"/>
      <c r="Q14" s="5">
        <v>46034</v>
      </c>
      <c r="R14" s="353"/>
      <c r="S14" s="167"/>
      <c r="T14" s="11"/>
      <c r="U14" s="11"/>
      <c r="V14" s="11"/>
      <c r="W14" s="11"/>
      <c r="X14" s="11"/>
      <c r="Y14" s="11"/>
      <c r="Z14" s="11"/>
      <c r="AA14" s="38"/>
      <c r="AB14" s="72"/>
      <c r="AC14" s="152"/>
      <c r="AD14" s="148"/>
      <c r="AE14" s="148"/>
      <c r="AG14" s="5">
        <v>46034</v>
      </c>
      <c r="AH14" s="5"/>
      <c r="AI14" s="11"/>
      <c r="AJ14" s="11"/>
      <c r="AK14" s="11"/>
      <c r="AL14" s="11"/>
      <c r="AM14" s="11"/>
      <c r="AN14" s="11"/>
      <c r="AO14" s="11"/>
      <c r="AP14" s="11"/>
      <c r="AQ14" s="38"/>
      <c r="AR14" s="72"/>
      <c r="AS14" s="138"/>
      <c r="AT14" s="148"/>
      <c r="AU14" s="148"/>
      <c r="AW14" s="5">
        <v>46034</v>
      </c>
      <c r="AX14" s="11"/>
      <c r="AY14" s="11"/>
      <c r="AZ14" s="11"/>
      <c r="BA14" s="11"/>
      <c r="BB14" s="11"/>
      <c r="BC14" s="11"/>
      <c r="BD14" s="11"/>
      <c r="BE14" s="11"/>
      <c r="BF14" s="38"/>
      <c r="BG14" s="72"/>
      <c r="BH14" s="138"/>
      <c r="BI14" s="148"/>
      <c r="BJ14" s="466"/>
      <c r="BK14" s="9"/>
      <c r="BN14">
        <f>'[7]2026 január'!B$13</f>
        <v>0</v>
      </c>
    </row>
    <row r="15" spans="1:66">
      <c r="A15" s="5">
        <v>46035</v>
      </c>
      <c r="B15" s="11"/>
      <c r="C15" s="11"/>
      <c r="D15" s="11"/>
      <c r="E15" s="11"/>
      <c r="F15" s="11"/>
      <c r="G15" s="11"/>
      <c r="H15" s="11"/>
      <c r="I15" s="11"/>
      <c r="J15" s="11"/>
      <c r="K15" s="38"/>
      <c r="L15" s="72"/>
      <c r="M15" s="152"/>
      <c r="N15" s="148"/>
      <c r="O15" s="148"/>
      <c r="Q15" s="5">
        <v>46035</v>
      </c>
      <c r="R15" s="353"/>
      <c r="S15" s="167"/>
      <c r="T15" s="11"/>
      <c r="U15" s="11"/>
      <c r="V15" s="11"/>
      <c r="W15" s="11"/>
      <c r="X15" s="11"/>
      <c r="Y15" s="11"/>
      <c r="Z15" s="11"/>
      <c r="AA15" s="38"/>
      <c r="AB15" s="72"/>
      <c r="AC15" s="152"/>
      <c r="AD15" s="148"/>
      <c r="AE15" s="148"/>
      <c r="AG15" s="5">
        <v>46035</v>
      </c>
      <c r="AH15" s="5"/>
      <c r="AI15" s="11"/>
      <c r="AJ15" s="11"/>
      <c r="AK15" s="11"/>
      <c r="AL15" s="11"/>
      <c r="AM15" s="11"/>
      <c r="AN15" s="11"/>
      <c r="AO15" s="11"/>
      <c r="AP15" s="11"/>
      <c r="AQ15" s="38"/>
      <c r="AR15" s="72"/>
      <c r="AS15" s="138"/>
      <c r="AT15" s="148"/>
      <c r="AU15" s="148"/>
      <c r="AW15" s="5">
        <v>46035</v>
      </c>
      <c r="AX15" s="11"/>
      <c r="AY15" s="11"/>
      <c r="AZ15" s="11"/>
      <c r="BA15" s="11"/>
      <c r="BB15" s="11"/>
      <c r="BC15" s="11"/>
      <c r="BD15" s="11"/>
      <c r="BE15" s="11"/>
      <c r="BF15" s="38"/>
      <c r="BG15" s="72"/>
      <c r="BH15" s="138"/>
      <c r="BI15" s="148"/>
      <c r="BJ15" s="466"/>
      <c r="BK15" s="9"/>
      <c r="BN15">
        <f>'[7]2026 január'!B$14</f>
        <v>0</v>
      </c>
    </row>
    <row r="16" spans="1:66">
      <c r="A16" s="5">
        <v>46036</v>
      </c>
      <c r="B16" s="11"/>
      <c r="C16" s="11"/>
      <c r="D16" s="11"/>
      <c r="E16" s="11"/>
      <c r="F16" s="11"/>
      <c r="G16" s="11"/>
      <c r="H16" s="11"/>
      <c r="I16" s="11"/>
      <c r="J16" s="11"/>
      <c r="K16" s="38"/>
      <c r="L16" s="72"/>
      <c r="M16" s="152"/>
      <c r="N16" s="148"/>
      <c r="O16" s="148"/>
      <c r="Q16" s="5">
        <v>46036</v>
      </c>
      <c r="R16" s="353"/>
      <c r="S16" s="167"/>
      <c r="T16" s="11"/>
      <c r="U16" s="11"/>
      <c r="V16" s="11"/>
      <c r="W16" s="11"/>
      <c r="X16" s="11"/>
      <c r="Y16" s="11"/>
      <c r="Z16" s="11"/>
      <c r="AA16" s="38"/>
      <c r="AB16" s="72"/>
      <c r="AC16" s="152"/>
      <c r="AD16" s="148"/>
      <c r="AE16" s="148"/>
      <c r="AG16" s="5">
        <v>46036</v>
      </c>
      <c r="AH16" s="5"/>
      <c r="AI16" s="11"/>
      <c r="AJ16" s="11"/>
      <c r="AK16" s="11"/>
      <c r="AL16" s="11"/>
      <c r="AM16" s="11"/>
      <c r="AN16" s="11"/>
      <c r="AO16" s="11"/>
      <c r="AP16" s="11"/>
      <c r="AQ16" s="38"/>
      <c r="AR16" s="72"/>
      <c r="AS16" s="138"/>
      <c r="AT16" s="148"/>
      <c r="AU16" s="148"/>
      <c r="AW16" s="5">
        <v>46036</v>
      </c>
      <c r="AX16" s="11"/>
      <c r="AY16" s="11"/>
      <c r="AZ16" s="11"/>
      <c r="BA16" s="11"/>
      <c r="BB16" s="11"/>
      <c r="BC16" s="11"/>
      <c r="BD16" s="11"/>
      <c r="BE16" s="11"/>
      <c r="BF16" s="38"/>
      <c r="BG16" s="72"/>
      <c r="BH16" s="138"/>
      <c r="BI16" s="148"/>
      <c r="BJ16" s="466"/>
      <c r="BK16" s="9"/>
      <c r="BN16">
        <f>'[7]2026 január'!B$15</f>
        <v>0</v>
      </c>
    </row>
    <row r="17" spans="1:66">
      <c r="A17" s="5">
        <v>46037</v>
      </c>
      <c r="B17" s="11"/>
      <c r="C17" s="11"/>
      <c r="D17" s="11"/>
      <c r="E17" s="11"/>
      <c r="F17" s="11"/>
      <c r="G17" s="11"/>
      <c r="H17" s="11"/>
      <c r="I17" s="11"/>
      <c r="J17" s="11"/>
      <c r="K17" s="38"/>
      <c r="L17" s="72"/>
      <c r="M17" s="152"/>
      <c r="N17" s="148"/>
      <c r="O17" s="148"/>
      <c r="Q17" s="5">
        <v>46037</v>
      </c>
      <c r="R17" s="353"/>
      <c r="S17" s="167"/>
      <c r="T17" s="11"/>
      <c r="U17" s="11"/>
      <c r="V17" s="11"/>
      <c r="W17" s="11"/>
      <c r="X17" s="11"/>
      <c r="Y17" s="11"/>
      <c r="Z17" s="11"/>
      <c r="AA17" s="38"/>
      <c r="AB17" s="72"/>
      <c r="AC17" s="152"/>
      <c r="AD17" s="148"/>
      <c r="AE17" s="148"/>
      <c r="AG17" s="5">
        <v>46037</v>
      </c>
      <c r="AH17" s="5"/>
      <c r="AI17" s="11"/>
      <c r="AJ17" s="11"/>
      <c r="AK17" s="11"/>
      <c r="AL17" s="11"/>
      <c r="AM17" s="11"/>
      <c r="AN17" s="11"/>
      <c r="AO17" s="11"/>
      <c r="AP17" s="11"/>
      <c r="AQ17" s="38"/>
      <c r="AR17" s="72"/>
      <c r="AS17" s="138"/>
      <c r="AT17" s="148"/>
      <c r="AU17" s="148"/>
      <c r="AW17" s="5">
        <v>46037</v>
      </c>
      <c r="AX17" s="11"/>
      <c r="AY17" s="11"/>
      <c r="AZ17" s="11"/>
      <c r="BA17" s="11"/>
      <c r="BB17" s="11"/>
      <c r="BC17" s="11"/>
      <c r="BD17" s="11"/>
      <c r="BE17" s="11"/>
      <c r="BF17" s="38"/>
      <c r="BG17" s="72"/>
      <c r="BH17" s="138"/>
      <c r="BI17" s="148"/>
      <c r="BJ17" s="466"/>
      <c r="BK17" s="9"/>
      <c r="BN17">
        <f>'[7]2026 január'!B$16</f>
        <v>0</v>
      </c>
    </row>
    <row r="18" spans="1:66">
      <c r="A18" s="5">
        <v>46038</v>
      </c>
      <c r="B18" s="11"/>
      <c r="C18" s="11"/>
      <c r="D18" s="11"/>
      <c r="E18" s="11"/>
      <c r="F18" s="11"/>
      <c r="G18" s="11"/>
      <c r="H18" s="11"/>
      <c r="I18" s="11"/>
      <c r="J18" s="11"/>
      <c r="K18" s="38"/>
      <c r="L18" s="72"/>
      <c r="M18" s="152"/>
      <c r="N18" s="148"/>
      <c r="O18" s="148"/>
      <c r="Q18" s="5">
        <v>46038</v>
      </c>
      <c r="R18" s="353"/>
      <c r="S18" s="167"/>
      <c r="T18" s="11"/>
      <c r="U18" s="11"/>
      <c r="V18" s="11"/>
      <c r="W18" s="11"/>
      <c r="X18" s="11"/>
      <c r="Y18" s="11"/>
      <c r="Z18" s="11"/>
      <c r="AA18" s="38"/>
      <c r="AB18" s="72"/>
      <c r="AC18" s="152"/>
      <c r="AD18" s="148"/>
      <c r="AE18" s="148"/>
      <c r="AG18" s="5">
        <v>46038</v>
      </c>
      <c r="AH18" s="5"/>
      <c r="AI18" s="11"/>
      <c r="AJ18" s="11"/>
      <c r="AK18" s="11"/>
      <c r="AL18" s="11"/>
      <c r="AM18" s="11"/>
      <c r="AN18" s="11"/>
      <c r="AO18" s="11"/>
      <c r="AP18" s="11"/>
      <c r="AQ18" s="38"/>
      <c r="AR18" s="72"/>
      <c r="AS18" s="138"/>
      <c r="AT18" s="148"/>
      <c r="AU18" s="148"/>
      <c r="AW18" s="5">
        <v>46038</v>
      </c>
      <c r="AX18" s="11"/>
      <c r="AY18" s="11"/>
      <c r="AZ18" s="11"/>
      <c r="BA18" s="11"/>
      <c r="BB18" s="11"/>
      <c r="BC18" s="11"/>
      <c r="BD18" s="11"/>
      <c r="BE18" s="11"/>
      <c r="BF18" s="38"/>
      <c r="BG18" s="72"/>
      <c r="BH18" s="138"/>
      <c r="BI18" s="148"/>
      <c r="BJ18" s="466"/>
      <c r="BK18" s="9"/>
      <c r="BN18">
        <f>'[7]2026 január'!B$17</f>
        <v>0</v>
      </c>
    </row>
    <row r="19" spans="1:66">
      <c r="A19" s="141">
        <v>46039</v>
      </c>
      <c r="B19" s="142"/>
      <c r="C19" s="142"/>
      <c r="D19" s="142"/>
      <c r="E19" s="142"/>
      <c r="F19" s="142"/>
      <c r="G19" s="142"/>
      <c r="H19" s="142"/>
      <c r="I19" s="142"/>
      <c r="J19" s="142"/>
      <c r="K19" s="143"/>
      <c r="L19" s="146"/>
      <c r="M19" s="151"/>
      <c r="N19" s="153"/>
      <c r="O19" s="153"/>
      <c r="Q19" s="141">
        <v>46039</v>
      </c>
      <c r="R19" s="352"/>
      <c r="S19" s="166"/>
      <c r="T19" s="142"/>
      <c r="U19" s="142"/>
      <c r="V19" s="142"/>
      <c r="W19" s="142"/>
      <c r="X19" s="142"/>
      <c r="Y19" s="142"/>
      <c r="Z19" s="142"/>
      <c r="AA19" s="143"/>
      <c r="AB19" s="146"/>
      <c r="AC19" s="151"/>
      <c r="AD19" s="153"/>
      <c r="AE19" s="153"/>
      <c r="AG19" s="141">
        <v>46039</v>
      </c>
      <c r="AH19" s="141"/>
      <c r="AI19" s="142"/>
      <c r="AJ19" s="142"/>
      <c r="AK19" s="142"/>
      <c r="AL19" s="142"/>
      <c r="AM19" s="142"/>
      <c r="AN19" s="142"/>
      <c r="AO19" s="142"/>
      <c r="AP19" s="142"/>
      <c r="AQ19" s="143"/>
      <c r="AR19" s="146"/>
      <c r="AS19" s="147"/>
      <c r="AT19" s="153"/>
      <c r="AU19" s="153"/>
      <c r="AW19" s="141">
        <v>46039</v>
      </c>
      <c r="AX19" s="142"/>
      <c r="AY19" s="142"/>
      <c r="AZ19" s="142"/>
      <c r="BA19" s="142"/>
      <c r="BB19" s="142"/>
      <c r="BC19" s="142"/>
      <c r="BD19" s="142"/>
      <c r="BE19" s="142"/>
      <c r="BF19" s="143"/>
      <c r="BG19" s="146"/>
      <c r="BH19" s="147"/>
      <c r="BI19" s="153"/>
      <c r="BJ19" s="464"/>
      <c r="BK19" s="9"/>
      <c r="BN19">
        <f>'[7]2026 január'!B$18</f>
        <v>0</v>
      </c>
    </row>
    <row r="20" spans="1:66">
      <c r="A20" s="141">
        <v>46040</v>
      </c>
      <c r="B20" s="142"/>
      <c r="C20" s="142"/>
      <c r="D20" s="142"/>
      <c r="E20" s="142"/>
      <c r="F20" s="142"/>
      <c r="G20" s="142"/>
      <c r="H20" s="142"/>
      <c r="I20" s="142"/>
      <c r="J20" s="142"/>
      <c r="K20" s="143"/>
      <c r="L20" s="146"/>
      <c r="M20" s="151"/>
      <c r="N20" s="153"/>
      <c r="O20" s="153"/>
      <c r="Q20" s="141">
        <v>46040</v>
      </c>
      <c r="R20" s="352"/>
      <c r="S20" s="166"/>
      <c r="T20" s="142"/>
      <c r="U20" s="142"/>
      <c r="V20" s="142"/>
      <c r="W20" s="142"/>
      <c r="X20" s="142"/>
      <c r="Y20" s="142"/>
      <c r="Z20" s="142"/>
      <c r="AA20" s="143"/>
      <c r="AB20" s="146"/>
      <c r="AC20" s="151"/>
      <c r="AD20" s="153"/>
      <c r="AE20" s="153"/>
      <c r="AG20" s="141">
        <v>46040</v>
      </c>
      <c r="AH20" s="141"/>
      <c r="AI20" s="142"/>
      <c r="AJ20" s="142"/>
      <c r="AK20" s="142"/>
      <c r="AL20" s="142"/>
      <c r="AM20" s="142"/>
      <c r="AN20" s="142"/>
      <c r="AO20" s="142"/>
      <c r="AP20" s="142"/>
      <c r="AQ20" s="143"/>
      <c r="AR20" s="146"/>
      <c r="AS20" s="147"/>
      <c r="AT20" s="153"/>
      <c r="AU20" s="153"/>
      <c r="AW20" s="141">
        <v>46040</v>
      </c>
      <c r="AX20" s="142"/>
      <c r="AY20" s="142"/>
      <c r="AZ20" s="142"/>
      <c r="BA20" s="142"/>
      <c r="BB20" s="142"/>
      <c r="BC20" s="142"/>
      <c r="BD20" s="142"/>
      <c r="BE20" s="142"/>
      <c r="BF20" s="143"/>
      <c r="BG20" s="146"/>
      <c r="BH20" s="147"/>
      <c r="BI20" s="153"/>
      <c r="BJ20" s="464"/>
      <c r="BK20" s="9"/>
      <c r="BN20">
        <f>'[7]2026 január'!B$19</f>
        <v>0</v>
      </c>
    </row>
    <row r="21" spans="1:66">
      <c r="A21" s="5">
        <v>46041</v>
      </c>
      <c r="B21" s="11"/>
      <c r="C21" s="11"/>
      <c r="D21" s="11"/>
      <c r="E21" s="11"/>
      <c r="F21" s="11"/>
      <c r="G21" s="11"/>
      <c r="H21" s="11"/>
      <c r="I21" s="11"/>
      <c r="J21" s="11"/>
      <c r="K21" s="38"/>
      <c r="L21" s="72"/>
      <c r="M21" s="152"/>
      <c r="N21" s="148"/>
      <c r="O21" s="148"/>
      <c r="Q21" s="5">
        <v>46041</v>
      </c>
      <c r="R21" s="353"/>
      <c r="S21" s="167"/>
      <c r="T21" s="11"/>
      <c r="U21" s="11"/>
      <c r="V21" s="11"/>
      <c r="W21" s="11"/>
      <c r="X21" s="11"/>
      <c r="Y21" s="11"/>
      <c r="Z21" s="11"/>
      <c r="AA21" s="38"/>
      <c r="AB21" s="72"/>
      <c r="AC21" s="152"/>
      <c r="AD21" s="148"/>
      <c r="AE21" s="148"/>
      <c r="AG21" s="5">
        <v>46041</v>
      </c>
      <c r="AH21" s="5"/>
      <c r="AI21" s="11"/>
      <c r="AJ21" s="11"/>
      <c r="AK21" s="11"/>
      <c r="AL21" s="11"/>
      <c r="AM21" s="11"/>
      <c r="AN21" s="11"/>
      <c r="AO21" s="11"/>
      <c r="AP21" s="11"/>
      <c r="AQ21" s="38"/>
      <c r="AR21" s="72"/>
      <c r="AS21" s="138"/>
      <c r="AT21" s="148"/>
      <c r="AU21" s="148"/>
      <c r="AW21" s="5">
        <v>46041</v>
      </c>
      <c r="AX21" s="11"/>
      <c r="AY21" s="11"/>
      <c r="AZ21" s="11"/>
      <c r="BA21" s="11"/>
      <c r="BB21" s="11"/>
      <c r="BC21" s="11"/>
      <c r="BD21" s="11"/>
      <c r="BE21" s="11"/>
      <c r="BF21" s="38"/>
      <c r="BG21" s="72"/>
      <c r="BH21" s="138"/>
      <c r="BI21" s="148"/>
      <c r="BJ21" s="466"/>
      <c r="BK21" s="9"/>
      <c r="BN21">
        <f>'[7]2026 január'!B$20</f>
        <v>0</v>
      </c>
    </row>
    <row r="22" spans="1:66">
      <c r="A22" s="5">
        <v>46042</v>
      </c>
      <c r="B22" s="11"/>
      <c r="C22" s="11"/>
      <c r="D22" s="11"/>
      <c r="E22" s="11"/>
      <c r="F22" s="11"/>
      <c r="G22" s="11"/>
      <c r="H22" s="11"/>
      <c r="I22" s="11"/>
      <c r="J22" s="11"/>
      <c r="K22" s="38"/>
      <c r="L22" s="72"/>
      <c r="M22" s="152"/>
      <c r="N22" s="148"/>
      <c r="O22" s="148"/>
      <c r="Q22" s="5">
        <v>46042</v>
      </c>
      <c r="R22" s="353"/>
      <c r="S22" s="167"/>
      <c r="T22" s="11"/>
      <c r="U22" s="11"/>
      <c r="V22" s="11"/>
      <c r="W22" s="11"/>
      <c r="X22" s="11"/>
      <c r="Y22" s="11"/>
      <c r="Z22" s="11"/>
      <c r="AA22" s="38"/>
      <c r="AB22" s="72"/>
      <c r="AC22" s="152"/>
      <c r="AD22" s="148"/>
      <c r="AE22" s="148"/>
      <c r="AG22" s="5">
        <v>46042</v>
      </c>
      <c r="AH22" s="5"/>
      <c r="AI22" s="11"/>
      <c r="AJ22" s="11"/>
      <c r="AK22" s="11"/>
      <c r="AL22" s="11"/>
      <c r="AM22" s="11"/>
      <c r="AN22" s="11"/>
      <c r="AO22" s="11"/>
      <c r="AP22" s="11"/>
      <c r="AQ22" s="38"/>
      <c r="AR22" s="72"/>
      <c r="AS22" s="138"/>
      <c r="AT22" s="148"/>
      <c r="AU22" s="148"/>
      <c r="AW22" s="5">
        <v>46042</v>
      </c>
      <c r="AX22" s="11"/>
      <c r="AY22" s="11"/>
      <c r="AZ22" s="11"/>
      <c r="BA22" s="11"/>
      <c r="BB22" s="11"/>
      <c r="BC22" s="11"/>
      <c r="BD22" s="11"/>
      <c r="BE22" s="11"/>
      <c r="BF22" s="38"/>
      <c r="BG22" s="72"/>
      <c r="BH22" s="138"/>
      <c r="BI22" s="148"/>
      <c r="BJ22" s="466"/>
      <c r="BK22" s="9"/>
      <c r="BN22">
        <f>'[7]2026 január'!B$21</f>
        <v>0</v>
      </c>
    </row>
    <row r="23" spans="1:66">
      <c r="A23" s="5">
        <v>46043</v>
      </c>
      <c r="B23" s="11"/>
      <c r="C23" s="11"/>
      <c r="D23" s="11"/>
      <c r="E23" s="11"/>
      <c r="F23" s="11"/>
      <c r="G23" s="11"/>
      <c r="H23" s="11"/>
      <c r="I23" s="11"/>
      <c r="J23" s="11"/>
      <c r="K23" s="38"/>
      <c r="L23" s="72"/>
      <c r="M23" s="152"/>
      <c r="N23" s="148"/>
      <c r="O23" s="148"/>
      <c r="Q23" s="5">
        <v>46043</v>
      </c>
      <c r="R23" s="353"/>
      <c r="S23" s="167"/>
      <c r="T23" s="11"/>
      <c r="U23" s="11"/>
      <c r="V23" s="11"/>
      <c r="W23" s="11"/>
      <c r="X23" s="11"/>
      <c r="Y23" s="11"/>
      <c r="Z23" s="11"/>
      <c r="AA23" s="38"/>
      <c r="AB23" s="72"/>
      <c r="AC23" s="152"/>
      <c r="AD23" s="148"/>
      <c r="AE23" s="148"/>
      <c r="AG23" s="5">
        <v>46043</v>
      </c>
      <c r="AH23" s="5"/>
      <c r="AI23" s="11"/>
      <c r="AJ23" s="11"/>
      <c r="AK23" s="11"/>
      <c r="AL23" s="11"/>
      <c r="AM23" s="11"/>
      <c r="AN23" s="11"/>
      <c r="AO23" s="11"/>
      <c r="AP23" s="11"/>
      <c r="AQ23" s="38"/>
      <c r="AR23" s="72"/>
      <c r="AS23" s="138"/>
      <c r="AT23" s="148"/>
      <c r="AU23" s="148"/>
      <c r="AW23" s="5">
        <v>46043</v>
      </c>
      <c r="AX23" s="11"/>
      <c r="AY23" s="11"/>
      <c r="AZ23" s="11"/>
      <c r="BA23" s="11"/>
      <c r="BB23" s="11"/>
      <c r="BC23" s="11"/>
      <c r="BD23" s="11"/>
      <c r="BE23" s="11"/>
      <c r="BF23" s="38"/>
      <c r="BG23" s="72"/>
      <c r="BH23" s="138"/>
      <c r="BI23" s="148"/>
      <c r="BJ23" s="466"/>
      <c r="BK23" s="9"/>
      <c r="BN23">
        <f>'[7]2026 január'!B$22</f>
        <v>0</v>
      </c>
    </row>
    <row r="24" spans="1:66">
      <c r="A24" s="5">
        <v>46044</v>
      </c>
      <c r="B24" s="11"/>
      <c r="C24" s="11"/>
      <c r="D24" s="11"/>
      <c r="E24" s="11"/>
      <c r="F24" s="11"/>
      <c r="G24" s="11"/>
      <c r="H24" s="11"/>
      <c r="I24" s="11"/>
      <c r="J24" s="11"/>
      <c r="K24" s="38"/>
      <c r="L24" s="72"/>
      <c r="M24" s="152"/>
      <c r="N24" s="148"/>
      <c r="O24" s="148"/>
      <c r="Q24" s="5">
        <v>46044</v>
      </c>
      <c r="R24" s="353"/>
      <c r="S24" s="167"/>
      <c r="T24" s="11"/>
      <c r="U24" s="11"/>
      <c r="V24" s="11"/>
      <c r="W24" s="11"/>
      <c r="X24" s="11"/>
      <c r="Y24" s="11"/>
      <c r="Z24" s="11"/>
      <c r="AA24" s="38"/>
      <c r="AB24" s="72"/>
      <c r="AC24" s="152"/>
      <c r="AD24" s="148"/>
      <c r="AE24" s="148"/>
      <c r="AG24" s="5">
        <v>46044</v>
      </c>
      <c r="AH24" s="5"/>
      <c r="AI24" s="11"/>
      <c r="AJ24" s="11"/>
      <c r="AK24" s="11"/>
      <c r="AL24" s="11"/>
      <c r="AM24" s="11"/>
      <c r="AN24" s="11"/>
      <c r="AO24" s="11"/>
      <c r="AP24" s="11"/>
      <c r="AQ24" s="38"/>
      <c r="AR24" s="72"/>
      <c r="AS24" s="138"/>
      <c r="AT24" s="148"/>
      <c r="AU24" s="148"/>
      <c r="AW24" s="5">
        <v>46044</v>
      </c>
      <c r="AX24" s="11"/>
      <c r="AY24" s="11"/>
      <c r="AZ24" s="11"/>
      <c r="BA24" s="11"/>
      <c r="BB24" s="11"/>
      <c r="BC24" s="11"/>
      <c r="BD24" s="11"/>
      <c r="BE24" s="11"/>
      <c r="BF24" s="38"/>
      <c r="BG24" s="72"/>
      <c r="BH24" s="138"/>
      <c r="BI24" s="148"/>
      <c r="BJ24" s="466"/>
      <c r="BK24" s="9"/>
      <c r="BN24">
        <f>'[7]2026 január'!B$23</f>
        <v>0</v>
      </c>
    </row>
    <row r="25" spans="1:66">
      <c r="A25" s="5">
        <v>46045</v>
      </c>
      <c r="B25" s="11"/>
      <c r="C25" s="11"/>
      <c r="D25" s="11"/>
      <c r="E25" s="11"/>
      <c r="F25" s="11"/>
      <c r="G25" s="11"/>
      <c r="H25" s="11"/>
      <c r="I25" s="11"/>
      <c r="J25" s="11"/>
      <c r="K25" s="38"/>
      <c r="L25" s="72"/>
      <c r="M25" s="152"/>
      <c r="N25" s="148"/>
      <c r="O25" s="148"/>
      <c r="Q25" s="5">
        <v>46045</v>
      </c>
      <c r="R25" s="353"/>
      <c r="S25" s="167"/>
      <c r="T25" s="11"/>
      <c r="U25" s="11"/>
      <c r="V25" s="11"/>
      <c r="W25" s="11"/>
      <c r="X25" s="11"/>
      <c r="Y25" s="11"/>
      <c r="Z25" s="11"/>
      <c r="AA25" s="38"/>
      <c r="AB25" s="72"/>
      <c r="AC25" s="152"/>
      <c r="AD25" s="148"/>
      <c r="AE25" s="148"/>
      <c r="AG25" s="5">
        <v>46045</v>
      </c>
      <c r="AH25" s="5"/>
      <c r="AI25" s="11"/>
      <c r="AJ25" s="11"/>
      <c r="AK25" s="11"/>
      <c r="AL25" s="11"/>
      <c r="AM25" s="11"/>
      <c r="AN25" s="11"/>
      <c r="AO25" s="11"/>
      <c r="AP25" s="11"/>
      <c r="AQ25" s="38"/>
      <c r="AR25" s="72"/>
      <c r="AS25" s="138"/>
      <c r="AT25" s="148"/>
      <c r="AU25" s="148"/>
      <c r="AW25" s="5">
        <v>46045</v>
      </c>
      <c r="AX25" s="11"/>
      <c r="AY25" s="11"/>
      <c r="AZ25" s="11"/>
      <c r="BA25" s="11"/>
      <c r="BB25" s="11"/>
      <c r="BC25" s="11"/>
      <c r="BD25" s="11"/>
      <c r="BE25" s="11"/>
      <c r="BF25" s="38"/>
      <c r="BG25" s="72"/>
      <c r="BH25" s="138"/>
      <c r="BI25" s="148"/>
      <c r="BJ25" s="466"/>
      <c r="BK25" s="9"/>
      <c r="BN25">
        <f>'[7]2026 január'!B$24</f>
        <v>0</v>
      </c>
    </row>
    <row r="26" spans="1:66">
      <c r="A26" s="141">
        <v>46046</v>
      </c>
      <c r="B26" s="142"/>
      <c r="C26" s="142"/>
      <c r="D26" s="142">
        <v>19920</v>
      </c>
      <c r="E26" s="142">
        <v>36670</v>
      </c>
      <c r="F26" s="142">
        <v>1540718</v>
      </c>
      <c r="G26" s="142"/>
      <c r="H26" s="142"/>
      <c r="I26" s="142"/>
      <c r="J26" s="142"/>
      <c r="K26" s="143" t="s">
        <v>772</v>
      </c>
      <c r="L26" s="146">
        <v>104783796</v>
      </c>
      <c r="M26" s="151"/>
      <c r="N26" s="153"/>
      <c r="O26" s="153"/>
      <c r="Q26" s="141">
        <v>46046</v>
      </c>
      <c r="R26" s="352"/>
      <c r="S26" s="166">
        <v>0</v>
      </c>
      <c r="T26" s="142">
        <v>1171695</v>
      </c>
      <c r="U26" s="142">
        <v>0</v>
      </c>
      <c r="V26" s="142">
        <v>0</v>
      </c>
      <c r="W26" s="142">
        <v>0</v>
      </c>
      <c r="X26" s="142">
        <v>0</v>
      </c>
      <c r="Y26" s="142"/>
      <c r="Z26" s="142"/>
      <c r="AA26" s="143" t="s">
        <v>773</v>
      </c>
      <c r="AB26" s="146">
        <v>44282611</v>
      </c>
      <c r="AC26" s="151"/>
      <c r="AD26" s="153"/>
      <c r="AE26" s="153"/>
      <c r="AG26" s="141">
        <v>46046</v>
      </c>
      <c r="AH26" s="141"/>
      <c r="AI26" s="142"/>
      <c r="AJ26" s="142"/>
      <c r="AK26" s="142"/>
      <c r="AL26" s="142"/>
      <c r="AM26" s="142"/>
      <c r="AN26" s="142"/>
      <c r="AO26" s="142"/>
      <c r="AP26" s="142"/>
      <c r="AQ26" s="143"/>
      <c r="AR26" s="146"/>
      <c r="AS26" s="147"/>
      <c r="AT26" s="153"/>
      <c r="AU26" s="153"/>
      <c r="AW26" s="141">
        <v>46046</v>
      </c>
      <c r="AX26" s="142"/>
      <c r="AY26" s="142"/>
      <c r="AZ26" s="142"/>
      <c r="BA26" s="142"/>
      <c r="BB26" s="142"/>
      <c r="BC26" s="142"/>
      <c r="BD26" s="142"/>
      <c r="BE26" s="142"/>
      <c r="BF26" s="143"/>
      <c r="BG26" s="146"/>
      <c r="BH26" s="147"/>
      <c r="BI26" s="153"/>
      <c r="BJ26" s="464"/>
      <c r="BK26" s="9"/>
      <c r="BN26">
        <f>'[7]2026 január'!B$25</f>
        <v>0</v>
      </c>
    </row>
    <row r="27" spans="1:66">
      <c r="A27" s="141">
        <v>46047</v>
      </c>
      <c r="B27" s="142">
        <v>56410</v>
      </c>
      <c r="C27" s="142"/>
      <c r="D27" s="142"/>
      <c r="E27" s="142"/>
      <c r="F27" s="142">
        <v>56410</v>
      </c>
      <c r="G27" s="142">
        <v>25290</v>
      </c>
      <c r="H27" s="142">
        <v>31121</v>
      </c>
      <c r="I27" s="142">
        <v>31121</v>
      </c>
      <c r="J27" s="142">
        <v>791</v>
      </c>
      <c r="K27" s="143" t="s">
        <v>774</v>
      </c>
      <c r="L27" s="146">
        <v>104840206</v>
      </c>
      <c r="M27" s="151"/>
      <c r="N27" s="153"/>
      <c r="O27" s="153"/>
      <c r="Q27" s="141">
        <v>46047</v>
      </c>
      <c r="R27" s="352"/>
      <c r="S27" s="166"/>
      <c r="T27" s="142"/>
      <c r="U27" s="142"/>
      <c r="V27" s="142"/>
      <c r="W27" s="142"/>
      <c r="X27" s="142"/>
      <c r="Y27" s="142"/>
      <c r="Z27" s="142"/>
      <c r="AA27" s="143"/>
      <c r="AB27" s="146"/>
      <c r="AC27" s="151"/>
      <c r="AD27" s="153"/>
      <c r="AE27" s="153"/>
      <c r="AG27" s="141">
        <v>46047</v>
      </c>
      <c r="AH27" s="141"/>
      <c r="AI27" s="142"/>
      <c r="AJ27" s="142"/>
      <c r="AK27" s="142"/>
      <c r="AL27" s="142"/>
      <c r="AM27" s="142"/>
      <c r="AN27" s="142"/>
      <c r="AO27" s="142"/>
      <c r="AP27" s="142"/>
      <c r="AQ27" s="143"/>
      <c r="AR27" s="146"/>
      <c r="AS27" s="147"/>
      <c r="AT27" s="153"/>
      <c r="AU27" s="153"/>
      <c r="AW27" s="141">
        <v>46047</v>
      </c>
      <c r="AX27" s="142"/>
      <c r="AY27" s="142"/>
      <c r="AZ27" s="142"/>
      <c r="BA27" s="142"/>
      <c r="BB27" s="142"/>
      <c r="BC27" s="142"/>
      <c r="BD27" s="142"/>
      <c r="BE27" s="142"/>
      <c r="BF27" s="143"/>
      <c r="BG27" s="146"/>
      <c r="BH27" s="147"/>
      <c r="BI27" s="153"/>
      <c r="BJ27" s="464"/>
      <c r="BK27" s="9"/>
      <c r="BN27">
        <f>'[7]2026 január'!B$26</f>
        <v>0</v>
      </c>
    </row>
    <row r="28" spans="1:66">
      <c r="A28" s="5">
        <v>46048</v>
      </c>
      <c r="B28" s="11"/>
      <c r="C28" s="11"/>
      <c r="D28" s="11"/>
      <c r="E28" s="11"/>
      <c r="F28" s="11"/>
      <c r="G28" s="11"/>
      <c r="H28" s="11"/>
      <c r="I28" s="11"/>
      <c r="J28" s="11"/>
      <c r="K28" s="38"/>
      <c r="L28" s="72"/>
      <c r="M28" s="152"/>
      <c r="N28" s="148"/>
      <c r="O28" s="148"/>
      <c r="Q28" s="5">
        <v>46048</v>
      </c>
      <c r="R28" s="353"/>
      <c r="S28" s="167"/>
      <c r="T28" s="11"/>
      <c r="U28" s="11"/>
      <c r="V28" s="11"/>
      <c r="W28" s="11"/>
      <c r="X28" s="11"/>
      <c r="Y28" s="11"/>
      <c r="Z28" s="11"/>
      <c r="AA28" s="38"/>
      <c r="AB28" s="72"/>
      <c r="AC28" s="152"/>
      <c r="AD28" s="148"/>
      <c r="AE28" s="148"/>
      <c r="AG28" s="5">
        <v>46048</v>
      </c>
      <c r="AH28" s="5"/>
      <c r="AI28" s="11"/>
      <c r="AJ28" s="11"/>
      <c r="AK28" s="11"/>
      <c r="AL28" s="11"/>
      <c r="AM28" s="11"/>
      <c r="AN28" s="11"/>
      <c r="AO28" s="11"/>
      <c r="AP28" s="11"/>
      <c r="AQ28" s="38"/>
      <c r="AR28" s="72"/>
      <c r="AS28" s="138"/>
      <c r="AT28" s="148"/>
      <c r="AU28" s="148"/>
      <c r="AW28" s="5">
        <v>46048</v>
      </c>
      <c r="AX28" s="11"/>
      <c r="AY28" s="11"/>
      <c r="AZ28" s="11"/>
      <c r="BA28" s="11"/>
      <c r="BB28" s="11"/>
      <c r="BC28" s="11"/>
      <c r="BD28" s="11"/>
      <c r="BE28" s="11"/>
      <c r="BF28" s="38"/>
      <c r="BG28" s="72"/>
      <c r="BH28" s="138"/>
      <c r="BI28" s="148"/>
      <c r="BJ28" s="466"/>
      <c r="BK28" s="9"/>
      <c r="BN28">
        <f>'[7]2026 január'!B$27</f>
        <v>0</v>
      </c>
    </row>
    <row r="29" spans="1:66">
      <c r="A29" s="5">
        <v>46049</v>
      </c>
      <c r="B29" s="11"/>
      <c r="C29" s="11"/>
      <c r="D29" s="11"/>
      <c r="E29" s="11"/>
      <c r="F29" s="11"/>
      <c r="G29" s="11"/>
      <c r="H29" s="11"/>
      <c r="I29" s="11"/>
      <c r="J29" s="11"/>
      <c r="K29" s="38"/>
      <c r="L29" s="72"/>
      <c r="M29" s="152"/>
      <c r="N29" s="148"/>
      <c r="O29" s="148"/>
      <c r="Q29" s="5">
        <v>46049</v>
      </c>
      <c r="R29" s="353"/>
      <c r="S29" s="167"/>
      <c r="T29" s="11"/>
      <c r="U29" s="11"/>
      <c r="V29" s="11"/>
      <c r="W29" s="11"/>
      <c r="X29" s="11"/>
      <c r="Y29" s="11"/>
      <c r="Z29" s="11"/>
      <c r="AA29" s="38"/>
      <c r="AB29" s="72"/>
      <c r="AC29" s="152"/>
      <c r="AD29" s="148"/>
      <c r="AE29" s="148"/>
      <c r="AG29" s="5">
        <v>46049</v>
      </c>
      <c r="AH29" s="5"/>
      <c r="AI29" s="11"/>
      <c r="AJ29" s="11"/>
      <c r="AK29" s="11" t="s">
        <v>93</v>
      </c>
      <c r="AL29" s="11"/>
      <c r="AM29" s="11"/>
      <c r="AN29" s="11"/>
      <c r="AO29" s="11"/>
      <c r="AP29" s="11"/>
      <c r="AQ29" s="38"/>
      <c r="AR29" s="72"/>
      <c r="AS29" s="138"/>
      <c r="AT29" s="148"/>
      <c r="AU29" s="148"/>
      <c r="AW29" s="5">
        <v>46049</v>
      </c>
      <c r="AX29" s="11"/>
      <c r="AY29" s="11"/>
      <c r="AZ29" s="11"/>
      <c r="BA29" s="11"/>
      <c r="BB29" s="11"/>
      <c r="BC29" s="11"/>
      <c r="BD29" s="11"/>
      <c r="BE29" s="11"/>
      <c r="BF29" s="38"/>
      <c r="BG29" s="72"/>
      <c r="BH29" s="138"/>
      <c r="BI29" s="148"/>
      <c r="BJ29" s="466"/>
      <c r="BK29" s="9"/>
      <c r="BN29">
        <f>'[7]2026 január'!B$28</f>
        <v>0</v>
      </c>
    </row>
    <row r="30" spans="1:66">
      <c r="A30" s="5">
        <v>46050</v>
      </c>
      <c r="B30" s="11">
        <v>42660</v>
      </c>
      <c r="C30" s="11"/>
      <c r="D30" s="11"/>
      <c r="E30" s="11">
        <v>1500</v>
      </c>
      <c r="F30" s="11">
        <v>41160</v>
      </c>
      <c r="G30" s="11">
        <v>13880</v>
      </c>
      <c r="H30" s="11">
        <v>28780</v>
      </c>
      <c r="I30" s="11">
        <v>29060</v>
      </c>
      <c r="J30" s="11">
        <v>280</v>
      </c>
      <c r="K30" s="38" t="s">
        <v>775</v>
      </c>
      <c r="L30" s="72">
        <v>104882866</v>
      </c>
      <c r="M30" s="152"/>
      <c r="N30" s="148"/>
      <c r="O30" s="148"/>
      <c r="Q30" s="5">
        <v>46050</v>
      </c>
      <c r="R30" s="353"/>
      <c r="S30" s="167">
        <v>0</v>
      </c>
      <c r="T30" s="11">
        <v>0</v>
      </c>
      <c r="U30" s="11">
        <v>0</v>
      </c>
      <c r="V30" s="11">
        <v>0</v>
      </c>
      <c r="W30" s="11"/>
      <c r="X30" s="11"/>
      <c r="Y30" s="11"/>
      <c r="Z30" s="11"/>
      <c r="AA30" s="38" t="s">
        <v>144</v>
      </c>
      <c r="AB30" s="72">
        <v>44282612</v>
      </c>
      <c r="AC30" s="152"/>
      <c r="AD30" s="148"/>
      <c r="AE30" s="148"/>
      <c r="AG30" s="5">
        <v>46050</v>
      </c>
      <c r="AH30" s="5"/>
      <c r="AI30" s="11"/>
      <c r="AJ30" s="11"/>
      <c r="AK30" s="11"/>
      <c r="AL30" s="11"/>
      <c r="AM30" s="11"/>
      <c r="AN30" s="11"/>
      <c r="AO30" s="11"/>
      <c r="AP30" s="11"/>
      <c r="AQ30" s="38"/>
      <c r="AR30" s="72"/>
      <c r="AS30" s="138"/>
      <c r="AT30" s="148"/>
      <c r="AU30" s="148"/>
      <c r="AW30" s="5">
        <v>46050</v>
      </c>
      <c r="AX30" s="11"/>
      <c r="AY30" s="11"/>
      <c r="AZ30" s="11"/>
      <c r="BA30" s="11"/>
      <c r="BB30" s="11"/>
      <c r="BC30" s="11"/>
      <c r="BD30" s="11"/>
      <c r="BE30" s="11"/>
      <c r="BF30" s="38"/>
      <c r="BG30" s="72"/>
      <c r="BH30" s="138"/>
      <c r="BI30" s="148"/>
      <c r="BJ30" s="466"/>
      <c r="BK30" s="9"/>
      <c r="BN30">
        <f>'[7]2026 január'!B$29</f>
        <v>0</v>
      </c>
    </row>
    <row r="31" spans="1:66">
      <c r="A31" s="5">
        <v>46051</v>
      </c>
      <c r="B31" s="11"/>
      <c r="C31" s="11"/>
      <c r="D31" s="11"/>
      <c r="E31" s="11"/>
      <c r="F31" s="11"/>
      <c r="G31" s="11"/>
      <c r="H31" s="11"/>
      <c r="I31" s="11"/>
      <c r="J31" s="11"/>
      <c r="K31" s="38"/>
      <c r="L31" s="72"/>
      <c r="M31" s="152"/>
      <c r="N31" s="148"/>
      <c r="O31" s="148"/>
      <c r="Q31" s="5">
        <v>46051</v>
      </c>
      <c r="R31" s="353"/>
      <c r="S31" s="167"/>
      <c r="T31" s="11"/>
      <c r="U31" s="11"/>
      <c r="V31" s="11"/>
      <c r="W31" s="11"/>
      <c r="X31" s="11"/>
      <c r="Y31" s="11"/>
      <c r="Z31" s="11"/>
      <c r="AA31" s="38"/>
      <c r="AB31" s="72"/>
      <c r="AC31" s="152"/>
      <c r="AD31" s="148"/>
      <c r="AE31" s="148"/>
      <c r="AG31" s="5">
        <v>46051</v>
      </c>
      <c r="AH31" s="5"/>
      <c r="AI31" s="11"/>
      <c r="AJ31" s="11"/>
      <c r="AK31" s="11"/>
      <c r="AL31" s="11"/>
      <c r="AM31" s="11"/>
      <c r="AN31" s="11"/>
      <c r="AO31" s="11"/>
      <c r="AP31" s="11"/>
      <c r="AQ31" s="38"/>
      <c r="AR31" s="72"/>
      <c r="AS31" s="138"/>
      <c r="AT31" s="148"/>
      <c r="AU31" s="148"/>
      <c r="AW31" s="5">
        <v>46051</v>
      </c>
      <c r="AX31" s="11"/>
      <c r="AY31" s="11"/>
      <c r="AZ31" s="11"/>
      <c r="BA31" s="11"/>
      <c r="BB31" s="11"/>
      <c r="BC31" s="11"/>
      <c r="BD31" s="11"/>
      <c r="BE31" s="11"/>
      <c r="BF31" s="38"/>
      <c r="BG31" s="72"/>
      <c r="BH31" s="138"/>
      <c r="BI31" s="148"/>
      <c r="BJ31" s="466"/>
      <c r="BK31" s="9"/>
      <c r="BN31">
        <f>'[7]2026 január'!B$30</f>
        <v>0</v>
      </c>
    </row>
    <row r="32" spans="1:66">
      <c r="A32" s="5">
        <v>46052</v>
      </c>
      <c r="B32" s="11">
        <v>1144335</v>
      </c>
      <c r="C32" s="11"/>
      <c r="D32" s="11">
        <v>1042620</v>
      </c>
      <c r="E32" s="11">
        <v>50</v>
      </c>
      <c r="F32" s="11">
        <v>101665</v>
      </c>
      <c r="G32" s="11">
        <v>506955</v>
      </c>
      <c r="H32" s="11">
        <v>637380</v>
      </c>
      <c r="I32" s="11">
        <v>654581</v>
      </c>
      <c r="J32" s="11">
        <v>17201</v>
      </c>
      <c r="K32" s="38" t="s">
        <v>142</v>
      </c>
      <c r="L32" s="72">
        <v>106027201</v>
      </c>
      <c r="M32" s="152"/>
      <c r="N32" s="148"/>
      <c r="O32" s="148"/>
      <c r="Q32" s="195">
        <v>46052</v>
      </c>
      <c r="R32" s="353"/>
      <c r="S32" s="222"/>
      <c r="T32" s="204"/>
      <c r="U32" s="204"/>
      <c r="V32" s="204"/>
      <c r="W32" s="204"/>
      <c r="X32" s="204"/>
      <c r="Y32" s="204"/>
      <c r="Z32" s="204"/>
      <c r="AA32" s="205"/>
      <c r="AB32" s="206"/>
      <c r="AC32" s="207"/>
      <c r="AD32" s="208"/>
      <c r="AE32" s="208"/>
      <c r="AG32" s="5">
        <v>46052</v>
      </c>
      <c r="AH32" s="5"/>
      <c r="AI32" s="11"/>
      <c r="AJ32" s="11"/>
      <c r="AK32" s="11"/>
      <c r="AL32" s="11"/>
      <c r="AM32" s="11"/>
      <c r="AN32" s="11"/>
      <c r="AO32" s="11"/>
      <c r="AP32" s="11"/>
      <c r="AQ32" s="38"/>
      <c r="AR32" s="72"/>
      <c r="AS32" s="138"/>
      <c r="AT32" s="148"/>
      <c r="AU32" s="148"/>
      <c r="AW32" s="5">
        <v>46052</v>
      </c>
      <c r="AX32" s="11"/>
      <c r="AY32" s="11"/>
      <c r="AZ32" s="11"/>
      <c r="BA32" s="11"/>
      <c r="BB32" s="11"/>
      <c r="BC32" s="11"/>
      <c r="BD32" s="11"/>
      <c r="BE32" s="11"/>
      <c r="BF32" s="38"/>
      <c r="BG32" s="72"/>
      <c r="BH32" s="138"/>
      <c r="BI32" s="148"/>
      <c r="BJ32" s="466"/>
      <c r="BK32" s="9"/>
      <c r="BN32">
        <f>'[7]2026 január'!B$31</f>
        <v>0</v>
      </c>
    </row>
    <row r="33" spans="1:66">
      <c r="A33" s="197">
        <v>46053</v>
      </c>
      <c r="B33" s="142"/>
      <c r="C33" s="193"/>
      <c r="D33" s="193"/>
      <c r="E33" s="193"/>
      <c r="F33" s="193"/>
      <c r="G33" s="193"/>
      <c r="H33" s="193"/>
      <c r="I33" s="193"/>
      <c r="J33" s="193"/>
      <c r="K33" s="185"/>
      <c r="L33" s="186"/>
      <c r="M33" s="187"/>
      <c r="N33" s="200"/>
      <c r="O33" s="200"/>
      <c r="Q33" s="141">
        <v>46053</v>
      </c>
      <c r="R33" s="352"/>
      <c r="S33" s="142"/>
      <c r="T33" s="142"/>
      <c r="U33" s="142"/>
      <c r="V33" s="142"/>
      <c r="W33" s="142"/>
      <c r="X33" s="142"/>
      <c r="Y33" s="142"/>
      <c r="Z33" s="142"/>
      <c r="AA33" s="198"/>
      <c r="AB33" s="142"/>
      <c r="AC33" s="147"/>
      <c r="AD33" s="153"/>
      <c r="AE33" s="153"/>
      <c r="AG33" s="141">
        <v>46053</v>
      </c>
      <c r="AH33" s="141"/>
      <c r="AI33" s="142">
        <v>0</v>
      </c>
      <c r="AJ33" s="142">
        <v>0</v>
      </c>
      <c r="AK33" s="142">
        <v>0</v>
      </c>
      <c r="AL33" s="142">
        <v>0</v>
      </c>
      <c r="AM33" s="142">
        <v>0</v>
      </c>
      <c r="AN33" s="142">
        <v>0</v>
      </c>
      <c r="AO33" s="142">
        <v>0</v>
      </c>
      <c r="AP33" s="142"/>
      <c r="AQ33" s="143" t="s">
        <v>164</v>
      </c>
      <c r="AR33" s="146">
        <v>272779049</v>
      </c>
      <c r="AS33" s="147"/>
      <c r="AT33" s="153"/>
      <c r="AU33" s="153"/>
      <c r="AW33" s="5">
        <v>46053</v>
      </c>
      <c r="AX33" s="11"/>
      <c r="AY33" s="11"/>
      <c r="AZ33" s="11"/>
      <c r="BA33" s="11"/>
      <c r="BB33" s="11"/>
      <c r="BC33" s="11"/>
      <c r="BD33" s="11"/>
      <c r="BE33" s="11"/>
      <c r="BF33" s="38"/>
      <c r="BG33" s="38">
        <v>1447</v>
      </c>
      <c r="BH33" s="82">
        <v>220236952</v>
      </c>
      <c r="BI33" s="148"/>
      <c r="BJ33" s="466"/>
      <c r="BK33" s="9"/>
      <c r="BN33">
        <f>'[7]2026 január'!B$32</f>
        <v>0</v>
      </c>
    </row>
    <row r="34" spans="1:66" ht="22.5" customHeight="1">
      <c r="A34" s="69" t="s">
        <v>64</v>
      </c>
      <c r="B34" s="362"/>
      <c r="C34" s="221">
        <f>SUM(C1:C33)</f>
        <v>4396</v>
      </c>
      <c r="D34" s="221">
        <f>SUM(D1:D33)</f>
        <v>1079710.05</v>
      </c>
      <c r="E34" s="221">
        <f>SUM(E1:E33)</f>
        <v>96790.18</v>
      </c>
      <c r="F34" s="221">
        <f>SUM(F1:F33)</f>
        <v>2647556.27</v>
      </c>
      <c r="G34" s="190">
        <f>SUM(G3:G33)</f>
        <v>864660</v>
      </c>
      <c r="H34" s="190">
        <f>SUM(H3:H33)</f>
        <v>1366490</v>
      </c>
      <c r="I34" s="191">
        <f>SUM(I3:I33)</f>
        <v>1372103</v>
      </c>
      <c r="J34" s="191"/>
      <c r="K34" s="12"/>
      <c r="L34" s="418">
        <v>106027201</v>
      </c>
      <c r="M34" s="418">
        <v>3828452</v>
      </c>
      <c r="N34" s="9"/>
      <c r="O34" s="9"/>
      <c r="Q34" s="69" t="s">
        <v>64</v>
      </c>
      <c r="R34" s="354"/>
      <c r="S34" s="221">
        <f>SUM(S1:S33)</f>
        <v>550</v>
      </c>
      <c r="T34" s="221">
        <f>SUM(T1:T33)</f>
        <v>1494187.05</v>
      </c>
      <c r="U34" s="221">
        <f>SUM(U1:U33)</f>
        <v>0.18</v>
      </c>
      <c r="V34" s="221">
        <f>SUM(V1:V33)</f>
        <v>47900.27</v>
      </c>
      <c r="W34" s="190">
        <f>SUM(W3:W33)</f>
        <v>115925</v>
      </c>
      <c r="X34" s="190">
        <f>SUM(X3:X33)</f>
        <v>285015</v>
      </c>
      <c r="Y34" s="191">
        <f>SUM(Y3:Y33)</f>
        <v>271983</v>
      </c>
      <c r="Z34" s="191"/>
      <c r="AA34" s="12"/>
      <c r="AB34" s="418">
        <v>44282612</v>
      </c>
      <c r="AC34" s="418">
        <v>1542638</v>
      </c>
      <c r="AD34" s="9"/>
      <c r="AE34" s="9"/>
      <c r="AG34" s="141">
        <v>46053</v>
      </c>
      <c r="AH34" s="141"/>
      <c r="AI34" s="142">
        <v>0</v>
      </c>
      <c r="AJ34" s="142">
        <v>0</v>
      </c>
      <c r="AK34" s="142">
        <v>0</v>
      </c>
      <c r="AL34" s="142">
        <v>0</v>
      </c>
      <c r="AM34" s="142">
        <v>0</v>
      </c>
      <c r="AN34" s="142">
        <v>0</v>
      </c>
      <c r="AO34" s="142">
        <v>0</v>
      </c>
      <c r="AP34" s="142"/>
      <c r="AQ34" s="143" t="s">
        <v>166</v>
      </c>
      <c r="AR34" s="146">
        <v>272779049</v>
      </c>
      <c r="AS34" s="147"/>
      <c r="AT34" s="153"/>
      <c r="AU34" s="153"/>
      <c r="AW34" s="5"/>
      <c r="AX34" s="11"/>
      <c r="AY34" s="11"/>
      <c r="AZ34" s="11"/>
      <c r="BA34" s="11"/>
      <c r="BB34" s="11"/>
      <c r="BC34" s="11"/>
      <c r="BD34" s="11"/>
      <c r="BE34" s="11"/>
      <c r="BF34" s="38"/>
      <c r="BG34" s="72"/>
      <c r="BH34" s="138"/>
      <c r="BI34" s="148"/>
      <c r="BJ34" s="466"/>
      <c r="BK34" s="9"/>
      <c r="BN34">
        <f>'[7]2026 január'!B$33</f>
        <v>480005</v>
      </c>
    </row>
    <row r="35" spans="1:66" ht="25.5" customHeight="1">
      <c r="A35" s="70"/>
      <c r="B35" s="138"/>
      <c r="C35" s="23">
        <f>C34+D34+E34+F34</f>
        <v>3828452.5</v>
      </c>
      <c r="D35" s="9"/>
      <c r="E35" s="9"/>
      <c r="F35" s="9"/>
      <c r="G35" s="22">
        <f>G34+H34</f>
        <v>2231150</v>
      </c>
      <c r="H35" s="9"/>
      <c r="I35" s="9"/>
      <c r="J35" s="9"/>
      <c r="K35" s="9"/>
      <c r="L35" s="12"/>
      <c r="M35" s="12"/>
      <c r="N35" s="9"/>
      <c r="O35" s="9"/>
      <c r="Q35" s="70"/>
      <c r="R35" s="355"/>
      <c r="S35" s="23">
        <f>S34+T34+U34+V34</f>
        <v>1542637.5</v>
      </c>
      <c r="T35" s="9"/>
      <c r="U35" s="9"/>
      <c r="V35" s="9"/>
      <c r="W35" s="22">
        <f>W34+X34</f>
        <v>400940</v>
      </c>
      <c r="X35" s="9"/>
      <c r="Y35" s="9"/>
      <c r="Z35" s="9"/>
      <c r="AA35" s="9"/>
      <c r="AB35" s="9"/>
      <c r="AC35" s="9"/>
      <c r="AD35" s="9"/>
      <c r="AE35" s="9"/>
      <c r="AG35" s="141">
        <v>46053</v>
      </c>
      <c r="AH35" s="141"/>
      <c r="AI35" s="142">
        <v>11065</v>
      </c>
      <c r="AJ35" s="142">
        <v>589720</v>
      </c>
      <c r="AK35" s="142">
        <v>0</v>
      </c>
      <c r="AL35" s="142">
        <v>265500</v>
      </c>
      <c r="AM35" s="142">
        <v>373775</v>
      </c>
      <c r="AN35" s="142">
        <v>522510</v>
      </c>
      <c r="AO35" s="142">
        <v>522510</v>
      </c>
      <c r="AP35" s="142"/>
      <c r="AQ35" s="143" t="s">
        <v>167</v>
      </c>
      <c r="AR35" s="146">
        <v>273645334</v>
      </c>
      <c r="AS35" s="194"/>
      <c r="AT35" s="153"/>
      <c r="AU35" s="153"/>
      <c r="AW35" s="141"/>
      <c r="AX35" s="142"/>
      <c r="AY35" s="142"/>
      <c r="AZ35" s="142"/>
      <c r="BA35" s="142"/>
      <c r="BB35" s="142"/>
      <c r="BC35" s="142"/>
      <c r="BD35" s="142"/>
      <c r="BE35" s="142"/>
      <c r="BF35" s="143"/>
      <c r="BG35" s="146"/>
      <c r="BH35" s="147"/>
      <c r="BI35" s="153"/>
      <c r="BJ35" s="464"/>
      <c r="BK35" s="9"/>
    </row>
    <row r="36" spans="1:66" ht="18.75">
      <c r="A36" s="67"/>
      <c r="C36"/>
      <c r="D36"/>
      <c r="E36"/>
      <c r="F36"/>
      <c r="G36"/>
      <c r="H36"/>
      <c r="I36"/>
      <c r="J36"/>
      <c r="K36"/>
      <c r="L36"/>
      <c r="M36"/>
      <c r="R36" s="356"/>
      <c r="Y36" s="4"/>
      <c r="Z36" s="41"/>
      <c r="AC36" s="4"/>
      <c r="AG36" s="21" t="s">
        <v>64</v>
      </c>
      <c r="AH36" s="21"/>
      <c r="AI36" s="19">
        <f>SUM(AI1:AI35)</f>
        <v>11065</v>
      </c>
      <c r="AJ36" s="19">
        <f>SUM(AJ1:AJ35)</f>
        <v>589720.05000000005</v>
      </c>
      <c r="AK36" s="19">
        <f>SUM(AK1:AK35)</f>
        <v>0.18</v>
      </c>
      <c r="AL36" s="19">
        <f>SUM(AL1:AL35)</f>
        <v>265500.27</v>
      </c>
      <c r="AM36" s="20">
        <v>343775</v>
      </c>
      <c r="AN36" s="20">
        <f>SUM(AN3:AN35)</f>
        <v>522510</v>
      </c>
      <c r="AO36" s="39">
        <f>SUM(AO5:AO35)</f>
        <v>522510</v>
      </c>
      <c r="AP36" s="39"/>
      <c r="AQ36" s="12"/>
      <c r="AR36" s="425">
        <v>273645334</v>
      </c>
      <c r="AS36" s="418">
        <v>866285</v>
      </c>
      <c r="AT36" s="184"/>
      <c r="AU36" s="9"/>
      <c r="AW36" s="21" t="s">
        <v>64</v>
      </c>
      <c r="AX36" s="19"/>
      <c r="AY36" s="19">
        <f>SUM(AY2:AY35)</f>
        <v>0</v>
      </c>
      <c r="AZ36" s="19">
        <f>SUM(AZ2:AZ35)</f>
        <v>0</v>
      </c>
      <c r="BA36" s="19">
        <f>SUM(BA2:BA35)</f>
        <v>0</v>
      </c>
      <c r="BB36" s="19">
        <f>SUM(BB2:BB35)</f>
        <v>0</v>
      </c>
      <c r="BC36" s="20">
        <f>SUM(BC3:BC35)</f>
        <v>0</v>
      </c>
      <c r="BD36" s="20">
        <f>SUM(BD3:BD35)</f>
        <v>0</v>
      </c>
      <c r="BE36" s="39">
        <f>SUM(BE5:BE35)</f>
        <v>0</v>
      </c>
      <c r="BF36" s="12"/>
      <c r="BG36" s="17"/>
      <c r="BH36" s="426">
        <v>220236952</v>
      </c>
      <c r="BI36" s="75">
        <v>0</v>
      </c>
      <c r="BJ36" s="216"/>
      <c r="BK36" s="9"/>
    </row>
    <row r="37" spans="1:66">
      <c r="A37" s="67"/>
      <c r="C37"/>
      <c r="D37"/>
      <c r="E37"/>
      <c r="F37"/>
      <c r="G37"/>
      <c r="H37"/>
      <c r="I37"/>
      <c r="J37"/>
      <c r="K37"/>
      <c r="L37"/>
      <c r="M37"/>
      <c r="R37" s="356"/>
      <c r="Y37" s="4"/>
      <c r="Z37" s="41"/>
      <c r="AC37" s="4"/>
      <c r="AG37" s="10"/>
      <c r="AH37" s="10"/>
      <c r="AI37" s="23">
        <f>AI36+AJ36+AK36+AL36</f>
        <v>866285.50000000012</v>
      </c>
      <c r="AJ37" s="10"/>
      <c r="AK37" s="10"/>
      <c r="AL37" s="10"/>
      <c r="AM37" s="24">
        <f>AM36+AN36</f>
        <v>866285</v>
      </c>
      <c r="AN37" s="10"/>
      <c r="AO37" s="4"/>
      <c r="AP37" s="4"/>
      <c r="AQ37" s="4"/>
      <c r="AR37" s="4"/>
      <c r="AS37" s="4"/>
      <c r="AU37" s="10"/>
      <c r="AW37" s="10"/>
      <c r="AX37" s="10"/>
      <c r="AY37" s="23">
        <f>AY36+AZ36+BA36+BB36</f>
        <v>0</v>
      </c>
      <c r="AZ37" s="10"/>
      <c r="BA37" s="10"/>
      <c r="BB37" s="10"/>
      <c r="BC37" s="24">
        <f>BC36+BD36</f>
        <v>0</v>
      </c>
      <c r="BD37" s="10"/>
      <c r="BE37" s="4"/>
      <c r="BF37" s="4"/>
      <c r="BH37" s="10"/>
      <c r="BJ37" s="10"/>
    </row>
    <row r="38" spans="1:66">
      <c r="A38" s="67"/>
      <c r="C38"/>
      <c r="D38"/>
      <c r="E38"/>
      <c r="F38"/>
      <c r="G38"/>
      <c r="H38"/>
      <c r="I38"/>
      <c r="J38"/>
      <c r="K38"/>
      <c r="L38"/>
      <c r="M38"/>
      <c r="R38" s="356"/>
      <c r="Y38" s="4"/>
      <c r="Z38" s="41"/>
      <c r="AC38" s="4"/>
    </row>
    <row r="39" spans="1:66">
      <c r="A39" s="238" t="s">
        <v>177</v>
      </c>
      <c r="B39" s="357"/>
      <c r="C39" s="239"/>
      <c r="D39" s="239"/>
      <c r="E39" s="239"/>
      <c r="F39" s="170"/>
      <c r="G39" s="170"/>
      <c r="H39" s="170"/>
      <c r="I39" s="170"/>
      <c r="J39" s="170"/>
      <c r="K39" s="171"/>
      <c r="L39" s="237"/>
      <c r="M39"/>
      <c r="Q39" s="238" t="s">
        <v>177</v>
      </c>
      <c r="R39" s="357"/>
      <c r="S39" s="239"/>
      <c r="T39" s="239"/>
      <c r="U39" s="239"/>
      <c r="V39" s="170"/>
      <c r="W39" s="170"/>
      <c r="X39" s="170"/>
      <c r="Y39" s="170"/>
      <c r="Z39" s="170"/>
      <c r="AA39" s="171"/>
      <c r="AB39" s="237"/>
      <c r="AC39" s="4"/>
    </row>
    <row r="40" spans="1:66">
      <c r="A40" s="177"/>
      <c r="B40" s="358"/>
      <c r="C40" s="67"/>
      <c r="D40" s="67"/>
      <c r="L40" s="52"/>
      <c r="M40"/>
      <c r="Q40" s="177"/>
      <c r="R40" s="358"/>
      <c r="S40" s="67"/>
      <c r="T40" s="67"/>
      <c r="Y40" s="4"/>
      <c r="Z40" s="4"/>
      <c r="AA40" s="35"/>
      <c r="AB40" s="52"/>
      <c r="AC40" s="4"/>
    </row>
    <row r="41" spans="1:66">
      <c r="A41" s="178"/>
      <c r="B41" s="359"/>
      <c r="C41" s="179"/>
      <c r="D41" s="179"/>
      <c r="E41" s="173"/>
      <c r="F41" s="173"/>
      <c r="G41" s="173"/>
      <c r="H41" s="173"/>
      <c r="I41" s="173"/>
      <c r="J41" s="173"/>
      <c r="K41" s="174"/>
      <c r="L41" s="236"/>
      <c r="M41"/>
      <c r="Q41" s="178"/>
      <c r="R41" s="359"/>
      <c r="S41" s="179"/>
      <c r="T41" s="179"/>
      <c r="U41" s="173"/>
      <c r="V41" s="173"/>
      <c r="W41" s="173"/>
      <c r="X41" s="173"/>
      <c r="Y41" s="173"/>
      <c r="Z41" s="173"/>
      <c r="AA41" s="174"/>
      <c r="AB41" s="236"/>
      <c r="AC41" s="4"/>
    </row>
    <row r="42" spans="1:66">
      <c r="A42" s="67"/>
      <c r="C42"/>
      <c r="D42"/>
      <c r="E42"/>
      <c r="F42"/>
      <c r="G42"/>
      <c r="H42"/>
      <c r="I42"/>
      <c r="J42"/>
      <c r="K42"/>
      <c r="L42"/>
      <c r="M42"/>
      <c r="R42" s="356"/>
      <c r="Y42" s="4"/>
      <c r="Z42" s="41"/>
      <c r="AC42" s="4"/>
    </row>
    <row r="43" spans="1:66" ht="21">
      <c r="A43" s="66" t="s">
        <v>4</v>
      </c>
      <c r="B43" s="26"/>
      <c r="C43" s="26"/>
      <c r="D43" s="26"/>
      <c r="E43" s="26"/>
      <c r="F43" s="26"/>
      <c r="G43" s="26"/>
      <c r="H43" s="26"/>
      <c r="I43" s="26"/>
      <c r="J43" s="34"/>
      <c r="K43" s="349"/>
      <c r="L43" s="349"/>
      <c r="M43" s="385"/>
      <c r="N43" s="385"/>
      <c r="O43" s="386"/>
      <c r="Q43" s="66" t="s">
        <v>4</v>
      </c>
      <c r="R43" s="351"/>
      <c r="S43" s="26"/>
      <c r="T43" s="26"/>
      <c r="U43" s="26"/>
      <c r="V43" s="26"/>
      <c r="W43" s="26"/>
      <c r="X43" s="26"/>
      <c r="Y43" s="26"/>
      <c r="Z43" s="34"/>
      <c r="AA43" s="349"/>
      <c r="AB43" s="255"/>
      <c r="AC43" s="385"/>
      <c r="AD43" s="385"/>
      <c r="AE43" s="386"/>
      <c r="AG43" s="66" t="s">
        <v>4</v>
      </c>
      <c r="AH43" s="351"/>
      <c r="AI43" s="26"/>
      <c r="AJ43" s="26"/>
      <c r="AK43" s="26"/>
      <c r="AL43" s="26"/>
      <c r="AM43" s="26"/>
      <c r="AN43" s="26"/>
      <c r="AO43" s="26"/>
      <c r="AP43" s="34"/>
      <c r="AQ43" s="349"/>
      <c r="AR43" s="255"/>
      <c r="AS43" s="385"/>
      <c r="AT43" s="385"/>
      <c r="AU43" s="386"/>
      <c r="AW43" s="66" t="s">
        <v>4</v>
      </c>
      <c r="AX43" s="351"/>
      <c r="AY43" s="26"/>
      <c r="AZ43" s="26"/>
      <c r="BA43" s="26"/>
      <c r="BB43" s="26"/>
      <c r="BC43" s="26"/>
      <c r="BD43" s="26"/>
      <c r="BE43" s="26"/>
      <c r="BF43" s="34"/>
      <c r="BG43" s="349"/>
      <c r="BH43" s="255"/>
      <c r="BI43" s="385"/>
      <c r="BJ43" s="385"/>
      <c r="BK43" s="386"/>
    </row>
    <row r="44" spans="1:66">
      <c r="A44" s="141">
        <v>46054</v>
      </c>
      <c r="B44" s="142"/>
      <c r="C44" s="142"/>
      <c r="D44" s="142"/>
      <c r="E44" s="142"/>
      <c r="F44" s="142"/>
      <c r="G44" s="142"/>
      <c r="H44" s="142"/>
      <c r="I44" s="142"/>
      <c r="J44" s="143"/>
      <c r="K44" s="143" t="s">
        <v>124</v>
      </c>
      <c r="L44" s="146"/>
      <c r="M44" s="381"/>
      <c r="N44" s="381"/>
      <c r="O44" s="158"/>
      <c r="Q44" s="141">
        <v>46054</v>
      </c>
      <c r="R44" s="142"/>
      <c r="S44" s="142">
        <v>0</v>
      </c>
      <c r="T44" s="142">
        <v>0</v>
      </c>
      <c r="U44" s="142">
        <v>0</v>
      </c>
      <c r="V44" s="142">
        <v>0</v>
      </c>
      <c r="W44" s="142"/>
      <c r="X44" s="142"/>
      <c r="Y44" s="142"/>
      <c r="Z44" s="491"/>
      <c r="AA44" s="529" t="s">
        <v>126</v>
      </c>
      <c r="AB44" s="530">
        <v>44282612</v>
      </c>
      <c r="AC44" s="381"/>
      <c r="AD44" s="381"/>
      <c r="AE44" s="158"/>
      <c r="AG44" s="141">
        <v>46054</v>
      </c>
      <c r="AH44" s="142">
        <v>215080</v>
      </c>
      <c r="AI44" s="142">
        <v>200</v>
      </c>
      <c r="AJ44" s="142">
        <v>3670</v>
      </c>
      <c r="AK44" s="142">
        <v>11710</v>
      </c>
      <c r="AL44" s="142">
        <v>199499</v>
      </c>
      <c r="AM44" s="142">
        <v>76520</v>
      </c>
      <c r="AN44" s="75">
        <v>138561</v>
      </c>
      <c r="AO44" s="75">
        <v>133770</v>
      </c>
      <c r="AP44" s="401">
        <v>4791</v>
      </c>
      <c r="AQ44" s="422">
        <v>1020</v>
      </c>
      <c r="AR44" s="146">
        <v>273860413</v>
      </c>
      <c r="AS44" s="381"/>
      <c r="AT44" s="381"/>
      <c r="AU44" s="158"/>
      <c r="AW44" s="141">
        <v>46054</v>
      </c>
      <c r="AX44" s="142"/>
      <c r="AY44" s="142"/>
      <c r="AZ44" s="142"/>
      <c r="BA44" s="142"/>
      <c r="BB44" s="142"/>
      <c r="BC44" s="142"/>
      <c r="BD44" s="142"/>
      <c r="BE44" s="142"/>
      <c r="BF44" s="143"/>
      <c r="BG44" s="144"/>
      <c r="BH44" s="256"/>
      <c r="BI44" s="381"/>
      <c r="BJ44" s="381"/>
      <c r="BK44" s="158"/>
      <c r="BN44">
        <f>'[7]2026 február'!B$2</f>
        <v>215080</v>
      </c>
    </row>
    <row r="45" spans="1:66">
      <c r="A45" s="141">
        <v>46055</v>
      </c>
      <c r="B45" s="11"/>
      <c r="C45" s="11"/>
      <c r="D45" s="11"/>
      <c r="E45" s="11"/>
      <c r="F45" s="11"/>
      <c r="G45" s="11"/>
      <c r="H45" s="11"/>
      <c r="I45" s="11"/>
      <c r="J45" s="38"/>
      <c r="K45" s="38"/>
      <c r="L45" s="72"/>
      <c r="M45" s="216"/>
      <c r="N45" s="216"/>
      <c r="O45" s="9"/>
      <c r="Q45" s="141">
        <v>46055</v>
      </c>
      <c r="R45" s="11"/>
      <c r="S45" s="11"/>
      <c r="T45" s="11"/>
      <c r="U45" s="11"/>
      <c r="V45" s="11"/>
      <c r="W45" s="11"/>
      <c r="X45" s="11"/>
      <c r="Y45" s="11"/>
      <c r="Z45" s="492"/>
      <c r="AA45" s="526"/>
      <c r="AB45" s="377"/>
      <c r="AC45" s="216"/>
      <c r="AD45" s="216"/>
      <c r="AE45" s="9"/>
      <c r="AG45" s="141">
        <v>46055</v>
      </c>
      <c r="AH45" s="11"/>
      <c r="AI45" s="11"/>
      <c r="AJ45" s="11"/>
      <c r="AK45" s="11"/>
      <c r="AL45" s="11"/>
      <c r="AM45" s="11"/>
      <c r="AN45" s="11"/>
      <c r="AO45" s="11"/>
      <c r="AP45" s="72"/>
      <c r="AQ45" s="423"/>
      <c r="AR45" s="71"/>
      <c r="AS45" s="216"/>
      <c r="AT45" s="216"/>
      <c r="AU45" s="9"/>
      <c r="AW45" s="141">
        <v>46055</v>
      </c>
      <c r="AX45" s="11"/>
      <c r="AY45" s="11"/>
      <c r="AZ45" s="11"/>
      <c r="BA45" s="11"/>
      <c r="BB45" s="11"/>
      <c r="BC45" s="11"/>
      <c r="BD45" s="11"/>
      <c r="BE45" s="11"/>
      <c r="BF45" s="38"/>
      <c r="BG45" s="71"/>
      <c r="BH45" s="377"/>
      <c r="BI45" s="216"/>
      <c r="BJ45" s="216"/>
      <c r="BK45" s="9"/>
      <c r="BN45">
        <f>'[7]2026 február'!B$3</f>
        <v>0</v>
      </c>
    </row>
    <row r="46" spans="1:66">
      <c r="A46" s="141">
        <v>46056</v>
      </c>
      <c r="B46" s="11"/>
      <c r="C46" s="11"/>
      <c r="D46" s="11"/>
      <c r="E46" s="11"/>
      <c r="F46" s="11"/>
      <c r="G46" s="11"/>
      <c r="H46" s="11"/>
      <c r="I46" s="11"/>
      <c r="J46" s="38"/>
      <c r="K46" s="38"/>
      <c r="L46" s="72"/>
      <c r="M46" s="216"/>
      <c r="N46" s="216"/>
      <c r="O46" s="9"/>
      <c r="Q46" s="141">
        <v>46056</v>
      </c>
      <c r="R46" s="11"/>
      <c r="S46" s="11"/>
      <c r="T46" s="11"/>
      <c r="U46" s="11"/>
      <c r="V46" s="11"/>
      <c r="W46" s="11"/>
      <c r="X46" s="11"/>
      <c r="Y46" s="11"/>
      <c r="Z46" s="492"/>
      <c r="AA46" s="38"/>
      <c r="AB46" s="258"/>
      <c r="AC46" s="216"/>
      <c r="AD46" s="216"/>
      <c r="AE46" s="9"/>
      <c r="AG46" s="141">
        <v>46056</v>
      </c>
      <c r="AH46" s="11">
        <v>38550</v>
      </c>
      <c r="AI46" s="11">
        <v>250</v>
      </c>
      <c r="AJ46" s="11">
        <v>10590</v>
      </c>
      <c r="AK46" s="11">
        <v>990</v>
      </c>
      <c r="AL46" s="11">
        <v>26720</v>
      </c>
      <c r="AM46" s="11">
        <v>15410</v>
      </c>
      <c r="AN46" s="11">
        <v>23140</v>
      </c>
      <c r="AO46" s="11">
        <v>23922</v>
      </c>
      <c r="AP46" s="72">
        <v>782</v>
      </c>
      <c r="AQ46" s="424">
        <v>1021</v>
      </c>
      <c r="AR46" s="72">
        <v>273898963</v>
      </c>
      <c r="AS46" s="216"/>
      <c r="AT46" s="216"/>
      <c r="AU46" s="9"/>
      <c r="AW46" s="141">
        <v>46056</v>
      </c>
      <c r="AX46" s="11"/>
      <c r="AY46" s="11"/>
      <c r="AZ46" s="11"/>
      <c r="BA46" s="11"/>
      <c r="BB46" s="11"/>
      <c r="BC46" s="11"/>
      <c r="BD46" s="11"/>
      <c r="BE46" s="11"/>
      <c r="BF46" s="38"/>
      <c r="BG46" s="72"/>
      <c r="BH46" s="258"/>
      <c r="BI46" s="216"/>
      <c r="BJ46" s="216"/>
      <c r="BK46" s="9"/>
      <c r="BN46">
        <f>'[7]2026 február'!B$4</f>
        <v>38550</v>
      </c>
    </row>
    <row r="47" spans="1:66">
      <c r="A47" s="141">
        <v>46057</v>
      </c>
      <c r="B47" s="11"/>
      <c r="C47" s="11"/>
      <c r="D47" s="11"/>
      <c r="E47" s="11"/>
      <c r="F47" s="11"/>
      <c r="G47" s="11"/>
      <c r="H47" s="11"/>
      <c r="I47" s="11"/>
      <c r="J47" s="38"/>
      <c r="K47" s="38"/>
      <c r="L47" s="72"/>
      <c r="M47" s="216"/>
      <c r="N47" s="216"/>
      <c r="O47" s="9"/>
      <c r="Q47" s="141">
        <v>46057</v>
      </c>
      <c r="R47" s="11"/>
      <c r="S47" s="11"/>
      <c r="T47" s="11"/>
      <c r="U47" s="11"/>
      <c r="V47" s="11"/>
      <c r="W47" s="11"/>
      <c r="X47" s="11"/>
      <c r="Y47" s="11"/>
      <c r="Z47" s="492"/>
      <c r="AA47" s="38"/>
      <c r="AB47" s="258"/>
      <c r="AC47" s="216"/>
      <c r="AD47" s="216"/>
      <c r="AE47" s="9"/>
      <c r="AG47" s="141">
        <v>46057</v>
      </c>
      <c r="AH47" s="11"/>
      <c r="AI47" s="11">
        <v>200</v>
      </c>
      <c r="AJ47" s="11">
        <v>1530</v>
      </c>
      <c r="AK47" s="11">
        <v>0</v>
      </c>
      <c r="AL47" s="11">
        <v>6520</v>
      </c>
      <c r="AM47" s="11">
        <v>35720</v>
      </c>
      <c r="AN47" s="11">
        <v>2530</v>
      </c>
      <c r="AO47" s="11">
        <v>2617</v>
      </c>
      <c r="AP47" s="72">
        <v>87</v>
      </c>
      <c r="AQ47" s="424">
        <v>1022</v>
      </c>
      <c r="AR47" s="72">
        <v>273907213</v>
      </c>
      <c r="AS47" s="216"/>
      <c r="AT47" s="216"/>
      <c r="AU47" s="9"/>
      <c r="AW47" s="141">
        <v>46057</v>
      </c>
      <c r="AX47" s="11"/>
      <c r="AY47" s="11"/>
      <c r="AZ47" s="11"/>
      <c r="BA47" s="11"/>
      <c r="BB47" s="11"/>
      <c r="BC47" s="11"/>
      <c r="BD47" s="11"/>
      <c r="BE47" s="11"/>
      <c r="BF47" s="38"/>
      <c r="BG47" s="72"/>
      <c r="BH47" s="258"/>
      <c r="BI47" s="216"/>
      <c r="BJ47" s="216"/>
      <c r="BK47" s="9"/>
      <c r="BN47">
        <f>'[7]2026 február'!B$5</f>
        <v>0</v>
      </c>
    </row>
    <row r="48" spans="1:66">
      <c r="A48" s="141">
        <v>46058</v>
      </c>
      <c r="B48" s="11"/>
      <c r="C48" s="11"/>
      <c r="D48" s="11"/>
      <c r="E48" s="11"/>
      <c r="F48" s="11"/>
      <c r="G48" s="11"/>
      <c r="H48" s="11"/>
      <c r="I48" s="11"/>
      <c r="J48" s="38"/>
      <c r="K48" s="38"/>
      <c r="L48" s="72"/>
      <c r="M48" s="216"/>
      <c r="N48" s="216"/>
      <c r="O48" s="9"/>
      <c r="Q48" s="141">
        <v>46058</v>
      </c>
      <c r="R48" s="11"/>
      <c r="S48" s="11"/>
      <c r="T48" s="11"/>
      <c r="U48" s="11"/>
      <c r="V48" s="11"/>
      <c r="W48" s="11"/>
      <c r="X48" s="11"/>
      <c r="Y48" s="11"/>
      <c r="Z48" s="492"/>
      <c r="AA48" s="38"/>
      <c r="AB48" s="258"/>
      <c r="AC48" s="216"/>
      <c r="AD48" s="216"/>
      <c r="AE48" s="9"/>
      <c r="AG48" s="141">
        <v>46058</v>
      </c>
      <c r="AH48" s="11">
        <v>19120</v>
      </c>
      <c r="AI48" s="11">
        <v>50</v>
      </c>
      <c r="AJ48" s="11">
        <v>8451</v>
      </c>
      <c r="AK48" s="11">
        <v>0</v>
      </c>
      <c r="AL48" s="11">
        <v>4260</v>
      </c>
      <c r="AM48" s="11">
        <v>36390</v>
      </c>
      <c r="AN48" s="11">
        <v>6371</v>
      </c>
      <c r="AO48" s="11">
        <v>6603</v>
      </c>
      <c r="AP48" s="72">
        <v>232</v>
      </c>
      <c r="AQ48" s="424">
        <v>1023</v>
      </c>
      <c r="AR48" s="72">
        <v>273919974</v>
      </c>
      <c r="AS48" s="216"/>
      <c r="AT48" s="216"/>
      <c r="AU48" s="9"/>
      <c r="AW48" s="141">
        <v>46058</v>
      </c>
      <c r="AX48" s="11"/>
      <c r="AY48" s="11"/>
      <c r="AZ48" s="11"/>
      <c r="BA48" s="11"/>
      <c r="BB48" s="11"/>
      <c r="BC48" s="11"/>
      <c r="BD48" s="11"/>
      <c r="BE48" s="11"/>
      <c r="BF48" s="38"/>
      <c r="BG48" s="72"/>
      <c r="BH48" s="258"/>
      <c r="BI48" s="216"/>
      <c r="BJ48" s="216"/>
      <c r="BK48" s="9"/>
      <c r="BN48">
        <f>'[7]2026 február'!B$6</f>
        <v>19120</v>
      </c>
    </row>
    <row r="49" spans="1:66">
      <c r="A49" s="141">
        <v>46059</v>
      </c>
      <c r="B49" s="11"/>
      <c r="C49" s="11"/>
      <c r="D49" s="11"/>
      <c r="E49" s="11"/>
      <c r="F49" s="11"/>
      <c r="G49" s="11"/>
      <c r="H49" s="11"/>
      <c r="I49" s="11"/>
      <c r="J49" s="38"/>
      <c r="K49" s="38"/>
      <c r="L49" s="72"/>
      <c r="M49" s="216"/>
      <c r="N49" s="216"/>
      <c r="O49" s="9"/>
      <c r="Q49" s="141">
        <v>46059</v>
      </c>
      <c r="R49" s="11"/>
      <c r="S49" s="11"/>
      <c r="T49" s="11"/>
      <c r="U49" s="11"/>
      <c r="V49" s="11"/>
      <c r="W49" s="11"/>
      <c r="X49" s="11"/>
      <c r="Y49" s="11"/>
      <c r="Z49" s="492"/>
      <c r="AA49" s="38"/>
      <c r="AB49" s="258"/>
      <c r="AC49" s="216"/>
      <c r="AD49" s="216"/>
      <c r="AE49" s="9"/>
      <c r="AG49" s="141">
        <v>46059</v>
      </c>
      <c r="AH49" s="11">
        <v>232990</v>
      </c>
      <c r="AI49" s="11">
        <v>2140</v>
      </c>
      <c r="AJ49" s="11">
        <v>11751</v>
      </c>
      <c r="AK49" s="11">
        <v>11780</v>
      </c>
      <c r="AL49" s="11">
        <v>157489</v>
      </c>
      <c r="AM49" s="11">
        <v>66570</v>
      </c>
      <c r="AN49" s="11">
        <v>146591</v>
      </c>
      <c r="AO49" s="11">
        <v>150288</v>
      </c>
      <c r="AP49" s="72">
        <v>3697</v>
      </c>
      <c r="AQ49" s="424">
        <v>1024</v>
      </c>
      <c r="AR49" s="72">
        <v>274103134</v>
      </c>
      <c r="AS49" s="216"/>
      <c r="AT49" s="216"/>
      <c r="AU49" s="9"/>
      <c r="AW49" s="141">
        <v>46059</v>
      </c>
      <c r="AX49" s="11"/>
      <c r="AY49" s="11"/>
      <c r="AZ49" s="11"/>
      <c r="BA49" s="11"/>
      <c r="BB49" s="11"/>
      <c r="BC49" s="11"/>
      <c r="BD49" s="11"/>
      <c r="BE49" s="11"/>
      <c r="BF49" s="38"/>
      <c r="BG49" s="72"/>
      <c r="BH49" s="258"/>
      <c r="BI49" s="216"/>
      <c r="BJ49" s="216"/>
      <c r="BK49" s="9"/>
      <c r="BN49">
        <f>'[7]2026 február'!B$7</f>
        <v>232990</v>
      </c>
    </row>
    <row r="50" spans="1:66">
      <c r="A50" s="141">
        <v>46060</v>
      </c>
      <c r="B50" s="142"/>
      <c r="C50" s="142"/>
      <c r="D50" s="142"/>
      <c r="E50" s="142"/>
      <c r="F50" s="142"/>
      <c r="G50" s="142"/>
      <c r="H50" s="142"/>
      <c r="I50" s="142"/>
      <c r="J50" s="143"/>
      <c r="K50" s="143"/>
      <c r="L50" s="146"/>
      <c r="M50" s="381"/>
      <c r="N50" s="381"/>
      <c r="O50" s="158"/>
      <c r="Q50" s="141">
        <v>46060</v>
      </c>
      <c r="R50" s="142"/>
      <c r="S50" s="142"/>
      <c r="T50" s="142"/>
      <c r="U50" s="142"/>
      <c r="V50" s="142"/>
      <c r="W50" s="142"/>
      <c r="X50" s="142"/>
      <c r="Y50" s="142"/>
      <c r="Z50" s="491"/>
      <c r="AA50" s="143"/>
      <c r="AB50" s="146"/>
      <c r="AC50" s="381"/>
      <c r="AD50" s="381"/>
      <c r="AE50" s="158"/>
      <c r="AG50" s="141">
        <v>46060</v>
      </c>
      <c r="AH50" s="142">
        <v>8050</v>
      </c>
      <c r="AI50" s="142">
        <v>0</v>
      </c>
      <c r="AJ50" s="142">
        <v>5190</v>
      </c>
      <c r="AK50" s="142">
        <v>0</v>
      </c>
      <c r="AL50" s="142">
        <v>2860</v>
      </c>
      <c r="AM50" s="142">
        <v>8050</v>
      </c>
      <c r="AN50" s="142">
        <v>4230</v>
      </c>
      <c r="AO50" s="142">
        <v>4230</v>
      </c>
      <c r="AP50" s="146">
        <v>0</v>
      </c>
      <c r="AQ50" s="422">
        <v>1025</v>
      </c>
      <c r="AR50" s="146">
        <v>274111184</v>
      </c>
      <c r="AS50" s="381"/>
      <c r="AT50" s="381"/>
      <c r="AU50" s="158"/>
      <c r="AW50" s="141">
        <v>46060</v>
      </c>
      <c r="AX50" s="193"/>
      <c r="AY50" s="193"/>
      <c r="AZ50" s="193"/>
      <c r="BA50" s="193"/>
      <c r="BB50" s="193"/>
      <c r="BC50" s="193"/>
      <c r="BD50" s="193"/>
      <c r="BE50" s="193"/>
      <c r="BF50" s="185"/>
      <c r="BG50" s="186"/>
      <c r="BH50" s="259"/>
      <c r="BI50" s="444"/>
      <c r="BJ50" s="444"/>
      <c r="BK50" s="188"/>
      <c r="BN50">
        <f>'[7]2026 február'!B$8</f>
        <v>8050</v>
      </c>
    </row>
    <row r="51" spans="1:66">
      <c r="A51" s="141">
        <v>46061</v>
      </c>
      <c r="B51" s="142"/>
      <c r="C51" s="142"/>
      <c r="D51" s="142"/>
      <c r="E51" s="142"/>
      <c r="F51" s="142"/>
      <c r="G51" s="142"/>
      <c r="H51" s="142"/>
      <c r="I51" s="142"/>
      <c r="J51" s="490"/>
      <c r="K51" s="143"/>
      <c r="L51" s="146"/>
      <c r="M51" s="381"/>
      <c r="N51" s="381"/>
      <c r="O51" s="158"/>
      <c r="Q51" s="141">
        <v>46061</v>
      </c>
      <c r="R51" s="142"/>
      <c r="S51" s="142"/>
      <c r="T51" s="142"/>
      <c r="U51" s="142"/>
      <c r="V51" s="142"/>
      <c r="W51" s="142"/>
      <c r="X51" s="142"/>
      <c r="Y51" s="142"/>
      <c r="Z51" s="491"/>
      <c r="AA51" s="143"/>
      <c r="AB51" s="146"/>
      <c r="AC51" s="381"/>
      <c r="AD51" s="381"/>
      <c r="AE51" s="158"/>
      <c r="AG51" s="141">
        <v>46061</v>
      </c>
      <c r="AH51" s="142">
        <v>1023540</v>
      </c>
      <c r="AI51" s="142">
        <v>8540</v>
      </c>
      <c r="AJ51" s="142">
        <v>213758</v>
      </c>
      <c r="AK51" s="142">
        <v>80190</v>
      </c>
      <c r="AL51" s="142">
        <v>721050</v>
      </c>
      <c r="AM51" s="142">
        <v>494575</v>
      </c>
      <c r="AN51" s="142">
        <v>528967</v>
      </c>
      <c r="AO51" s="142">
        <v>546136</v>
      </c>
      <c r="AP51" s="186">
        <v>17169</v>
      </c>
      <c r="AQ51" s="443">
        <v>1026</v>
      </c>
      <c r="AR51" s="186">
        <v>275134722</v>
      </c>
      <c r="AS51" s="444"/>
      <c r="AT51" s="444"/>
      <c r="AU51" s="188"/>
      <c r="AW51" s="484">
        <v>46061</v>
      </c>
      <c r="AX51" s="142"/>
      <c r="AY51" s="142"/>
      <c r="AZ51" s="142"/>
      <c r="BA51" s="142"/>
      <c r="BB51" s="142"/>
      <c r="BC51" s="142"/>
      <c r="BD51" s="142"/>
      <c r="BE51" s="142"/>
      <c r="BF51" s="198"/>
      <c r="BG51" s="142"/>
      <c r="BH51" s="266"/>
      <c r="BI51" s="158"/>
      <c r="BJ51" s="158"/>
      <c r="BK51" s="158"/>
      <c r="BN51">
        <f>'[7]2026 február'!B$9</f>
        <v>1023540</v>
      </c>
    </row>
    <row r="52" spans="1:66">
      <c r="A52" s="141">
        <v>46062</v>
      </c>
      <c r="B52" s="11"/>
      <c r="C52" s="11"/>
      <c r="D52" s="11"/>
      <c r="E52" s="11"/>
      <c r="F52" s="11"/>
      <c r="G52" s="11"/>
      <c r="H52" s="11"/>
      <c r="I52" s="11"/>
      <c r="J52" s="489"/>
      <c r="K52" s="38"/>
      <c r="L52" s="72"/>
      <c r="M52" s="216"/>
      <c r="N52" s="9"/>
      <c r="P52"/>
      <c r="Q52" s="141">
        <v>46062</v>
      </c>
      <c r="R52"/>
      <c r="S52"/>
      <c r="T52"/>
      <c r="U52"/>
      <c r="V52"/>
      <c r="W52"/>
      <c r="X52"/>
      <c r="Y52"/>
      <c r="Z52" s="218"/>
      <c r="AA52" s="37"/>
      <c r="AB52" s="41"/>
      <c r="AG52" s="141">
        <v>46062</v>
      </c>
      <c r="AH52" s="11">
        <v>48820</v>
      </c>
      <c r="AI52" s="11">
        <v>750</v>
      </c>
      <c r="AJ52" s="11">
        <v>23120</v>
      </c>
      <c r="AK52" s="11">
        <v>0</v>
      </c>
      <c r="AL52" s="11">
        <v>22920</v>
      </c>
      <c r="AM52" s="11">
        <v>38500</v>
      </c>
      <c r="AN52" s="11">
        <v>38290</v>
      </c>
      <c r="AO52" s="72">
        <v>39383</v>
      </c>
      <c r="AP52" s="11">
        <v>1093</v>
      </c>
      <c r="AQ52" s="347" t="s">
        <v>174</v>
      </c>
      <c r="AR52" s="11">
        <v>275181512</v>
      </c>
      <c r="AS52" s="9"/>
      <c r="AT52" s="9"/>
      <c r="AU52" s="9"/>
      <c r="AW52" s="484">
        <v>46062</v>
      </c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N52" s="220">
        <f>IF('[6]2026 február'!B$10=0,
    "",
    '[6]2026 február'!B$10
)</f>
        <v>236370</v>
      </c>
    </row>
    <row r="53" spans="1:66">
      <c r="A53" s="141">
        <v>46063</v>
      </c>
      <c r="B53" s="11"/>
      <c r="C53" s="11"/>
      <c r="D53" s="11"/>
      <c r="E53" s="11"/>
      <c r="F53" s="11"/>
      <c r="G53" s="11"/>
      <c r="H53" s="11"/>
      <c r="I53" s="11"/>
      <c r="J53" s="489"/>
      <c r="K53" s="38"/>
      <c r="L53" s="72"/>
      <c r="M53" s="216"/>
      <c r="N53" s="216"/>
      <c r="O53" s="9"/>
      <c r="Q53" s="141">
        <v>46063</v>
      </c>
      <c r="R53" s="11"/>
      <c r="S53" s="11"/>
      <c r="T53" s="11"/>
      <c r="U53" s="11"/>
      <c r="V53" s="11"/>
      <c r="W53" s="11"/>
      <c r="X53" s="11"/>
      <c r="Y53" s="11"/>
      <c r="Z53" s="492"/>
      <c r="AA53" s="38"/>
      <c r="AB53" s="72"/>
      <c r="AC53" s="216"/>
      <c r="AD53" s="216"/>
      <c r="AE53" s="9"/>
      <c r="AG53" s="141">
        <v>46063</v>
      </c>
      <c r="AH53" s="11">
        <v>4755</v>
      </c>
      <c r="AI53" s="11">
        <v>100</v>
      </c>
      <c r="AJ53" s="11">
        <v>2675</v>
      </c>
      <c r="AK53" s="11">
        <v>0</v>
      </c>
      <c r="AL53" s="11">
        <v>1980</v>
      </c>
      <c r="AM53" s="11">
        <v>720</v>
      </c>
      <c r="AN53" s="11">
        <v>4035</v>
      </c>
      <c r="AO53" s="11">
        <v>4035</v>
      </c>
      <c r="AP53" s="445">
        <v>48</v>
      </c>
      <c r="AQ53" s="111" t="s">
        <v>175</v>
      </c>
      <c r="AR53" s="365">
        <v>275186267</v>
      </c>
      <c r="AS53" s="446"/>
      <c r="AT53" s="446"/>
      <c r="AU53" s="196"/>
      <c r="AW53" s="484">
        <v>46063</v>
      </c>
      <c r="AX53" s="11"/>
      <c r="AY53" s="11"/>
      <c r="AZ53" s="11"/>
      <c r="BA53" s="11"/>
      <c r="BB53" s="11"/>
      <c r="BC53" s="11"/>
      <c r="BD53" s="11"/>
      <c r="BE53" s="11"/>
      <c r="BF53" s="33"/>
      <c r="BG53" s="11"/>
      <c r="BH53" s="260"/>
      <c r="BI53" s="9"/>
      <c r="BJ53" s="9"/>
      <c r="BK53" s="9"/>
      <c r="BN53">
        <f>'[7]2026 február'!B$11</f>
        <v>4755</v>
      </c>
    </row>
    <row r="54" spans="1:66">
      <c r="A54" s="141">
        <v>46064</v>
      </c>
      <c r="B54" s="11"/>
      <c r="C54" s="11"/>
      <c r="D54" s="11"/>
      <c r="E54" s="11"/>
      <c r="F54" s="11"/>
      <c r="G54" s="11"/>
      <c r="H54" s="11"/>
      <c r="I54" s="11"/>
      <c r="J54" s="489"/>
      <c r="K54" s="38"/>
      <c r="L54" s="72"/>
      <c r="M54" s="216"/>
      <c r="N54" s="216"/>
      <c r="O54" s="9"/>
      <c r="Q54" s="141">
        <v>46064</v>
      </c>
      <c r="R54" s="11"/>
      <c r="S54" s="11"/>
      <c r="T54" s="11"/>
      <c r="U54" s="11"/>
      <c r="V54" s="11"/>
      <c r="W54" s="11"/>
      <c r="X54" s="11"/>
      <c r="Y54" s="11"/>
      <c r="Z54" s="492"/>
      <c r="AA54" s="38"/>
      <c r="AB54" s="72"/>
      <c r="AC54" s="216"/>
      <c r="AD54" s="216"/>
      <c r="AE54" s="9"/>
      <c r="AG54" s="141">
        <v>46064</v>
      </c>
      <c r="AH54" s="11">
        <v>10525</v>
      </c>
      <c r="AI54" s="11">
        <v>150</v>
      </c>
      <c r="AJ54" s="11">
        <v>7845</v>
      </c>
      <c r="AK54" s="11">
        <v>0</v>
      </c>
      <c r="AL54" s="11">
        <v>2530</v>
      </c>
      <c r="AM54" s="11">
        <v>0</v>
      </c>
      <c r="AN54" s="75">
        <v>10525</v>
      </c>
      <c r="AO54" s="75">
        <v>10575</v>
      </c>
      <c r="AP54" s="11">
        <v>411</v>
      </c>
      <c r="AQ54" s="442">
        <v>1029</v>
      </c>
      <c r="AR54" s="72">
        <v>275196792</v>
      </c>
      <c r="AS54" s="216"/>
      <c r="AT54" s="216"/>
      <c r="AU54" s="9"/>
      <c r="AW54" s="484">
        <v>46064</v>
      </c>
      <c r="AX54" s="11"/>
      <c r="AY54" s="11"/>
      <c r="AZ54" s="11"/>
      <c r="BA54" s="11"/>
      <c r="BB54" s="11"/>
      <c r="BC54" s="11"/>
      <c r="BD54" s="11"/>
      <c r="BE54" s="11"/>
      <c r="BF54" s="33"/>
      <c r="BG54" s="11"/>
      <c r="BH54" s="260"/>
      <c r="BI54" s="9"/>
      <c r="BJ54" s="9"/>
      <c r="BK54" s="9"/>
      <c r="BN54">
        <f>'[7]2026 február'!B$12</f>
        <v>10525</v>
      </c>
    </row>
    <row r="55" spans="1:66">
      <c r="A55" s="141">
        <v>46065</v>
      </c>
      <c r="B55" s="11"/>
      <c r="C55" s="11"/>
      <c r="D55" s="11"/>
      <c r="E55" s="11"/>
      <c r="F55" s="11"/>
      <c r="G55" s="11"/>
      <c r="H55" s="11"/>
      <c r="I55" s="11"/>
      <c r="J55" s="489"/>
      <c r="K55" s="38"/>
      <c r="L55" s="72"/>
      <c r="M55" s="106"/>
      <c r="N55" s="216"/>
      <c r="O55" s="9"/>
      <c r="Q55" s="141">
        <v>46065</v>
      </c>
      <c r="R55" s="11"/>
      <c r="S55" s="11"/>
      <c r="T55" s="11"/>
      <c r="U55" s="11"/>
      <c r="V55" s="11"/>
      <c r="W55" s="11"/>
      <c r="X55" s="11"/>
      <c r="Y55" s="11"/>
      <c r="Z55" s="492"/>
      <c r="AA55" s="38"/>
      <c r="AB55" s="72"/>
      <c r="AC55" s="106"/>
      <c r="AD55" s="216"/>
      <c r="AE55" s="9"/>
      <c r="AG55" s="141">
        <v>46065</v>
      </c>
      <c r="AH55" s="11">
        <v>382025</v>
      </c>
      <c r="AI55" s="11">
        <v>450</v>
      </c>
      <c r="AJ55" s="11">
        <v>104575</v>
      </c>
      <c r="AK55" s="11">
        <v>93035</v>
      </c>
      <c r="AL55" s="11">
        <v>122010</v>
      </c>
      <c r="AM55" s="11">
        <v>81295</v>
      </c>
      <c r="AN55" s="11">
        <v>268775</v>
      </c>
      <c r="AO55" s="11">
        <v>268775</v>
      </c>
      <c r="AP55" s="72">
        <v>8911</v>
      </c>
      <c r="AQ55" s="38">
        <v>1030</v>
      </c>
      <c r="AR55" s="72">
        <v>275516862</v>
      </c>
      <c r="AS55" s="106"/>
      <c r="AT55" s="216"/>
      <c r="AU55" s="9"/>
      <c r="AW55" s="484">
        <v>46065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0</v>
      </c>
      <c r="BD55" s="11">
        <v>0</v>
      </c>
      <c r="BE55" s="11">
        <v>0</v>
      </c>
      <c r="BF55" s="523" t="s">
        <v>312</v>
      </c>
      <c r="BG55" s="33">
        <v>1448</v>
      </c>
      <c r="BH55" s="11">
        <v>220236952</v>
      </c>
      <c r="BI55" s="378"/>
      <c r="BJ55" s="9"/>
      <c r="BK55" s="9"/>
      <c r="BN55">
        <f>'[7]2026 február'!B$13</f>
        <v>382025</v>
      </c>
    </row>
    <row r="56" spans="1:66">
      <c r="A56" s="141">
        <v>46066</v>
      </c>
      <c r="B56" s="11"/>
      <c r="C56" s="11"/>
      <c r="D56" s="11"/>
      <c r="E56" s="11"/>
      <c r="F56" s="11"/>
      <c r="G56" s="11"/>
      <c r="H56" s="11"/>
      <c r="I56" s="11"/>
      <c r="J56" s="489"/>
      <c r="K56" s="38"/>
      <c r="L56" s="72"/>
      <c r="M56" s="216"/>
      <c r="N56" s="216"/>
      <c r="O56" s="9"/>
      <c r="Q56" s="141">
        <v>46066</v>
      </c>
      <c r="R56" s="11"/>
      <c r="S56" s="11"/>
      <c r="T56" s="11"/>
      <c r="U56" s="11"/>
      <c r="V56" s="11"/>
      <c r="W56" s="11"/>
      <c r="X56" s="11"/>
      <c r="Y56" s="11"/>
      <c r="Z56" s="492"/>
      <c r="AA56" s="38"/>
      <c r="AB56" s="72"/>
      <c r="AC56" s="216"/>
      <c r="AD56" s="216"/>
      <c r="AE56" s="9"/>
      <c r="AG56" s="141">
        <v>46066</v>
      </c>
      <c r="AH56" s="11"/>
      <c r="AI56" s="11"/>
      <c r="AJ56" s="11"/>
      <c r="AK56" s="11"/>
      <c r="AL56" s="11"/>
      <c r="AM56" s="11"/>
      <c r="AN56" s="11"/>
      <c r="AO56" s="11"/>
      <c r="AP56" s="72"/>
      <c r="AQ56" s="38"/>
      <c r="AR56" s="258"/>
      <c r="AS56" s="216"/>
      <c r="AT56" s="216"/>
      <c r="AU56" s="9"/>
      <c r="AW56" s="484">
        <v>46066</v>
      </c>
      <c r="AX56" s="11">
        <v>22670</v>
      </c>
      <c r="AY56" s="11">
        <v>50</v>
      </c>
      <c r="AZ56" s="11">
        <v>21640</v>
      </c>
      <c r="BA56" s="11">
        <v>0</v>
      </c>
      <c r="BB56" s="11">
        <v>980</v>
      </c>
      <c r="BC56" s="11">
        <v>3820</v>
      </c>
      <c r="BD56" s="11">
        <v>12850</v>
      </c>
      <c r="BE56" s="11">
        <v>12850</v>
      </c>
      <c r="BF56" s="11">
        <v>407</v>
      </c>
      <c r="BG56" s="33">
        <v>1449</v>
      </c>
      <c r="BH56" s="11">
        <v>220259622</v>
      </c>
      <c r="BI56" s="9"/>
      <c r="BJ56" s="9"/>
      <c r="BK56" s="9"/>
      <c r="BN56">
        <f>'[7]2026 február'!B$14</f>
        <v>22670</v>
      </c>
    </row>
    <row r="57" spans="1:66">
      <c r="A57" s="141">
        <v>46067</v>
      </c>
      <c r="B57" s="142"/>
      <c r="C57" s="142"/>
      <c r="D57" s="142"/>
      <c r="E57" s="142"/>
      <c r="F57" s="142"/>
      <c r="G57" s="142"/>
      <c r="H57" s="142"/>
      <c r="I57" s="142"/>
      <c r="J57" s="146"/>
      <c r="K57" s="143"/>
      <c r="L57" s="146"/>
      <c r="M57" s="381"/>
      <c r="N57" s="381"/>
      <c r="O57" s="158"/>
      <c r="Q57" s="141">
        <v>46067</v>
      </c>
      <c r="R57" s="142"/>
      <c r="S57" s="142"/>
      <c r="T57" s="142"/>
      <c r="U57" s="142"/>
      <c r="V57" s="142"/>
      <c r="W57" s="142"/>
      <c r="X57" s="142"/>
      <c r="Y57" s="142"/>
      <c r="Z57" s="491"/>
      <c r="AA57" s="143"/>
      <c r="AB57" s="146"/>
      <c r="AC57" s="381"/>
      <c r="AD57" s="381"/>
      <c r="AE57" s="158"/>
      <c r="AG57" s="141">
        <v>46067</v>
      </c>
      <c r="AH57" s="142">
        <v>772815</v>
      </c>
      <c r="AI57" s="142">
        <v>1600</v>
      </c>
      <c r="AJ57" s="142">
        <v>723410</v>
      </c>
      <c r="AK57" s="142">
        <v>13230</v>
      </c>
      <c r="AL57" s="142">
        <v>19060</v>
      </c>
      <c r="AM57" s="142">
        <v>215015</v>
      </c>
      <c r="AN57" s="142">
        <v>542283</v>
      </c>
      <c r="AO57" s="142">
        <v>542283</v>
      </c>
      <c r="AP57" s="146">
        <v>15517</v>
      </c>
      <c r="AQ57" s="143">
        <v>1031</v>
      </c>
      <c r="AR57" s="146">
        <v>276274162</v>
      </c>
      <c r="AS57" s="381"/>
      <c r="AT57" s="381"/>
      <c r="AU57" s="158"/>
      <c r="AW57" s="484">
        <v>46067</v>
      </c>
      <c r="AX57" s="142">
        <v>89390</v>
      </c>
      <c r="AY57" s="142">
        <v>550</v>
      </c>
      <c r="AZ57" s="142">
        <v>69840</v>
      </c>
      <c r="BA57" s="142">
        <v>2520</v>
      </c>
      <c r="BB57" s="142">
        <v>16480</v>
      </c>
      <c r="BC57" s="142">
        <v>30330</v>
      </c>
      <c r="BD57" s="488">
        <v>59060</v>
      </c>
      <c r="BE57" s="488">
        <v>61140</v>
      </c>
      <c r="BF57" s="142">
        <v>2080</v>
      </c>
      <c r="BG57" s="198">
        <v>1450</v>
      </c>
      <c r="BH57" s="142">
        <v>220349012</v>
      </c>
      <c r="BI57" s="158"/>
      <c r="BJ57" s="158"/>
      <c r="BK57" s="158"/>
      <c r="BN57">
        <f>'[7]2026 február'!B$15</f>
        <v>89390</v>
      </c>
    </row>
    <row r="58" spans="1:66">
      <c r="A58" s="141">
        <v>46068</v>
      </c>
      <c r="B58" s="142">
        <v>543900</v>
      </c>
      <c r="C58" s="142">
        <v>11250</v>
      </c>
      <c r="D58" s="142">
        <v>399960</v>
      </c>
      <c r="E58" s="142">
        <v>10000</v>
      </c>
      <c r="F58" s="142">
        <v>124480</v>
      </c>
      <c r="G58" s="142">
        <v>202180</v>
      </c>
      <c r="H58" s="488">
        <v>343510</v>
      </c>
      <c r="I58" s="488">
        <v>341720</v>
      </c>
      <c r="J58" s="146">
        <v>10941</v>
      </c>
      <c r="K58" s="143" t="s">
        <v>776</v>
      </c>
      <c r="L58" s="146"/>
      <c r="M58" s="381"/>
      <c r="N58" s="381"/>
      <c r="O58" s="158" t="s">
        <v>162</v>
      </c>
      <c r="Q58" s="141">
        <v>46068</v>
      </c>
      <c r="R58" s="142"/>
      <c r="S58" s="142"/>
      <c r="T58" s="142"/>
      <c r="U58" s="142"/>
      <c r="V58" s="142"/>
      <c r="W58" s="142"/>
      <c r="X58" s="142"/>
      <c r="Y58" s="142"/>
      <c r="Z58" s="491"/>
      <c r="AA58" s="143"/>
      <c r="AB58" s="146"/>
      <c r="AC58" s="381"/>
      <c r="AD58" s="381"/>
      <c r="AE58" s="158"/>
      <c r="AG58" s="141">
        <v>46068</v>
      </c>
      <c r="AH58" s="142"/>
      <c r="AI58" s="142"/>
      <c r="AJ58" s="142"/>
      <c r="AK58" s="142"/>
      <c r="AL58" s="142"/>
      <c r="AM58" s="142"/>
      <c r="AN58" s="142"/>
      <c r="AO58" s="142"/>
      <c r="AP58" s="490"/>
      <c r="AQ58" s="143"/>
      <c r="AR58" s="146"/>
      <c r="AS58" s="381"/>
      <c r="AT58" s="381"/>
      <c r="AU58" s="158"/>
      <c r="AW58" s="484">
        <v>46068</v>
      </c>
      <c r="AX58" s="142"/>
      <c r="AY58" s="142"/>
      <c r="AZ58" s="142"/>
      <c r="BA58" s="142"/>
      <c r="BB58" s="142"/>
      <c r="BC58" s="142"/>
      <c r="BD58" s="142"/>
      <c r="BE58" s="142"/>
      <c r="BF58" s="522"/>
      <c r="BG58" s="198"/>
      <c r="BH58" s="142"/>
      <c r="BI58" s="158"/>
      <c r="BJ58" s="158"/>
      <c r="BK58" s="158"/>
      <c r="BN58">
        <f>'[7]2026 február'!B$16</f>
        <v>772815</v>
      </c>
    </row>
    <row r="59" spans="1:66">
      <c r="A59" s="141">
        <v>46069</v>
      </c>
      <c r="B59" s="11"/>
      <c r="C59" s="11"/>
      <c r="D59" s="11"/>
      <c r="E59" s="11"/>
      <c r="F59" s="11"/>
      <c r="G59" s="11"/>
      <c r="H59" s="11"/>
      <c r="I59" s="11"/>
      <c r="J59" s="72"/>
      <c r="K59" s="38"/>
      <c r="L59" s="72"/>
      <c r="M59" s="216"/>
      <c r="N59" s="216"/>
      <c r="O59" s="9"/>
      <c r="Q59" s="141">
        <v>46070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492"/>
      <c r="AA59" s="38" t="s">
        <v>777</v>
      </c>
      <c r="AB59" s="72">
        <v>44252612</v>
      </c>
      <c r="AC59" s="216"/>
      <c r="AD59" s="216"/>
      <c r="AE59" s="9"/>
      <c r="AG59" s="141">
        <v>46069</v>
      </c>
      <c r="AH59" s="11"/>
      <c r="AI59" s="11"/>
      <c r="AJ59" s="11"/>
      <c r="AK59" s="11"/>
      <c r="AL59" s="11"/>
      <c r="AM59" s="11"/>
      <c r="AN59" s="11"/>
      <c r="AO59" s="11"/>
      <c r="AP59" s="489"/>
      <c r="AQ59" s="38"/>
      <c r="AR59" s="72"/>
      <c r="AS59" s="216"/>
      <c r="AT59" s="216"/>
      <c r="AU59" s="9"/>
      <c r="AW59" s="484">
        <v>46069</v>
      </c>
      <c r="AX59" s="11"/>
      <c r="AY59" s="11"/>
      <c r="AZ59" s="11"/>
      <c r="BA59" s="11"/>
      <c r="BB59" s="11"/>
      <c r="BC59" s="11"/>
      <c r="BD59" s="11"/>
      <c r="BE59" s="11"/>
      <c r="BF59" s="523"/>
      <c r="BG59" s="33"/>
      <c r="BH59" s="11"/>
      <c r="BI59" s="9"/>
      <c r="BJ59" s="9"/>
      <c r="BK59" s="9"/>
      <c r="BN59">
        <f>'[7]2026 február'!B$17</f>
        <v>543900</v>
      </c>
    </row>
    <row r="60" spans="1:66">
      <c r="A60" s="141">
        <v>46070</v>
      </c>
      <c r="B60" s="11"/>
      <c r="C60" s="11"/>
      <c r="D60" s="11"/>
      <c r="E60" s="11"/>
      <c r="F60" s="11"/>
      <c r="G60" s="11"/>
      <c r="H60" s="11"/>
      <c r="I60" s="11"/>
      <c r="J60" s="72"/>
      <c r="K60" s="38"/>
      <c r="L60" s="72"/>
      <c r="M60" s="216"/>
      <c r="N60" s="216"/>
      <c r="O60" s="9"/>
      <c r="Q60" s="141">
        <v>46070</v>
      </c>
      <c r="R60" s="11">
        <v>8320</v>
      </c>
      <c r="S60" s="11">
        <v>50</v>
      </c>
      <c r="T60" s="11">
        <v>2600</v>
      </c>
      <c r="U60" s="11">
        <v>0</v>
      </c>
      <c r="V60" s="11">
        <v>490</v>
      </c>
      <c r="W60" s="11">
        <v>3140</v>
      </c>
      <c r="X60" s="488">
        <v>0</v>
      </c>
      <c r="Y60" s="488">
        <v>1400</v>
      </c>
      <c r="Z60" s="492"/>
      <c r="AA60" s="38" t="s">
        <v>778</v>
      </c>
      <c r="AB60" s="72">
        <v>44285752</v>
      </c>
      <c r="AC60" s="216"/>
      <c r="AD60" s="216"/>
      <c r="AE60" s="9"/>
      <c r="AG60" s="141">
        <v>46070</v>
      </c>
      <c r="AH60" s="11"/>
      <c r="AI60" s="11"/>
      <c r="AJ60" s="11"/>
      <c r="AK60" s="11"/>
      <c r="AL60" s="11"/>
      <c r="AM60" s="11"/>
      <c r="AN60" s="11"/>
      <c r="AO60" s="11"/>
      <c r="AP60" s="489"/>
      <c r="AQ60" s="38"/>
      <c r="AR60" s="72"/>
      <c r="AS60" s="216"/>
      <c r="AT60" s="216"/>
      <c r="AU60" s="9"/>
      <c r="AW60" s="484">
        <v>46070</v>
      </c>
      <c r="AX60" s="11"/>
      <c r="AY60" s="11"/>
      <c r="AZ60" s="11"/>
      <c r="BA60" s="11"/>
      <c r="BB60" s="11"/>
      <c r="BC60" s="11"/>
      <c r="BD60" s="11"/>
      <c r="BE60" s="11"/>
      <c r="BF60" s="523"/>
      <c r="BG60" s="33"/>
      <c r="BH60" s="11"/>
      <c r="BI60" s="9"/>
      <c r="BJ60" s="9"/>
      <c r="BK60" s="9"/>
      <c r="BN60">
        <f>'[7]2026 február'!B$18</f>
        <v>0</v>
      </c>
    </row>
    <row r="61" spans="1:66">
      <c r="A61" s="141">
        <v>46071</v>
      </c>
      <c r="B61" s="11">
        <v>6300</v>
      </c>
      <c r="C61" s="11">
        <v>0</v>
      </c>
      <c r="D61" s="11">
        <v>5650</v>
      </c>
      <c r="E61" s="11">
        <v>0</v>
      </c>
      <c r="F61" s="11">
        <v>650</v>
      </c>
      <c r="G61" s="11" t="s">
        <v>93</v>
      </c>
      <c r="H61" s="11">
        <v>2310</v>
      </c>
      <c r="I61" s="11">
        <v>2310</v>
      </c>
      <c r="J61" s="72">
        <v>115</v>
      </c>
      <c r="K61" s="38" t="s">
        <v>779</v>
      </c>
      <c r="L61" s="72">
        <v>106579191</v>
      </c>
      <c r="M61" s="216"/>
      <c r="N61" s="216"/>
      <c r="O61" s="9"/>
      <c r="Q61" s="141">
        <v>46071</v>
      </c>
      <c r="R61" s="11"/>
      <c r="S61" s="11"/>
      <c r="T61" s="11"/>
      <c r="U61" s="11"/>
      <c r="V61" s="11"/>
      <c r="W61" s="11"/>
      <c r="X61" s="11"/>
      <c r="Y61" s="11"/>
      <c r="Z61" s="492"/>
      <c r="AA61" s="38"/>
      <c r="AB61" s="72"/>
      <c r="AC61" s="216"/>
      <c r="AD61" s="216"/>
      <c r="AE61" s="9"/>
      <c r="AG61" s="141">
        <v>46071</v>
      </c>
      <c r="AH61" s="11"/>
      <c r="AI61" s="11"/>
      <c r="AJ61" s="11"/>
      <c r="AK61" s="11"/>
      <c r="AL61" s="11"/>
      <c r="AM61" s="11"/>
      <c r="AN61" s="11"/>
      <c r="AO61" s="11"/>
      <c r="AP61" s="489"/>
      <c r="AQ61" s="38"/>
      <c r="AR61" s="72"/>
      <c r="AS61" s="216"/>
      <c r="AT61" s="216"/>
      <c r="AU61" s="9"/>
      <c r="AW61" s="484">
        <v>46071</v>
      </c>
      <c r="AX61" s="11"/>
      <c r="AY61" s="11"/>
      <c r="AZ61" s="11"/>
      <c r="BA61" s="11"/>
      <c r="BB61" s="11"/>
      <c r="BC61" s="11"/>
      <c r="BD61" s="11"/>
      <c r="BE61" s="11"/>
      <c r="BF61" s="523"/>
      <c r="BG61" s="33"/>
      <c r="BH61" s="11"/>
      <c r="BI61" s="9"/>
      <c r="BJ61" s="9"/>
      <c r="BK61" s="9"/>
      <c r="BN61">
        <f>'[7]2026 február'!B$19</f>
        <v>8320</v>
      </c>
    </row>
    <row r="62" spans="1:66">
      <c r="A62" s="141">
        <v>46072</v>
      </c>
      <c r="B62" s="11">
        <v>4480</v>
      </c>
      <c r="C62" s="11">
        <v>0</v>
      </c>
      <c r="D62" s="11">
        <v>4430</v>
      </c>
      <c r="E62" s="11">
        <v>50</v>
      </c>
      <c r="F62" s="11">
        <v>0</v>
      </c>
      <c r="G62" s="11">
        <v>2950</v>
      </c>
      <c r="H62" s="11">
        <v>1530</v>
      </c>
      <c r="I62" s="11">
        <v>1530</v>
      </c>
      <c r="J62" s="72">
        <v>76</v>
      </c>
      <c r="K62" s="38" t="s">
        <v>780</v>
      </c>
      <c r="L62" s="72">
        <v>106583671</v>
      </c>
      <c r="M62" s="216"/>
      <c r="N62" s="216"/>
      <c r="O62" s="9"/>
      <c r="Q62" s="141">
        <v>46072</v>
      </c>
      <c r="R62" s="11"/>
      <c r="S62" s="11"/>
      <c r="T62" s="11"/>
      <c r="U62" s="11"/>
      <c r="V62" s="11"/>
      <c r="W62" s="11"/>
      <c r="X62" s="11"/>
      <c r="Y62" s="11"/>
      <c r="Z62" s="492"/>
      <c r="AA62" s="38"/>
      <c r="AB62" s="72"/>
      <c r="AC62" s="216"/>
      <c r="AD62" s="216"/>
      <c r="AE62" s="9"/>
      <c r="AG62" s="141">
        <v>46072</v>
      </c>
      <c r="AH62" s="11"/>
      <c r="AI62" s="11"/>
      <c r="AJ62" s="11"/>
      <c r="AK62" s="11"/>
      <c r="AL62" s="11"/>
      <c r="AM62" s="11"/>
      <c r="AN62" s="11"/>
      <c r="AO62" s="11"/>
      <c r="AP62" s="489"/>
      <c r="AQ62" s="38"/>
      <c r="AR62" s="72"/>
      <c r="AS62" s="216"/>
      <c r="AT62" s="216"/>
      <c r="AU62" s="9"/>
      <c r="AW62" s="484">
        <v>46072</v>
      </c>
      <c r="AX62" s="11"/>
      <c r="AY62" s="11"/>
      <c r="AZ62" s="11"/>
      <c r="BA62" s="11"/>
      <c r="BB62" s="11"/>
      <c r="BC62" s="11"/>
      <c r="BD62" s="11"/>
      <c r="BE62" s="11"/>
      <c r="BF62" s="523"/>
      <c r="BG62" s="33"/>
      <c r="BH62" s="11"/>
      <c r="BI62" s="9"/>
      <c r="BJ62" s="9"/>
      <c r="BK62" s="9"/>
      <c r="BN62">
        <f>'[7]2026 február'!B$20</f>
        <v>6300</v>
      </c>
    </row>
    <row r="63" spans="1:66">
      <c r="A63" s="141">
        <v>46073</v>
      </c>
      <c r="B63" s="11"/>
      <c r="C63" s="11"/>
      <c r="D63" s="11"/>
      <c r="E63" s="11"/>
      <c r="F63" s="11"/>
      <c r="G63" s="11"/>
      <c r="H63" s="11"/>
      <c r="I63" s="11"/>
      <c r="J63" s="72"/>
      <c r="K63" s="38"/>
      <c r="L63" s="72"/>
      <c r="M63" s="216"/>
      <c r="N63" s="216"/>
      <c r="O63" s="9"/>
      <c r="Q63" s="141">
        <v>46073</v>
      </c>
      <c r="R63" s="11">
        <v>11510</v>
      </c>
      <c r="S63" s="11">
        <v>50</v>
      </c>
      <c r="T63" s="11">
        <v>10360</v>
      </c>
      <c r="U63" s="11">
        <v>0</v>
      </c>
      <c r="V63" s="11">
        <v>1100</v>
      </c>
      <c r="W63" s="11">
        <v>2090</v>
      </c>
      <c r="X63" s="11">
        <v>9420</v>
      </c>
      <c r="Y63" s="11">
        <v>9420</v>
      </c>
      <c r="Z63" s="72">
        <v>374</v>
      </c>
      <c r="AA63" s="38" t="s">
        <v>781</v>
      </c>
      <c r="AB63" s="72">
        <v>44297262</v>
      </c>
      <c r="AC63" s="216"/>
      <c r="AD63" s="216"/>
      <c r="AE63" s="9"/>
      <c r="AG63" s="141">
        <v>46073</v>
      </c>
      <c r="AH63" s="11"/>
      <c r="AI63" s="11"/>
      <c r="AJ63" s="11"/>
      <c r="AK63" s="11"/>
      <c r="AL63" s="11"/>
      <c r="AM63" s="11"/>
      <c r="AN63" s="11"/>
      <c r="AO63" s="11"/>
      <c r="AP63" s="489"/>
      <c r="AQ63" s="38"/>
      <c r="AR63" s="72"/>
      <c r="AS63" s="216"/>
      <c r="AT63" s="216"/>
      <c r="AU63" s="9"/>
      <c r="AW63" s="484">
        <v>46073</v>
      </c>
      <c r="AX63" s="11"/>
      <c r="AY63" s="11"/>
      <c r="AZ63" s="11"/>
      <c r="BA63" s="11"/>
      <c r="BB63" s="11"/>
      <c r="BC63" s="11"/>
      <c r="BD63" s="11"/>
      <c r="BE63" s="11"/>
      <c r="BF63" s="523"/>
      <c r="BG63" s="33"/>
      <c r="BH63" s="11"/>
      <c r="BI63" s="9"/>
      <c r="BJ63" s="9"/>
      <c r="BK63" s="9"/>
      <c r="BN63">
        <f>'[7]2026 február'!B$21</f>
        <v>4480</v>
      </c>
    </row>
    <row r="64" spans="1:66">
      <c r="A64" s="141">
        <v>46074</v>
      </c>
      <c r="B64" s="142">
        <v>878316</v>
      </c>
      <c r="C64" s="142">
        <v>14000</v>
      </c>
      <c r="D64" s="142">
        <v>216910</v>
      </c>
      <c r="E64" s="142">
        <v>71320</v>
      </c>
      <c r="F64" s="142">
        <v>576086</v>
      </c>
      <c r="G64" s="142">
        <v>391540</v>
      </c>
      <c r="H64" s="142">
        <v>486776</v>
      </c>
      <c r="I64" s="142">
        <v>486776</v>
      </c>
      <c r="J64" s="146">
        <v>14509</v>
      </c>
      <c r="K64" s="143" t="s">
        <v>782</v>
      </c>
      <c r="L64" s="146">
        <v>107461987</v>
      </c>
      <c r="M64" s="381"/>
      <c r="N64" s="381"/>
      <c r="O64" s="158"/>
      <c r="Q64" s="141">
        <v>46074</v>
      </c>
      <c r="R64" s="142">
        <v>188427</v>
      </c>
      <c r="S64" s="142">
        <v>600</v>
      </c>
      <c r="T64" s="142">
        <v>178757</v>
      </c>
      <c r="U64" s="142">
        <v>0</v>
      </c>
      <c r="V64" s="142">
        <v>9070</v>
      </c>
      <c r="W64" s="142">
        <v>82905</v>
      </c>
      <c r="X64" s="488">
        <v>105518</v>
      </c>
      <c r="Y64" s="488">
        <v>99906</v>
      </c>
      <c r="Z64" s="146">
        <v>4182</v>
      </c>
      <c r="AA64" s="143" t="s">
        <v>783</v>
      </c>
      <c r="AB64" s="146">
        <v>44485689</v>
      </c>
      <c r="AC64" s="381"/>
      <c r="AD64" s="381"/>
      <c r="AE64" s="158"/>
      <c r="AG64" s="141">
        <v>46074</v>
      </c>
      <c r="AH64" s="142"/>
      <c r="AI64" s="142"/>
      <c r="AJ64" s="142"/>
      <c r="AK64" s="142"/>
      <c r="AL64" s="142"/>
      <c r="AM64" s="142"/>
      <c r="AN64" s="142"/>
      <c r="AO64" s="142"/>
      <c r="AP64" s="490"/>
      <c r="AQ64" s="143"/>
      <c r="AR64" s="146"/>
      <c r="AS64" s="381"/>
      <c r="AT64" s="381"/>
      <c r="AU64" s="158"/>
      <c r="AW64" s="484">
        <v>46074</v>
      </c>
      <c r="AX64" s="142"/>
      <c r="AY64" s="142"/>
      <c r="AZ64" s="142"/>
      <c r="BA64" s="142"/>
      <c r="BB64" s="142"/>
      <c r="BC64" s="142"/>
      <c r="BD64" s="142"/>
      <c r="BE64" s="142"/>
      <c r="BF64" s="522"/>
      <c r="BG64" s="198"/>
      <c r="BH64" s="142"/>
      <c r="BI64" s="158"/>
      <c r="BJ64" s="158"/>
      <c r="BK64" s="158"/>
      <c r="BN64">
        <f>'[7]2026 február'!B$22</f>
        <v>11510</v>
      </c>
    </row>
    <row r="65" spans="1:66">
      <c r="A65" s="141">
        <v>46075</v>
      </c>
      <c r="B65" s="142">
        <v>128230</v>
      </c>
      <c r="C65" s="142">
        <v>0</v>
      </c>
      <c r="D65" s="142">
        <v>104620</v>
      </c>
      <c r="E65" s="142">
        <v>500</v>
      </c>
      <c r="F65" s="142">
        <v>25820</v>
      </c>
      <c r="G65" s="142">
        <v>49040</v>
      </c>
      <c r="H65" s="488">
        <v>81900</v>
      </c>
      <c r="I65" s="488">
        <v>79190</v>
      </c>
      <c r="J65" s="146">
        <v>2764</v>
      </c>
      <c r="K65" s="143" t="s">
        <v>784</v>
      </c>
      <c r="L65" s="146">
        <v>107592327</v>
      </c>
      <c r="M65" s="381"/>
      <c r="N65" s="381"/>
      <c r="O65" s="158" t="s">
        <v>162</v>
      </c>
      <c r="Q65" s="141">
        <v>46075</v>
      </c>
      <c r="R65" s="142"/>
      <c r="S65" s="142"/>
      <c r="T65" s="142"/>
      <c r="U65" s="142"/>
      <c r="V65" s="142"/>
      <c r="W65" s="142"/>
      <c r="X65" s="142"/>
      <c r="Y65" s="142"/>
      <c r="Z65" s="516"/>
      <c r="AA65" s="143"/>
      <c r="AB65" s="146"/>
      <c r="AC65" s="381"/>
      <c r="AD65" s="381"/>
      <c r="AE65" s="158"/>
      <c r="AG65" s="141">
        <v>46075</v>
      </c>
      <c r="AH65" s="142"/>
      <c r="AI65" s="142"/>
      <c r="AJ65" s="142"/>
      <c r="AK65" s="142"/>
      <c r="AL65" s="142"/>
      <c r="AM65" s="142"/>
      <c r="AN65" s="142"/>
      <c r="AO65" s="142"/>
      <c r="AP65" s="490"/>
      <c r="AQ65" s="143"/>
      <c r="AR65" s="146"/>
      <c r="AS65" s="381"/>
      <c r="AT65" s="381"/>
      <c r="AU65" s="158"/>
      <c r="AW65" s="484">
        <v>46075</v>
      </c>
      <c r="AX65" s="142"/>
      <c r="AY65" s="142"/>
      <c r="AZ65" s="142"/>
      <c r="BA65" s="142"/>
      <c r="BB65" s="142"/>
      <c r="BC65" s="142"/>
      <c r="BD65" s="142"/>
      <c r="BE65" s="142"/>
      <c r="BF65" s="522"/>
      <c r="BG65" s="198"/>
      <c r="BH65" s="142"/>
      <c r="BI65" s="158"/>
      <c r="BJ65" s="158"/>
      <c r="BK65" s="158"/>
      <c r="BN65">
        <f>'[7]2026 február'!B$23</f>
        <v>188425</v>
      </c>
    </row>
    <row r="66" spans="1:66">
      <c r="A66" s="141">
        <v>46076</v>
      </c>
      <c r="B66" s="11"/>
      <c r="C66" s="11"/>
      <c r="D66" s="11"/>
      <c r="E66" s="11"/>
      <c r="F66" s="11"/>
      <c r="G66" s="11"/>
      <c r="H66" s="11"/>
      <c r="I66" s="11"/>
      <c r="J66" s="72"/>
      <c r="K66" s="38"/>
      <c r="L66" s="72"/>
      <c r="M66" s="216"/>
      <c r="N66" s="216"/>
      <c r="O66" s="9"/>
      <c r="Q66" s="141">
        <v>46076</v>
      </c>
      <c r="R66" s="11"/>
      <c r="S66" s="11"/>
      <c r="T66" s="11"/>
      <c r="U66" s="11"/>
      <c r="V66" s="11"/>
      <c r="W66" s="11"/>
      <c r="X66" s="11"/>
      <c r="Y66" s="11"/>
      <c r="Z66" s="492"/>
      <c r="AA66" s="38"/>
      <c r="AB66" s="72"/>
      <c r="AC66" s="216"/>
      <c r="AD66" s="216"/>
      <c r="AE66" s="9"/>
      <c r="AG66" s="141">
        <v>46076</v>
      </c>
      <c r="AH66" s="11"/>
      <c r="AI66" s="11"/>
      <c r="AJ66" s="11"/>
      <c r="AK66" s="11"/>
      <c r="AL66" s="11"/>
      <c r="AM66" s="11"/>
      <c r="AN66" s="11"/>
      <c r="AO66" s="11"/>
      <c r="AP66" s="489"/>
      <c r="AQ66" s="38"/>
      <c r="AR66" s="72"/>
      <c r="AS66" s="216"/>
      <c r="AT66" s="216"/>
      <c r="AU66" s="9"/>
      <c r="AW66" s="484">
        <v>46076</v>
      </c>
      <c r="AX66" s="11"/>
      <c r="AY66" s="11"/>
      <c r="AZ66" s="11"/>
      <c r="BA66" s="11"/>
      <c r="BB66" s="11"/>
      <c r="BC66" s="11"/>
      <c r="BD66" s="11"/>
      <c r="BE66" s="11"/>
      <c r="BF66" s="523"/>
      <c r="BG66" s="33"/>
      <c r="BH66" s="11"/>
      <c r="BI66" s="9"/>
      <c r="BJ66" s="9"/>
      <c r="BK66" s="9"/>
      <c r="BN66">
        <f>'[7]2026 február'!B$24</f>
        <v>878318</v>
      </c>
    </row>
    <row r="67" spans="1:66">
      <c r="A67" s="141">
        <v>46077</v>
      </c>
      <c r="B67" s="11">
        <v>14040</v>
      </c>
      <c r="C67" s="11">
        <v>0</v>
      </c>
      <c r="D67" s="11">
        <v>9410</v>
      </c>
      <c r="E67" s="11">
        <v>50</v>
      </c>
      <c r="F67" s="11">
        <v>4580</v>
      </c>
      <c r="G67" s="11">
        <v>4460</v>
      </c>
      <c r="H67" s="11">
        <v>9580</v>
      </c>
      <c r="I67" s="11">
        <v>9580</v>
      </c>
      <c r="J67" s="72">
        <v>548</v>
      </c>
      <c r="K67" s="38" t="s">
        <v>785</v>
      </c>
      <c r="L67" s="72">
        <v>107606967</v>
      </c>
      <c r="M67" s="216"/>
      <c r="N67" s="216"/>
      <c r="O67" s="9"/>
      <c r="Q67" s="141">
        <v>46077</v>
      </c>
      <c r="R67" s="11"/>
      <c r="S67" s="11"/>
      <c r="T67" s="11"/>
      <c r="U67" s="11"/>
      <c r="V67" s="11"/>
      <c r="W67" s="11"/>
      <c r="X67" s="11"/>
      <c r="Y67" s="11"/>
      <c r="Z67" s="492"/>
      <c r="AA67" s="38"/>
      <c r="AB67" s="72"/>
      <c r="AC67" s="216"/>
      <c r="AD67" s="216"/>
      <c r="AE67" s="9"/>
      <c r="AG67" s="141">
        <v>46077</v>
      </c>
      <c r="AH67" s="142"/>
      <c r="AI67" s="142">
        <v>0</v>
      </c>
      <c r="AJ67" s="142">
        <v>0</v>
      </c>
      <c r="AK67" s="142">
        <v>0</v>
      </c>
      <c r="AL67" s="142">
        <v>0</v>
      </c>
      <c r="AM67" s="142">
        <v>0</v>
      </c>
      <c r="AN67" s="142">
        <v>0</v>
      </c>
      <c r="AO67" s="142">
        <v>0</v>
      </c>
      <c r="AP67" s="490" t="s">
        <v>312</v>
      </c>
      <c r="AQ67" s="143">
        <v>1032</v>
      </c>
      <c r="AR67" s="146">
        <v>276274162</v>
      </c>
      <c r="AS67" s="216"/>
      <c r="AT67" s="216"/>
      <c r="AU67" s="9"/>
      <c r="AW67" s="484">
        <v>46077</v>
      </c>
      <c r="AX67" s="11"/>
      <c r="AY67" s="11"/>
      <c r="AZ67" s="11"/>
      <c r="BA67" s="11"/>
      <c r="BB67" s="11"/>
      <c r="BC67" s="11"/>
      <c r="BD67" s="11"/>
      <c r="BE67" s="11"/>
      <c r="BF67" s="523"/>
      <c r="BG67" s="33"/>
      <c r="BH67" s="11"/>
      <c r="BI67" s="9"/>
      <c r="BJ67" s="9"/>
      <c r="BK67" s="9"/>
      <c r="BN67">
        <f>'[7]2026 február'!B$25</f>
        <v>128230</v>
      </c>
    </row>
    <row r="68" spans="1:66">
      <c r="A68" s="141">
        <v>46078</v>
      </c>
      <c r="B68" s="11">
        <v>24080</v>
      </c>
      <c r="C68" s="11">
        <v>0</v>
      </c>
      <c r="D68" s="11">
        <v>7470</v>
      </c>
      <c r="E68" s="11">
        <v>50</v>
      </c>
      <c r="F68" s="11">
        <v>18250</v>
      </c>
      <c r="G68" s="11">
        <v>16850</v>
      </c>
      <c r="H68" s="488">
        <v>8920</v>
      </c>
      <c r="I68" s="488">
        <v>6940</v>
      </c>
      <c r="J68" s="72">
        <v>220</v>
      </c>
      <c r="K68" s="38" t="s">
        <v>786</v>
      </c>
      <c r="L68" s="72">
        <v>107632737</v>
      </c>
      <c r="M68" s="216"/>
      <c r="N68" s="216"/>
      <c r="O68" s="9" t="s">
        <v>162</v>
      </c>
      <c r="Q68" s="141">
        <v>46078</v>
      </c>
      <c r="R68" s="11"/>
      <c r="S68" s="11"/>
      <c r="T68" s="11"/>
      <c r="U68" s="11"/>
      <c r="V68" s="11"/>
      <c r="W68" s="11"/>
      <c r="X68" s="11"/>
      <c r="Y68" s="11"/>
      <c r="Z68" s="492"/>
      <c r="AA68" s="38"/>
      <c r="AB68" s="72"/>
      <c r="AC68" s="216"/>
      <c r="AD68" s="216"/>
      <c r="AE68" s="9"/>
      <c r="AG68" s="141">
        <v>46078</v>
      </c>
      <c r="AH68" s="11"/>
      <c r="AI68" s="11"/>
      <c r="AJ68" s="11"/>
      <c r="AK68" s="11"/>
      <c r="AL68" s="11"/>
      <c r="AM68" s="11"/>
      <c r="AN68" s="11"/>
      <c r="AO68" s="11"/>
      <c r="AP68" s="489"/>
      <c r="AQ68" s="38"/>
      <c r="AR68" s="72"/>
      <c r="AS68" s="216"/>
      <c r="AT68" s="216"/>
      <c r="AU68" s="9"/>
      <c r="AW68" s="484">
        <v>46078</v>
      </c>
      <c r="AX68" s="11"/>
      <c r="AY68" s="11"/>
      <c r="AZ68" s="11"/>
      <c r="BA68" s="11"/>
      <c r="BB68" s="11"/>
      <c r="BC68" s="11"/>
      <c r="BD68" s="11"/>
      <c r="BE68" s="11"/>
      <c r="BF68" s="523"/>
      <c r="BG68" s="33"/>
      <c r="BH68" s="11"/>
      <c r="BI68" s="9"/>
      <c r="BJ68" s="9"/>
      <c r="BK68" s="9"/>
      <c r="BN68">
        <f>'[7]2026 február'!B$26</f>
        <v>0</v>
      </c>
    </row>
    <row r="69" spans="1:66">
      <c r="A69" s="141">
        <v>46079</v>
      </c>
      <c r="B69" s="11">
        <v>20430</v>
      </c>
      <c r="C69" s="11">
        <v>0</v>
      </c>
      <c r="D69" s="11">
        <v>19000</v>
      </c>
      <c r="E69" s="11">
        <v>50</v>
      </c>
      <c r="F69" s="11">
        <v>1380</v>
      </c>
      <c r="G69" s="11">
        <v>6370</v>
      </c>
      <c r="H69" s="11">
        <v>14060</v>
      </c>
      <c r="I69" s="11">
        <v>14060</v>
      </c>
      <c r="J69" s="72">
        <v>719</v>
      </c>
      <c r="K69" s="38" t="s">
        <v>101</v>
      </c>
      <c r="L69" s="72">
        <v>107653167</v>
      </c>
      <c r="M69" s="216"/>
      <c r="N69" s="216"/>
      <c r="O69" s="9"/>
      <c r="Q69" s="141">
        <v>46079</v>
      </c>
      <c r="R69" s="11"/>
      <c r="S69" s="11"/>
      <c r="T69" s="11"/>
      <c r="U69" s="11"/>
      <c r="V69" s="11"/>
      <c r="W69" s="11"/>
      <c r="X69" s="11"/>
      <c r="Y69" s="11"/>
      <c r="Z69" s="492"/>
      <c r="AA69" s="38"/>
      <c r="AB69" s="72"/>
      <c r="AC69" s="216"/>
      <c r="AD69" s="216"/>
      <c r="AE69" s="9"/>
      <c r="AG69" s="141">
        <v>46079</v>
      </c>
      <c r="AH69" s="11"/>
      <c r="AI69" s="11"/>
      <c r="AJ69" s="11"/>
      <c r="AK69" s="11"/>
      <c r="AL69" s="11"/>
      <c r="AM69" s="11"/>
      <c r="AN69" s="11"/>
      <c r="AO69" s="11"/>
      <c r="AP69" s="489"/>
      <c r="AQ69" s="38"/>
      <c r="AR69" s="72"/>
      <c r="AS69" s="216"/>
      <c r="AT69" s="216"/>
      <c r="AU69" s="9"/>
      <c r="AW69" s="484">
        <v>46079</v>
      </c>
      <c r="AX69" s="11"/>
      <c r="AY69" s="11"/>
      <c r="AZ69" s="11"/>
      <c r="BA69" s="11"/>
      <c r="BB69" s="11"/>
      <c r="BC69" s="11"/>
      <c r="BD69" s="11"/>
      <c r="BE69" s="11"/>
      <c r="BF69" s="523"/>
      <c r="BG69" s="33"/>
      <c r="BH69" s="11"/>
      <c r="BI69" s="9"/>
      <c r="BJ69" s="9"/>
      <c r="BK69" s="9"/>
      <c r="BN69">
        <f>'[7]2026 február'!B$27</f>
        <v>14040</v>
      </c>
    </row>
    <row r="70" spans="1:66">
      <c r="A70" s="141">
        <v>46080</v>
      </c>
      <c r="B70" s="11">
        <v>1213745</v>
      </c>
      <c r="C70" s="11">
        <v>0</v>
      </c>
      <c r="D70" s="11">
        <v>1174655</v>
      </c>
      <c r="E70" s="11">
        <v>0</v>
      </c>
      <c r="F70" s="11">
        <v>39090</v>
      </c>
      <c r="G70" s="11">
        <v>753185</v>
      </c>
      <c r="H70" s="488">
        <v>490567</v>
      </c>
      <c r="I70" s="488">
        <v>491557</v>
      </c>
      <c r="J70" s="72">
        <v>20480</v>
      </c>
      <c r="K70" s="38" t="s">
        <v>787</v>
      </c>
      <c r="L70" s="72">
        <v>108866912</v>
      </c>
      <c r="M70" s="216"/>
      <c r="N70" s="216"/>
      <c r="O70" s="9" t="s">
        <v>300</v>
      </c>
      <c r="Q70" s="141">
        <v>46080</v>
      </c>
      <c r="R70" s="11">
        <v>1151740</v>
      </c>
      <c r="S70" s="11">
        <v>32600</v>
      </c>
      <c r="T70" s="11">
        <v>138050</v>
      </c>
      <c r="U70" s="11">
        <v>67370</v>
      </c>
      <c r="V70" s="11">
        <v>883714</v>
      </c>
      <c r="W70" s="11">
        <v>672735</v>
      </c>
      <c r="X70" s="11">
        <v>479001</v>
      </c>
      <c r="Y70" s="11">
        <v>479001</v>
      </c>
      <c r="Z70" s="72">
        <v>16365</v>
      </c>
      <c r="AA70" s="38" t="s">
        <v>127</v>
      </c>
      <c r="AB70" s="72">
        <v>45607423</v>
      </c>
      <c r="AC70" s="216"/>
      <c r="AD70" s="216"/>
      <c r="AE70" s="9"/>
      <c r="AG70" s="141">
        <v>46080</v>
      </c>
      <c r="AH70" s="11"/>
      <c r="AI70" s="11">
        <v>16290</v>
      </c>
      <c r="AJ70" s="11">
        <v>462917</v>
      </c>
      <c r="AK70" s="11">
        <v>1050</v>
      </c>
      <c r="AL70" s="11">
        <v>620940</v>
      </c>
      <c r="AM70" s="11">
        <v>691500</v>
      </c>
      <c r="AN70" s="11">
        <v>439697</v>
      </c>
      <c r="AO70" s="11"/>
      <c r="AP70" s="489"/>
      <c r="AQ70" s="38">
        <v>1033</v>
      </c>
      <c r="AR70" s="72">
        <v>277375359</v>
      </c>
      <c r="AS70" s="216"/>
      <c r="AT70" s="216"/>
      <c r="AU70" s="9"/>
      <c r="AW70" s="484">
        <v>46080</v>
      </c>
      <c r="AX70" s="11"/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523" t="s">
        <v>312</v>
      </c>
      <c r="BG70" s="33">
        <v>1451</v>
      </c>
      <c r="BH70" s="11">
        <v>220349012</v>
      </c>
      <c r="BI70" s="9"/>
      <c r="BJ70" s="9"/>
      <c r="BK70" s="9"/>
      <c r="BN70">
        <f>'[7]2026 február'!B$28</f>
        <v>24080</v>
      </c>
    </row>
    <row r="71" spans="1:66">
      <c r="A71" s="141">
        <v>46081</v>
      </c>
      <c r="B71" s="142">
        <v>568405</v>
      </c>
      <c r="C71" s="142">
        <v>7450</v>
      </c>
      <c r="D71" s="142">
        <v>35300</v>
      </c>
      <c r="E71" s="142">
        <v>35530</v>
      </c>
      <c r="F71" s="142">
        <v>490124</v>
      </c>
      <c r="G71" s="142">
        <v>153840</v>
      </c>
      <c r="H71" s="142">
        <v>414566</v>
      </c>
      <c r="I71" s="142">
        <v>414566</v>
      </c>
      <c r="J71" s="146">
        <v>17567</v>
      </c>
      <c r="K71" s="143" t="s">
        <v>125</v>
      </c>
      <c r="L71" s="146">
        <v>109435316</v>
      </c>
      <c r="M71" s="381"/>
      <c r="N71" s="381"/>
      <c r="O71" s="158"/>
      <c r="Q71" s="141">
        <v>46081</v>
      </c>
      <c r="R71" s="601">
        <v>302470</v>
      </c>
      <c r="S71" s="142">
        <v>2390</v>
      </c>
      <c r="T71" s="142">
        <v>286196</v>
      </c>
      <c r="U71" s="142">
        <v>0</v>
      </c>
      <c r="V71" s="142">
        <v>19667</v>
      </c>
      <c r="W71" s="601">
        <v>80815</v>
      </c>
      <c r="X71" s="142">
        <v>227440</v>
      </c>
      <c r="Y71" s="142">
        <v>227440</v>
      </c>
      <c r="Z71" s="146">
        <v>5783</v>
      </c>
      <c r="AA71" s="143" t="s">
        <v>788</v>
      </c>
      <c r="AB71" s="146">
        <v>45915676</v>
      </c>
      <c r="AC71" s="600"/>
      <c r="AD71" s="381"/>
      <c r="AE71" s="158"/>
      <c r="AG71" s="141">
        <v>46080</v>
      </c>
      <c r="AH71" s="142"/>
      <c r="AI71" s="142"/>
      <c r="AJ71" s="142"/>
      <c r="AK71" s="142"/>
      <c r="AL71" s="142"/>
      <c r="AM71" s="142"/>
      <c r="AN71" s="142"/>
      <c r="AO71" s="142"/>
      <c r="AP71" s="490"/>
      <c r="AQ71" s="143"/>
      <c r="AR71" s="146"/>
      <c r="AS71" s="381"/>
      <c r="AT71" s="381"/>
      <c r="AU71" s="158"/>
      <c r="AW71" s="141">
        <v>46081</v>
      </c>
      <c r="AX71" s="232"/>
      <c r="AY71" s="232">
        <v>0</v>
      </c>
      <c r="AZ71" s="232">
        <v>0</v>
      </c>
      <c r="BA71" s="232">
        <v>0</v>
      </c>
      <c r="BB71" s="232">
        <v>0</v>
      </c>
      <c r="BC71" s="232"/>
      <c r="BD71" s="232"/>
      <c r="BE71" s="232"/>
      <c r="BF71" s="528"/>
      <c r="BG71" s="233" t="s">
        <v>789</v>
      </c>
      <c r="BH71" s="229">
        <v>220349012</v>
      </c>
      <c r="BI71" s="485"/>
      <c r="BJ71" s="485"/>
      <c r="BK71" s="387"/>
      <c r="BN71">
        <f>'[7]2026 február'!B$29</f>
        <v>20430</v>
      </c>
    </row>
    <row r="72" spans="1:66">
      <c r="A72" s="5"/>
      <c r="B72" s="11"/>
      <c r="C72" s="11"/>
      <c r="D72" s="11"/>
      <c r="E72" s="11"/>
      <c r="F72" s="11"/>
      <c r="G72" s="11"/>
      <c r="H72" s="11"/>
      <c r="I72" s="11"/>
      <c r="J72" s="72"/>
      <c r="K72" s="38"/>
      <c r="L72" s="72"/>
      <c r="M72" s="216"/>
      <c r="N72" s="216"/>
      <c r="O72" s="9"/>
      <c r="Q72" s="5"/>
      <c r="R72" s="11"/>
      <c r="S72" s="11"/>
      <c r="T72" s="11"/>
      <c r="U72" s="11"/>
      <c r="V72" s="11"/>
      <c r="W72" s="11"/>
      <c r="X72" s="11"/>
      <c r="Y72" s="11"/>
      <c r="Z72" s="492"/>
      <c r="AA72" s="38"/>
      <c r="AB72" s="72"/>
      <c r="AC72" s="216"/>
      <c r="AD72" s="216"/>
      <c r="AE72" s="9"/>
      <c r="AG72" s="5"/>
      <c r="AH72" s="11"/>
      <c r="AI72" s="11"/>
      <c r="AJ72" s="11"/>
      <c r="AK72" s="11"/>
      <c r="AL72" s="11"/>
      <c r="AM72" s="11"/>
      <c r="AN72" s="11"/>
      <c r="AO72" s="11"/>
      <c r="AP72" s="489"/>
      <c r="AQ72" s="38"/>
      <c r="AR72" s="72"/>
      <c r="AS72" s="216"/>
      <c r="AT72" s="216"/>
      <c r="AU72" s="9"/>
      <c r="AW72" s="5"/>
      <c r="AX72" s="11"/>
      <c r="AY72" s="11"/>
      <c r="AZ72" s="11"/>
      <c r="BA72" s="11"/>
      <c r="BB72" s="11"/>
      <c r="BC72" s="11"/>
      <c r="BD72" s="11"/>
      <c r="BE72" s="11"/>
      <c r="BF72" s="489"/>
      <c r="BG72" s="38"/>
      <c r="BH72" s="72"/>
      <c r="BI72" s="216"/>
      <c r="BJ72" s="216"/>
      <c r="BK72" s="9"/>
      <c r="BN72">
        <f>'[7]2026 február'!B$30</f>
        <v>1101197</v>
      </c>
    </row>
    <row r="73" spans="1:66">
      <c r="A73" s="5"/>
      <c r="B73" s="11"/>
      <c r="C73" s="11"/>
      <c r="D73" s="11"/>
      <c r="E73" s="11"/>
      <c r="F73" s="11"/>
      <c r="G73" s="11"/>
      <c r="H73" s="11"/>
      <c r="I73" s="11"/>
      <c r="J73" s="72"/>
      <c r="K73" s="38"/>
      <c r="L73" s="72"/>
      <c r="M73" s="216"/>
      <c r="N73" s="216"/>
      <c r="O73" s="9"/>
      <c r="Q73" s="5"/>
      <c r="R73" s="11"/>
      <c r="S73" s="11"/>
      <c r="T73" s="11"/>
      <c r="U73" s="11"/>
      <c r="V73" s="11"/>
      <c r="W73" s="11"/>
      <c r="X73" s="11"/>
      <c r="Y73" s="11"/>
      <c r="Z73" s="492"/>
      <c r="AA73" s="38"/>
      <c r="AB73" s="72"/>
      <c r="AC73" s="216"/>
      <c r="AD73" s="216"/>
      <c r="AE73" s="9"/>
      <c r="AG73" s="5"/>
      <c r="AH73" s="11"/>
      <c r="AI73" s="11"/>
      <c r="AJ73" s="11"/>
      <c r="AK73" s="11"/>
      <c r="AL73" s="11"/>
      <c r="AM73" s="11"/>
      <c r="AN73" s="11"/>
      <c r="AO73" s="11"/>
      <c r="AP73" s="489"/>
      <c r="AQ73" s="38"/>
      <c r="AR73" s="72"/>
      <c r="AS73" s="216"/>
      <c r="AT73" s="216"/>
      <c r="AU73" s="9"/>
      <c r="AW73" s="5"/>
      <c r="AX73" s="11"/>
      <c r="AY73" s="11"/>
      <c r="AZ73" s="11"/>
      <c r="BA73" s="11"/>
      <c r="BB73" s="11"/>
      <c r="BC73" s="11"/>
      <c r="BD73" s="11"/>
      <c r="BE73" s="11"/>
      <c r="BF73" s="38"/>
      <c r="BG73" s="38"/>
      <c r="BH73" s="258"/>
      <c r="BI73" s="216"/>
      <c r="BJ73" s="216"/>
      <c r="BK73" s="9"/>
      <c r="BN73">
        <f>'[7]2026 február'!B$31</f>
        <v>1151736</v>
      </c>
    </row>
    <row r="74" spans="1:66">
      <c r="A74" s="141"/>
      <c r="B74" s="11"/>
      <c r="C74" s="11"/>
      <c r="D74" s="11"/>
      <c r="E74" s="11"/>
      <c r="F74" s="11"/>
      <c r="G74" s="11"/>
      <c r="H74" s="11"/>
      <c r="I74" s="11"/>
      <c r="J74" s="206"/>
      <c r="K74" s="205"/>
      <c r="L74" s="206"/>
      <c r="M74" s="388"/>
      <c r="N74" s="216"/>
      <c r="O74" s="9"/>
      <c r="Q74" s="141"/>
      <c r="R74" s="11"/>
      <c r="S74" s="11"/>
      <c r="T74" s="11"/>
      <c r="U74" s="11"/>
      <c r="V74" s="11"/>
      <c r="W74" s="11"/>
      <c r="X74" s="11"/>
      <c r="Y74" s="11"/>
      <c r="Z74" s="493"/>
      <c r="AA74" s="205"/>
      <c r="AB74" s="206"/>
      <c r="AC74" s="388"/>
      <c r="AD74" s="216"/>
      <c r="AE74" s="9"/>
      <c r="AG74" s="141"/>
      <c r="AH74" s="11"/>
      <c r="AI74" s="11"/>
      <c r="AJ74" s="11"/>
      <c r="AK74" s="11"/>
      <c r="AL74" s="11"/>
      <c r="AM74" s="11"/>
      <c r="AN74" s="11"/>
      <c r="AO74" s="11"/>
      <c r="AP74" s="205"/>
      <c r="AQ74" s="206"/>
      <c r="AR74" s="206"/>
      <c r="AS74" s="388"/>
      <c r="AT74" s="216"/>
      <c r="AU74" s="9"/>
      <c r="AW74" s="141"/>
      <c r="AX74" s="11"/>
      <c r="AY74" s="11"/>
      <c r="AZ74" s="11"/>
      <c r="BA74" s="11"/>
      <c r="BB74" s="11"/>
      <c r="BC74" s="11"/>
      <c r="BD74" s="11"/>
      <c r="BE74" s="11"/>
      <c r="BF74" s="205"/>
      <c r="BG74" s="205"/>
      <c r="BH74" s="379"/>
      <c r="BI74" s="388"/>
      <c r="BJ74" s="216"/>
      <c r="BK74" s="9"/>
      <c r="BN74">
        <f>'[7]2026 február'!B$32</f>
        <v>1213745</v>
      </c>
    </row>
    <row r="75" spans="1:66" ht="18" customHeight="1">
      <c r="A75" s="18" t="s">
        <v>64</v>
      </c>
      <c r="B75" s="362"/>
      <c r="C75" s="19">
        <f>SUM(C42:C74)</f>
        <v>32700</v>
      </c>
      <c r="D75" s="19">
        <f>SUM(D42:D74)</f>
        <v>1977405</v>
      </c>
      <c r="E75" s="19">
        <f>SUM(E42:E74)</f>
        <v>117550</v>
      </c>
      <c r="F75" s="19">
        <f>SUM(F42:F74)</f>
        <v>1280460</v>
      </c>
      <c r="G75" s="20">
        <f>SUM(G42:G74)</f>
        <v>1580415</v>
      </c>
      <c r="H75" s="20">
        <f>SUM(H44:H74)</f>
        <v>1853719</v>
      </c>
      <c r="I75" s="191">
        <f>SUM(I44:I74)</f>
        <v>1848229</v>
      </c>
      <c r="J75" s="12"/>
      <c r="K75" s="373"/>
      <c r="L75" s="417">
        <v>109435316</v>
      </c>
      <c r="M75" s="433">
        <v>3408115</v>
      </c>
      <c r="N75" s="216"/>
      <c r="O75" s="9"/>
      <c r="Q75" s="18" t="s">
        <v>64</v>
      </c>
      <c r="R75" s="362"/>
      <c r="S75" s="19">
        <f>SUM(S42:S74)</f>
        <v>35690</v>
      </c>
      <c r="T75" s="19">
        <f>SUM(T42:T74)</f>
        <v>615963</v>
      </c>
      <c r="U75" s="19">
        <f>SUM(U42:U74)</f>
        <v>67370</v>
      </c>
      <c r="V75" s="19">
        <f>SUM(V42:V74)</f>
        <v>914041</v>
      </c>
      <c r="W75" s="20">
        <f>SUM(W42:W74)</f>
        <v>841685</v>
      </c>
      <c r="X75" s="20">
        <f>SUM(X44:X74)</f>
        <v>821379</v>
      </c>
      <c r="Y75" s="191">
        <f>SUM(Y44:Y74)</f>
        <v>817167</v>
      </c>
      <c r="Z75" s="494"/>
      <c r="AA75" s="373"/>
      <c r="AB75" s="417">
        <v>45915676</v>
      </c>
      <c r="AC75" s="433">
        <v>1633064</v>
      </c>
      <c r="AD75" s="216"/>
      <c r="AE75" s="9"/>
      <c r="AG75" s="18" t="s">
        <v>64</v>
      </c>
      <c r="AH75" s="362"/>
      <c r="AI75" s="19">
        <f>SUM(AI42:AI74)</f>
        <v>30720</v>
      </c>
      <c r="AJ75" s="19">
        <f>SUM(AJ42:AJ74)</f>
        <v>1579482</v>
      </c>
      <c r="AK75" s="19">
        <f>SUM(AK42:AK74)</f>
        <v>211985</v>
      </c>
      <c r="AL75" s="19">
        <f>SUM(AL42:AL74)</f>
        <v>1907838</v>
      </c>
      <c r="AM75" s="20">
        <f>SUM(AM42:AM74)</f>
        <v>1760265</v>
      </c>
      <c r="AN75" s="20">
        <f>SUM(AN44:AN74)</f>
        <v>2153995</v>
      </c>
      <c r="AO75" s="191">
        <f>SUM(AO44:AO74)</f>
        <v>1732617</v>
      </c>
      <c r="AP75" s="32"/>
      <c r="AQ75" s="17"/>
      <c r="AR75" s="417">
        <v>277375359</v>
      </c>
      <c r="AS75" s="425">
        <v>3730025</v>
      </c>
      <c r="AT75" s="216"/>
      <c r="AU75" s="9"/>
      <c r="AW75" s="18" t="s">
        <v>64</v>
      </c>
      <c r="AX75" s="362"/>
      <c r="AY75" s="19">
        <f>SUM(AY42:AY74)</f>
        <v>600</v>
      </c>
      <c r="AZ75" s="19">
        <f>SUM(AZ42:AZ74)</f>
        <v>91480</v>
      </c>
      <c r="BA75" s="19">
        <f>SUM(BA42:BA74)</f>
        <v>2520</v>
      </c>
      <c r="BB75" s="19">
        <f>SUM(BB42:BB74)</f>
        <v>17460</v>
      </c>
      <c r="BC75" s="20">
        <f>SUM(BC42:BC74)</f>
        <v>34150</v>
      </c>
      <c r="BD75" s="20">
        <f>SUM(BD44:BD74)</f>
        <v>71910</v>
      </c>
      <c r="BE75" s="191">
        <f>SUM(BE44:BE74)</f>
        <v>73990</v>
      </c>
      <c r="BF75" s="32"/>
      <c r="BG75" s="373"/>
      <c r="BH75" s="417">
        <v>220349012</v>
      </c>
      <c r="BI75" s="433">
        <v>112060</v>
      </c>
      <c r="BJ75" s="216"/>
      <c r="BK75" s="9"/>
      <c r="BN75">
        <f>'[7]2026 február'!B$33</f>
        <v>568405</v>
      </c>
    </row>
    <row r="76" spans="1:66">
      <c r="A76" s="5"/>
      <c r="B76" s="11"/>
      <c r="C76" s="29">
        <f>C75+D75+E75+F75</f>
        <v>3408115</v>
      </c>
      <c r="D76" s="10"/>
      <c r="E76" s="10"/>
      <c r="F76" s="10"/>
      <c r="G76" s="47">
        <f>G75+H75</f>
        <v>3434134</v>
      </c>
      <c r="H76" s="10"/>
      <c r="I76" s="10"/>
      <c r="J76" s="33"/>
      <c r="K76" s="33"/>
      <c r="L76" s="11"/>
      <c r="M76" s="216"/>
      <c r="N76" s="216"/>
      <c r="O76" s="9"/>
      <c r="Q76" s="5"/>
      <c r="R76" s="11"/>
      <c r="S76" s="29">
        <f>S75+T75+U75+V75</f>
        <v>1633064</v>
      </c>
      <c r="T76" s="10"/>
      <c r="U76" s="10"/>
      <c r="V76" s="10"/>
      <c r="W76" s="47">
        <f>W75+X75</f>
        <v>1663064</v>
      </c>
      <c r="X76" s="10"/>
      <c r="Y76" s="10"/>
      <c r="Z76" s="495"/>
      <c r="AA76" s="33"/>
      <c r="AB76" s="11"/>
      <c r="AC76" s="216"/>
      <c r="AD76" s="216"/>
      <c r="AE76" s="9"/>
      <c r="AG76" s="5"/>
      <c r="AH76" s="11"/>
      <c r="AI76" s="29">
        <f>AI75+AJ75+AK75+AL75</f>
        <v>3730025</v>
      </c>
      <c r="AJ76" s="10"/>
      <c r="AK76" s="10"/>
      <c r="AL76" s="10"/>
      <c r="AM76" s="47">
        <f>AM75+AN75</f>
        <v>3914260</v>
      </c>
      <c r="AN76" s="10"/>
      <c r="AO76" s="10"/>
      <c r="AP76" s="33"/>
      <c r="AQ76" s="11"/>
      <c r="AR76" s="11"/>
      <c r="AS76" s="216"/>
      <c r="AT76" s="216"/>
      <c r="AU76" s="9"/>
      <c r="AW76" s="5"/>
      <c r="AX76" s="11"/>
      <c r="AY76" s="29">
        <f>AY75+AZ75+BA75+BB75</f>
        <v>112060</v>
      </c>
      <c r="AZ76" s="10"/>
      <c r="BA76" s="10"/>
      <c r="BB76" s="10"/>
      <c r="BC76" s="47">
        <f>BC75+BD75</f>
        <v>106060</v>
      </c>
      <c r="BD76" s="10"/>
      <c r="BE76" s="10"/>
      <c r="BF76" s="33"/>
      <c r="BG76" s="11"/>
      <c r="BH76" s="260"/>
      <c r="BI76" s="216"/>
      <c r="BJ76" s="216"/>
      <c r="BK76" s="9"/>
    </row>
    <row r="77" spans="1:66">
      <c r="A77" s="67"/>
      <c r="C77"/>
      <c r="D77"/>
      <c r="E77"/>
      <c r="F77"/>
      <c r="G77"/>
      <c r="H77"/>
      <c r="I77"/>
      <c r="J77"/>
      <c r="K77"/>
      <c r="M77"/>
      <c r="R77" s="356"/>
      <c r="Y77" s="4"/>
      <c r="Z77" s="41"/>
      <c r="AA77" s="35"/>
      <c r="AC77" s="4"/>
      <c r="AG77" s="4"/>
      <c r="AH77" s="356"/>
      <c r="AI77" s="4"/>
      <c r="AJ77" s="4"/>
      <c r="AK77" s="4"/>
      <c r="AL77" s="4"/>
      <c r="AM77" s="4"/>
      <c r="AN77" s="4"/>
      <c r="AO77" s="4"/>
      <c r="AP77" s="41"/>
      <c r="AQ77" s="4"/>
      <c r="AR77" s="4"/>
      <c r="AS77" s="4"/>
      <c r="AW77" s="4"/>
      <c r="AX77" s="356"/>
      <c r="AY77" s="4"/>
      <c r="AZ77" s="4"/>
      <c r="BA77" s="4"/>
      <c r="BB77" s="4"/>
      <c r="BC77" s="4"/>
      <c r="BD77" s="4"/>
      <c r="BE77" s="4"/>
      <c r="BF77" s="41"/>
      <c r="BG77" s="4"/>
      <c r="BH77" s="4"/>
      <c r="BI77" s="4"/>
    </row>
    <row r="78" spans="1:66">
      <c r="A78" s="403" t="s">
        <v>177</v>
      </c>
      <c r="B78" s="404"/>
      <c r="C78" s="405"/>
      <c r="D78" s="405"/>
      <c r="E78" s="405"/>
      <c r="F78" s="406"/>
      <c r="G78" s="406"/>
      <c r="H78" s="406"/>
      <c r="I78" s="406"/>
      <c r="J78" s="407"/>
      <c r="K78" s="408"/>
      <c r="M78"/>
      <c r="Q78" s="403" t="s">
        <v>177</v>
      </c>
      <c r="R78" s="404"/>
      <c r="S78" s="405"/>
      <c r="T78" s="405"/>
      <c r="U78" s="405"/>
      <c r="V78" s="406"/>
      <c r="W78" s="406"/>
      <c r="X78" s="406"/>
      <c r="Y78" s="406"/>
      <c r="Z78" s="407"/>
      <c r="AA78" s="415"/>
      <c r="AC78" s="4"/>
      <c r="AG78" s="403" t="s">
        <v>177</v>
      </c>
      <c r="AH78" s="404"/>
      <c r="AI78" s="405"/>
      <c r="AJ78" s="405"/>
      <c r="AK78" s="405"/>
      <c r="AL78" s="406"/>
      <c r="AM78" s="406"/>
      <c r="AN78" s="406"/>
      <c r="AO78" s="406"/>
      <c r="AP78" s="407"/>
      <c r="AQ78" s="408"/>
      <c r="AR78" s="4"/>
      <c r="AS78" s="4"/>
      <c r="AW78" s="403" t="s">
        <v>177</v>
      </c>
      <c r="AX78" s="404"/>
      <c r="AY78" s="405"/>
      <c r="AZ78" s="405"/>
      <c r="BA78" s="405"/>
      <c r="BB78" s="406"/>
      <c r="BC78" s="406"/>
      <c r="BD78" s="406"/>
      <c r="BE78" s="406"/>
      <c r="BF78" s="407"/>
      <c r="BG78" s="408"/>
      <c r="BH78" s="4"/>
      <c r="BI78" s="4"/>
    </row>
    <row r="79" spans="1:66">
      <c r="A79" s="409"/>
      <c r="B79" s="402"/>
      <c r="C79" s="402"/>
      <c r="D79" s="402"/>
      <c r="E79" s="402"/>
      <c r="F79" s="402"/>
      <c r="G79" s="396"/>
      <c r="H79" s="396"/>
      <c r="I79" s="396"/>
      <c r="J79" s="396"/>
      <c r="K79" s="410"/>
      <c r="M79"/>
      <c r="Q79" s="409"/>
      <c r="R79" s="402"/>
      <c r="S79" s="402"/>
      <c r="T79" s="402"/>
      <c r="U79" s="402"/>
      <c r="V79" s="402"/>
      <c r="W79" s="396"/>
      <c r="X79" s="396"/>
      <c r="Y79" s="396"/>
      <c r="Z79" s="396"/>
      <c r="AA79" s="416"/>
      <c r="AC79" s="4"/>
      <c r="AG79" s="409"/>
      <c r="AH79" s="402"/>
      <c r="AI79" s="402"/>
      <c r="AJ79" s="402"/>
      <c r="AK79" s="402"/>
      <c r="AL79" s="402"/>
      <c r="AM79" s="396"/>
      <c r="AN79" s="396"/>
      <c r="AO79" s="396"/>
      <c r="AP79" s="396"/>
      <c r="AQ79" s="410"/>
      <c r="AR79" s="4"/>
      <c r="AS79" s="4"/>
      <c r="AW79" s="409"/>
      <c r="AX79" s="402"/>
      <c r="AY79" s="402"/>
      <c r="AZ79" s="402"/>
      <c r="BA79" s="402"/>
      <c r="BB79" s="402"/>
      <c r="BC79" s="396"/>
      <c r="BD79" s="396"/>
      <c r="BE79" s="396"/>
      <c r="BF79" s="396"/>
      <c r="BG79" s="410"/>
      <c r="BH79" s="4"/>
      <c r="BI79" s="4"/>
    </row>
    <row r="80" spans="1:66">
      <c r="A80" s="628"/>
      <c r="B80" s="629"/>
      <c r="C80" s="629"/>
      <c r="D80" s="629"/>
      <c r="E80" s="629"/>
      <c r="F80" s="629"/>
      <c r="G80" s="411"/>
      <c r="H80" s="411"/>
      <c r="I80" s="411"/>
      <c r="J80" s="411"/>
      <c r="K80" s="412"/>
      <c r="M80"/>
      <c r="Q80" s="628"/>
      <c r="R80" s="629"/>
      <c r="S80" s="629"/>
      <c r="T80" s="629"/>
      <c r="U80" s="629"/>
      <c r="V80" s="629"/>
      <c r="W80" s="411"/>
      <c r="X80" s="411"/>
      <c r="Y80" s="411"/>
      <c r="Z80" s="411"/>
      <c r="AA80" s="527"/>
      <c r="AC80" s="4"/>
      <c r="AG80" s="628"/>
      <c r="AH80" s="629"/>
      <c r="AI80" s="629"/>
      <c r="AJ80" s="629"/>
      <c r="AK80" s="629"/>
      <c r="AL80" s="629"/>
      <c r="AM80" s="411"/>
      <c r="AN80" s="411"/>
      <c r="AO80" s="411"/>
      <c r="AP80" s="411"/>
      <c r="AQ80" s="412"/>
      <c r="AR80" s="4"/>
      <c r="AS80" s="4"/>
      <c r="AW80" s="628"/>
      <c r="AX80" s="629"/>
      <c r="AY80" s="629"/>
      <c r="AZ80" s="629"/>
      <c r="BA80" s="629"/>
      <c r="BB80" s="629"/>
      <c r="BC80" s="411"/>
      <c r="BD80" s="411"/>
      <c r="BE80" s="411"/>
      <c r="BF80" s="411"/>
      <c r="BG80" s="412"/>
      <c r="BH80" s="4"/>
      <c r="BI80" s="4"/>
    </row>
    <row r="81" spans="1:87">
      <c r="A81" s="67"/>
      <c r="C81"/>
      <c r="D81"/>
      <c r="E81"/>
      <c r="F81"/>
      <c r="G81"/>
      <c r="H81"/>
      <c r="I81"/>
      <c r="J81"/>
      <c r="K81"/>
      <c r="L81"/>
      <c r="M81"/>
      <c r="R81" s="356"/>
      <c r="Y81" s="4"/>
      <c r="Z81" s="41"/>
      <c r="AA81" s="35"/>
      <c r="AC81" s="4"/>
    </row>
    <row r="82" spans="1:87">
      <c r="A82" s="67"/>
      <c r="C82"/>
      <c r="D82"/>
      <c r="E82"/>
      <c r="F82"/>
      <c r="G82"/>
      <c r="H82"/>
      <c r="I82"/>
      <c r="J82"/>
      <c r="K82"/>
      <c r="L82"/>
      <c r="M82"/>
      <c r="R82" s="356"/>
      <c r="Y82" s="4"/>
      <c r="Z82" s="41"/>
      <c r="AA82" s="35"/>
      <c r="AC82" s="4"/>
    </row>
    <row r="83" spans="1:87" ht="15" customHeight="1">
      <c r="A83" s="67"/>
      <c r="C83"/>
      <c r="D83"/>
      <c r="E83"/>
      <c r="F83"/>
      <c r="G83"/>
      <c r="H83"/>
      <c r="I83"/>
      <c r="J83"/>
      <c r="K83"/>
      <c r="L83"/>
      <c r="M83"/>
      <c r="R83" s="356"/>
      <c r="Y83" s="4"/>
      <c r="Z83" s="41"/>
      <c r="AA83" s="35"/>
      <c r="AC83" s="4"/>
    </row>
    <row r="84" spans="1:87" ht="15" customHeight="1">
      <c r="A84" s="67"/>
      <c r="C84"/>
      <c r="D84"/>
      <c r="E84"/>
      <c r="F84"/>
      <c r="G84"/>
      <c r="H84"/>
      <c r="I84"/>
      <c r="J84"/>
      <c r="K84"/>
      <c r="L84"/>
      <c r="M84"/>
      <c r="R84" s="356"/>
      <c r="Y84" s="4"/>
      <c r="Z84" s="41"/>
      <c r="AA84" s="35"/>
      <c r="AC84" s="4"/>
    </row>
    <row r="85" spans="1:87" ht="15" customHeight="1">
      <c r="A85" s="66" t="s">
        <v>5</v>
      </c>
      <c r="B85" s="351"/>
      <c r="C85" s="26"/>
      <c r="D85" s="26"/>
      <c r="E85" s="26"/>
      <c r="F85" s="26"/>
      <c r="G85" s="26"/>
      <c r="H85" s="26"/>
      <c r="I85" s="26"/>
      <c r="J85" s="34"/>
      <c r="K85" s="349"/>
      <c r="L85" s="255"/>
      <c r="M85" s="157"/>
      <c r="N85" s="385"/>
      <c r="O85" s="384"/>
      <c r="P85" s="134"/>
      <c r="Q85" s="66" t="s">
        <v>5</v>
      </c>
      <c r="R85" s="351"/>
      <c r="S85" s="26"/>
      <c r="T85" s="26"/>
      <c r="U85" s="26"/>
      <c r="V85" s="26"/>
      <c r="W85" s="26"/>
      <c r="X85" s="26"/>
      <c r="Y85" s="26"/>
      <c r="Z85" s="34"/>
      <c r="AA85" s="34"/>
      <c r="AB85" s="255"/>
      <c r="AC85" s="157"/>
      <c r="AD85" s="157"/>
      <c r="AE85" s="383"/>
      <c r="AG85" s="66" t="s">
        <v>5</v>
      </c>
      <c r="AH85" s="351"/>
      <c r="AI85" s="26"/>
      <c r="AJ85" s="26"/>
      <c r="AK85" s="26"/>
      <c r="AL85" s="26"/>
      <c r="AM85" s="26"/>
      <c r="AN85" s="26"/>
      <c r="AO85" s="26"/>
      <c r="AP85" s="34"/>
      <c r="AQ85" s="349"/>
      <c r="AR85" s="255"/>
      <c r="AS85" s="157"/>
      <c r="AT85" s="157"/>
      <c r="AU85" s="383"/>
      <c r="AW85" s="66" t="s">
        <v>5</v>
      </c>
      <c r="AX85" s="351"/>
      <c r="AY85" s="26"/>
      <c r="AZ85" s="26"/>
      <c r="BA85" s="26"/>
      <c r="BB85" s="26"/>
      <c r="BC85" s="26"/>
      <c r="BD85" s="26"/>
      <c r="BE85" s="26"/>
      <c r="BF85" s="34"/>
      <c r="BG85" s="349"/>
      <c r="BH85" s="255"/>
      <c r="BI85" s="157"/>
      <c r="BJ85" s="157"/>
      <c r="BK85" s="383"/>
      <c r="BY85" s="8"/>
      <c r="CI85" s="386"/>
    </row>
    <row r="86" spans="1:87" ht="15" customHeight="1">
      <c r="A86" s="141">
        <v>46082</v>
      </c>
      <c r="B86" s="142">
        <v>507500</v>
      </c>
      <c r="C86" s="142">
        <v>7350</v>
      </c>
      <c r="D86" s="142">
        <v>16930</v>
      </c>
      <c r="E86" s="142">
        <v>5000</v>
      </c>
      <c r="F86" s="142">
        <v>478219</v>
      </c>
      <c r="G86" s="142">
        <v>227455</v>
      </c>
      <c r="H86" s="142">
        <v>280043</v>
      </c>
      <c r="I86" s="142">
        <v>280043</v>
      </c>
      <c r="J86" s="146">
        <v>8674</v>
      </c>
      <c r="K86" s="143" t="s">
        <v>105</v>
      </c>
      <c r="L86" s="146">
        <v>109942815</v>
      </c>
      <c r="M86" s="158"/>
      <c r="N86" s="381"/>
      <c r="O86" s="217"/>
      <c r="P86" s="134"/>
      <c r="Q86" s="141">
        <v>46082</v>
      </c>
      <c r="R86" s="142"/>
      <c r="S86" s="142"/>
      <c r="T86" s="142"/>
      <c r="U86" s="142"/>
      <c r="V86" s="142"/>
      <c r="W86" s="142"/>
      <c r="X86" s="142"/>
      <c r="Y86" s="142"/>
      <c r="Z86" s="146"/>
      <c r="AA86" s="143"/>
      <c r="AB86" s="146"/>
      <c r="AC86" s="158"/>
      <c r="AD86" s="381"/>
      <c r="AE86" s="217"/>
      <c r="AG86" s="141">
        <v>46082</v>
      </c>
      <c r="AH86" s="142"/>
      <c r="AI86" s="142"/>
      <c r="AJ86" s="142"/>
      <c r="AK86" s="142"/>
      <c r="AL86" s="142"/>
      <c r="AM86" s="142"/>
      <c r="AN86" s="142"/>
      <c r="AO86" s="142"/>
      <c r="AP86" s="143"/>
      <c r="AQ86" s="144"/>
      <c r="AR86" s="256"/>
      <c r="AS86" s="158"/>
      <c r="AT86" s="381"/>
      <c r="AU86" s="217"/>
      <c r="AW86" s="141">
        <v>46082</v>
      </c>
      <c r="AX86" s="142"/>
      <c r="AY86" s="142"/>
      <c r="AZ86" s="142"/>
      <c r="BA86" s="142"/>
      <c r="BB86" s="142"/>
      <c r="BC86" s="142"/>
      <c r="BD86" s="142"/>
      <c r="BE86" s="142"/>
      <c r="BF86" s="143"/>
      <c r="BG86" s="144"/>
      <c r="BH86" s="256"/>
      <c r="BI86" s="158"/>
      <c r="BJ86" s="381"/>
      <c r="BK86" s="217"/>
      <c r="BN86">
        <f>'[7]2026 Március'!B$2</f>
        <v>507500</v>
      </c>
      <c r="BY86" s="267"/>
      <c r="CI86" s="387"/>
    </row>
    <row r="87" spans="1:87" ht="15" customHeight="1">
      <c r="A87" s="141">
        <v>46083</v>
      </c>
      <c r="B87" s="11"/>
      <c r="C87" s="11"/>
      <c r="D87" s="11"/>
      <c r="E87" s="11"/>
      <c r="F87" s="11"/>
      <c r="G87" s="11"/>
      <c r="H87" s="11"/>
      <c r="I87" s="11"/>
      <c r="J87" s="72"/>
      <c r="K87" s="38"/>
      <c r="L87" s="72"/>
      <c r="M87" s="9"/>
      <c r="N87" s="216"/>
      <c r="O87" s="214"/>
      <c r="P87" s="134"/>
      <c r="Q87" s="141">
        <v>46083</v>
      </c>
      <c r="R87" s="11"/>
      <c r="S87" s="11"/>
      <c r="T87" s="11"/>
      <c r="U87" s="11"/>
      <c r="V87" s="11"/>
      <c r="W87" s="11"/>
      <c r="X87" s="11"/>
      <c r="Y87" s="11"/>
      <c r="Z87" s="72"/>
      <c r="AA87" s="38"/>
      <c r="AB87" s="72"/>
      <c r="AC87" s="9"/>
      <c r="AD87" s="216"/>
      <c r="AE87" s="214"/>
      <c r="AG87" s="141">
        <v>46083</v>
      </c>
      <c r="AH87" s="11"/>
      <c r="AI87" s="11"/>
      <c r="AJ87" s="11"/>
      <c r="AK87" s="11"/>
      <c r="AL87" s="11"/>
      <c r="AM87" s="11"/>
      <c r="AN87" s="11"/>
      <c r="AO87" s="11"/>
      <c r="AP87" s="38"/>
      <c r="AQ87" s="38"/>
      <c r="AR87" s="72"/>
      <c r="AS87" s="9"/>
      <c r="AT87" s="216"/>
      <c r="AU87" s="214"/>
      <c r="AW87" s="141">
        <v>46083</v>
      </c>
      <c r="AX87" s="11"/>
      <c r="AY87" s="11"/>
      <c r="AZ87" s="11"/>
      <c r="BA87" s="11"/>
      <c r="BB87" s="11"/>
      <c r="BC87" s="11"/>
      <c r="BD87" s="11"/>
      <c r="BE87" s="11"/>
      <c r="BF87" s="38"/>
      <c r="BG87" s="38"/>
      <c r="BH87" s="72"/>
      <c r="BI87" s="9"/>
      <c r="BJ87" s="216"/>
      <c r="BK87" s="214"/>
      <c r="BN87">
        <f>'[7]2026 Március'!B$3</f>
        <v>308253</v>
      </c>
      <c r="BY87" s="267"/>
      <c r="CI87" s="9"/>
    </row>
    <row r="88" spans="1:87" ht="15" customHeight="1">
      <c r="A88" s="141"/>
      <c r="B88" s="11"/>
      <c r="C88" s="11"/>
      <c r="D88" s="11"/>
      <c r="E88" s="11"/>
      <c r="F88" s="11"/>
      <c r="G88" s="11"/>
      <c r="H88" s="11"/>
      <c r="I88" s="11"/>
      <c r="J88" s="72"/>
      <c r="K88" s="38"/>
      <c r="L88" s="72"/>
      <c r="M88" s="9"/>
      <c r="N88" s="216"/>
      <c r="O88" s="214"/>
      <c r="P88" s="134"/>
      <c r="Q88" s="141">
        <v>46084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72">
        <v>0</v>
      </c>
      <c r="AA88" s="38" t="s">
        <v>107</v>
      </c>
      <c r="AB88" s="72">
        <v>45915676</v>
      </c>
      <c r="AC88" s="9"/>
      <c r="AD88" s="216"/>
      <c r="AE88" s="214"/>
      <c r="AG88" s="141">
        <v>46084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38" t="s">
        <v>312</v>
      </c>
      <c r="AQ88" s="38" t="s">
        <v>109</v>
      </c>
      <c r="AR88" s="72">
        <v>277375359</v>
      </c>
      <c r="AS88" s="9"/>
      <c r="AT88" s="216"/>
      <c r="AU88" s="214"/>
      <c r="AW88" s="141">
        <v>46084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38" t="s">
        <v>312</v>
      </c>
      <c r="BG88" s="38" t="s">
        <v>111</v>
      </c>
      <c r="BH88" s="72">
        <v>220349012</v>
      </c>
      <c r="BI88" s="9"/>
      <c r="BJ88" s="216"/>
      <c r="BK88" s="214"/>
      <c r="BY88" s="267"/>
      <c r="CI88" s="9"/>
    </row>
    <row r="89" spans="1:87" ht="15" customHeight="1">
      <c r="A89" s="141">
        <v>46084</v>
      </c>
      <c r="B89" s="11">
        <v>11630</v>
      </c>
      <c r="C89" s="11">
        <v>0</v>
      </c>
      <c r="D89" s="11">
        <v>11630</v>
      </c>
      <c r="E89" s="11">
        <v>0</v>
      </c>
      <c r="F89" s="11">
        <v>0</v>
      </c>
      <c r="G89" s="11">
        <v>3050</v>
      </c>
      <c r="H89" s="11">
        <v>8580</v>
      </c>
      <c r="I89" s="11">
        <v>8580</v>
      </c>
      <c r="J89" s="72">
        <v>504</v>
      </c>
      <c r="K89" s="38" t="s">
        <v>790</v>
      </c>
      <c r="L89" s="72">
        <v>109954445</v>
      </c>
      <c r="M89" s="9"/>
      <c r="N89" s="216"/>
      <c r="O89" s="214"/>
      <c r="P89" s="134"/>
      <c r="Q89" s="141">
        <v>46084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72" t="s">
        <v>312</v>
      </c>
      <c r="AA89" s="38" t="s">
        <v>791</v>
      </c>
      <c r="AB89" s="72">
        <v>45915676</v>
      </c>
      <c r="AC89" s="9"/>
      <c r="AD89" s="216"/>
      <c r="AE89" s="214"/>
      <c r="AG89" s="141">
        <v>46084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38" t="s">
        <v>312</v>
      </c>
      <c r="AQ89" s="38" t="s">
        <v>181</v>
      </c>
      <c r="AR89" s="72">
        <v>277375359</v>
      </c>
      <c r="AS89" s="9"/>
      <c r="AT89" s="216"/>
      <c r="AU89" s="214"/>
      <c r="AW89" s="141">
        <v>46084</v>
      </c>
      <c r="AX89" s="11">
        <v>0</v>
      </c>
      <c r="AY89" s="11">
        <v>0</v>
      </c>
      <c r="AZ89" s="11">
        <v>0</v>
      </c>
      <c r="BA89" s="11">
        <v>0</v>
      </c>
      <c r="BB89" s="11">
        <v>0</v>
      </c>
      <c r="BC89" s="11">
        <v>0</v>
      </c>
      <c r="BD89" s="11">
        <v>0</v>
      </c>
      <c r="BE89" s="11">
        <v>0</v>
      </c>
      <c r="BF89" s="38" t="s">
        <v>312</v>
      </c>
      <c r="BG89" s="38" t="s">
        <v>792</v>
      </c>
      <c r="BH89" s="72">
        <v>220349012</v>
      </c>
      <c r="BI89" s="9"/>
      <c r="BJ89" s="216"/>
      <c r="BK89" s="214"/>
      <c r="BN89">
        <f>'[7]2026 Március'!B$4</f>
        <v>0</v>
      </c>
      <c r="BY89" s="267"/>
      <c r="CI89" s="9"/>
    </row>
    <row r="90" spans="1:87" ht="15" customHeight="1">
      <c r="A90" s="141"/>
      <c r="B90" s="11"/>
      <c r="C90" s="11"/>
      <c r="D90" s="11"/>
      <c r="E90" s="11"/>
      <c r="F90" s="11"/>
      <c r="G90" s="11"/>
      <c r="H90" s="11"/>
      <c r="I90" s="11"/>
      <c r="J90" s="72"/>
      <c r="K90" s="38"/>
      <c r="L90" s="72"/>
      <c r="M90" s="9"/>
      <c r="N90" s="216"/>
      <c r="O90" s="214"/>
      <c r="P90" s="134"/>
      <c r="Q90" s="141"/>
      <c r="R90" s="11"/>
      <c r="S90" s="11"/>
      <c r="T90" s="11"/>
      <c r="U90" s="11"/>
      <c r="V90" s="11"/>
      <c r="W90" s="11"/>
      <c r="X90" s="11"/>
      <c r="Y90" s="11"/>
      <c r="Z90" s="72"/>
      <c r="AA90" s="38"/>
      <c r="AB90" s="72"/>
      <c r="AC90" s="9"/>
      <c r="AD90" s="216"/>
      <c r="AE90" s="214"/>
      <c r="AG90" s="141"/>
      <c r="AH90" s="11"/>
      <c r="AI90" s="11"/>
      <c r="AJ90" s="11"/>
      <c r="AK90" s="11"/>
      <c r="AL90" s="11"/>
      <c r="AM90" s="11"/>
      <c r="AN90" s="11"/>
      <c r="AO90" s="11"/>
      <c r="AP90" s="38"/>
      <c r="AQ90" s="38"/>
      <c r="AR90" s="72"/>
      <c r="AS90" s="9"/>
      <c r="AT90" s="216"/>
      <c r="AU90" s="214"/>
      <c r="AW90" s="141">
        <v>46084</v>
      </c>
      <c r="AX90" s="11">
        <v>0</v>
      </c>
      <c r="AY90" s="11">
        <v>0</v>
      </c>
      <c r="AZ90" s="11">
        <v>0</v>
      </c>
      <c r="BA90" s="11">
        <v>0</v>
      </c>
      <c r="BB90" s="11">
        <v>0</v>
      </c>
      <c r="BC90" s="11">
        <v>0</v>
      </c>
      <c r="BD90" s="11">
        <v>0</v>
      </c>
      <c r="BE90" s="11">
        <v>0</v>
      </c>
      <c r="BF90" s="38" t="s">
        <v>312</v>
      </c>
      <c r="BG90" s="38" t="s">
        <v>793</v>
      </c>
      <c r="BH90" s="72">
        <v>220349012</v>
      </c>
      <c r="BI90" s="9"/>
      <c r="BJ90" s="216"/>
      <c r="BK90" s="214"/>
      <c r="BY90" s="267"/>
      <c r="CI90" s="9"/>
    </row>
    <row r="91" spans="1:87" ht="15" customHeight="1">
      <c r="A91" s="141">
        <v>46085</v>
      </c>
      <c r="B91" s="11">
        <v>10710</v>
      </c>
      <c r="C91" s="11">
        <v>0</v>
      </c>
      <c r="D91" s="11">
        <v>9380</v>
      </c>
      <c r="E91" s="11">
        <v>0</v>
      </c>
      <c r="F91" s="11">
        <v>1330</v>
      </c>
      <c r="G91" s="11">
        <v>620</v>
      </c>
      <c r="H91" s="11">
        <v>10090</v>
      </c>
      <c r="I91" s="11">
        <v>10090</v>
      </c>
      <c r="J91" s="72">
        <v>359</v>
      </c>
      <c r="K91" s="38" t="s">
        <v>794</v>
      </c>
      <c r="L91" s="72">
        <v>109965155</v>
      </c>
      <c r="M91" s="9"/>
      <c r="N91" s="216"/>
      <c r="O91" s="214"/>
      <c r="P91" s="134"/>
      <c r="Q91" s="141">
        <v>46085</v>
      </c>
      <c r="R91" s="11"/>
      <c r="S91" s="11"/>
      <c r="T91" s="11"/>
      <c r="U91" s="11"/>
      <c r="V91" s="11"/>
      <c r="W91" s="11"/>
      <c r="X91" s="11"/>
      <c r="Y91" s="11"/>
      <c r="Z91" s="72"/>
      <c r="AA91" s="38"/>
      <c r="AB91" s="72"/>
      <c r="AC91" s="9"/>
      <c r="AD91" s="216"/>
      <c r="AE91" s="214"/>
      <c r="AG91" s="141">
        <v>46085</v>
      </c>
      <c r="AH91" s="11"/>
      <c r="AI91" s="11"/>
      <c r="AJ91" s="11"/>
      <c r="AK91" s="11"/>
      <c r="AL91" s="11"/>
      <c r="AM91" s="11"/>
      <c r="AN91" s="11"/>
      <c r="AO91" s="11"/>
      <c r="AP91" s="38"/>
      <c r="AQ91" s="38"/>
      <c r="AR91" s="72"/>
      <c r="AS91" s="9"/>
      <c r="AT91" s="216"/>
      <c r="AU91" s="214"/>
      <c r="AW91" s="141">
        <v>46085</v>
      </c>
      <c r="AX91" s="11"/>
      <c r="AY91" s="11"/>
      <c r="AZ91" s="11"/>
      <c r="BA91" s="11"/>
      <c r="BB91" s="11"/>
      <c r="BC91" s="11"/>
      <c r="BD91" s="11"/>
      <c r="BE91" s="11"/>
      <c r="BF91" s="38"/>
      <c r="BG91" s="38"/>
      <c r="BH91" s="72"/>
      <c r="BI91" s="9"/>
      <c r="BJ91" s="216"/>
      <c r="BK91" s="214"/>
      <c r="BN91">
        <f>'[7]2026 Március'!B$5</f>
        <v>11630</v>
      </c>
      <c r="BY91" s="267"/>
      <c r="CI91" s="9"/>
    </row>
    <row r="92" spans="1:87" ht="15" customHeight="1">
      <c r="A92" s="141">
        <v>46086</v>
      </c>
      <c r="B92" s="11">
        <v>31050</v>
      </c>
      <c r="C92" s="11">
        <v>0</v>
      </c>
      <c r="D92" s="11">
        <v>29570</v>
      </c>
      <c r="E92" s="11">
        <v>0</v>
      </c>
      <c r="F92" s="11">
        <v>1480</v>
      </c>
      <c r="G92" s="11">
        <v>7730</v>
      </c>
      <c r="H92" s="11">
        <v>23320</v>
      </c>
      <c r="I92" s="11">
        <v>23320</v>
      </c>
      <c r="J92" s="72">
        <v>527</v>
      </c>
      <c r="K92" s="38" t="s">
        <v>795</v>
      </c>
      <c r="L92" s="72">
        <v>109996205</v>
      </c>
      <c r="M92" s="9"/>
      <c r="N92" s="216"/>
      <c r="O92" s="214"/>
      <c r="P92" s="134"/>
      <c r="Q92" s="141">
        <v>46086</v>
      </c>
      <c r="R92" s="11"/>
      <c r="S92" s="11"/>
      <c r="T92" s="11"/>
      <c r="U92" s="11"/>
      <c r="V92" s="11"/>
      <c r="W92" s="11"/>
      <c r="X92" s="11"/>
      <c r="Y92" s="11"/>
      <c r="Z92" s="72"/>
      <c r="AA92" s="38"/>
      <c r="AB92" s="72"/>
      <c r="AC92" s="9"/>
      <c r="AD92" s="216"/>
      <c r="AE92" s="214"/>
      <c r="AG92" s="141">
        <v>46086</v>
      </c>
      <c r="AH92" s="11"/>
      <c r="AI92" s="11"/>
      <c r="AJ92" s="11"/>
      <c r="AK92" s="11"/>
      <c r="AL92" s="11"/>
      <c r="AM92" s="11"/>
      <c r="AN92" s="11"/>
      <c r="AO92" s="11"/>
      <c r="AP92" s="38"/>
      <c r="AQ92" s="38"/>
      <c r="AR92" s="72"/>
      <c r="AS92" s="9"/>
      <c r="AT92" s="216"/>
      <c r="AU92" s="214"/>
      <c r="AW92" s="141">
        <v>46086</v>
      </c>
      <c r="AX92" s="11"/>
      <c r="AY92" s="11"/>
      <c r="AZ92" s="11"/>
      <c r="BA92" s="11"/>
      <c r="BB92" s="11"/>
      <c r="BC92" s="11"/>
      <c r="BD92" s="11"/>
      <c r="BE92" s="11"/>
      <c r="BF92" s="38"/>
      <c r="BG92" s="38"/>
      <c r="BH92" s="72"/>
      <c r="BI92" s="9"/>
      <c r="BJ92" s="216"/>
      <c r="BK92" s="214"/>
      <c r="BN92">
        <f>'[7]2026 Március'!B$6</f>
        <v>10710</v>
      </c>
      <c r="BY92" s="267"/>
      <c r="CI92" s="9"/>
    </row>
    <row r="93" spans="1:87" ht="15" customHeight="1">
      <c r="A93" s="141">
        <v>46087</v>
      </c>
      <c r="B93" s="11">
        <v>15930</v>
      </c>
      <c r="C93" s="11">
        <v>0</v>
      </c>
      <c r="D93" s="11">
        <v>14040</v>
      </c>
      <c r="E93" s="11">
        <v>50</v>
      </c>
      <c r="F93" s="11">
        <v>1840</v>
      </c>
      <c r="G93" s="11">
        <v>12110</v>
      </c>
      <c r="H93" s="11">
        <v>3820</v>
      </c>
      <c r="I93" s="11">
        <v>3820</v>
      </c>
      <c r="J93" s="72">
        <v>178</v>
      </c>
      <c r="K93" s="38" t="s">
        <v>796</v>
      </c>
      <c r="L93" s="72">
        <v>110012135</v>
      </c>
      <c r="M93" s="9"/>
      <c r="N93" s="216"/>
      <c r="O93" s="214"/>
      <c r="P93" s="134"/>
      <c r="Q93" s="141">
        <v>46087</v>
      </c>
      <c r="R93" s="11"/>
      <c r="S93" s="11"/>
      <c r="T93" s="11"/>
      <c r="U93" s="11"/>
      <c r="V93" s="11"/>
      <c r="W93" s="11"/>
      <c r="X93" s="11"/>
      <c r="Y93" s="11"/>
      <c r="Z93" s="72"/>
      <c r="AA93" s="38"/>
      <c r="AB93" s="72"/>
      <c r="AC93" s="9"/>
      <c r="AD93" s="216"/>
      <c r="AE93" s="214"/>
      <c r="AG93" s="141">
        <v>46087</v>
      </c>
      <c r="AH93" s="11"/>
      <c r="AI93" s="11"/>
      <c r="AJ93" s="11"/>
      <c r="AK93" s="11"/>
      <c r="AL93" s="11"/>
      <c r="AM93" s="11"/>
      <c r="AN93" s="11"/>
      <c r="AO93" s="11"/>
      <c r="AP93" s="38"/>
      <c r="AQ93" s="38"/>
      <c r="AR93" s="72"/>
      <c r="AS93" s="9"/>
      <c r="AT93" s="216"/>
      <c r="AU93" s="214"/>
      <c r="AW93" s="141">
        <v>46087</v>
      </c>
      <c r="AX93" s="11"/>
      <c r="AY93" s="11"/>
      <c r="AZ93" s="11"/>
      <c r="BA93" s="11"/>
      <c r="BB93" s="11"/>
      <c r="BC93" s="11"/>
      <c r="BD93" s="11"/>
      <c r="BE93" s="11"/>
      <c r="BF93" s="38"/>
      <c r="BG93" s="38"/>
      <c r="BH93" s="72"/>
      <c r="BI93" s="9"/>
      <c r="BJ93" s="216"/>
      <c r="BK93" s="214"/>
      <c r="BN93">
        <f>'[7]2026 Március'!B$7</f>
        <v>31050</v>
      </c>
      <c r="BY93" s="267"/>
      <c r="CI93" s="9"/>
    </row>
    <row r="94" spans="1:87" ht="15" customHeight="1">
      <c r="A94" s="141">
        <v>46088</v>
      </c>
      <c r="B94" s="142">
        <v>222575</v>
      </c>
      <c r="C94" s="142">
        <v>0</v>
      </c>
      <c r="D94" s="142">
        <v>219896</v>
      </c>
      <c r="E94" s="142">
        <v>0</v>
      </c>
      <c r="F94" s="142">
        <v>2680</v>
      </c>
      <c r="G94" s="142">
        <v>15190</v>
      </c>
      <c r="H94" s="142">
        <v>207384</v>
      </c>
      <c r="I94" s="142">
        <v>770440</v>
      </c>
      <c r="J94" s="146">
        <v>10632</v>
      </c>
      <c r="K94" s="143" t="s">
        <v>797</v>
      </c>
      <c r="L94" s="146">
        <v>110234711</v>
      </c>
      <c r="M94" s="158"/>
      <c r="N94" s="381"/>
      <c r="O94" s="217" t="s">
        <v>798</v>
      </c>
      <c r="P94" s="134"/>
      <c r="Q94" s="141">
        <v>46088</v>
      </c>
      <c r="R94" s="142"/>
      <c r="S94" s="142"/>
      <c r="T94" s="142"/>
      <c r="U94" s="142"/>
      <c r="V94" s="142"/>
      <c r="W94" s="142"/>
      <c r="X94" s="142"/>
      <c r="Y94" s="142"/>
      <c r="Z94" s="146"/>
      <c r="AA94" s="143"/>
      <c r="AB94" s="146"/>
      <c r="AC94" s="158"/>
      <c r="AD94" s="381"/>
      <c r="AE94" s="217"/>
      <c r="AG94" s="141">
        <v>46088</v>
      </c>
      <c r="AH94" s="142"/>
      <c r="AI94" s="142"/>
      <c r="AJ94" s="142"/>
      <c r="AK94" s="142"/>
      <c r="AL94" s="142"/>
      <c r="AM94" s="142"/>
      <c r="AN94" s="142"/>
      <c r="AO94" s="142"/>
      <c r="AP94" s="143"/>
      <c r="AQ94" s="143"/>
      <c r="AR94" s="249"/>
      <c r="AS94" s="158"/>
      <c r="AT94" s="381"/>
      <c r="AU94" s="217"/>
      <c r="AW94" s="141">
        <v>46088</v>
      </c>
      <c r="AX94" s="142"/>
      <c r="AY94" s="142"/>
      <c r="AZ94" s="142"/>
      <c r="BA94" s="142"/>
      <c r="BB94" s="142"/>
      <c r="BC94" s="142"/>
      <c r="BD94" s="142"/>
      <c r="BE94" s="142"/>
      <c r="BF94" s="143"/>
      <c r="BG94" s="143"/>
      <c r="BH94" s="249"/>
      <c r="BI94" s="158"/>
      <c r="BJ94" s="381"/>
      <c r="BK94" s="217"/>
      <c r="BN94">
        <f>'[7]2026 Március'!B$8</f>
        <v>15930</v>
      </c>
      <c r="BY94" s="267"/>
      <c r="CI94" s="158"/>
    </row>
    <row r="95" spans="1:87" ht="15" customHeight="1">
      <c r="A95" s="141">
        <v>46089</v>
      </c>
      <c r="B95" s="142">
        <v>563275</v>
      </c>
      <c r="C95" s="142">
        <v>0</v>
      </c>
      <c r="D95" s="142">
        <v>542705</v>
      </c>
      <c r="E95" s="142">
        <v>0</v>
      </c>
      <c r="F95" s="142">
        <v>20570</v>
      </c>
      <c r="G95" s="142">
        <v>123490</v>
      </c>
      <c r="H95" s="142">
        <v>439785</v>
      </c>
      <c r="I95" s="142">
        <v>439785</v>
      </c>
      <c r="J95" s="146">
        <v>13771</v>
      </c>
      <c r="K95" s="143" t="s">
        <v>799</v>
      </c>
      <c r="L95" s="146">
        <v>110797986</v>
      </c>
      <c r="M95" s="158"/>
      <c r="N95" s="381"/>
      <c r="O95" s="217"/>
      <c r="P95" s="134"/>
      <c r="Q95" s="141">
        <v>46089</v>
      </c>
      <c r="R95" s="142">
        <v>460125</v>
      </c>
      <c r="S95" s="142">
        <v>12500</v>
      </c>
      <c r="T95" s="142">
        <v>16010</v>
      </c>
      <c r="U95" s="142">
        <v>28550</v>
      </c>
      <c r="V95" s="142">
        <v>403061</v>
      </c>
      <c r="W95" s="142">
        <v>136215</v>
      </c>
      <c r="X95" s="488">
        <v>323912</v>
      </c>
      <c r="Y95" s="599">
        <v>335180</v>
      </c>
      <c r="Z95" s="146">
        <v>11268</v>
      </c>
      <c r="AA95" s="143" t="s">
        <v>800</v>
      </c>
      <c r="AB95" s="146">
        <v>46375797</v>
      </c>
      <c r="AC95" s="158"/>
      <c r="AD95" s="381"/>
      <c r="AE95" s="598" t="s">
        <v>210</v>
      </c>
      <c r="AG95" s="141">
        <v>46089</v>
      </c>
      <c r="AH95" s="142"/>
      <c r="AI95" s="142"/>
      <c r="AJ95" s="142"/>
      <c r="AK95" s="142"/>
      <c r="AL95" s="142"/>
      <c r="AM95" s="142"/>
      <c r="AN95" s="142"/>
      <c r="AO95" s="142"/>
      <c r="AP95" s="143"/>
      <c r="AQ95" s="143"/>
      <c r="AR95" s="249"/>
      <c r="AS95" s="158"/>
      <c r="AT95" s="381"/>
      <c r="AU95" s="217"/>
      <c r="AW95" s="141">
        <v>46089</v>
      </c>
      <c r="AX95" s="142"/>
      <c r="AY95" s="142"/>
      <c r="AZ95" s="142"/>
      <c r="BA95" s="142"/>
      <c r="BB95" s="142"/>
      <c r="BC95" s="142"/>
      <c r="BD95" s="142"/>
      <c r="BE95" s="142"/>
      <c r="BF95" s="143"/>
      <c r="BG95" s="143"/>
      <c r="BH95" s="249"/>
      <c r="BI95" s="158"/>
      <c r="BJ95" s="381"/>
      <c r="BK95" s="217"/>
      <c r="BN95">
        <f>'[7]2026 Március'!B$9</f>
        <v>222575</v>
      </c>
      <c r="BY95" s="267"/>
      <c r="CI95" s="158"/>
    </row>
    <row r="96" spans="1:87" ht="15" customHeight="1">
      <c r="A96" s="141">
        <v>46090</v>
      </c>
      <c r="B96" s="11"/>
      <c r="C96" s="11"/>
      <c r="D96" s="11"/>
      <c r="E96" s="11"/>
      <c r="F96" s="11"/>
      <c r="G96" s="11"/>
      <c r="H96" s="11"/>
      <c r="I96" s="11"/>
      <c r="J96" s="72"/>
      <c r="K96" s="38"/>
      <c r="L96" s="72"/>
      <c r="M96" s="9"/>
      <c r="N96" s="216"/>
      <c r="O96" s="214"/>
      <c r="P96" s="134"/>
      <c r="Q96" s="141">
        <v>46090</v>
      </c>
      <c r="R96" s="11"/>
      <c r="S96" s="11"/>
      <c r="T96" s="11"/>
      <c r="U96" s="11"/>
      <c r="V96" s="11"/>
      <c r="W96" s="11"/>
      <c r="X96" s="11"/>
      <c r="Y96" s="11"/>
      <c r="Z96" s="72"/>
      <c r="AA96" s="38"/>
      <c r="AB96" s="72"/>
      <c r="AC96" s="9"/>
      <c r="AD96" s="216"/>
      <c r="AE96" s="214"/>
      <c r="AG96" s="141">
        <v>46090</v>
      </c>
      <c r="AH96" s="11"/>
      <c r="AI96" s="11"/>
      <c r="AJ96" s="11"/>
      <c r="AK96" s="11"/>
      <c r="AL96" s="11"/>
      <c r="AM96" s="11"/>
      <c r="AN96" s="11"/>
      <c r="AO96" s="11"/>
      <c r="AP96" s="38"/>
      <c r="AQ96" s="38"/>
      <c r="AR96" s="72"/>
      <c r="AS96" s="9"/>
      <c r="AT96" s="216"/>
      <c r="AU96" s="214"/>
      <c r="AW96" s="141">
        <v>46090</v>
      </c>
      <c r="AX96" s="11"/>
      <c r="AY96" s="11"/>
      <c r="AZ96" s="11"/>
      <c r="BA96" s="11"/>
      <c r="BB96" s="11"/>
      <c r="BC96" s="11"/>
      <c r="BD96" s="11"/>
      <c r="BE96" s="11"/>
      <c r="BF96" s="38"/>
      <c r="BG96" s="38"/>
      <c r="BH96" s="72"/>
      <c r="BI96" s="9"/>
      <c r="BJ96" s="216"/>
      <c r="BK96" s="214"/>
      <c r="BN96" s="220">
        <f>IF('[6]2026 március'!B$10=0,
    "",
    '[6]2026 március'!B$10
)</f>
        <v>283205</v>
      </c>
      <c r="BY96" s="267"/>
      <c r="CI96" s="9"/>
    </row>
    <row r="97" spans="1:96" ht="15" customHeight="1">
      <c r="A97" s="141">
        <v>46091</v>
      </c>
      <c r="B97" s="11">
        <v>17830</v>
      </c>
      <c r="C97" s="11">
        <v>0</v>
      </c>
      <c r="D97" s="11">
        <v>17830</v>
      </c>
      <c r="E97" s="11">
        <v>0</v>
      </c>
      <c r="F97" s="11">
        <v>0</v>
      </c>
      <c r="G97" s="11">
        <v>6100</v>
      </c>
      <c r="H97" s="11">
        <v>11730</v>
      </c>
      <c r="I97" s="11">
        <v>11730</v>
      </c>
      <c r="J97" s="72">
        <v>555</v>
      </c>
      <c r="K97" s="38" t="s">
        <v>801</v>
      </c>
      <c r="L97" s="72">
        <v>110815816</v>
      </c>
      <c r="M97" s="9"/>
      <c r="N97" s="216"/>
      <c r="O97" s="214"/>
      <c r="P97" s="134"/>
      <c r="Q97" s="141">
        <v>46091</v>
      </c>
      <c r="R97" s="11">
        <v>50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72" t="s">
        <v>312</v>
      </c>
      <c r="AA97" s="38" t="s">
        <v>802</v>
      </c>
      <c r="AB97" s="72">
        <v>46375797</v>
      </c>
      <c r="AC97" s="9"/>
      <c r="AD97" s="216"/>
      <c r="AE97" s="214"/>
      <c r="AG97" s="141">
        <v>46091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38" t="s">
        <v>312</v>
      </c>
      <c r="AQ97" s="38" t="s">
        <v>182</v>
      </c>
      <c r="AR97" s="72">
        <v>277375359</v>
      </c>
      <c r="AS97" s="9"/>
      <c r="AT97" s="216"/>
      <c r="AU97" s="214"/>
      <c r="AW97" s="141">
        <v>46091</v>
      </c>
      <c r="AX97" s="11">
        <v>0</v>
      </c>
      <c r="AY97" s="11">
        <v>0</v>
      </c>
      <c r="AZ97" s="11">
        <v>0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38" t="s">
        <v>312</v>
      </c>
      <c r="BG97" s="38" t="s">
        <v>803</v>
      </c>
      <c r="BH97" s="72">
        <v>220349012</v>
      </c>
      <c r="BI97" s="9"/>
      <c r="BJ97" s="216"/>
      <c r="BK97" s="214"/>
      <c r="BN97">
        <f>'[7]2026 Március'!B$11</f>
        <v>0</v>
      </c>
      <c r="BY97" s="267"/>
      <c r="CI97" s="9"/>
    </row>
    <row r="98" spans="1:96" ht="15" customHeight="1">
      <c r="A98" s="141">
        <v>46092</v>
      </c>
      <c r="B98" s="11"/>
      <c r="C98" s="11"/>
      <c r="D98" s="11"/>
      <c r="E98" s="11"/>
      <c r="F98" s="11"/>
      <c r="G98" s="11"/>
      <c r="H98" s="11"/>
      <c r="I98" s="11"/>
      <c r="J98" s="72"/>
      <c r="K98" s="38"/>
      <c r="L98" s="72"/>
      <c r="M98" s="9"/>
      <c r="N98" s="216"/>
      <c r="O98" s="214"/>
      <c r="P98" s="134"/>
      <c r="Q98" s="141">
        <v>46092</v>
      </c>
      <c r="R98" s="11"/>
      <c r="S98" s="11"/>
      <c r="T98" s="11"/>
      <c r="U98" s="11"/>
      <c r="V98" s="11"/>
      <c r="W98" s="11"/>
      <c r="X98" s="11"/>
      <c r="Y98" s="11"/>
      <c r="Z98" s="72"/>
      <c r="AA98" s="38"/>
      <c r="AB98" s="72"/>
      <c r="AC98" s="9"/>
      <c r="AD98" s="216"/>
      <c r="AE98" s="214"/>
      <c r="AG98" s="141">
        <v>46092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38" t="s">
        <v>312</v>
      </c>
      <c r="AQ98" s="38" t="s">
        <v>183</v>
      </c>
      <c r="AR98" s="72">
        <v>277375359</v>
      </c>
      <c r="AS98" s="9"/>
      <c r="AT98" s="216"/>
      <c r="AU98" s="214"/>
      <c r="AW98" s="141">
        <v>46092</v>
      </c>
      <c r="AX98" s="11">
        <v>9030</v>
      </c>
      <c r="AY98" s="11">
        <v>50</v>
      </c>
      <c r="AZ98" s="11">
        <v>3020</v>
      </c>
      <c r="BA98" s="11">
        <v>0</v>
      </c>
      <c r="BB98" s="11">
        <v>5960</v>
      </c>
      <c r="BC98" s="11">
        <v>1830</v>
      </c>
      <c r="BD98" s="11">
        <v>7200</v>
      </c>
      <c r="BE98" s="11">
        <v>7200</v>
      </c>
      <c r="BF98" s="38" t="s">
        <v>804</v>
      </c>
      <c r="BG98" s="38" t="s">
        <v>805</v>
      </c>
      <c r="BH98" s="72">
        <v>220358042</v>
      </c>
      <c r="BI98" s="9"/>
      <c r="BJ98" s="216"/>
      <c r="BK98" s="214"/>
      <c r="BN98">
        <f>'[7]2026 Március'!B$12</f>
        <v>17830</v>
      </c>
      <c r="BY98" s="267"/>
      <c r="CI98" s="9"/>
    </row>
    <row r="99" spans="1:96" ht="15" customHeight="1">
      <c r="A99" s="141">
        <v>46093</v>
      </c>
      <c r="B99" s="11"/>
      <c r="C99" s="11"/>
      <c r="D99" s="11"/>
      <c r="E99" s="11"/>
      <c r="F99" s="11"/>
      <c r="G99" s="11"/>
      <c r="H99" s="11"/>
      <c r="I99" s="11"/>
      <c r="J99" s="72"/>
      <c r="K99" s="38"/>
      <c r="L99" s="72"/>
      <c r="M99" s="378"/>
      <c r="N99" s="216"/>
      <c r="O99" s="214"/>
      <c r="P99" s="134"/>
      <c r="Q99" s="141">
        <v>46093</v>
      </c>
      <c r="R99" s="11"/>
      <c r="S99" s="11"/>
      <c r="T99" s="11"/>
      <c r="U99" s="11"/>
      <c r="V99" s="11"/>
      <c r="W99" s="11"/>
      <c r="X99" s="11"/>
      <c r="Y99" s="11"/>
      <c r="Z99" s="72"/>
      <c r="AA99" s="38"/>
      <c r="AB99" s="72"/>
      <c r="AC99" s="378"/>
      <c r="AD99" s="216"/>
      <c r="AE99" s="214"/>
      <c r="AG99" s="141">
        <v>46093</v>
      </c>
      <c r="AH99" s="11"/>
      <c r="AI99" s="11"/>
      <c r="AJ99" s="11"/>
      <c r="AK99" s="11"/>
      <c r="AL99" s="11"/>
      <c r="AM99" s="11"/>
      <c r="AN99" s="11"/>
      <c r="AO99" s="11"/>
      <c r="AP99" s="38"/>
      <c r="AQ99" s="38"/>
      <c r="AR99" s="72"/>
      <c r="AS99" s="378"/>
      <c r="AT99" s="216"/>
      <c r="AU99" s="214"/>
      <c r="AW99" s="141">
        <v>46093</v>
      </c>
      <c r="AX99" s="11">
        <v>13890</v>
      </c>
      <c r="AZ99" s="11">
        <v>13890</v>
      </c>
      <c r="BA99" s="11">
        <v>0</v>
      </c>
      <c r="BB99" s="11"/>
      <c r="BC99" s="11">
        <v>5650</v>
      </c>
      <c r="BD99" s="11">
        <v>8240</v>
      </c>
      <c r="BE99" s="11">
        <v>8240</v>
      </c>
      <c r="BF99" s="38" t="s">
        <v>395</v>
      </c>
      <c r="BG99" s="38" t="s">
        <v>806</v>
      </c>
      <c r="BH99" s="72">
        <v>220371932</v>
      </c>
      <c r="BI99" s="378"/>
      <c r="BJ99" s="216"/>
      <c r="BK99" s="214"/>
      <c r="BN99">
        <f>'[7]2026 Március'!B$13</f>
        <v>9030</v>
      </c>
      <c r="BY99" s="267"/>
      <c r="CI99" s="9"/>
    </row>
    <row r="100" spans="1:96" ht="15" customHeight="1">
      <c r="A100" s="141">
        <v>46094</v>
      </c>
      <c r="B100" s="11"/>
      <c r="C100" s="11"/>
      <c r="D100" s="11"/>
      <c r="E100" s="11"/>
      <c r="F100" s="11"/>
      <c r="G100" s="11"/>
      <c r="H100" s="11"/>
      <c r="I100" s="11"/>
      <c r="J100" s="72"/>
      <c r="K100" s="38"/>
      <c r="L100" s="72"/>
      <c r="M100" s="9"/>
      <c r="N100" s="216"/>
      <c r="O100" s="214"/>
      <c r="P100" s="134"/>
      <c r="Q100" s="141">
        <v>46094</v>
      </c>
      <c r="R100" s="11"/>
      <c r="S100" s="11"/>
      <c r="T100" s="11"/>
      <c r="U100" s="11"/>
      <c r="V100" s="11"/>
      <c r="W100" s="11"/>
      <c r="X100" s="11"/>
      <c r="Y100" s="11"/>
      <c r="Z100" s="72"/>
      <c r="AA100" s="38"/>
      <c r="AB100" s="72"/>
      <c r="AC100" s="9"/>
      <c r="AD100" s="216"/>
      <c r="AE100" s="214"/>
      <c r="AG100" s="141">
        <v>46094</v>
      </c>
      <c r="AH100" s="11"/>
      <c r="AI100" s="11"/>
      <c r="AJ100" s="11"/>
      <c r="AK100" s="11"/>
      <c r="AL100" s="11"/>
      <c r="AM100" s="11"/>
      <c r="AN100" s="11"/>
      <c r="AO100" s="11"/>
      <c r="AP100" s="38"/>
      <c r="AQ100" s="38"/>
      <c r="AR100" s="72"/>
      <c r="AS100" s="9"/>
      <c r="AT100" s="216"/>
      <c r="AU100" s="214"/>
      <c r="AW100" s="141">
        <v>46094</v>
      </c>
      <c r="AX100" s="11">
        <v>22370</v>
      </c>
      <c r="AY100" s="11">
        <v>100</v>
      </c>
      <c r="AZ100" s="11">
        <v>20890</v>
      </c>
      <c r="BA100" s="11">
        <v>0</v>
      </c>
      <c r="BB100" s="11">
        <v>1380</v>
      </c>
      <c r="BC100" s="11">
        <v>5260</v>
      </c>
      <c r="BD100" s="488">
        <v>17110</v>
      </c>
      <c r="BE100" s="599">
        <v>20370</v>
      </c>
      <c r="BF100" s="38" t="s">
        <v>807</v>
      </c>
      <c r="BG100" s="38" t="s">
        <v>808</v>
      </c>
      <c r="BH100" s="72">
        <v>220394302</v>
      </c>
      <c r="BI100" s="600"/>
      <c r="BJ100" s="216"/>
      <c r="BK100" s="214"/>
      <c r="BN100">
        <f>'[7]2026 Március'!B$14</f>
        <v>13895</v>
      </c>
      <c r="BY100" s="267"/>
      <c r="CI100" s="9"/>
    </row>
    <row r="101" spans="1:96" ht="15" customHeight="1">
      <c r="A101" s="141">
        <v>46095</v>
      </c>
      <c r="B101" s="142"/>
      <c r="C101" s="142"/>
      <c r="D101" s="142"/>
      <c r="E101" s="142"/>
      <c r="F101" s="142"/>
      <c r="G101" s="142"/>
      <c r="H101" s="142"/>
      <c r="I101" s="142"/>
      <c r="J101" s="146"/>
      <c r="K101" s="143"/>
      <c r="L101" s="146"/>
      <c r="M101" s="158"/>
      <c r="N101" s="381"/>
      <c r="O101" s="217"/>
      <c r="P101" s="134"/>
      <c r="Q101" s="141">
        <v>46095</v>
      </c>
      <c r="R101" s="142"/>
      <c r="S101" s="142"/>
      <c r="T101" s="142"/>
      <c r="U101" s="142"/>
      <c r="V101" s="142"/>
      <c r="W101" s="142"/>
      <c r="X101" s="142"/>
      <c r="Y101" s="142"/>
      <c r="Z101" s="146"/>
      <c r="AA101" s="143"/>
      <c r="AB101" s="146"/>
      <c r="AC101" s="158"/>
      <c r="AD101" s="381"/>
      <c r="AE101" s="217"/>
      <c r="AG101" s="141">
        <v>46095</v>
      </c>
      <c r="AH101" s="142"/>
      <c r="AI101" s="142"/>
      <c r="AJ101" s="142"/>
      <c r="AK101" s="142"/>
      <c r="AL101" s="142"/>
      <c r="AM101" s="142"/>
      <c r="AN101" s="142"/>
      <c r="AO101" s="142"/>
      <c r="AP101" s="143"/>
      <c r="AQ101" s="143"/>
      <c r="AR101" s="146"/>
      <c r="AS101" s="158"/>
      <c r="AT101" s="381"/>
      <c r="AU101" s="217"/>
      <c r="AW101" s="141">
        <v>46095</v>
      </c>
      <c r="AX101" s="142"/>
      <c r="AY101" s="142"/>
      <c r="AZ101" s="142"/>
      <c r="BA101" s="142"/>
      <c r="BB101" s="142"/>
      <c r="BC101" s="142"/>
      <c r="BD101" s="142"/>
      <c r="BE101" s="142"/>
      <c r="BF101" s="143"/>
      <c r="BG101" s="143"/>
      <c r="BH101" s="146"/>
      <c r="BI101" s="158"/>
      <c r="BJ101" s="381"/>
      <c r="BK101" s="217"/>
      <c r="BN101">
        <f>'[7]2026 Március'!B$15</f>
        <v>22370</v>
      </c>
      <c r="BY101" s="267"/>
      <c r="CI101" s="158"/>
      <c r="CR101" t="s">
        <v>205</v>
      </c>
    </row>
    <row r="102" spans="1:96" ht="15" customHeight="1">
      <c r="A102" s="141">
        <v>46096</v>
      </c>
      <c r="B102" s="142"/>
      <c r="C102" s="142"/>
      <c r="D102" s="142"/>
      <c r="E102" s="142"/>
      <c r="F102" s="142"/>
      <c r="G102" s="142"/>
      <c r="H102" s="142"/>
      <c r="I102" s="142"/>
      <c r="J102" s="146"/>
      <c r="K102" s="143"/>
      <c r="L102" s="146"/>
      <c r="M102" s="158"/>
      <c r="N102" s="381"/>
      <c r="O102" s="217"/>
      <c r="P102" s="134"/>
      <c r="Q102" s="141">
        <v>46096</v>
      </c>
      <c r="R102" s="142"/>
      <c r="S102" s="142"/>
      <c r="T102" s="142"/>
      <c r="U102" s="142"/>
      <c r="V102" s="142"/>
      <c r="W102" s="142"/>
      <c r="X102" s="142"/>
      <c r="Y102" s="142"/>
      <c r="Z102" s="146"/>
      <c r="AA102" s="143"/>
      <c r="AB102" s="146"/>
      <c r="AC102" s="158"/>
      <c r="AD102" s="381"/>
      <c r="AE102" s="217"/>
      <c r="AG102" s="141">
        <v>46096</v>
      </c>
      <c r="AH102" s="142"/>
      <c r="AI102" s="142"/>
      <c r="AJ102" s="142"/>
      <c r="AK102" s="142"/>
      <c r="AL102" s="142"/>
      <c r="AM102" s="142"/>
      <c r="AN102" s="142"/>
      <c r="AO102" s="142"/>
      <c r="AP102" s="143"/>
      <c r="AQ102" s="143"/>
      <c r="AR102" s="146"/>
      <c r="AS102" s="158"/>
      <c r="AT102" s="381"/>
      <c r="AU102" s="217"/>
      <c r="AW102" s="141">
        <v>46096</v>
      </c>
      <c r="AX102" s="142"/>
      <c r="AY102" s="142"/>
      <c r="AZ102" s="142"/>
      <c r="BA102" s="142"/>
      <c r="BB102" s="142"/>
      <c r="BC102" s="142"/>
      <c r="BD102" s="142"/>
      <c r="BE102" s="142"/>
      <c r="BF102" s="143"/>
      <c r="BG102" s="143"/>
      <c r="BH102" s="146"/>
      <c r="BI102" s="158"/>
      <c r="BJ102" s="381"/>
      <c r="BK102" s="217"/>
      <c r="BN102">
        <f>'[7]2026 Március'!B$16</f>
        <v>0</v>
      </c>
      <c r="BY102" s="267"/>
      <c r="CI102" s="158"/>
    </row>
    <row r="103" spans="1:96" ht="15" customHeight="1">
      <c r="A103" s="141">
        <v>46097</v>
      </c>
      <c r="B103" s="11"/>
      <c r="C103" s="11"/>
      <c r="D103" s="11"/>
      <c r="E103" s="11"/>
      <c r="F103" s="11"/>
      <c r="G103" s="11"/>
      <c r="H103" s="11"/>
      <c r="I103" s="11"/>
      <c r="J103" s="72"/>
      <c r="K103" s="38"/>
      <c r="L103" s="72"/>
      <c r="M103" s="9"/>
      <c r="N103" s="216"/>
      <c r="O103" s="214"/>
      <c r="P103" s="134"/>
      <c r="Q103" s="141">
        <v>46097</v>
      </c>
      <c r="R103" s="11"/>
      <c r="S103" s="11"/>
      <c r="T103" s="11"/>
      <c r="U103" s="11"/>
      <c r="V103" s="11"/>
      <c r="W103" s="11"/>
      <c r="X103" s="11"/>
      <c r="Y103" s="11"/>
      <c r="Z103" s="72"/>
      <c r="AA103" s="38"/>
      <c r="AB103" s="72"/>
      <c r="AC103" s="9"/>
      <c r="AD103" s="216"/>
      <c r="AE103" s="214"/>
      <c r="AG103" s="141">
        <v>46097</v>
      </c>
      <c r="AH103" s="11"/>
      <c r="AI103" s="11"/>
      <c r="AJ103" s="11"/>
      <c r="AK103" s="11"/>
      <c r="AL103" s="11"/>
      <c r="AM103" s="11"/>
      <c r="AN103" s="11"/>
      <c r="AO103" s="11"/>
      <c r="AP103" s="38"/>
      <c r="AQ103" s="38"/>
      <c r="AR103" s="72"/>
      <c r="AS103" s="9"/>
      <c r="AT103" s="216"/>
      <c r="AU103" s="214"/>
      <c r="AW103" s="141">
        <v>46097</v>
      </c>
      <c r="AX103" s="11"/>
      <c r="AY103" s="11"/>
      <c r="AZ103" s="11"/>
      <c r="BA103" s="11"/>
      <c r="BB103" s="11"/>
      <c r="BC103" s="11"/>
      <c r="BD103" s="11"/>
      <c r="BE103" s="11"/>
      <c r="BF103" s="38"/>
      <c r="BG103" s="38"/>
      <c r="BH103" s="72"/>
      <c r="BI103" s="9"/>
      <c r="BJ103" s="216"/>
      <c r="BK103" s="214"/>
      <c r="BN103">
        <f>'[7]2026 Március'!B$17</f>
        <v>0</v>
      </c>
      <c r="BY103" s="267"/>
      <c r="CI103" s="9"/>
    </row>
    <row r="104" spans="1:96" ht="15" customHeight="1">
      <c r="A104" s="141">
        <v>46098</v>
      </c>
      <c r="B104" s="11"/>
      <c r="C104" s="11"/>
      <c r="D104" s="11"/>
      <c r="E104" s="11"/>
      <c r="F104" s="11"/>
      <c r="G104" s="11"/>
      <c r="H104" s="11"/>
      <c r="I104" s="11"/>
      <c r="J104" s="72"/>
      <c r="K104" s="38"/>
      <c r="L104" s="72"/>
      <c r="M104" s="9"/>
      <c r="N104" s="216"/>
      <c r="O104" s="214"/>
      <c r="P104" s="134"/>
      <c r="Q104" s="141">
        <v>46098</v>
      </c>
      <c r="R104" s="11"/>
      <c r="S104" s="11"/>
      <c r="T104" s="11"/>
      <c r="U104" s="11"/>
      <c r="V104" s="11"/>
      <c r="W104" s="11"/>
      <c r="X104" s="11"/>
      <c r="Y104" s="11"/>
      <c r="Z104" s="72"/>
      <c r="AA104" s="38"/>
      <c r="AB104" s="72"/>
      <c r="AC104" s="9"/>
      <c r="AD104" s="216"/>
      <c r="AE104" s="214"/>
      <c r="AG104" s="141">
        <v>46098</v>
      </c>
      <c r="AH104" s="11"/>
      <c r="AI104" s="11"/>
      <c r="AJ104" s="11"/>
      <c r="AK104" s="11"/>
      <c r="AL104" s="11"/>
      <c r="AM104" s="11"/>
      <c r="AN104" s="11"/>
      <c r="AO104" s="11"/>
      <c r="AP104" s="38"/>
      <c r="AQ104" s="38"/>
      <c r="AR104" s="72"/>
      <c r="AS104" s="9"/>
      <c r="AT104" s="216"/>
      <c r="AU104" s="214"/>
      <c r="AW104" s="141">
        <v>46098</v>
      </c>
      <c r="AX104" s="11">
        <v>15180</v>
      </c>
      <c r="AY104" s="11">
        <v>50</v>
      </c>
      <c r="AZ104" s="11">
        <v>14440</v>
      </c>
      <c r="BA104" s="11"/>
      <c r="BB104" s="11">
        <v>690</v>
      </c>
      <c r="BC104" s="11">
        <v>3630</v>
      </c>
      <c r="BD104" s="11">
        <v>11550</v>
      </c>
      <c r="BE104" s="11">
        <v>11550</v>
      </c>
      <c r="BF104" s="38" t="s">
        <v>809</v>
      </c>
      <c r="BG104" s="38" t="s">
        <v>810</v>
      </c>
      <c r="BH104" s="72">
        <v>220409482</v>
      </c>
      <c r="BI104" s="9"/>
      <c r="BJ104" s="216"/>
      <c r="BK104" s="214"/>
      <c r="BN104">
        <f>'[7]2026 Március'!B$18</f>
        <v>0</v>
      </c>
      <c r="BY104" s="267"/>
      <c r="CI104" s="9"/>
    </row>
    <row r="105" spans="1:96" ht="15" customHeight="1">
      <c r="A105" s="141">
        <v>46099</v>
      </c>
      <c r="B105" s="11"/>
      <c r="C105" s="11"/>
      <c r="D105" s="11"/>
      <c r="E105" s="11"/>
      <c r="F105" s="11"/>
      <c r="G105" s="11"/>
      <c r="H105" s="11"/>
      <c r="I105" s="11"/>
      <c r="J105" s="72"/>
      <c r="K105" s="38"/>
      <c r="L105" s="72"/>
      <c r="M105" s="9"/>
      <c r="N105" s="216"/>
      <c r="O105" s="214"/>
      <c r="P105" s="134"/>
      <c r="Q105" s="141">
        <v>46099</v>
      </c>
      <c r="R105" s="11"/>
      <c r="S105" s="11"/>
      <c r="T105" s="11"/>
      <c r="U105" s="11"/>
      <c r="V105" s="11"/>
      <c r="W105" s="11"/>
      <c r="X105" s="11"/>
      <c r="Y105" s="11"/>
      <c r="Z105" s="72"/>
      <c r="AA105" s="38"/>
      <c r="AB105" s="72"/>
      <c r="AC105" s="9"/>
      <c r="AD105" s="216"/>
      <c r="AE105" s="214"/>
      <c r="AG105" s="141">
        <v>46099</v>
      </c>
      <c r="AH105" s="11"/>
      <c r="AI105" s="11"/>
      <c r="AJ105" s="11"/>
      <c r="AK105" s="11"/>
      <c r="AL105" s="11"/>
      <c r="AM105" s="11"/>
      <c r="AN105" s="11"/>
      <c r="AO105" s="11"/>
      <c r="AP105" s="38"/>
      <c r="AQ105" s="38"/>
      <c r="AR105" s="72"/>
      <c r="AS105" s="9"/>
      <c r="AT105" s="216"/>
      <c r="AU105" s="214"/>
      <c r="AW105" s="141">
        <v>46099</v>
      </c>
      <c r="AX105" s="11">
        <v>10530</v>
      </c>
      <c r="AY105" s="11">
        <v>0</v>
      </c>
      <c r="AZ105" s="11">
        <v>12310</v>
      </c>
      <c r="BA105" s="11"/>
      <c r="BB105" s="11"/>
      <c r="BC105" s="11">
        <v>3790</v>
      </c>
      <c r="BD105" s="11">
        <v>8520</v>
      </c>
      <c r="BE105" s="11">
        <v>8520</v>
      </c>
      <c r="BF105" s="38" t="s">
        <v>811</v>
      </c>
      <c r="BG105" s="38" t="s">
        <v>812</v>
      </c>
      <c r="BH105" s="72">
        <v>220421792</v>
      </c>
      <c r="BI105" s="600"/>
      <c r="BJ105" s="216"/>
      <c r="BK105" s="214"/>
      <c r="BN105">
        <f>'[7]2026 Március'!B$19</f>
        <v>15180</v>
      </c>
      <c r="BY105" s="267"/>
      <c r="CI105" s="9"/>
    </row>
    <row r="106" spans="1:96" ht="15" customHeight="1">
      <c r="A106" s="141">
        <v>46100</v>
      </c>
      <c r="B106" s="11"/>
      <c r="C106" s="11"/>
      <c r="D106" s="11"/>
      <c r="E106" s="11"/>
      <c r="F106" s="11"/>
      <c r="G106" s="11"/>
      <c r="H106" s="11"/>
      <c r="I106" s="11"/>
      <c r="J106" s="72"/>
      <c r="K106" s="38"/>
      <c r="L106" s="72"/>
      <c r="M106" s="9"/>
      <c r="N106" s="216"/>
      <c r="O106" s="214"/>
      <c r="P106" s="134"/>
      <c r="Q106" s="141">
        <v>46100</v>
      </c>
      <c r="R106" s="11"/>
      <c r="S106" s="11"/>
      <c r="T106" s="11"/>
      <c r="U106" s="11"/>
      <c r="V106" s="11"/>
      <c r="W106" s="11"/>
      <c r="X106" s="11"/>
      <c r="Y106" s="11"/>
      <c r="Z106" s="72"/>
      <c r="AA106" s="38"/>
      <c r="AB106" s="72"/>
      <c r="AC106" s="9"/>
      <c r="AD106" s="216"/>
      <c r="AE106" s="214"/>
      <c r="AG106" s="141">
        <v>46100</v>
      </c>
      <c r="AH106" s="11"/>
      <c r="AI106" s="11"/>
      <c r="AJ106" s="11"/>
      <c r="AK106" s="11"/>
      <c r="AL106" s="11"/>
      <c r="AM106" s="11"/>
      <c r="AN106" s="11"/>
      <c r="AO106" s="11"/>
      <c r="AP106" s="38"/>
      <c r="AQ106" s="38"/>
      <c r="AR106" s="72"/>
      <c r="AS106" s="9"/>
      <c r="AT106" s="216"/>
      <c r="AU106" s="214"/>
      <c r="AW106" s="141">
        <v>46100</v>
      </c>
      <c r="AX106" s="11">
        <v>6930</v>
      </c>
      <c r="AY106" s="11">
        <v>0</v>
      </c>
      <c r="AZ106" s="11">
        <v>12930</v>
      </c>
      <c r="BA106" s="11"/>
      <c r="BB106" s="11"/>
      <c r="BC106" s="11">
        <v>2230</v>
      </c>
      <c r="BD106" s="488">
        <v>10700</v>
      </c>
      <c r="BE106" s="599">
        <v>4700</v>
      </c>
      <c r="BF106" s="38" t="s">
        <v>511</v>
      </c>
      <c r="BG106" s="38" t="s">
        <v>813</v>
      </c>
      <c r="BH106" s="72">
        <v>220434722</v>
      </c>
      <c r="BI106" s="9"/>
      <c r="BJ106" s="216"/>
      <c r="BK106" s="214" t="s">
        <v>162</v>
      </c>
      <c r="BN106">
        <f>'[7]2026 Március'!B$20</f>
        <v>10350</v>
      </c>
      <c r="BY106" s="267"/>
      <c r="CI106" s="9"/>
    </row>
    <row r="107" spans="1:96" ht="15" customHeight="1">
      <c r="A107" s="141">
        <v>46101</v>
      </c>
      <c r="B107" s="11"/>
      <c r="C107" s="11"/>
      <c r="D107" s="11"/>
      <c r="E107" s="11"/>
      <c r="F107" s="11"/>
      <c r="G107" s="11"/>
      <c r="H107" s="11"/>
      <c r="I107" s="11"/>
      <c r="J107" s="72"/>
      <c r="K107" s="38"/>
      <c r="L107" s="72"/>
      <c r="M107" s="9"/>
      <c r="N107" s="216"/>
      <c r="O107" s="214"/>
      <c r="P107" s="134"/>
      <c r="Q107" s="141">
        <v>46101</v>
      </c>
      <c r="R107" s="11"/>
      <c r="S107" s="11"/>
      <c r="T107" s="11"/>
      <c r="U107" s="11"/>
      <c r="V107" s="11"/>
      <c r="W107" s="11"/>
      <c r="X107" s="11"/>
      <c r="Y107" s="11"/>
      <c r="Z107" s="72"/>
      <c r="AA107" s="38"/>
      <c r="AB107" s="72"/>
      <c r="AC107" s="9"/>
      <c r="AD107" s="216"/>
      <c r="AE107" s="214"/>
      <c r="AG107" s="141">
        <v>46101</v>
      </c>
      <c r="AH107" s="11"/>
      <c r="AI107" s="11"/>
      <c r="AJ107" s="11"/>
      <c r="AK107" s="11"/>
      <c r="AL107" s="11"/>
      <c r="AM107" s="11"/>
      <c r="AN107" s="11"/>
      <c r="AO107" s="11"/>
      <c r="AP107" s="38"/>
      <c r="AQ107" s="38"/>
      <c r="AR107" s="72"/>
      <c r="AS107" s="9"/>
      <c r="AT107" s="216"/>
      <c r="AU107" s="214"/>
      <c r="AW107" s="141">
        <v>46101</v>
      </c>
      <c r="AX107" s="11">
        <v>14670</v>
      </c>
      <c r="AY107" s="11"/>
      <c r="AZ107" s="11">
        <v>2640</v>
      </c>
      <c r="BA107" s="11">
        <v>12030</v>
      </c>
      <c r="BB107" s="11">
        <v>0</v>
      </c>
      <c r="BC107" s="11">
        <v>2250</v>
      </c>
      <c r="BD107" s="11">
        <v>12420</v>
      </c>
      <c r="BE107" s="11">
        <v>12420</v>
      </c>
      <c r="BF107" s="38" t="s">
        <v>814</v>
      </c>
      <c r="BG107" s="38" t="s">
        <v>815</v>
      </c>
      <c r="BH107" s="72">
        <v>220449392</v>
      </c>
      <c r="BI107" s="9"/>
      <c r="BJ107" s="216"/>
      <c r="BK107" s="214"/>
      <c r="BN107">
        <f>'[7]2026 Március'!B$21</f>
        <v>6930</v>
      </c>
      <c r="BY107" s="267"/>
      <c r="CI107" s="9"/>
    </row>
    <row r="108" spans="1:96" ht="15" customHeight="1">
      <c r="A108" s="141">
        <v>46102</v>
      </c>
      <c r="B108" s="142">
        <v>53610</v>
      </c>
      <c r="C108" s="142">
        <v>150</v>
      </c>
      <c r="D108" s="142">
        <v>11380</v>
      </c>
      <c r="E108" s="142">
        <v>42080</v>
      </c>
      <c r="F108" s="142"/>
      <c r="G108" s="142">
        <v>20840</v>
      </c>
      <c r="H108" s="142">
        <v>32770</v>
      </c>
      <c r="I108" s="142">
        <v>32770</v>
      </c>
      <c r="J108" s="146">
        <v>2044</v>
      </c>
      <c r="K108" s="143" t="s">
        <v>816</v>
      </c>
      <c r="L108" s="146">
        <v>110869426</v>
      </c>
      <c r="M108" s="158"/>
      <c r="N108" s="381"/>
      <c r="O108" s="217"/>
      <c r="P108" s="134"/>
      <c r="Q108" s="141">
        <v>46102</v>
      </c>
      <c r="R108" s="142"/>
      <c r="S108" s="142"/>
      <c r="T108" s="142"/>
      <c r="U108" s="142"/>
      <c r="V108" s="142"/>
      <c r="W108" s="142"/>
      <c r="X108" s="142"/>
      <c r="Y108" s="142"/>
      <c r="Z108" s="146"/>
      <c r="AA108" s="143"/>
      <c r="AB108" s="146"/>
      <c r="AC108" s="158"/>
      <c r="AD108" s="381"/>
      <c r="AE108" s="217"/>
      <c r="AG108" s="141">
        <v>46102</v>
      </c>
      <c r="AH108" s="142"/>
      <c r="AI108" s="142"/>
      <c r="AJ108" s="142"/>
      <c r="AK108" s="142"/>
      <c r="AL108" s="142"/>
      <c r="AM108" s="142"/>
      <c r="AN108" s="142"/>
      <c r="AO108" s="142"/>
      <c r="AP108" s="143"/>
      <c r="AQ108" s="143"/>
      <c r="AR108" s="146"/>
      <c r="AS108" s="158"/>
      <c r="AT108" s="381"/>
      <c r="AU108" s="217"/>
      <c r="AW108" s="141">
        <v>46102</v>
      </c>
      <c r="AX108" s="142"/>
      <c r="AY108" s="142"/>
      <c r="AZ108" s="142"/>
      <c r="BA108" s="142"/>
      <c r="BB108" s="142"/>
      <c r="BC108" s="142"/>
      <c r="BD108" s="142"/>
      <c r="BE108" s="142"/>
      <c r="BF108" s="143"/>
      <c r="BG108" s="143"/>
      <c r="BH108" s="146"/>
      <c r="BI108" s="158"/>
      <c r="BJ108" s="381"/>
      <c r="BK108" s="217"/>
      <c r="BN108">
        <f>'[7]2026 Március'!B$22</f>
        <v>14670</v>
      </c>
      <c r="BY108" s="267"/>
      <c r="CI108" s="158"/>
    </row>
    <row r="109" spans="1:96" ht="15" customHeight="1">
      <c r="A109" s="141">
        <v>46103</v>
      </c>
      <c r="B109" s="142">
        <v>884750</v>
      </c>
      <c r="C109" s="142">
        <v>4450</v>
      </c>
      <c r="D109" s="142">
        <v>538874</v>
      </c>
      <c r="E109" s="142">
        <v>297170</v>
      </c>
      <c r="F109" s="142">
        <v>14260</v>
      </c>
      <c r="G109" s="602">
        <v>231820</v>
      </c>
      <c r="H109" s="488">
        <v>652928</v>
      </c>
      <c r="I109" s="488">
        <v>630248</v>
      </c>
      <c r="J109" s="146">
        <v>20635</v>
      </c>
      <c r="K109" s="143" t="s">
        <v>817</v>
      </c>
      <c r="L109" s="146">
        <v>111724180</v>
      </c>
      <c r="M109" s="158"/>
      <c r="N109" s="381"/>
      <c r="O109" s="598" t="s">
        <v>818</v>
      </c>
      <c r="P109" s="134"/>
      <c r="Q109" s="141">
        <v>46103</v>
      </c>
      <c r="R109" s="142"/>
      <c r="S109" s="142"/>
      <c r="T109" s="142"/>
      <c r="U109" s="142"/>
      <c r="V109" s="142"/>
      <c r="W109" s="142"/>
      <c r="X109" s="142"/>
      <c r="Y109" s="142"/>
      <c r="Z109" s="146"/>
      <c r="AA109" s="143"/>
      <c r="AB109" s="146"/>
      <c r="AC109" s="158"/>
      <c r="AD109" s="381"/>
      <c r="AE109" s="217"/>
      <c r="AG109" s="141">
        <v>46103</v>
      </c>
      <c r="AH109" s="142"/>
      <c r="AI109" s="142"/>
      <c r="AJ109" s="142"/>
      <c r="AK109" s="142"/>
      <c r="AL109" s="142"/>
      <c r="AM109" s="142"/>
      <c r="AN109" s="142"/>
      <c r="AO109" s="142"/>
      <c r="AP109" s="143"/>
      <c r="AQ109" s="143"/>
      <c r="AR109" s="146"/>
      <c r="AS109" s="158"/>
      <c r="AT109" s="381"/>
      <c r="AU109" s="217"/>
      <c r="AW109" s="141">
        <v>46103</v>
      </c>
      <c r="AX109" s="142"/>
      <c r="AY109" s="142"/>
      <c r="AZ109" s="142"/>
      <c r="BA109" s="142"/>
      <c r="BB109" s="142"/>
      <c r="BC109" s="142"/>
      <c r="BD109" s="142"/>
      <c r="BE109" s="142"/>
      <c r="BF109" s="143"/>
      <c r="BG109" s="143"/>
      <c r="BH109" s="146"/>
      <c r="BI109" s="158"/>
      <c r="BJ109" s="381"/>
      <c r="BK109" s="217"/>
      <c r="BN109">
        <f>'[7]2026 Március'!B$23</f>
        <v>53610</v>
      </c>
      <c r="BY109" s="267"/>
      <c r="CI109" s="158"/>
    </row>
    <row r="110" spans="1:96" ht="15" customHeight="1">
      <c r="A110" s="141">
        <v>46104</v>
      </c>
      <c r="B110" s="11"/>
      <c r="C110" s="11"/>
      <c r="D110" s="11"/>
      <c r="E110" s="11"/>
      <c r="F110" s="11"/>
      <c r="G110" s="11"/>
      <c r="H110" s="11"/>
      <c r="I110" s="11">
        <f ca="1">I110-J110</f>
        <v>0</v>
      </c>
      <c r="J110" s="72"/>
      <c r="K110" s="38"/>
      <c r="L110" s="72"/>
      <c r="M110" s="9"/>
      <c r="N110" s="216"/>
      <c r="O110" s="214"/>
      <c r="P110" s="134"/>
      <c r="Q110" s="141">
        <v>46104</v>
      </c>
      <c r="R110" s="11"/>
      <c r="S110" s="11"/>
      <c r="T110" s="11"/>
      <c r="U110" s="11"/>
      <c r="V110" s="11"/>
      <c r="W110" s="11"/>
      <c r="X110" s="11"/>
      <c r="Y110" s="11"/>
      <c r="Z110" s="72"/>
      <c r="AA110" s="38"/>
      <c r="AB110" s="72"/>
      <c r="AC110" s="9"/>
      <c r="AD110" s="216"/>
      <c r="AE110" s="214"/>
      <c r="AG110" s="141">
        <v>46104</v>
      </c>
      <c r="AH110" s="11"/>
      <c r="AI110" s="11"/>
      <c r="AJ110" s="11"/>
      <c r="AK110" s="11"/>
      <c r="AL110" s="11"/>
      <c r="AM110" s="11"/>
      <c r="AN110" s="11"/>
      <c r="AO110" s="11"/>
      <c r="AP110" s="38"/>
      <c r="AQ110" s="38"/>
      <c r="AR110" s="72"/>
      <c r="AS110" s="9"/>
      <c r="AT110" s="216"/>
      <c r="AU110" s="214"/>
      <c r="AW110" s="141">
        <v>46104</v>
      </c>
      <c r="AX110" s="11"/>
      <c r="AY110" s="11"/>
      <c r="AZ110" s="11"/>
      <c r="BA110" s="11"/>
      <c r="BB110" s="11"/>
      <c r="BC110" s="11"/>
      <c r="BD110" s="11"/>
      <c r="BE110" s="11"/>
      <c r="BF110" s="38"/>
      <c r="BG110" s="38"/>
      <c r="BH110" s="72"/>
      <c r="BI110" s="9"/>
      <c r="BJ110" s="216"/>
      <c r="BK110" s="214"/>
      <c r="BN110">
        <f>'[7]2026 Március'!B$24</f>
        <v>884750</v>
      </c>
      <c r="BY110" s="267"/>
      <c r="CI110" s="9"/>
    </row>
    <row r="111" spans="1:96" ht="15" customHeight="1">
      <c r="A111" s="141">
        <v>46105</v>
      </c>
      <c r="B111" s="11">
        <v>6070</v>
      </c>
      <c r="C111" s="11"/>
      <c r="D111" s="11">
        <v>6070</v>
      </c>
      <c r="E111" s="11"/>
      <c r="F111" s="11"/>
      <c r="G111" s="11">
        <v>2350</v>
      </c>
      <c r="H111" s="488">
        <v>3720</v>
      </c>
      <c r="I111" s="599">
        <v>6070</v>
      </c>
      <c r="J111" s="72">
        <v>383</v>
      </c>
      <c r="K111" s="38" t="s">
        <v>819</v>
      </c>
      <c r="L111" s="72">
        <v>111730250</v>
      </c>
      <c r="M111" s="9"/>
      <c r="N111" s="216"/>
      <c r="O111" s="215" t="s">
        <v>818</v>
      </c>
      <c r="P111" s="134"/>
      <c r="Q111" s="141">
        <v>46105</v>
      </c>
      <c r="R111" s="11"/>
      <c r="S111" s="11"/>
      <c r="T111" s="11"/>
      <c r="U111" s="11"/>
      <c r="V111" s="11"/>
      <c r="W111" s="11"/>
      <c r="X111" s="11"/>
      <c r="Y111" s="11"/>
      <c r="Z111" s="72"/>
      <c r="AA111" s="38"/>
      <c r="AB111" s="72"/>
      <c r="AC111" s="9"/>
      <c r="AD111" s="216"/>
      <c r="AE111" s="214"/>
      <c r="AG111" s="141">
        <v>46105</v>
      </c>
      <c r="AH111" s="11"/>
      <c r="AI111" s="11"/>
      <c r="AJ111" s="11"/>
      <c r="AK111" s="11"/>
      <c r="AL111" s="11"/>
      <c r="AM111" s="11"/>
      <c r="AN111" s="11"/>
      <c r="AO111" s="11"/>
      <c r="AP111" s="38"/>
      <c r="AQ111" s="38"/>
      <c r="AR111" s="72"/>
      <c r="AS111" s="9"/>
      <c r="AT111" s="216"/>
      <c r="AU111" s="214"/>
      <c r="AW111" s="141">
        <v>46105</v>
      </c>
      <c r="AX111" s="11"/>
      <c r="AY111" s="11"/>
      <c r="AZ111" s="11"/>
      <c r="BA111" s="11"/>
      <c r="BB111" s="11"/>
      <c r="BC111" s="11"/>
      <c r="BD111" s="11"/>
      <c r="BE111" s="11"/>
      <c r="BF111" s="38"/>
      <c r="BG111" s="38"/>
      <c r="BH111" s="72"/>
      <c r="BI111" s="9"/>
      <c r="BJ111" s="216"/>
      <c r="BK111" s="214"/>
      <c r="BN111">
        <f>'[7]2026 Március'!B$25</f>
        <v>0</v>
      </c>
      <c r="BY111" s="267"/>
      <c r="CI111" s="9"/>
    </row>
    <row r="112" spans="1:96" ht="15" customHeight="1">
      <c r="A112" s="141">
        <v>46106</v>
      </c>
      <c r="B112" s="11">
        <v>32415</v>
      </c>
      <c r="C112" s="11">
        <v>100</v>
      </c>
      <c r="D112" s="11">
        <v>30935</v>
      </c>
      <c r="E112" s="11">
        <v>1380</v>
      </c>
      <c r="F112" s="11"/>
      <c r="G112" s="11">
        <v>12335</v>
      </c>
      <c r="H112" s="11">
        <v>20080</v>
      </c>
      <c r="I112" s="11">
        <v>20080</v>
      </c>
      <c r="J112" s="72">
        <v>942</v>
      </c>
      <c r="K112" s="38" t="s">
        <v>820</v>
      </c>
      <c r="L112" s="72">
        <v>111762665</v>
      </c>
      <c r="M112" s="9"/>
      <c r="N112" s="216"/>
      <c r="O112" s="214"/>
      <c r="P112" s="134"/>
      <c r="Q112" s="141">
        <v>46106</v>
      </c>
      <c r="R112" s="11"/>
      <c r="S112" s="11"/>
      <c r="T112" s="11"/>
      <c r="U112" s="11"/>
      <c r="V112" s="11"/>
      <c r="W112" s="11"/>
      <c r="X112" s="11"/>
      <c r="Y112" s="11"/>
      <c r="Z112" s="72"/>
      <c r="AA112" s="38"/>
      <c r="AB112" s="72"/>
      <c r="AC112" s="9"/>
      <c r="AD112" s="216"/>
      <c r="AE112" s="214"/>
      <c r="AG112" s="141">
        <v>46106</v>
      </c>
      <c r="AH112" s="11"/>
      <c r="AI112" s="11"/>
      <c r="AJ112" s="11"/>
      <c r="AK112" s="11"/>
      <c r="AL112" s="11"/>
      <c r="AM112" s="11"/>
      <c r="AN112" s="11"/>
      <c r="AO112" s="11"/>
      <c r="AP112" s="38"/>
      <c r="AQ112" s="38"/>
      <c r="AR112" s="72"/>
      <c r="AS112" s="9"/>
      <c r="AT112" s="216"/>
      <c r="AU112" s="214"/>
      <c r="AW112" s="141">
        <v>46106</v>
      </c>
      <c r="AX112" s="11"/>
      <c r="AY112" s="11"/>
      <c r="AZ112" s="11"/>
      <c r="BA112" s="11"/>
      <c r="BB112" s="11"/>
      <c r="BC112" s="11"/>
      <c r="BD112" s="11"/>
      <c r="BE112" s="11"/>
      <c r="BF112" s="38"/>
      <c r="BG112" s="38"/>
      <c r="BH112" s="72"/>
      <c r="BI112" s="9"/>
      <c r="BJ112" s="216"/>
      <c r="BK112" s="214"/>
      <c r="BN112">
        <f>'[7]2026 Március'!B$26</f>
        <v>6070</v>
      </c>
      <c r="BY112" s="267"/>
      <c r="CI112" s="9"/>
    </row>
    <row r="113" spans="1:87" ht="15" customHeight="1">
      <c r="A113" s="141">
        <v>46107</v>
      </c>
      <c r="B113" s="11">
        <v>37420</v>
      </c>
      <c r="C113" s="11"/>
      <c r="D113" s="11">
        <v>37420</v>
      </c>
      <c r="E113" s="11"/>
      <c r="F113" s="11"/>
      <c r="G113" s="11">
        <v>17130</v>
      </c>
      <c r="H113" s="11">
        <v>20290</v>
      </c>
      <c r="I113" s="11">
        <v>20290</v>
      </c>
      <c r="J113" s="72">
        <v>627</v>
      </c>
      <c r="K113" s="38" t="s">
        <v>821</v>
      </c>
      <c r="L113" s="72">
        <v>111800085</v>
      </c>
      <c r="M113" s="9"/>
      <c r="N113" s="216"/>
      <c r="O113" s="214"/>
      <c r="P113" s="134"/>
      <c r="Q113" s="141">
        <v>46107</v>
      </c>
      <c r="R113" s="11"/>
      <c r="S113" s="11"/>
      <c r="T113" s="11"/>
      <c r="U113" s="11"/>
      <c r="V113" s="11"/>
      <c r="W113" s="11"/>
      <c r="X113" s="11"/>
      <c r="Y113" s="11"/>
      <c r="Z113" s="72"/>
      <c r="AA113" s="38"/>
      <c r="AB113" s="72"/>
      <c r="AC113" s="9"/>
      <c r="AD113" s="216"/>
      <c r="AE113" s="214"/>
      <c r="AG113" s="141">
        <v>46107</v>
      </c>
      <c r="AH113" s="11"/>
      <c r="AI113" s="11"/>
      <c r="AJ113" s="11"/>
      <c r="AK113" s="11"/>
      <c r="AL113" s="11"/>
      <c r="AM113" s="11"/>
      <c r="AN113" s="11"/>
      <c r="AO113" s="11"/>
      <c r="AP113" s="38"/>
      <c r="AQ113" s="38"/>
      <c r="AR113" s="72"/>
      <c r="AS113" s="9"/>
      <c r="AT113" s="216"/>
      <c r="AU113" s="214"/>
      <c r="AW113" s="141">
        <v>46107</v>
      </c>
      <c r="AX113" s="11"/>
      <c r="AY113" s="11"/>
      <c r="AZ113" s="11"/>
      <c r="BA113" s="11"/>
      <c r="BB113" s="11"/>
      <c r="BC113" s="11"/>
      <c r="BD113" s="11"/>
      <c r="BE113" s="11"/>
      <c r="BF113" s="38"/>
      <c r="BG113" s="38"/>
      <c r="BH113" s="72"/>
      <c r="BI113" s="9"/>
      <c r="BJ113" s="216"/>
      <c r="BK113" s="214"/>
      <c r="BN113">
        <f>'[7]2026 Március'!B$27</f>
        <v>32415</v>
      </c>
      <c r="BY113" s="267"/>
      <c r="CI113" s="9"/>
    </row>
    <row r="114" spans="1:87" ht="15" customHeight="1">
      <c r="A114" s="141">
        <v>46108</v>
      </c>
      <c r="B114" s="11">
        <v>4820</v>
      </c>
      <c r="C114" s="11"/>
      <c r="D114" s="11">
        <v>4230</v>
      </c>
      <c r="E114" s="11">
        <v>8590</v>
      </c>
      <c r="F114" s="11"/>
      <c r="G114" s="11">
        <v>2050</v>
      </c>
      <c r="H114" s="599">
        <v>10770</v>
      </c>
      <c r="I114" s="488">
        <v>2770</v>
      </c>
      <c r="J114" s="72">
        <v>47</v>
      </c>
      <c r="K114" s="38" t="s">
        <v>822</v>
      </c>
      <c r="L114" s="72">
        <v>111812905</v>
      </c>
      <c r="M114" s="9"/>
      <c r="N114" s="216"/>
      <c r="O114" s="215" t="s">
        <v>818</v>
      </c>
      <c r="P114" s="134"/>
      <c r="Q114" s="141">
        <v>46108</v>
      </c>
      <c r="R114" s="11"/>
      <c r="S114" s="11"/>
      <c r="T114" s="11"/>
      <c r="U114" s="11"/>
      <c r="V114" s="11"/>
      <c r="W114" s="11"/>
      <c r="X114" s="11"/>
      <c r="Y114" s="11"/>
      <c r="Z114" s="72"/>
      <c r="AA114" s="38"/>
      <c r="AB114" s="72"/>
      <c r="AC114" s="9"/>
      <c r="AD114" s="216"/>
      <c r="AE114" s="214"/>
      <c r="AG114" s="141">
        <v>46108</v>
      </c>
      <c r="AH114" s="11"/>
      <c r="AI114" s="11"/>
      <c r="AJ114" s="11"/>
      <c r="AK114" s="11"/>
      <c r="AL114" s="11"/>
      <c r="AM114" s="11"/>
      <c r="AN114" s="11"/>
      <c r="AO114" s="11"/>
      <c r="AP114" s="38"/>
      <c r="AQ114" s="38"/>
      <c r="AR114" s="72"/>
      <c r="AS114" s="9"/>
      <c r="AT114" s="216"/>
      <c r="AU114" s="214"/>
      <c r="AW114" s="141">
        <v>46108</v>
      </c>
      <c r="AX114" s="11"/>
      <c r="AY114" s="11"/>
      <c r="AZ114" s="11"/>
      <c r="BA114" s="11"/>
      <c r="BB114" s="11"/>
      <c r="BC114" s="11"/>
      <c r="BD114" s="11"/>
      <c r="BE114" s="11"/>
      <c r="BF114" s="38"/>
      <c r="BG114" s="38"/>
      <c r="BH114" s="72"/>
      <c r="BI114" s="9"/>
      <c r="BJ114" s="216"/>
      <c r="BK114" s="214"/>
      <c r="BN114">
        <f>'[7]2026 Március'!B$28</f>
        <v>37420</v>
      </c>
      <c r="BY114" s="267"/>
      <c r="CI114" s="9"/>
    </row>
    <row r="115" spans="1:87" ht="15" customHeight="1">
      <c r="A115" s="141">
        <v>46109</v>
      </c>
      <c r="B115" s="142">
        <v>1268750</v>
      </c>
      <c r="C115" s="142"/>
      <c r="D115" s="142">
        <v>1192023</v>
      </c>
      <c r="E115" s="142">
        <v>45040</v>
      </c>
      <c r="F115" s="142">
        <v>1690</v>
      </c>
      <c r="G115" s="602">
        <v>448630</v>
      </c>
      <c r="H115" s="142">
        <v>820119</v>
      </c>
      <c r="I115" s="142">
        <v>820119</v>
      </c>
      <c r="J115" s="146">
        <v>23955</v>
      </c>
      <c r="K115" s="143" t="s">
        <v>823</v>
      </c>
      <c r="L115" s="146">
        <v>113051658</v>
      </c>
      <c r="M115" s="158"/>
      <c r="N115" s="381"/>
      <c r="O115" s="217"/>
      <c r="P115" s="134"/>
      <c r="Q115" s="141">
        <v>46109</v>
      </c>
      <c r="R115" s="142"/>
      <c r="S115" s="142"/>
      <c r="T115" s="142"/>
      <c r="U115" s="142"/>
      <c r="V115" s="142"/>
      <c r="W115" s="142"/>
      <c r="X115" s="142"/>
      <c r="Y115" s="142"/>
      <c r="Z115" s="146"/>
      <c r="AA115" s="143"/>
      <c r="AB115" s="146"/>
      <c r="AC115" s="158"/>
      <c r="AD115" s="381"/>
      <c r="AE115" s="217"/>
      <c r="AG115" s="141">
        <v>46109</v>
      </c>
      <c r="AH115" s="142"/>
      <c r="AI115" s="142"/>
      <c r="AJ115" s="142"/>
      <c r="AK115" s="142"/>
      <c r="AL115" s="142"/>
      <c r="AM115" s="142"/>
      <c r="AN115" s="142"/>
      <c r="AO115" s="142"/>
      <c r="AP115" s="143"/>
      <c r="AQ115" s="143"/>
      <c r="AR115" s="146"/>
      <c r="AS115" s="158"/>
      <c r="AT115" s="381"/>
      <c r="AU115" s="217"/>
      <c r="AW115" s="141">
        <v>46109</v>
      </c>
      <c r="AX115" s="142"/>
      <c r="AY115" s="142"/>
      <c r="AZ115" s="142"/>
      <c r="BA115" s="142"/>
      <c r="BB115" s="142"/>
      <c r="BC115" s="142"/>
      <c r="BD115" s="142"/>
      <c r="BE115" s="142"/>
      <c r="BF115" s="143"/>
      <c r="BG115" s="143"/>
      <c r="BH115" s="146"/>
      <c r="BI115" s="158"/>
      <c r="BJ115" s="381"/>
      <c r="BK115" s="217"/>
      <c r="BN115">
        <f>'[7]2026 Március'!B$29</f>
        <v>4820</v>
      </c>
      <c r="BY115" s="267"/>
      <c r="CI115" s="158"/>
    </row>
    <row r="116" spans="1:87" ht="15" customHeight="1">
      <c r="A116" s="141">
        <v>46110</v>
      </c>
      <c r="B116" s="142"/>
      <c r="C116" s="142"/>
      <c r="D116" s="142"/>
      <c r="E116" s="142"/>
      <c r="F116" s="142"/>
      <c r="G116" s="142"/>
      <c r="H116" s="142"/>
      <c r="I116" s="142">
        <f ca="1">I116-J116</f>
        <v>0</v>
      </c>
      <c r="J116" s="146"/>
      <c r="K116" s="143"/>
      <c r="L116" s="146"/>
      <c r="M116" s="158"/>
      <c r="N116" s="381"/>
      <c r="O116" s="217"/>
      <c r="P116" s="134"/>
      <c r="Q116" s="141">
        <v>46110</v>
      </c>
      <c r="R116" s="142"/>
      <c r="S116" s="142"/>
      <c r="T116" s="142"/>
      <c r="U116" s="142"/>
      <c r="V116" s="142"/>
      <c r="W116" s="142"/>
      <c r="X116" s="142"/>
      <c r="Y116" s="142"/>
      <c r="Z116" s="146"/>
      <c r="AA116" s="143"/>
      <c r="AB116" s="146"/>
      <c r="AC116" s="158"/>
      <c r="AD116" s="381"/>
      <c r="AE116" s="217"/>
      <c r="AG116" s="141">
        <v>46110</v>
      </c>
      <c r="AH116" s="142"/>
      <c r="AI116" s="142"/>
      <c r="AJ116" s="142"/>
      <c r="AK116" s="142"/>
      <c r="AL116" s="142"/>
      <c r="AM116" s="142"/>
      <c r="AN116" s="142"/>
      <c r="AO116" s="142"/>
      <c r="AP116" s="143"/>
      <c r="AQ116" s="143"/>
      <c r="AR116" s="146"/>
      <c r="AS116" s="158"/>
      <c r="AT116" s="381"/>
      <c r="AU116" s="217"/>
      <c r="AW116" s="141">
        <v>46110</v>
      </c>
      <c r="AX116" s="142"/>
      <c r="AY116" s="142"/>
      <c r="AZ116" s="142"/>
      <c r="BA116" s="142"/>
      <c r="BB116" s="142"/>
      <c r="BC116" s="142"/>
      <c r="BD116" s="142"/>
      <c r="BE116" s="142"/>
      <c r="BF116" s="143"/>
      <c r="BG116" s="143"/>
      <c r="BH116" s="146"/>
      <c r="BI116" s="158"/>
      <c r="BJ116" s="381"/>
      <c r="BK116" s="217"/>
      <c r="BN116">
        <f>'[7]2026 Március'!B$30</f>
        <v>1268750</v>
      </c>
      <c r="BY116" s="267"/>
      <c r="CI116" s="9"/>
    </row>
    <row r="117" spans="1:87" ht="15" customHeight="1">
      <c r="A117" s="141">
        <v>46111</v>
      </c>
      <c r="B117" s="11"/>
      <c r="C117" s="11"/>
      <c r="D117" s="11"/>
      <c r="E117" s="11"/>
      <c r="F117" s="11"/>
      <c r="G117" s="11"/>
      <c r="H117" s="11"/>
      <c r="I117" s="11">
        <f ca="1">I117-J117</f>
        <v>0</v>
      </c>
      <c r="J117" s="72"/>
      <c r="K117" s="38"/>
      <c r="L117" s="72"/>
      <c r="M117" s="9"/>
      <c r="N117" s="216"/>
      <c r="O117" s="214"/>
      <c r="P117" s="134"/>
      <c r="Q117" s="141">
        <v>46111</v>
      </c>
      <c r="R117" s="11"/>
      <c r="S117" s="11"/>
      <c r="T117" s="11"/>
      <c r="U117" s="11"/>
      <c r="V117" s="11"/>
      <c r="W117" s="11"/>
      <c r="X117" s="11"/>
      <c r="Y117" s="11"/>
      <c r="Z117" s="72"/>
      <c r="AA117" s="38"/>
      <c r="AB117" s="72"/>
      <c r="AC117" s="9"/>
      <c r="AD117" s="216"/>
      <c r="AE117" s="214"/>
      <c r="AG117" s="141">
        <v>46111</v>
      </c>
      <c r="AH117" s="11"/>
      <c r="AI117" s="11"/>
      <c r="AJ117" s="11"/>
      <c r="AK117" s="11"/>
      <c r="AL117" s="11"/>
      <c r="AM117" s="11"/>
      <c r="AN117" s="11"/>
      <c r="AO117" s="11"/>
      <c r="AP117" s="38"/>
      <c r="AQ117" s="38"/>
      <c r="AR117" s="72"/>
      <c r="AS117" s="9"/>
      <c r="AT117" s="216"/>
      <c r="AU117" s="214"/>
      <c r="AW117" s="141">
        <v>46111</v>
      </c>
      <c r="AX117" s="11"/>
      <c r="AY117" s="11"/>
      <c r="AZ117" s="11"/>
      <c r="BA117" s="11"/>
      <c r="BB117" s="11"/>
      <c r="BC117" s="11"/>
      <c r="BD117" s="11"/>
      <c r="BE117" s="11"/>
      <c r="BF117" s="38"/>
      <c r="BG117" s="38"/>
      <c r="BH117" s="72"/>
      <c r="BI117" s="9"/>
      <c r="BJ117" s="216"/>
      <c r="BK117" s="214"/>
      <c r="BN117">
        <f>'[7]2026 Március'!B$31</f>
        <v>0</v>
      </c>
      <c r="BY117" s="267"/>
      <c r="CI117" s="9"/>
    </row>
    <row r="118" spans="1:87" ht="15" customHeight="1">
      <c r="A118" s="141">
        <v>46112</v>
      </c>
      <c r="B118" s="11">
        <v>7950</v>
      </c>
      <c r="C118" s="11"/>
      <c r="D118" s="11">
        <v>6470</v>
      </c>
      <c r="E118" s="11">
        <v>1480</v>
      </c>
      <c r="F118" s="11"/>
      <c r="G118" s="11">
        <v>3660</v>
      </c>
      <c r="H118" s="11">
        <v>4290</v>
      </c>
      <c r="I118" s="11">
        <v>4290</v>
      </c>
      <c r="J118" s="72">
        <v>0</v>
      </c>
      <c r="K118" s="38" t="s">
        <v>824</v>
      </c>
      <c r="L118" s="72">
        <v>113059608</v>
      </c>
      <c r="M118" s="9"/>
      <c r="N118" s="216"/>
      <c r="O118" s="214"/>
      <c r="P118" s="134"/>
      <c r="Q118" s="141">
        <v>46112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72">
        <v>0</v>
      </c>
      <c r="AA118" s="38" t="s">
        <v>108</v>
      </c>
      <c r="AB118" s="72">
        <v>46375797</v>
      </c>
      <c r="AC118" s="9"/>
      <c r="AD118" s="216"/>
      <c r="AE118" s="214"/>
      <c r="AG118" s="141">
        <v>46112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38" t="s">
        <v>312</v>
      </c>
      <c r="AQ118" s="38" t="s">
        <v>110</v>
      </c>
      <c r="AR118" s="72">
        <v>277375359</v>
      </c>
      <c r="AS118" s="9"/>
      <c r="AT118" s="216"/>
      <c r="AU118" s="214"/>
      <c r="AW118" s="141">
        <v>46112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38" t="s">
        <v>312</v>
      </c>
      <c r="BG118" s="38" t="s">
        <v>825</v>
      </c>
      <c r="BH118" s="72">
        <v>220449392</v>
      </c>
      <c r="BI118" s="9"/>
      <c r="BJ118" s="216"/>
      <c r="BK118" s="214"/>
      <c r="BN118">
        <f>'[7]2026 Március'!B$32</f>
        <v>0</v>
      </c>
      <c r="BY118" s="267"/>
      <c r="CI118" s="9"/>
    </row>
    <row r="119" spans="1:87" ht="15" customHeight="1">
      <c r="A119" s="141">
        <v>46112</v>
      </c>
      <c r="B119" s="11"/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206">
        <v>0</v>
      </c>
      <c r="K119" s="205" t="s">
        <v>106</v>
      </c>
      <c r="L119" s="206">
        <v>113059608</v>
      </c>
      <c r="M119" s="380"/>
      <c r="N119" s="216"/>
      <c r="O119" s="214"/>
      <c r="P119" s="134"/>
      <c r="Q119" s="141"/>
      <c r="R119" s="11"/>
      <c r="S119" s="11"/>
      <c r="T119" s="11"/>
      <c r="U119" s="11"/>
      <c r="V119" s="11"/>
      <c r="W119" s="11"/>
      <c r="X119" s="11"/>
      <c r="Y119" s="11"/>
      <c r="Z119" s="206"/>
      <c r="AA119" s="205"/>
      <c r="AB119" s="206"/>
      <c r="AC119" s="380"/>
      <c r="AD119" s="216"/>
      <c r="AE119" s="214"/>
      <c r="AG119" s="141"/>
      <c r="AH119" s="11"/>
      <c r="AI119" s="11"/>
      <c r="AJ119" s="11"/>
      <c r="AK119" s="11"/>
      <c r="AL119" s="11"/>
      <c r="AM119" s="11"/>
      <c r="AN119" s="11"/>
      <c r="AO119" s="11"/>
      <c r="AP119" s="205"/>
      <c r="AQ119" s="205"/>
      <c r="AR119" s="206"/>
      <c r="AS119" s="380"/>
      <c r="AT119" s="216"/>
      <c r="AU119" s="214"/>
      <c r="AW119" s="141"/>
      <c r="AX119" s="11"/>
      <c r="AY119" s="11"/>
      <c r="AZ119" s="11"/>
      <c r="BA119" s="11"/>
      <c r="BB119" s="11"/>
      <c r="BC119" s="11"/>
      <c r="BD119" s="11"/>
      <c r="BE119" s="11"/>
      <c r="BF119" s="205"/>
      <c r="BG119" s="205"/>
      <c r="BH119" s="206"/>
      <c r="BI119" s="380"/>
      <c r="BJ119" s="216"/>
      <c r="BK119" s="214"/>
      <c r="BN119">
        <f>'[7]2026 Március'!B$33</f>
        <v>7950</v>
      </c>
      <c r="BY119" s="267"/>
      <c r="CI119" s="9"/>
    </row>
    <row r="120" spans="1:87" ht="15" customHeight="1">
      <c r="A120" s="18" t="s">
        <v>64</v>
      </c>
      <c r="B120" s="362"/>
      <c r="C120" s="19">
        <f>SUM(C86:C119)</f>
        <v>12050</v>
      </c>
      <c r="D120" s="19">
        <f>SUM(D86:D119)</f>
        <v>2689383</v>
      </c>
      <c r="E120" s="19">
        <f>SUM(E86:E119)</f>
        <v>400790</v>
      </c>
      <c r="F120" s="19">
        <f>SUM(F86:F119)</f>
        <v>522069</v>
      </c>
      <c r="G120" s="20">
        <f>SUM(G86:G119)</f>
        <v>1134560</v>
      </c>
      <c r="H120" s="20">
        <f>SUM(H86:H119)</f>
        <v>2549719</v>
      </c>
      <c r="I120" s="39">
        <f ca="1">SUM(I86:I119)</f>
        <v>0</v>
      </c>
      <c r="J120" s="12"/>
      <c r="K120" s="373"/>
      <c r="L120" s="12">
        <v>113059608</v>
      </c>
      <c r="M120" s="54">
        <v>3624292</v>
      </c>
      <c r="N120" s="382"/>
      <c r="O120" s="214"/>
      <c r="P120" s="134"/>
      <c r="Q120" s="18" t="s">
        <v>64</v>
      </c>
      <c r="R120" s="362"/>
      <c r="S120" s="19">
        <f>SUM(S86:S119)</f>
        <v>12500</v>
      </c>
      <c r="T120" s="19">
        <f>SUM(T86:T119)</f>
        <v>16010</v>
      </c>
      <c r="U120" s="19">
        <f>SUM(U86:U119)</f>
        <v>28550</v>
      </c>
      <c r="V120" s="19">
        <f>SUM(V86:V119)</f>
        <v>403061</v>
      </c>
      <c r="W120" s="20">
        <f>SUM(W86:W119)</f>
        <v>136215</v>
      </c>
      <c r="X120" s="20">
        <f>SUM(X86:X119)</f>
        <v>323912</v>
      </c>
      <c r="Y120" s="39">
        <f>SUM(Y86:Y119)</f>
        <v>335180</v>
      </c>
      <c r="Z120" s="32"/>
      <c r="AA120" s="373"/>
      <c r="AB120" s="12">
        <v>46375797</v>
      </c>
      <c r="AC120" s="54">
        <v>460121</v>
      </c>
      <c r="AD120" s="382"/>
      <c r="AE120" s="214"/>
      <c r="AG120" s="18" t="s">
        <v>64</v>
      </c>
      <c r="AH120" s="362"/>
      <c r="AI120" s="19">
        <f>SUM(AI86:AI119)</f>
        <v>0</v>
      </c>
      <c r="AJ120" s="19">
        <f>SUM(AJ86:AJ119)</f>
        <v>0</v>
      </c>
      <c r="AK120" s="19">
        <f>SUM(AK86:AK119)</f>
        <v>0</v>
      </c>
      <c r="AL120" s="19">
        <f>SUM(AL86:AL119)</f>
        <v>0</v>
      </c>
      <c r="AM120" s="20">
        <f>SUM(AM86:AM119)</f>
        <v>0</v>
      </c>
      <c r="AN120" s="20">
        <f>SUM(AN86:AN119)</f>
        <v>0</v>
      </c>
      <c r="AO120" s="39">
        <f>SUM(AO86:AO119)</f>
        <v>0</v>
      </c>
      <c r="AP120" s="32"/>
      <c r="AQ120" s="373"/>
      <c r="AR120" s="12">
        <v>277375359</v>
      </c>
      <c r="AS120" s="54">
        <v>0</v>
      </c>
      <c r="AT120" s="382"/>
      <c r="AU120" s="214"/>
      <c r="AW120" s="18" t="s">
        <v>64</v>
      </c>
      <c r="AX120" s="362"/>
      <c r="AY120" s="19">
        <f>SUM(AY86:AY119)</f>
        <v>200</v>
      </c>
      <c r="AZ120" s="19">
        <f>SUM(AZ86:AZ119)</f>
        <v>80120</v>
      </c>
      <c r="BA120" s="19">
        <f>SUM(BA86:BA119)</f>
        <v>12030</v>
      </c>
      <c r="BB120" s="19">
        <f>SUM(BB86:BB119)</f>
        <v>8030</v>
      </c>
      <c r="BC120" s="20">
        <f>SUM(BC86:BC119)</f>
        <v>24640</v>
      </c>
      <c r="BD120" s="20">
        <f>SUM(BD86:BD119)</f>
        <v>75740</v>
      </c>
      <c r="BE120" s="39">
        <f>SUM(BE86:BE119)</f>
        <v>73000</v>
      </c>
      <c r="BF120" s="32"/>
      <c r="BG120" s="373"/>
      <c r="BH120" s="12">
        <v>220449392</v>
      </c>
      <c r="BI120" s="54">
        <v>100380</v>
      </c>
      <c r="BJ120" s="382"/>
      <c r="BK120" s="214"/>
      <c r="BY120" s="267"/>
      <c r="CI120" s="9"/>
    </row>
    <row r="121" spans="1:87" ht="15" customHeight="1">
      <c r="A121" s="5"/>
      <c r="B121" s="11"/>
      <c r="C121" s="29">
        <f>C120+D120+E120+F120</f>
        <v>3624292</v>
      </c>
      <c r="D121" s="10"/>
      <c r="E121" s="10"/>
      <c r="F121" s="10"/>
      <c r="G121" s="47">
        <f>G120+H120</f>
        <v>3684279</v>
      </c>
      <c r="H121" s="10"/>
      <c r="I121" s="10"/>
      <c r="J121" s="33"/>
      <c r="K121" s="33"/>
      <c r="L121" s="414"/>
      <c r="M121" s="9"/>
      <c r="N121" s="382"/>
      <c r="O121" s="214"/>
      <c r="P121" s="134"/>
      <c r="Q121" s="5"/>
      <c r="R121" s="11"/>
      <c r="S121" s="29">
        <f>S120+T120+U120+V120</f>
        <v>460121</v>
      </c>
      <c r="T121" s="10"/>
      <c r="U121" s="10"/>
      <c r="V121" s="10"/>
      <c r="W121" s="47">
        <f>W120+X120</f>
        <v>460127</v>
      </c>
      <c r="X121" s="10"/>
      <c r="Y121" s="10"/>
      <c r="Z121" s="33"/>
      <c r="AA121" s="33"/>
      <c r="AB121" s="11"/>
      <c r="AC121" s="9"/>
      <c r="AD121" s="382"/>
      <c r="AE121" s="214"/>
      <c r="AG121" s="5"/>
      <c r="AH121" s="11"/>
      <c r="AI121" s="29">
        <f>AI120+AJ120+AK120+AL120</f>
        <v>0</v>
      </c>
      <c r="AJ121" s="10"/>
      <c r="AK121" s="10"/>
      <c r="AL121" s="10"/>
      <c r="AM121" s="47">
        <f>AM120+AN120</f>
        <v>0</v>
      </c>
      <c r="AN121" s="10"/>
      <c r="AO121" s="10"/>
      <c r="AP121" s="33"/>
      <c r="AQ121" s="33"/>
      <c r="AR121" s="414"/>
      <c r="AS121" s="9"/>
      <c r="AT121" s="382"/>
      <c r="AU121" s="214"/>
      <c r="AW121" s="5"/>
      <c r="AX121" s="11"/>
      <c r="AY121" s="29">
        <f>AY120+AZ120+BA120+BB120</f>
        <v>100380</v>
      </c>
      <c r="AZ121" s="10"/>
      <c r="BA121" s="10"/>
      <c r="BB121" s="10"/>
      <c r="BC121" s="47">
        <f>BC120+BD120</f>
        <v>100380</v>
      </c>
      <c r="BD121" s="10"/>
      <c r="BE121" s="10"/>
      <c r="BF121" s="33"/>
      <c r="BG121" s="33"/>
      <c r="BH121" s="414"/>
      <c r="BI121" s="9"/>
      <c r="BJ121" s="382"/>
      <c r="BK121" s="214"/>
      <c r="BY121" s="267"/>
    </row>
    <row r="122" spans="1:87" ht="15" customHeight="1">
      <c r="A122" s="67"/>
      <c r="C122"/>
      <c r="D122"/>
      <c r="E122"/>
      <c r="F122"/>
      <c r="G122"/>
      <c r="H122"/>
      <c r="I122"/>
      <c r="J122"/>
      <c r="K122"/>
      <c r="L122" s="261"/>
      <c r="M122" s="261"/>
      <c r="N122" s="136"/>
      <c r="O122" s="134"/>
      <c r="P122" s="134"/>
      <c r="Q122" s="67"/>
      <c r="R122" s="356"/>
      <c r="S122"/>
      <c r="T122"/>
      <c r="U122"/>
      <c r="V122"/>
      <c r="W122"/>
      <c r="X122"/>
      <c r="Y122"/>
      <c r="Z122"/>
      <c r="AA122" s="37"/>
      <c r="AB122" s="261"/>
      <c r="AC122" s="261"/>
      <c r="AD122" s="136"/>
      <c r="AE122" s="134"/>
      <c r="AG122" s="67"/>
      <c r="AH122" s="356"/>
      <c r="AR122" s="261"/>
      <c r="AS122" s="261"/>
      <c r="AT122" s="136"/>
      <c r="AU122" s="134"/>
      <c r="AW122" s="67"/>
      <c r="AX122" s="356"/>
      <c r="BH122" s="261"/>
      <c r="BI122" s="261"/>
      <c r="BJ122" s="136"/>
      <c r="BK122" s="134"/>
    </row>
    <row r="123" spans="1:87" ht="15" customHeight="1">
      <c r="A123" s="403" t="s">
        <v>177</v>
      </c>
      <c r="B123" s="404"/>
      <c r="C123" s="405"/>
      <c r="D123" s="405"/>
      <c r="E123" s="405"/>
      <c r="F123" s="406"/>
      <c r="G123" s="406"/>
      <c r="H123" s="406"/>
      <c r="I123" s="406"/>
      <c r="J123" s="407"/>
      <c r="K123" s="408"/>
      <c r="L123" s="261"/>
      <c r="M123" s="261"/>
      <c r="N123" s="136"/>
      <c r="O123" s="134"/>
      <c r="P123" s="134"/>
      <c r="Q123" s="403" t="s">
        <v>177</v>
      </c>
      <c r="R123" s="404"/>
      <c r="S123" s="405"/>
      <c r="T123" s="405"/>
      <c r="U123" s="405"/>
      <c r="V123" s="406"/>
      <c r="W123" s="406"/>
      <c r="X123" s="406"/>
      <c r="Y123" s="406"/>
      <c r="Z123" s="407"/>
      <c r="AA123" s="415"/>
      <c r="AB123" s="261"/>
      <c r="AC123" s="261"/>
      <c r="AD123" s="136"/>
      <c r="AE123" s="134"/>
      <c r="AG123" s="403" t="s">
        <v>177</v>
      </c>
      <c r="AH123" s="404"/>
      <c r="AI123" s="405"/>
      <c r="AJ123" s="405"/>
      <c r="AK123" s="405"/>
      <c r="AL123" s="406"/>
      <c r="AM123" s="406"/>
      <c r="AN123" s="406"/>
      <c r="AO123" s="406"/>
      <c r="AP123" s="407"/>
      <c r="AQ123" s="408"/>
      <c r="AR123" s="261"/>
      <c r="AS123" s="261"/>
      <c r="AT123" s="136"/>
      <c r="AU123" s="134"/>
      <c r="AW123" s="403" t="s">
        <v>177</v>
      </c>
      <c r="AX123" s="404"/>
      <c r="AY123" s="405"/>
      <c r="AZ123" s="405"/>
      <c r="BA123" s="405"/>
      <c r="BB123" s="406"/>
      <c r="BC123" s="406"/>
      <c r="BD123" s="406"/>
      <c r="BE123" s="406"/>
      <c r="BF123" s="407"/>
      <c r="BG123" s="408"/>
      <c r="BH123" s="261"/>
      <c r="BI123" s="261"/>
      <c r="BJ123" s="136"/>
      <c r="BK123" s="134"/>
    </row>
    <row r="124" spans="1:87" ht="15" customHeight="1">
      <c r="A124" s="409"/>
      <c r="B124" s="402"/>
      <c r="C124" s="402"/>
      <c r="D124" s="402"/>
      <c r="E124" s="402"/>
      <c r="F124" s="402"/>
      <c r="G124" s="396"/>
      <c r="H124" s="396"/>
      <c r="I124" s="396"/>
      <c r="J124" s="396"/>
      <c r="K124" s="410"/>
      <c r="L124" s="261"/>
      <c r="M124" s="261"/>
      <c r="N124" s="136"/>
      <c r="O124" s="134"/>
      <c r="P124" s="134"/>
      <c r="Q124" s="409"/>
      <c r="R124" s="402"/>
      <c r="S124" s="402"/>
      <c r="T124" s="402"/>
      <c r="U124" s="402"/>
      <c r="V124" s="402"/>
      <c r="W124" s="396"/>
      <c r="X124" s="396"/>
      <c r="Y124" s="396"/>
      <c r="Z124" s="396"/>
      <c r="AA124" s="416"/>
      <c r="AB124" s="261"/>
      <c r="AC124" s="261"/>
      <c r="AD124" s="136"/>
      <c r="AE124" s="134"/>
      <c r="AG124" s="409"/>
      <c r="AH124" s="402"/>
      <c r="AI124" s="402"/>
      <c r="AJ124" s="402"/>
      <c r="AK124" s="402"/>
      <c r="AL124" s="402"/>
      <c r="AM124" s="396"/>
      <c r="AN124" s="396"/>
      <c r="AO124" s="396"/>
      <c r="AP124" s="396"/>
      <c r="AQ124" s="410"/>
      <c r="AR124" s="261"/>
      <c r="AS124" s="261"/>
      <c r="AT124" s="136"/>
      <c r="AU124" s="134"/>
      <c r="AW124" s="409"/>
      <c r="AX124" s="402"/>
      <c r="AY124" s="402"/>
      <c r="AZ124" s="402"/>
      <c r="BA124" s="402"/>
      <c r="BB124" s="402"/>
      <c r="BC124" s="396"/>
      <c r="BD124" s="396"/>
      <c r="BE124" s="396"/>
      <c r="BF124" s="396"/>
      <c r="BG124" s="410"/>
      <c r="BH124" s="261"/>
      <c r="BI124" s="261"/>
      <c r="BJ124" s="136"/>
      <c r="BK124" s="134"/>
    </row>
    <row r="125" spans="1:87" ht="15" customHeight="1">
      <c r="A125" s="628"/>
      <c r="B125" s="629"/>
      <c r="C125" s="629"/>
      <c r="D125" s="629"/>
      <c r="E125" s="629"/>
      <c r="F125" s="629"/>
      <c r="G125" s="411"/>
      <c r="H125" s="411"/>
      <c r="I125" s="411"/>
      <c r="J125" s="411"/>
      <c r="K125" s="412"/>
      <c r="L125" s="261"/>
      <c r="M125" s="261"/>
      <c r="N125" s="136"/>
      <c r="O125" s="134"/>
      <c r="P125" s="134"/>
      <c r="Q125" s="628"/>
      <c r="R125" s="629"/>
      <c r="S125" s="629"/>
      <c r="T125" s="629"/>
      <c r="U125" s="629"/>
      <c r="V125" s="629"/>
      <c r="W125" s="411"/>
      <c r="X125" s="411"/>
      <c r="Y125" s="411"/>
      <c r="Z125" s="411"/>
      <c r="AA125" s="527"/>
      <c r="AB125" s="261"/>
      <c r="AC125" s="261"/>
      <c r="AD125" s="136"/>
      <c r="AE125" s="134"/>
      <c r="AG125" s="628"/>
      <c r="AH125" s="629"/>
      <c r="AI125" s="629"/>
      <c r="AJ125" s="629"/>
      <c r="AK125" s="629"/>
      <c r="AL125" s="629"/>
      <c r="AM125" s="411"/>
      <c r="AN125" s="411"/>
      <c r="AO125" s="411"/>
      <c r="AP125" s="411"/>
      <c r="AQ125" s="412"/>
      <c r="AR125" s="261"/>
      <c r="AS125" s="261"/>
      <c r="AT125" s="136"/>
      <c r="AU125" s="134"/>
      <c r="AW125" s="496"/>
      <c r="AX125" s="497"/>
      <c r="AY125" s="497"/>
      <c r="AZ125" s="497"/>
      <c r="BA125" s="497"/>
      <c r="BB125" s="497"/>
      <c r="BC125" s="411"/>
      <c r="BD125" s="411"/>
      <c r="BE125" s="411"/>
      <c r="BF125" s="411"/>
      <c r="BG125" s="412"/>
      <c r="BH125" s="261"/>
      <c r="BI125" s="261"/>
      <c r="BJ125" s="136"/>
      <c r="BK125" s="134"/>
    </row>
    <row r="126" spans="1:87" ht="15" customHeight="1">
      <c r="R126" s="356"/>
      <c r="AA126" s="35"/>
    </row>
    <row r="127" spans="1:87" ht="15" customHeight="1">
      <c r="R127" s="356"/>
      <c r="AA127" s="35"/>
    </row>
    <row r="128" spans="1:87" ht="15" customHeight="1">
      <c r="A128" s="66" t="s">
        <v>559</v>
      </c>
      <c r="B128" s="351"/>
      <c r="C128" s="26"/>
      <c r="D128" s="26"/>
      <c r="E128" s="26"/>
      <c r="F128" s="26"/>
      <c r="G128" s="26"/>
      <c r="H128" s="26"/>
      <c r="I128" s="26"/>
      <c r="J128" s="34"/>
      <c r="K128" s="349"/>
      <c r="L128" s="255"/>
      <c r="M128" s="157"/>
      <c r="N128" s="385"/>
      <c r="O128" s="384"/>
      <c r="P128" s="134"/>
      <c r="Q128" s="66" t="s">
        <v>559</v>
      </c>
      <c r="R128" s="351"/>
      <c r="S128" s="26"/>
      <c r="T128" s="26"/>
      <c r="U128" s="26"/>
      <c r="V128" s="26"/>
      <c r="W128" s="26"/>
      <c r="X128" s="26"/>
      <c r="Y128" s="26"/>
      <c r="Z128" s="34"/>
      <c r="AA128" s="34"/>
      <c r="AB128" s="255"/>
      <c r="AC128" s="157"/>
      <c r="AD128" s="157"/>
      <c r="AE128" s="383"/>
      <c r="AG128" s="66" t="s">
        <v>559</v>
      </c>
      <c r="AH128" s="351"/>
      <c r="AI128" s="26"/>
      <c r="AJ128" s="26"/>
      <c r="AK128" s="26"/>
      <c r="AL128" s="26"/>
      <c r="AM128" s="26"/>
      <c r="AN128" s="26"/>
      <c r="AO128" s="26"/>
      <c r="AP128" s="34"/>
      <c r="AQ128" s="349"/>
      <c r="AR128" s="255"/>
      <c r="AS128" s="157"/>
      <c r="AT128" s="157"/>
      <c r="AU128" s="383"/>
      <c r="AW128" s="66" t="s">
        <v>559</v>
      </c>
      <c r="AX128" s="351"/>
      <c r="AY128" s="26"/>
      <c r="AZ128" s="26"/>
      <c r="BA128" s="26"/>
      <c r="BB128" s="26"/>
      <c r="BC128" s="26"/>
      <c r="BD128" s="26"/>
      <c r="BE128" s="26"/>
      <c r="BF128" s="34"/>
      <c r="BG128" s="349"/>
      <c r="BH128" s="255"/>
      <c r="BI128" s="157"/>
      <c r="BJ128" s="157"/>
      <c r="BK128" s="383"/>
      <c r="BY128" s="8"/>
      <c r="CI128" s="386"/>
    </row>
    <row r="129" spans="1:96" ht="15" customHeight="1">
      <c r="A129" s="141">
        <v>46113</v>
      </c>
      <c r="B129" s="15">
        <v>13510</v>
      </c>
      <c r="C129" s="15">
        <v>50</v>
      </c>
      <c r="D129" s="15">
        <v>11800</v>
      </c>
      <c r="E129" s="15">
        <v>0</v>
      </c>
      <c r="F129" s="15">
        <v>1660</v>
      </c>
      <c r="G129" s="15">
        <v>3350</v>
      </c>
      <c r="H129" s="15">
        <v>10160</v>
      </c>
      <c r="I129" s="15">
        <v>10160</v>
      </c>
      <c r="J129" s="571">
        <v>342</v>
      </c>
      <c r="K129" s="565" t="s">
        <v>826</v>
      </c>
      <c r="L129" s="571">
        <v>113073118</v>
      </c>
      <c r="M129" s="568"/>
      <c r="N129" s="569"/>
      <c r="O129" s="570"/>
      <c r="P129" s="134"/>
      <c r="Q129" s="141">
        <v>46113</v>
      </c>
      <c r="R129" s="15"/>
      <c r="S129" s="15"/>
      <c r="T129" s="15"/>
      <c r="U129" s="15"/>
      <c r="V129" s="15"/>
      <c r="W129" s="15"/>
      <c r="X129" s="15"/>
      <c r="Y129" s="15"/>
      <c r="Z129" s="571"/>
      <c r="AA129" s="565"/>
      <c r="AB129" s="571"/>
      <c r="AC129" s="568"/>
      <c r="AD129" s="569"/>
      <c r="AE129" s="570"/>
      <c r="AG129" s="141">
        <v>46113</v>
      </c>
      <c r="AH129" s="15"/>
      <c r="AI129" s="15"/>
      <c r="AJ129" s="15"/>
      <c r="AK129" s="15"/>
      <c r="AL129" s="15"/>
      <c r="AM129" s="15"/>
      <c r="AN129" s="15"/>
      <c r="AO129" s="15"/>
      <c r="AP129" s="565"/>
      <c r="AQ129" s="566"/>
      <c r="AR129" s="567"/>
      <c r="AS129" s="568"/>
      <c r="AT129" s="569"/>
      <c r="AU129" s="570"/>
      <c r="AW129" s="141">
        <v>46113</v>
      </c>
      <c r="AX129" s="15"/>
      <c r="AY129" s="15"/>
      <c r="AZ129" s="15"/>
      <c r="BA129" s="15"/>
      <c r="BB129" s="15"/>
      <c r="BC129" s="15"/>
      <c r="BD129" s="15"/>
      <c r="BE129" s="15"/>
      <c r="BF129" s="565"/>
      <c r="BG129" s="566"/>
      <c r="BH129" s="567"/>
      <c r="BI129" s="568"/>
      <c r="BJ129" s="569"/>
      <c r="BK129" s="570"/>
      <c r="BN129">
        <f>'[7]2026 Március'!B$2</f>
        <v>507500</v>
      </c>
      <c r="BY129" s="267"/>
      <c r="CI129" s="387"/>
    </row>
    <row r="130" spans="1:96" ht="15" customHeight="1">
      <c r="A130" s="141">
        <v>46114</v>
      </c>
      <c r="B130" s="15"/>
      <c r="C130" s="15"/>
      <c r="D130" s="15"/>
      <c r="E130" s="15"/>
      <c r="F130" s="15"/>
      <c r="G130" s="15"/>
      <c r="H130" s="15"/>
      <c r="I130" s="15"/>
      <c r="J130" s="571"/>
      <c r="K130" s="565"/>
      <c r="L130" s="571"/>
      <c r="M130" s="568"/>
      <c r="N130" s="569"/>
      <c r="O130" s="570"/>
      <c r="P130" s="134"/>
      <c r="Q130" s="141">
        <v>46114</v>
      </c>
      <c r="R130" s="15"/>
      <c r="S130" s="15"/>
      <c r="T130" s="15"/>
      <c r="U130" s="15"/>
      <c r="V130" s="15"/>
      <c r="W130" s="15"/>
      <c r="X130" s="15"/>
      <c r="Y130" s="15"/>
      <c r="Z130" s="571"/>
      <c r="AA130" s="565"/>
      <c r="AB130" s="571"/>
      <c r="AC130" s="568"/>
      <c r="AD130" s="569"/>
      <c r="AE130" s="570"/>
      <c r="AG130" s="141">
        <v>46114</v>
      </c>
      <c r="AH130" s="15"/>
      <c r="AI130" s="15"/>
      <c r="AJ130" s="15"/>
      <c r="AK130" s="15"/>
      <c r="AL130" s="15"/>
      <c r="AM130" s="15"/>
      <c r="AN130" s="15"/>
      <c r="AO130" s="15"/>
      <c r="AP130" s="565"/>
      <c r="AQ130" s="565"/>
      <c r="AR130" s="571"/>
      <c r="AS130" s="568"/>
      <c r="AT130" s="569"/>
      <c r="AU130" s="570"/>
      <c r="AW130" s="141">
        <v>46114</v>
      </c>
      <c r="AX130" s="15"/>
      <c r="AY130" s="15"/>
      <c r="AZ130" s="15"/>
      <c r="BA130" s="15"/>
      <c r="BB130" s="15"/>
      <c r="BC130" s="15"/>
      <c r="BD130" s="15"/>
      <c r="BE130" s="15"/>
      <c r="BF130" s="565"/>
      <c r="BG130" s="565"/>
      <c r="BH130" s="571"/>
      <c r="BI130" s="568"/>
      <c r="BJ130" s="569"/>
      <c r="BK130" s="570"/>
      <c r="BN130">
        <f>'[7]2026 Március'!B$3</f>
        <v>308253</v>
      </c>
      <c r="BY130" s="267"/>
      <c r="CI130" s="9"/>
    </row>
    <row r="131" spans="1:96" ht="15" customHeight="1">
      <c r="A131" s="141">
        <v>46115</v>
      </c>
      <c r="B131" s="142"/>
      <c r="C131" s="142"/>
      <c r="D131" s="142"/>
      <c r="E131" s="142"/>
      <c r="F131" s="142"/>
      <c r="G131" s="142"/>
      <c r="H131" s="142"/>
      <c r="I131" s="142"/>
      <c r="J131" s="146"/>
      <c r="K131" s="143"/>
      <c r="L131" s="146"/>
      <c r="M131" s="158"/>
      <c r="N131" s="381"/>
      <c r="O131" s="217"/>
      <c r="P131" s="134"/>
      <c r="Q131" s="141">
        <v>46115</v>
      </c>
      <c r="R131" s="142"/>
      <c r="S131" s="142"/>
      <c r="T131" s="142"/>
      <c r="U131" s="142"/>
      <c r="V131" s="142"/>
      <c r="W131" s="142"/>
      <c r="X131" s="142"/>
      <c r="Y131" s="142"/>
      <c r="Z131" s="146"/>
      <c r="AA131" s="143"/>
      <c r="AB131" s="146"/>
      <c r="AC131" s="158"/>
      <c r="AD131" s="381"/>
      <c r="AE131" s="217"/>
      <c r="AG131" s="141">
        <v>46115</v>
      </c>
      <c r="AH131" s="142"/>
      <c r="AI131" s="142"/>
      <c r="AJ131" s="142"/>
      <c r="AK131" s="142"/>
      <c r="AL131" s="142"/>
      <c r="AM131" s="142"/>
      <c r="AN131" s="142"/>
      <c r="AO131" s="142"/>
      <c r="AP131" s="143"/>
      <c r="AQ131" s="143"/>
      <c r="AR131" s="146"/>
      <c r="AS131" s="158"/>
      <c r="AT131" s="381"/>
      <c r="AU131" s="217"/>
      <c r="AW131" s="141">
        <v>46115</v>
      </c>
      <c r="AX131" s="142"/>
      <c r="AY131" s="142"/>
      <c r="AZ131" s="142"/>
      <c r="BA131" s="142"/>
      <c r="BB131" s="142"/>
      <c r="BC131" s="142"/>
      <c r="BD131" s="142"/>
      <c r="BE131" s="142"/>
      <c r="BF131" s="143"/>
      <c r="BG131" s="143"/>
      <c r="BH131" s="146"/>
      <c r="BI131" s="158"/>
      <c r="BJ131" s="381"/>
      <c r="BK131" s="217"/>
      <c r="BN131">
        <f>'[7]2026 Március'!B$4</f>
        <v>0</v>
      </c>
      <c r="BY131" s="267"/>
      <c r="CI131" s="9"/>
    </row>
    <row r="132" spans="1:96" ht="15" customHeight="1">
      <c r="A132" s="141">
        <v>46116</v>
      </c>
      <c r="B132" s="142"/>
      <c r="C132" s="142"/>
      <c r="D132" s="142"/>
      <c r="E132" s="142"/>
      <c r="F132" s="142"/>
      <c r="G132" s="142"/>
      <c r="H132" s="142"/>
      <c r="I132" s="142"/>
      <c r="J132" s="146"/>
      <c r="K132" s="143"/>
      <c r="L132" s="146"/>
      <c r="M132" s="158"/>
      <c r="N132" s="381"/>
      <c r="O132" s="217"/>
      <c r="P132" s="134"/>
      <c r="Q132" s="141">
        <v>46116</v>
      </c>
      <c r="R132" s="142"/>
      <c r="S132" s="142"/>
      <c r="T132" s="142"/>
      <c r="U132" s="142"/>
      <c r="V132" s="142"/>
      <c r="W132" s="142"/>
      <c r="X132" s="142"/>
      <c r="Y132" s="142"/>
      <c r="Z132" s="146"/>
      <c r="AA132" s="143"/>
      <c r="AB132" s="146"/>
      <c r="AC132" s="158"/>
      <c r="AD132" s="381"/>
      <c r="AE132" s="217"/>
      <c r="AG132" s="141">
        <v>46116</v>
      </c>
      <c r="AH132" s="142"/>
      <c r="AI132" s="142"/>
      <c r="AJ132" s="142"/>
      <c r="AK132" s="142"/>
      <c r="AL132" s="142"/>
      <c r="AM132" s="142"/>
      <c r="AN132" s="142"/>
      <c r="AO132" s="142"/>
      <c r="AP132" s="143"/>
      <c r="AQ132" s="143"/>
      <c r="AR132" s="146"/>
      <c r="AS132" s="158"/>
      <c r="AT132" s="381"/>
      <c r="AU132" s="217"/>
      <c r="AW132" s="141">
        <v>46116</v>
      </c>
      <c r="AX132" s="142"/>
      <c r="AY132" s="142"/>
      <c r="AZ132" s="142"/>
      <c r="BA132" s="142"/>
      <c r="BB132" s="142"/>
      <c r="BC132" s="142"/>
      <c r="BD132" s="142"/>
      <c r="BE132" s="142"/>
      <c r="BF132" s="143"/>
      <c r="BG132" s="143"/>
      <c r="BH132" s="146"/>
      <c r="BI132" s="158"/>
      <c r="BJ132" s="381"/>
      <c r="BK132" s="217"/>
      <c r="BN132">
        <f>'[7]2026 Március'!B$5</f>
        <v>11630</v>
      </c>
      <c r="BY132" s="267"/>
      <c r="CI132" s="9"/>
    </row>
    <row r="133" spans="1:96" ht="15" customHeight="1">
      <c r="A133" s="141">
        <v>46117</v>
      </c>
      <c r="B133" s="142"/>
      <c r="C133" s="142"/>
      <c r="D133" s="142"/>
      <c r="E133" s="142"/>
      <c r="F133" s="142"/>
      <c r="G133" s="142"/>
      <c r="H133" s="142"/>
      <c r="I133" s="142"/>
      <c r="J133" s="146"/>
      <c r="K133" s="143"/>
      <c r="L133" s="146"/>
      <c r="M133" s="158"/>
      <c r="N133" s="381"/>
      <c r="O133" s="217"/>
      <c r="P133" s="134"/>
      <c r="Q133" s="141">
        <v>46117</v>
      </c>
      <c r="R133" s="142"/>
      <c r="S133" s="142"/>
      <c r="T133" s="142"/>
      <c r="U133" s="142"/>
      <c r="V133" s="142"/>
      <c r="W133" s="142"/>
      <c r="X133" s="142"/>
      <c r="Y133" s="142"/>
      <c r="Z133" s="146"/>
      <c r="AA133" s="143"/>
      <c r="AB133" s="146"/>
      <c r="AC133" s="158"/>
      <c r="AD133" s="381"/>
      <c r="AE133" s="217"/>
      <c r="AG133" s="141">
        <v>46117</v>
      </c>
      <c r="AH133" s="142"/>
      <c r="AI133" s="142"/>
      <c r="AJ133" s="142"/>
      <c r="AK133" s="142"/>
      <c r="AL133" s="142"/>
      <c r="AM133" s="142"/>
      <c r="AN133" s="142"/>
      <c r="AO133" s="142"/>
      <c r="AP133" s="143"/>
      <c r="AQ133" s="143"/>
      <c r="AR133" s="146"/>
      <c r="AS133" s="158"/>
      <c r="AT133" s="381"/>
      <c r="AU133" s="217"/>
      <c r="AW133" s="141">
        <v>46117</v>
      </c>
      <c r="AX133" s="142"/>
      <c r="AY133" s="142"/>
      <c r="AZ133" s="142"/>
      <c r="BA133" s="142"/>
      <c r="BB133" s="142"/>
      <c r="BC133" s="142"/>
      <c r="BD133" s="142"/>
      <c r="BE133" s="142"/>
      <c r="BF133" s="143"/>
      <c r="BG133" s="143"/>
      <c r="BH133" s="146"/>
      <c r="BI133" s="158"/>
      <c r="BJ133" s="381"/>
      <c r="BK133" s="217"/>
      <c r="BN133">
        <f>'[7]2026 Március'!B$6</f>
        <v>10710</v>
      </c>
      <c r="BY133" s="267"/>
      <c r="CI133" s="9"/>
    </row>
    <row r="134" spans="1:96" ht="15" customHeight="1">
      <c r="A134" s="141">
        <v>46118</v>
      </c>
      <c r="B134" s="142"/>
      <c r="C134" s="142"/>
      <c r="D134" s="142"/>
      <c r="E134" s="142"/>
      <c r="F134" s="142"/>
      <c r="G134" s="142"/>
      <c r="H134" s="142"/>
      <c r="I134" s="142"/>
      <c r="J134" s="146"/>
      <c r="K134" s="143"/>
      <c r="L134" s="146"/>
      <c r="M134" s="158"/>
      <c r="N134" s="381"/>
      <c r="O134" s="217"/>
      <c r="P134" s="134"/>
      <c r="Q134" s="141">
        <v>46118</v>
      </c>
      <c r="R134" s="142"/>
      <c r="S134" s="142"/>
      <c r="T134" s="142"/>
      <c r="U134" s="142"/>
      <c r="V134" s="142"/>
      <c r="W134" s="142"/>
      <c r="X134" s="142"/>
      <c r="Y134" s="142"/>
      <c r="Z134" s="146"/>
      <c r="AA134" s="143"/>
      <c r="AB134" s="146"/>
      <c r="AC134" s="158"/>
      <c r="AD134" s="381"/>
      <c r="AE134" s="217"/>
      <c r="AG134" s="141">
        <v>46118</v>
      </c>
      <c r="AH134" s="142"/>
      <c r="AI134" s="142"/>
      <c r="AJ134" s="142"/>
      <c r="AK134" s="142"/>
      <c r="AL134" s="142"/>
      <c r="AM134" s="142"/>
      <c r="AN134" s="142"/>
      <c r="AO134" s="142"/>
      <c r="AP134" s="143"/>
      <c r="AQ134" s="143"/>
      <c r="AR134" s="146"/>
      <c r="AS134" s="158"/>
      <c r="AT134" s="381"/>
      <c r="AU134" s="217"/>
      <c r="AW134" s="141">
        <v>46118</v>
      </c>
      <c r="AX134" s="142"/>
      <c r="AY134" s="142"/>
      <c r="AZ134" s="142"/>
      <c r="BA134" s="142"/>
      <c r="BB134" s="142"/>
      <c r="BC134" s="142"/>
      <c r="BD134" s="142"/>
      <c r="BE134" s="142"/>
      <c r="BF134" s="143"/>
      <c r="BG134" s="143"/>
      <c r="BH134" s="146"/>
      <c r="BI134" s="158"/>
      <c r="BJ134" s="381"/>
      <c r="BK134" s="217"/>
      <c r="BN134">
        <f>'[7]2026 Március'!B$7</f>
        <v>31050</v>
      </c>
      <c r="BY134" s="267"/>
      <c r="CI134" s="9"/>
    </row>
    <row r="135" spans="1:96" ht="15" customHeight="1">
      <c r="A135" s="141">
        <v>46119</v>
      </c>
      <c r="B135" s="15"/>
      <c r="C135" s="15"/>
      <c r="D135" s="15"/>
      <c r="E135" s="15"/>
      <c r="F135" s="15"/>
      <c r="G135" s="15"/>
      <c r="H135" s="15"/>
      <c r="I135" s="15"/>
      <c r="J135" s="571"/>
      <c r="K135" s="565"/>
      <c r="L135" s="571"/>
      <c r="M135" s="568"/>
      <c r="N135" s="569"/>
      <c r="O135" s="570"/>
      <c r="P135" s="134"/>
      <c r="Q135" s="141">
        <v>46119</v>
      </c>
      <c r="R135" s="15"/>
      <c r="S135" s="15"/>
      <c r="T135" s="15"/>
      <c r="U135" s="15"/>
      <c r="V135" s="15"/>
      <c r="W135" s="15"/>
      <c r="X135" s="15"/>
      <c r="Y135" s="15"/>
      <c r="Z135" s="571"/>
      <c r="AA135" s="565"/>
      <c r="AB135" s="571"/>
      <c r="AC135" s="568"/>
      <c r="AD135" s="569"/>
      <c r="AE135" s="570"/>
      <c r="AG135" s="141">
        <v>46119</v>
      </c>
      <c r="AH135" s="15"/>
      <c r="AI135" s="15"/>
      <c r="AJ135" s="15"/>
      <c r="AK135" s="15"/>
      <c r="AL135" s="15"/>
      <c r="AM135" s="15"/>
      <c r="AN135" s="15"/>
      <c r="AO135" s="15"/>
      <c r="AP135" s="565"/>
      <c r="AQ135" s="565"/>
      <c r="AR135" s="572"/>
      <c r="AS135" s="568"/>
      <c r="AT135" s="569"/>
      <c r="AU135" s="570"/>
      <c r="AW135" s="141">
        <v>46119</v>
      </c>
      <c r="AX135" s="15"/>
      <c r="AY135" s="15"/>
      <c r="AZ135" s="15"/>
      <c r="BA135" s="15"/>
      <c r="BB135" s="15"/>
      <c r="BC135" s="15"/>
      <c r="BD135" s="15"/>
      <c r="BE135" s="15"/>
      <c r="BF135" s="565"/>
      <c r="BG135" s="565"/>
      <c r="BH135" s="572"/>
      <c r="BI135" s="568"/>
      <c r="BJ135" s="569"/>
      <c r="BK135" s="570"/>
      <c r="BN135">
        <f>'[7]2026 Március'!B$8</f>
        <v>15930</v>
      </c>
      <c r="BY135" s="267"/>
      <c r="CI135" s="158"/>
    </row>
    <row r="136" spans="1:96" ht="15" customHeight="1">
      <c r="A136" s="141">
        <v>46120</v>
      </c>
      <c r="B136" s="15"/>
      <c r="C136" s="15"/>
      <c r="D136" s="15"/>
      <c r="E136" s="15"/>
      <c r="F136" s="15"/>
      <c r="G136" s="15"/>
      <c r="H136" s="15"/>
      <c r="I136" s="15"/>
      <c r="J136" s="571"/>
      <c r="K136" s="565"/>
      <c r="L136" s="571"/>
      <c r="M136" s="568"/>
      <c r="N136" s="569"/>
      <c r="O136" s="570"/>
      <c r="P136" s="134"/>
      <c r="Q136" s="141">
        <v>46120</v>
      </c>
      <c r="R136" s="15"/>
      <c r="S136" s="15"/>
      <c r="T136" s="15"/>
      <c r="U136" s="15"/>
      <c r="V136" s="15"/>
      <c r="W136" s="15"/>
      <c r="X136" s="15"/>
      <c r="Y136" s="15"/>
      <c r="Z136" s="571"/>
      <c r="AA136" s="565"/>
      <c r="AB136" s="571"/>
      <c r="AC136" s="568"/>
      <c r="AD136" s="569"/>
      <c r="AE136" s="570"/>
      <c r="AG136" s="141">
        <v>46120</v>
      </c>
      <c r="AH136" s="15"/>
      <c r="AI136" s="15"/>
      <c r="AJ136" s="15"/>
      <c r="AK136" s="15"/>
      <c r="AL136" s="15"/>
      <c r="AM136" s="15"/>
      <c r="AN136" s="15"/>
      <c r="AO136" s="15"/>
      <c r="AP136" s="565"/>
      <c r="AQ136" s="565"/>
      <c r="AR136" s="572"/>
      <c r="AS136" s="568"/>
      <c r="AT136" s="569"/>
      <c r="AU136" s="570"/>
      <c r="AW136" s="141">
        <v>46120</v>
      </c>
      <c r="AX136" s="15"/>
      <c r="AY136" s="15"/>
      <c r="AZ136" s="15"/>
      <c r="BA136" s="15"/>
      <c r="BB136" s="15"/>
      <c r="BC136" s="15"/>
      <c r="BD136" s="15"/>
      <c r="BE136" s="15"/>
      <c r="BF136" s="565"/>
      <c r="BG136" s="565"/>
      <c r="BH136" s="572"/>
      <c r="BI136" s="568"/>
      <c r="BJ136" s="569"/>
      <c r="BK136" s="570"/>
      <c r="BN136">
        <f>'[7]2026 Március'!B$9</f>
        <v>222575</v>
      </c>
      <c r="BY136" s="267"/>
      <c r="CI136" s="158"/>
    </row>
    <row r="137" spans="1:96" ht="15" customHeight="1">
      <c r="A137" s="141">
        <v>46121</v>
      </c>
      <c r="B137" s="15"/>
      <c r="C137" s="15"/>
      <c r="D137" s="15"/>
      <c r="E137" s="15"/>
      <c r="F137" s="15"/>
      <c r="G137" s="15"/>
      <c r="H137" s="15"/>
      <c r="I137" s="15"/>
      <c r="J137" s="571"/>
      <c r="K137" s="565"/>
      <c r="L137" s="571"/>
      <c r="M137" s="568"/>
      <c r="N137" s="569"/>
      <c r="O137" s="570"/>
      <c r="P137" s="134"/>
      <c r="Q137" s="141">
        <v>46121</v>
      </c>
      <c r="R137" s="15"/>
      <c r="S137" s="15"/>
      <c r="T137" s="15"/>
      <c r="U137" s="15"/>
      <c r="V137" s="15"/>
      <c r="W137" s="15"/>
      <c r="X137" s="15"/>
      <c r="Y137" s="15"/>
      <c r="Z137" s="571"/>
      <c r="AA137" s="565"/>
      <c r="AB137" s="571"/>
      <c r="AC137" s="568"/>
      <c r="AD137" s="569"/>
      <c r="AE137" s="570"/>
      <c r="AG137" s="141">
        <v>46121</v>
      </c>
      <c r="AH137" s="15"/>
      <c r="AI137" s="15"/>
      <c r="AJ137" s="15"/>
      <c r="AK137" s="15"/>
      <c r="AL137" s="15"/>
      <c r="AM137" s="15"/>
      <c r="AN137" s="15"/>
      <c r="AO137" s="15"/>
      <c r="AP137" s="565"/>
      <c r="AQ137" s="565"/>
      <c r="AR137" s="571"/>
      <c r="AS137" s="568"/>
      <c r="AT137" s="569"/>
      <c r="AU137" s="570"/>
      <c r="AW137" s="141">
        <v>46121</v>
      </c>
      <c r="AX137" s="15"/>
      <c r="AY137" s="15"/>
      <c r="AZ137" s="15"/>
      <c r="BA137" s="15"/>
      <c r="BB137" s="15"/>
      <c r="BC137" s="15"/>
      <c r="BD137" s="15"/>
      <c r="BE137" s="15"/>
      <c r="BF137" s="565"/>
      <c r="BG137" s="565"/>
      <c r="BH137" s="571"/>
      <c r="BI137" s="568"/>
      <c r="BJ137" s="569"/>
      <c r="BK137" s="570"/>
      <c r="BN137" s="220">
        <f>IF('[6]2026 március'!B$10=0,
    "",
    '[6]2026 március'!B$10
)</f>
        <v>283205</v>
      </c>
      <c r="BY137" s="267"/>
      <c r="CI137" s="9"/>
    </row>
    <row r="138" spans="1:96" ht="15" customHeight="1">
      <c r="A138" s="141">
        <v>46122</v>
      </c>
      <c r="B138" s="15"/>
      <c r="C138" s="15"/>
      <c r="D138" s="15"/>
      <c r="E138" s="15"/>
      <c r="F138" s="15"/>
      <c r="G138" s="15"/>
      <c r="H138" s="15"/>
      <c r="I138" s="15"/>
      <c r="J138" s="571"/>
      <c r="K138" s="565"/>
      <c r="L138" s="571"/>
      <c r="M138" s="568"/>
      <c r="N138" s="569"/>
      <c r="O138" s="570"/>
      <c r="P138" s="134"/>
      <c r="Q138" s="141">
        <v>46122</v>
      </c>
      <c r="R138" s="15"/>
      <c r="S138" s="15"/>
      <c r="T138" s="15"/>
      <c r="U138" s="15"/>
      <c r="V138" s="15"/>
      <c r="W138" s="15"/>
      <c r="X138" s="15"/>
      <c r="Y138" s="15"/>
      <c r="Z138" s="571"/>
      <c r="AA138" s="565"/>
      <c r="AB138" s="571"/>
      <c r="AC138" s="568"/>
      <c r="AD138" s="569"/>
      <c r="AE138" s="570"/>
      <c r="AG138" s="141">
        <v>46122</v>
      </c>
      <c r="AH138" s="15"/>
      <c r="AI138" s="15"/>
      <c r="AJ138" s="15"/>
      <c r="AK138" s="15"/>
      <c r="AL138" s="15"/>
      <c r="AM138" s="15"/>
      <c r="AN138" s="15"/>
      <c r="AO138" s="15"/>
      <c r="AP138" s="565"/>
      <c r="AQ138" s="565"/>
      <c r="AR138" s="571"/>
      <c r="AS138" s="568"/>
      <c r="AT138" s="569"/>
      <c r="AU138" s="570"/>
      <c r="AW138" s="141">
        <v>46122</v>
      </c>
      <c r="AX138" s="15"/>
      <c r="AY138" s="15"/>
      <c r="AZ138" s="15"/>
      <c r="BA138" s="15"/>
      <c r="BB138" s="15"/>
      <c r="BC138" s="15"/>
      <c r="BD138" s="15"/>
      <c r="BE138" s="15"/>
      <c r="BF138" s="565"/>
      <c r="BG138" s="565"/>
      <c r="BH138" s="571"/>
      <c r="BI138" s="568"/>
      <c r="BJ138" s="569"/>
      <c r="BK138" s="570"/>
      <c r="BN138">
        <f>'[7]2026 Március'!B$11</f>
        <v>0</v>
      </c>
      <c r="BY138" s="267"/>
      <c r="CI138" s="9"/>
    </row>
    <row r="139" spans="1:96" ht="15" customHeight="1">
      <c r="A139" s="141">
        <v>46123</v>
      </c>
      <c r="B139" s="142"/>
      <c r="C139" s="142"/>
      <c r="D139" s="142"/>
      <c r="E139" s="142"/>
      <c r="F139" s="142"/>
      <c r="G139" s="142"/>
      <c r="H139" s="142"/>
      <c r="I139" s="142"/>
      <c r="J139" s="146"/>
      <c r="K139" s="143"/>
      <c r="L139" s="146"/>
      <c r="M139" s="158"/>
      <c r="N139" s="381"/>
      <c r="O139" s="217"/>
      <c r="P139" s="134"/>
      <c r="Q139" s="141">
        <v>46123</v>
      </c>
      <c r="R139" s="142"/>
      <c r="S139" s="142"/>
      <c r="T139" s="142"/>
      <c r="U139" s="142"/>
      <c r="V139" s="142"/>
      <c r="W139" s="142"/>
      <c r="X139" s="142"/>
      <c r="Y139" s="142"/>
      <c r="Z139" s="146"/>
      <c r="AA139" s="143"/>
      <c r="AB139" s="146"/>
      <c r="AC139" s="158"/>
      <c r="AD139" s="381"/>
      <c r="AE139" s="217"/>
      <c r="AG139" s="141">
        <v>46123</v>
      </c>
      <c r="AH139" s="142"/>
      <c r="AI139" s="142"/>
      <c r="AJ139" s="142"/>
      <c r="AK139" s="142"/>
      <c r="AL139" s="142"/>
      <c r="AM139" s="142"/>
      <c r="AN139" s="142"/>
      <c r="AO139" s="142"/>
      <c r="AP139" s="143"/>
      <c r="AQ139" s="143"/>
      <c r="AR139" s="146"/>
      <c r="AS139" s="158"/>
      <c r="AT139" s="381"/>
      <c r="AU139" s="217"/>
      <c r="AW139" s="141">
        <v>46123</v>
      </c>
      <c r="AX139" s="142"/>
      <c r="AY139" s="142"/>
      <c r="AZ139" s="142"/>
      <c r="BA139" s="142"/>
      <c r="BB139" s="142"/>
      <c r="BC139" s="142"/>
      <c r="BD139" s="142"/>
      <c r="BE139" s="142"/>
      <c r="BF139" s="143"/>
      <c r="BG139" s="143"/>
      <c r="BH139" s="146"/>
      <c r="BI139" s="158"/>
      <c r="BJ139" s="381"/>
      <c r="BK139" s="217"/>
      <c r="BN139">
        <f>'[7]2026 Március'!B$12</f>
        <v>17830</v>
      </c>
      <c r="BY139" s="267"/>
      <c r="CI139" s="9"/>
    </row>
    <row r="140" spans="1:96" ht="15" customHeight="1">
      <c r="A140" s="141">
        <v>46124</v>
      </c>
      <c r="B140" s="142"/>
      <c r="C140" s="142"/>
      <c r="D140" s="142"/>
      <c r="E140" s="142"/>
      <c r="F140" s="142"/>
      <c r="G140" s="142"/>
      <c r="H140" s="142"/>
      <c r="I140" s="142"/>
      <c r="J140" s="146"/>
      <c r="K140" s="143"/>
      <c r="L140" s="146"/>
      <c r="M140" s="547"/>
      <c r="N140" s="381"/>
      <c r="O140" s="217"/>
      <c r="P140" s="134"/>
      <c r="Q140" s="141">
        <v>46124</v>
      </c>
      <c r="R140" s="142"/>
      <c r="S140" s="142"/>
      <c r="T140" s="142"/>
      <c r="U140" s="142"/>
      <c r="V140" s="142"/>
      <c r="W140" s="142"/>
      <c r="X140" s="142"/>
      <c r="Y140" s="142"/>
      <c r="Z140" s="146"/>
      <c r="AA140" s="143"/>
      <c r="AB140" s="146"/>
      <c r="AC140" s="547"/>
      <c r="AD140" s="381"/>
      <c r="AE140" s="217"/>
      <c r="AG140" s="141">
        <v>46124</v>
      </c>
      <c r="AH140" s="142"/>
      <c r="AI140" s="142"/>
      <c r="AJ140" s="142"/>
      <c r="AK140" s="142"/>
      <c r="AL140" s="142"/>
      <c r="AM140" s="142"/>
      <c r="AN140" s="142"/>
      <c r="AO140" s="142"/>
      <c r="AP140" s="143"/>
      <c r="AQ140" s="143"/>
      <c r="AR140" s="146"/>
      <c r="AS140" s="547"/>
      <c r="AT140" s="381"/>
      <c r="AU140" s="217"/>
      <c r="AW140" s="141">
        <v>46124</v>
      </c>
      <c r="AX140" s="142"/>
      <c r="AY140" s="515"/>
      <c r="AZ140" s="142"/>
      <c r="BA140" s="142"/>
      <c r="BB140" s="142"/>
      <c r="BC140" s="142"/>
      <c r="BD140" s="142"/>
      <c r="BE140" s="142"/>
      <c r="BF140" s="143"/>
      <c r="BG140" s="143"/>
      <c r="BH140" s="146"/>
      <c r="BI140" s="547"/>
      <c r="BJ140" s="381"/>
      <c r="BK140" s="217"/>
      <c r="BN140">
        <f>'[7]2026 Március'!B$13</f>
        <v>9030</v>
      </c>
      <c r="BY140" s="267"/>
      <c r="CI140" s="9"/>
    </row>
    <row r="141" spans="1:96" ht="15" customHeight="1">
      <c r="A141" s="141">
        <v>46125</v>
      </c>
      <c r="B141" s="15"/>
      <c r="C141" s="15"/>
      <c r="D141" s="15"/>
      <c r="E141" s="15"/>
      <c r="F141" s="15"/>
      <c r="G141" s="15"/>
      <c r="H141" s="15"/>
      <c r="I141" s="15"/>
      <c r="J141" s="571"/>
      <c r="K141" s="565"/>
      <c r="L141" s="571"/>
      <c r="M141" s="568"/>
      <c r="N141" s="569"/>
      <c r="O141" s="570"/>
      <c r="P141" s="134"/>
      <c r="Q141" s="141">
        <v>46125</v>
      </c>
      <c r="R141" s="15"/>
      <c r="S141" s="15"/>
      <c r="T141" s="15"/>
      <c r="U141" s="15"/>
      <c r="V141" s="15"/>
      <c r="W141" s="15"/>
      <c r="X141" s="15"/>
      <c r="Y141" s="15"/>
      <c r="Z141" s="571"/>
      <c r="AA141" s="565"/>
      <c r="AB141" s="571"/>
      <c r="AC141" s="568"/>
      <c r="AD141" s="569"/>
      <c r="AE141" s="570"/>
      <c r="AG141" s="141">
        <v>46125</v>
      </c>
      <c r="AH141" s="15"/>
      <c r="AI141" s="15"/>
      <c r="AJ141" s="15"/>
      <c r="AK141" s="15"/>
      <c r="AL141" s="15"/>
      <c r="AM141" s="15"/>
      <c r="AN141" s="15"/>
      <c r="AO141" s="15"/>
      <c r="AP141" s="565"/>
      <c r="AQ141" s="565"/>
      <c r="AR141" s="571"/>
      <c r="AS141" s="568"/>
      <c r="AT141" s="569"/>
      <c r="AU141" s="570"/>
      <c r="AW141" s="141">
        <v>46125</v>
      </c>
      <c r="AX141" s="15"/>
      <c r="AY141" s="15"/>
      <c r="AZ141" s="15"/>
      <c r="BA141" s="15"/>
      <c r="BB141" s="15"/>
      <c r="BC141" s="15"/>
      <c r="BD141" s="15"/>
      <c r="BE141" s="15"/>
      <c r="BF141" s="565"/>
      <c r="BG141" s="565"/>
      <c r="BH141" s="571"/>
      <c r="BI141" s="568"/>
      <c r="BJ141" s="569"/>
      <c r="BK141" s="570"/>
      <c r="BN141">
        <f>'[7]2026 Március'!B$14</f>
        <v>13895</v>
      </c>
      <c r="BY141" s="267"/>
      <c r="CI141" s="9"/>
    </row>
    <row r="142" spans="1:96" ht="15" customHeight="1">
      <c r="A142" s="141">
        <v>46126</v>
      </c>
      <c r="B142" s="15"/>
      <c r="C142" s="15"/>
      <c r="D142" s="15"/>
      <c r="E142" s="15"/>
      <c r="F142" s="15"/>
      <c r="G142" s="15"/>
      <c r="H142" s="15"/>
      <c r="I142" s="15"/>
      <c r="J142" s="571"/>
      <c r="K142" s="565"/>
      <c r="L142" s="571"/>
      <c r="M142" s="568"/>
      <c r="N142" s="569"/>
      <c r="O142" s="570"/>
      <c r="P142" s="134"/>
      <c r="Q142" s="141">
        <v>46126</v>
      </c>
      <c r="R142" s="15"/>
      <c r="S142" s="15"/>
      <c r="T142" s="15"/>
      <c r="U142" s="15"/>
      <c r="V142" s="15"/>
      <c r="W142" s="15"/>
      <c r="X142" s="15"/>
      <c r="Y142" s="15"/>
      <c r="Z142" s="571"/>
      <c r="AA142" s="565"/>
      <c r="AB142" s="571"/>
      <c r="AC142" s="568"/>
      <c r="AD142" s="569"/>
      <c r="AE142" s="570"/>
      <c r="AG142" s="141">
        <v>46126</v>
      </c>
      <c r="AH142" s="15"/>
      <c r="AI142" s="15"/>
      <c r="AJ142" s="15"/>
      <c r="AK142" s="15"/>
      <c r="AL142" s="15"/>
      <c r="AM142" s="15"/>
      <c r="AN142" s="15"/>
      <c r="AO142" s="15"/>
      <c r="AP142" s="565"/>
      <c r="AQ142" s="565"/>
      <c r="AR142" s="571"/>
      <c r="AS142" s="568"/>
      <c r="AT142" s="569"/>
      <c r="AU142" s="570"/>
      <c r="AW142" s="141">
        <v>46126</v>
      </c>
      <c r="AX142" s="15"/>
      <c r="AY142" s="15"/>
      <c r="AZ142" s="15"/>
      <c r="BA142" s="15"/>
      <c r="BB142" s="15"/>
      <c r="BC142" s="15"/>
      <c r="BD142" s="15"/>
      <c r="BE142" s="15"/>
      <c r="BF142" s="565"/>
      <c r="BG142" s="565"/>
      <c r="BH142" s="571"/>
      <c r="BI142" s="568"/>
      <c r="BJ142" s="569"/>
      <c r="BK142" s="570"/>
      <c r="BN142">
        <f>'[7]2026 Március'!B$15</f>
        <v>22370</v>
      </c>
      <c r="BY142" s="267"/>
      <c r="CI142" s="158"/>
      <c r="CR142" t="s">
        <v>205</v>
      </c>
    </row>
    <row r="143" spans="1:96" ht="15" customHeight="1">
      <c r="A143" s="141">
        <v>46127</v>
      </c>
      <c r="B143" s="15"/>
      <c r="C143" s="15"/>
      <c r="D143" s="15"/>
      <c r="E143" s="15"/>
      <c r="F143" s="15"/>
      <c r="G143" s="15"/>
      <c r="H143" s="15"/>
      <c r="I143" s="15"/>
      <c r="J143" s="571"/>
      <c r="K143" s="565"/>
      <c r="L143" s="571"/>
      <c r="M143" s="568"/>
      <c r="N143" s="569"/>
      <c r="O143" s="570"/>
      <c r="P143" s="134"/>
      <c r="Q143" s="141">
        <v>46127</v>
      </c>
      <c r="R143" s="15"/>
      <c r="S143" s="15"/>
      <c r="T143" s="15"/>
      <c r="U143" s="15"/>
      <c r="V143" s="15"/>
      <c r="W143" s="15"/>
      <c r="X143" s="15"/>
      <c r="Y143" s="15"/>
      <c r="Z143" s="571"/>
      <c r="AA143" s="565"/>
      <c r="AB143" s="571"/>
      <c r="AC143" s="568"/>
      <c r="AD143" s="569"/>
      <c r="AE143" s="570"/>
      <c r="AG143" s="141">
        <v>46127</v>
      </c>
      <c r="AH143" s="15"/>
      <c r="AI143" s="15"/>
      <c r="AJ143" s="15"/>
      <c r="AK143" s="15"/>
      <c r="AL143" s="15"/>
      <c r="AM143" s="15"/>
      <c r="AN143" s="15"/>
      <c r="AO143" s="15"/>
      <c r="AP143" s="565"/>
      <c r="AQ143" s="565"/>
      <c r="AR143" s="571"/>
      <c r="AS143" s="568"/>
      <c r="AT143" s="569"/>
      <c r="AU143" s="570"/>
      <c r="AW143" s="141">
        <v>46127</v>
      </c>
      <c r="AX143" s="15"/>
      <c r="AY143" s="15"/>
      <c r="AZ143" s="15"/>
      <c r="BA143" s="15"/>
      <c r="BB143" s="15"/>
      <c r="BC143" s="15"/>
      <c r="BD143" s="15"/>
      <c r="BE143" s="15"/>
      <c r="BF143" s="565"/>
      <c r="BG143" s="565"/>
      <c r="BH143" s="571"/>
      <c r="BI143" s="568"/>
      <c r="BJ143" s="569"/>
      <c r="BK143" s="570"/>
      <c r="BN143">
        <f>'[7]2026 Március'!B$16</f>
        <v>0</v>
      </c>
      <c r="BY143" s="267"/>
      <c r="CI143" s="158"/>
    </row>
    <row r="144" spans="1:96" ht="15" customHeight="1">
      <c r="A144" s="141">
        <v>46128</v>
      </c>
      <c r="B144" s="15"/>
      <c r="C144" s="15"/>
      <c r="D144" s="15"/>
      <c r="E144" s="15"/>
      <c r="F144" s="15"/>
      <c r="G144" s="15"/>
      <c r="H144" s="15"/>
      <c r="I144" s="15"/>
      <c r="J144" s="571"/>
      <c r="K144" s="565"/>
      <c r="L144" s="571"/>
      <c r="M144" s="568"/>
      <c r="N144" s="569"/>
      <c r="O144" s="570"/>
      <c r="P144" s="134"/>
      <c r="Q144" s="141">
        <v>46128</v>
      </c>
      <c r="R144" s="15"/>
      <c r="S144" s="15"/>
      <c r="T144" s="15"/>
      <c r="U144" s="15"/>
      <c r="V144" s="15"/>
      <c r="W144" s="15"/>
      <c r="X144" s="15"/>
      <c r="Y144" s="15"/>
      <c r="Z144" s="571"/>
      <c r="AA144" s="565"/>
      <c r="AB144" s="571"/>
      <c r="AC144" s="568"/>
      <c r="AD144" s="569"/>
      <c r="AE144" s="570"/>
      <c r="AG144" s="141">
        <v>46128</v>
      </c>
      <c r="AH144" s="15"/>
      <c r="AI144" s="15"/>
      <c r="AJ144" s="15"/>
      <c r="AK144" s="15"/>
      <c r="AL144" s="15"/>
      <c r="AM144" s="15"/>
      <c r="AN144" s="15"/>
      <c r="AO144" s="15"/>
      <c r="AP144" s="565"/>
      <c r="AQ144" s="565"/>
      <c r="AR144" s="571"/>
      <c r="AS144" s="568"/>
      <c r="AT144" s="569"/>
      <c r="AU144" s="570"/>
      <c r="AW144" s="141">
        <v>46128</v>
      </c>
      <c r="AX144" s="15"/>
      <c r="AY144" s="15"/>
      <c r="AZ144" s="15"/>
      <c r="BA144" s="15"/>
      <c r="BB144" s="15"/>
      <c r="BC144" s="15"/>
      <c r="BD144" s="15"/>
      <c r="BE144" s="15"/>
      <c r="BF144" s="565"/>
      <c r="BG144" s="565"/>
      <c r="BH144" s="571"/>
      <c r="BI144" s="568"/>
      <c r="BJ144" s="569"/>
      <c r="BK144" s="570"/>
      <c r="BN144">
        <f>'[7]2026 Március'!B$17</f>
        <v>0</v>
      </c>
      <c r="BY144" s="267"/>
      <c r="CI144" s="9"/>
    </row>
    <row r="145" spans="1:87" ht="15" customHeight="1">
      <c r="A145" s="141">
        <v>46129</v>
      </c>
      <c r="B145" s="15"/>
      <c r="C145" s="15"/>
      <c r="D145" s="15"/>
      <c r="E145" s="15"/>
      <c r="F145" s="15"/>
      <c r="G145" s="15"/>
      <c r="H145" s="15"/>
      <c r="I145" s="15"/>
      <c r="J145" s="571"/>
      <c r="K145" s="565"/>
      <c r="L145" s="571"/>
      <c r="M145" s="568"/>
      <c r="N145" s="569"/>
      <c r="O145" s="570"/>
      <c r="P145" s="134"/>
      <c r="Q145" s="141">
        <v>46129</v>
      </c>
      <c r="R145" s="15"/>
      <c r="S145" s="15"/>
      <c r="T145" s="15"/>
      <c r="U145" s="15"/>
      <c r="V145" s="15"/>
      <c r="W145" s="15"/>
      <c r="X145" s="15"/>
      <c r="Y145" s="15"/>
      <c r="Z145" s="571"/>
      <c r="AA145" s="565"/>
      <c r="AB145" s="571"/>
      <c r="AC145" s="568"/>
      <c r="AD145" s="569"/>
      <c r="AE145" s="570"/>
      <c r="AG145" s="141">
        <v>46129</v>
      </c>
      <c r="AH145" s="15"/>
      <c r="AI145" s="15"/>
      <c r="AJ145" s="15"/>
      <c r="AK145" s="15"/>
      <c r="AL145" s="15"/>
      <c r="AM145" s="15"/>
      <c r="AN145" s="15"/>
      <c r="AO145" s="15"/>
      <c r="AP145" s="565"/>
      <c r="AQ145" s="565"/>
      <c r="AR145" s="571"/>
      <c r="AS145" s="568"/>
      <c r="AT145" s="569"/>
      <c r="AU145" s="570"/>
      <c r="AW145" s="141">
        <v>46129</v>
      </c>
      <c r="AX145" s="15"/>
      <c r="AY145" s="15"/>
      <c r="AZ145" s="15"/>
      <c r="BA145" s="15"/>
      <c r="BB145" s="15"/>
      <c r="BC145" s="15"/>
      <c r="BD145" s="15"/>
      <c r="BE145" s="15"/>
      <c r="BF145" s="565"/>
      <c r="BG145" s="565"/>
      <c r="BH145" s="571"/>
      <c r="BI145" s="568"/>
      <c r="BJ145" s="569"/>
      <c r="BK145" s="570"/>
      <c r="BN145">
        <f>'[7]2026 Március'!B$18</f>
        <v>0</v>
      </c>
      <c r="BY145" s="267"/>
      <c r="CI145" s="9"/>
    </row>
    <row r="146" spans="1:87" ht="15" customHeight="1">
      <c r="A146" s="141">
        <v>46130</v>
      </c>
      <c r="B146" s="142"/>
      <c r="C146" s="142"/>
      <c r="D146" s="142"/>
      <c r="E146" s="142"/>
      <c r="F146" s="142"/>
      <c r="G146" s="142"/>
      <c r="H146" s="142"/>
      <c r="I146" s="142"/>
      <c r="J146" s="146"/>
      <c r="K146" s="143"/>
      <c r="L146" s="146"/>
      <c r="M146" s="158"/>
      <c r="N146" s="381"/>
      <c r="O146" s="217"/>
      <c r="P146" s="134"/>
      <c r="Q146" s="141">
        <v>46130</v>
      </c>
      <c r="R146" s="142"/>
      <c r="S146" s="142"/>
      <c r="T146" s="142"/>
      <c r="U146" s="142"/>
      <c r="V146" s="142"/>
      <c r="W146" s="142"/>
      <c r="X146" s="142"/>
      <c r="Y146" s="142"/>
      <c r="Z146" s="146"/>
      <c r="AA146" s="143"/>
      <c r="AB146" s="146"/>
      <c r="AC146" s="158"/>
      <c r="AD146" s="381"/>
      <c r="AE146" s="217"/>
      <c r="AG146" s="141">
        <v>46130</v>
      </c>
      <c r="AH146" s="142"/>
      <c r="AI146" s="142"/>
      <c r="AJ146" s="142"/>
      <c r="AK146" s="142"/>
      <c r="AL146" s="142"/>
      <c r="AM146" s="142"/>
      <c r="AN146" s="142"/>
      <c r="AO146" s="142"/>
      <c r="AP146" s="143"/>
      <c r="AQ146" s="143"/>
      <c r="AR146" s="146"/>
      <c r="AS146" s="158"/>
      <c r="AT146" s="381"/>
      <c r="AU146" s="217"/>
      <c r="AW146" s="141">
        <v>46130</v>
      </c>
      <c r="AX146" s="142"/>
      <c r="AY146" s="142"/>
      <c r="AZ146" s="142"/>
      <c r="BA146" s="142"/>
      <c r="BB146" s="142"/>
      <c r="BC146" s="142"/>
      <c r="BD146" s="142"/>
      <c r="BE146" s="142"/>
      <c r="BF146" s="143"/>
      <c r="BG146" s="143"/>
      <c r="BH146" s="146"/>
      <c r="BI146" s="158"/>
      <c r="BJ146" s="381"/>
      <c r="BK146" s="217"/>
      <c r="BN146">
        <f>'[7]2026 Március'!B$19</f>
        <v>15180</v>
      </c>
      <c r="BY146" s="267"/>
      <c r="CI146" s="9"/>
    </row>
    <row r="147" spans="1:87" ht="15" customHeight="1">
      <c r="A147" s="141">
        <v>46131</v>
      </c>
      <c r="B147" s="142"/>
      <c r="C147" s="142"/>
      <c r="D147" s="142"/>
      <c r="E147" s="142"/>
      <c r="F147" s="142"/>
      <c r="G147" s="142"/>
      <c r="H147" s="142"/>
      <c r="I147" s="142"/>
      <c r="J147" s="146"/>
      <c r="K147" s="143"/>
      <c r="L147" s="146"/>
      <c r="M147" s="158"/>
      <c r="N147" s="381"/>
      <c r="O147" s="217"/>
      <c r="P147" s="134"/>
      <c r="Q147" s="141">
        <v>46131</v>
      </c>
      <c r="R147" s="142"/>
      <c r="S147" s="142"/>
      <c r="T147" s="142"/>
      <c r="U147" s="142"/>
      <c r="V147" s="142"/>
      <c r="W147" s="142"/>
      <c r="X147" s="142"/>
      <c r="Y147" s="142"/>
      <c r="Z147" s="146"/>
      <c r="AA147" s="143"/>
      <c r="AB147" s="146"/>
      <c r="AC147" s="158"/>
      <c r="AD147" s="381"/>
      <c r="AE147" s="217"/>
      <c r="AG147" s="141">
        <v>46131</v>
      </c>
      <c r="AH147" s="142"/>
      <c r="AI147" s="142"/>
      <c r="AJ147" s="142"/>
      <c r="AK147" s="142"/>
      <c r="AL147" s="142"/>
      <c r="AM147" s="142"/>
      <c r="AN147" s="142"/>
      <c r="AO147" s="142"/>
      <c r="AP147" s="143"/>
      <c r="AQ147" s="143"/>
      <c r="AR147" s="146"/>
      <c r="AS147" s="158"/>
      <c r="AT147" s="381"/>
      <c r="AU147" s="217"/>
      <c r="AW147" s="141">
        <v>46131</v>
      </c>
      <c r="AX147" s="142"/>
      <c r="AY147" s="142"/>
      <c r="AZ147" s="142"/>
      <c r="BA147" s="142"/>
      <c r="BB147" s="142"/>
      <c r="BC147" s="142"/>
      <c r="BD147" s="142"/>
      <c r="BE147" s="142"/>
      <c r="BF147" s="143"/>
      <c r="BG147" s="143"/>
      <c r="BH147" s="146"/>
      <c r="BI147" s="158"/>
      <c r="BJ147" s="381"/>
      <c r="BK147" s="217"/>
      <c r="BN147">
        <f>'[7]2026 Március'!B$20</f>
        <v>10350</v>
      </c>
      <c r="BY147" s="267"/>
      <c r="CI147" s="9"/>
    </row>
    <row r="148" spans="1:87" ht="15" customHeight="1">
      <c r="A148" s="141">
        <v>46132</v>
      </c>
      <c r="B148" s="15"/>
      <c r="C148" s="15"/>
      <c r="D148" s="15"/>
      <c r="E148" s="15"/>
      <c r="F148" s="15"/>
      <c r="G148" s="15"/>
      <c r="H148" s="15"/>
      <c r="I148" s="15"/>
      <c r="J148" s="571"/>
      <c r="K148" s="565"/>
      <c r="L148" s="571"/>
      <c r="M148" s="568"/>
      <c r="N148" s="569"/>
      <c r="O148" s="570"/>
      <c r="P148" s="134"/>
      <c r="Q148" s="141">
        <v>46132</v>
      </c>
      <c r="R148" s="15"/>
      <c r="S148" s="15"/>
      <c r="T148" s="15"/>
      <c r="U148" s="15"/>
      <c r="V148" s="15"/>
      <c r="W148" s="15"/>
      <c r="X148" s="15"/>
      <c r="Y148" s="15"/>
      <c r="Z148" s="571"/>
      <c r="AA148" s="565"/>
      <c r="AB148" s="571"/>
      <c r="AC148" s="568"/>
      <c r="AD148" s="569"/>
      <c r="AE148" s="570"/>
      <c r="AG148" s="141">
        <v>46132</v>
      </c>
      <c r="AH148" s="15"/>
      <c r="AI148" s="15"/>
      <c r="AJ148" s="15"/>
      <c r="AK148" s="15"/>
      <c r="AL148" s="15"/>
      <c r="AM148" s="15"/>
      <c r="AN148" s="15"/>
      <c r="AO148" s="15"/>
      <c r="AP148" s="565"/>
      <c r="AQ148" s="565"/>
      <c r="AR148" s="571"/>
      <c r="AS148" s="568"/>
      <c r="AT148" s="569"/>
      <c r="AU148" s="570"/>
      <c r="AW148" s="141">
        <v>46132</v>
      </c>
      <c r="AX148" s="15"/>
      <c r="AY148" s="15"/>
      <c r="AZ148" s="15"/>
      <c r="BA148" s="15"/>
      <c r="BB148" s="15"/>
      <c r="BC148" s="15"/>
      <c r="BD148" s="15"/>
      <c r="BE148" s="15"/>
      <c r="BF148" s="565"/>
      <c r="BG148" s="565"/>
      <c r="BH148" s="571"/>
      <c r="BI148" s="568"/>
      <c r="BJ148" s="569"/>
      <c r="BK148" s="570"/>
      <c r="BN148">
        <f>'[7]2026 Március'!B$21</f>
        <v>6930</v>
      </c>
      <c r="BY148" s="267"/>
      <c r="CI148" s="9"/>
    </row>
    <row r="149" spans="1:87" ht="15" customHeight="1">
      <c r="A149" s="141">
        <v>46133</v>
      </c>
      <c r="B149" s="15"/>
      <c r="C149" s="15"/>
      <c r="D149" s="15"/>
      <c r="E149" s="15"/>
      <c r="F149" s="15"/>
      <c r="G149" s="15"/>
      <c r="H149" s="15"/>
      <c r="I149" s="15"/>
      <c r="J149" s="571"/>
      <c r="K149" s="565"/>
      <c r="L149" s="571"/>
      <c r="M149" s="568"/>
      <c r="N149" s="569"/>
      <c r="O149" s="570"/>
      <c r="P149" s="134"/>
      <c r="Q149" s="141">
        <v>46133</v>
      </c>
      <c r="R149" s="15"/>
      <c r="S149" s="15"/>
      <c r="T149" s="15"/>
      <c r="U149" s="15"/>
      <c r="V149" s="15"/>
      <c r="W149" s="15"/>
      <c r="X149" s="15"/>
      <c r="Y149" s="15"/>
      <c r="Z149" s="571"/>
      <c r="AA149" s="565"/>
      <c r="AB149" s="571"/>
      <c r="AC149" s="568"/>
      <c r="AD149" s="569"/>
      <c r="AE149" s="570"/>
      <c r="AG149" s="141">
        <v>46133</v>
      </c>
      <c r="AH149" s="15"/>
      <c r="AI149" s="15"/>
      <c r="AJ149" s="15"/>
      <c r="AK149" s="15"/>
      <c r="AL149" s="15"/>
      <c r="AM149" s="15"/>
      <c r="AN149" s="15"/>
      <c r="AO149" s="15"/>
      <c r="AP149" s="565"/>
      <c r="AQ149" s="565"/>
      <c r="AR149" s="571"/>
      <c r="AS149" s="568"/>
      <c r="AT149" s="569"/>
      <c r="AU149" s="570"/>
      <c r="AW149" s="141">
        <v>46133</v>
      </c>
      <c r="AX149" s="15"/>
      <c r="AY149" s="15"/>
      <c r="AZ149" s="15"/>
      <c r="BA149" s="15"/>
      <c r="BB149" s="15"/>
      <c r="BC149" s="15"/>
      <c r="BD149" s="15"/>
      <c r="BE149" s="15"/>
      <c r="BF149" s="565"/>
      <c r="BG149" s="565"/>
      <c r="BH149" s="571"/>
      <c r="BI149" s="568"/>
      <c r="BJ149" s="569"/>
      <c r="BK149" s="570"/>
      <c r="BN149">
        <f>'[7]2026 Március'!B$22</f>
        <v>14670</v>
      </c>
      <c r="BY149" s="267"/>
      <c r="CI149" s="158"/>
    </row>
    <row r="150" spans="1:87" ht="15" customHeight="1">
      <c r="A150" s="141">
        <v>46134</v>
      </c>
      <c r="B150" s="15"/>
      <c r="C150" s="15"/>
      <c r="D150" s="15"/>
      <c r="E150" s="15"/>
      <c r="F150" s="15"/>
      <c r="G150" s="15"/>
      <c r="H150" s="15"/>
      <c r="I150" s="15"/>
      <c r="J150" s="571"/>
      <c r="K150" s="565"/>
      <c r="L150" s="571"/>
      <c r="M150" s="568"/>
      <c r="N150" s="569"/>
      <c r="O150" s="570"/>
      <c r="P150" s="134"/>
      <c r="Q150" s="141">
        <v>46134</v>
      </c>
      <c r="R150" s="15"/>
      <c r="S150" s="15"/>
      <c r="T150" s="15"/>
      <c r="U150" s="15"/>
      <c r="V150" s="15"/>
      <c r="W150" s="15"/>
      <c r="X150" s="15"/>
      <c r="Y150" s="15"/>
      <c r="Z150" s="571"/>
      <c r="AA150" s="565"/>
      <c r="AB150" s="571"/>
      <c r="AC150" s="568"/>
      <c r="AD150" s="569"/>
      <c r="AE150" s="570"/>
      <c r="AG150" s="141">
        <v>46134</v>
      </c>
      <c r="AH150" s="15"/>
      <c r="AI150" s="15"/>
      <c r="AJ150" s="15"/>
      <c r="AK150" s="15"/>
      <c r="AL150" s="15"/>
      <c r="AM150" s="15"/>
      <c r="AN150" s="15"/>
      <c r="AO150" s="15"/>
      <c r="AP150" s="565"/>
      <c r="AQ150" s="565"/>
      <c r="AR150" s="571"/>
      <c r="AS150" s="568"/>
      <c r="AT150" s="569"/>
      <c r="AU150" s="570"/>
      <c r="AW150" s="141">
        <v>46134</v>
      </c>
      <c r="AX150" s="15"/>
      <c r="AY150" s="15"/>
      <c r="AZ150" s="15"/>
      <c r="BA150" s="15"/>
      <c r="BB150" s="15"/>
      <c r="BC150" s="15"/>
      <c r="BD150" s="15"/>
      <c r="BE150" s="15"/>
      <c r="BF150" s="565"/>
      <c r="BG150" s="565"/>
      <c r="BH150" s="571"/>
      <c r="BI150" s="568"/>
      <c r="BJ150" s="569"/>
      <c r="BK150" s="570"/>
      <c r="BN150">
        <f>'[7]2026 Március'!B$23</f>
        <v>53610</v>
      </c>
      <c r="BY150" s="267"/>
      <c r="CI150" s="158"/>
    </row>
    <row r="151" spans="1:87" ht="15" customHeight="1">
      <c r="A151" s="141">
        <v>46135</v>
      </c>
      <c r="B151" s="15"/>
      <c r="C151" s="15"/>
      <c r="D151" s="15"/>
      <c r="E151" s="15"/>
      <c r="F151" s="15"/>
      <c r="G151" s="15"/>
      <c r="H151" s="15"/>
      <c r="I151" s="15"/>
      <c r="J151" s="571"/>
      <c r="K151" s="565"/>
      <c r="L151" s="571"/>
      <c r="M151" s="568"/>
      <c r="N151" s="569"/>
      <c r="O151" s="570"/>
      <c r="P151" s="134"/>
      <c r="Q151" s="141">
        <v>46135</v>
      </c>
      <c r="R151" s="15"/>
      <c r="S151" s="15"/>
      <c r="T151" s="15"/>
      <c r="U151" s="15"/>
      <c r="V151" s="15"/>
      <c r="W151" s="15"/>
      <c r="X151" s="15"/>
      <c r="Y151" s="15"/>
      <c r="Z151" s="571"/>
      <c r="AA151" s="565"/>
      <c r="AB151" s="571"/>
      <c r="AC151" s="568"/>
      <c r="AD151" s="569"/>
      <c r="AE151" s="570"/>
      <c r="AG151" s="141">
        <v>46135</v>
      </c>
      <c r="AH151" s="15"/>
      <c r="AI151" s="15"/>
      <c r="AJ151" s="15"/>
      <c r="AK151" s="15"/>
      <c r="AL151" s="15"/>
      <c r="AM151" s="15"/>
      <c r="AN151" s="15"/>
      <c r="AO151" s="15"/>
      <c r="AP151" s="565"/>
      <c r="AQ151" s="565"/>
      <c r="AR151" s="571"/>
      <c r="AS151" s="568"/>
      <c r="AT151" s="569"/>
      <c r="AU151" s="570"/>
      <c r="AW151" s="141">
        <v>46135</v>
      </c>
      <c r="AX151" s="15"/>
      <c r="AY151" s="15"/>
      <c r="AZ151" s="15"/>
      <c r="BA151" s="15"/>
      <c r="BB151" s="15"/>
      <c r="BC151" s="15"/>
      <c r="BD151" s="15"/>
      <c r="BE151" s="15"/>
      <c r="BF151" s="565"/>
      <c r="BG151" s="565"/>
      <c r="BH151" s="571"/>
      <c r="BI151" s="568"/>
      <c r="BJ151" s="569"/>
      <c r="BK151" s="570"/>
      <c r="BN151">
        <f>'[7]2026 Március'!B$24</f>
        <v>884750</v>
      </c>
      <c r="BY151" s="267"/>
      <c r="CI151" s="9"/>
    </row>
    <row r="152" spans="1:87" ht="15" customHeight="1">
      <c r="A152" s="141">
        <v>46136</v>
      </c>
      <c r="B152" s="15"/>
      <c r="C152" s="15"/>
      <c r="D152" s="15"/>
      <c r="E152" s="15"/>
      <c r="F152" s="15"/>
      <c r="G152" s="15"/>
      <c r="H152" s="15"/>
      <c r="I152" s="15"/>
      <c r="J152" s="571"/>
      <c r="K152" s="565"/>
      <c r="L152" s="571"/>
      <c r="M152" s="568"/>
      <c r="N152" s="569"/>
      <c r="O152" s="570"/>
      <c r="P152" s="134"/>
      <c r="Q152" s="141">
        <v>46136</v>
      </c>
      <c r="R152" s="15"/>
      <c r="S152" s="15"/>
      <c r="T152" s="15"/>
      <c r="U152" s="15"/>
      <c r="V152" s="15"/>
      <c r="W152" s="15"/>
      <c r="X152" s="15"/>
      <c r="Y152" s="15"/>
      <c r="Z152" s="571"/>
      <c r="AA152" s="565"/>
      <c r="AB152" s="571"/>
      <c r="AC152" s="568"/>
      <c r="AD152" s="569"/>
      <c r="AE152" s="570"/>
      <c r="AG152" s="141">
        <v>46136</v>
      </c>
      <c r="AH152" s="15"/>
      <c r="AI152" s="15"/>
      <c r="AJ152" s="15"/>
      <c r="AK152" s="15"/>
      <c r="AL152" s="15"/>
      <c r="AM152" s="15"/>
      <c r="AN152" s="15"/>
      <c r="AO152" s="15"/>
      <c r="AP152" s="565"/>
      <c r="AQ152" s="565"/>
      <c r="AR152" s="571"/>
      <c r="AS152" s="568"/>
      <c r="AT152" s="569"/>
      <c r="AU152" s="570"/>
      <c r="AW152" s="141">
        <v>46136</v>
      </c>
      <c r="AX152" s="15"/>
      <c r="AY152" s="15"/>
      <c r="AZ152" s="15"/>
      <c r="BA152" s="15"/>
      <c r="BB152" s="15"/>
      <c r="BC152" s="15"/>
      <c r="BD152" s="15"/>
      <c r="BE152" s="15"/>
      <c r="BF152" s="565"/>
      <c r="BG152" s="565"/>
      <c r="BH152" s="571"/>
      <c r="BI152" s="568"/>
      <c r="BJ152" s="569"/>
      <c r="BK152" s="570"/>
      <c r="BN152">
        <f>'[7]2026 Március'!B$25</f>
        <v>0</v>
      </c>
      <c r="BY152" s="267"/>
      <c r="CI152" s="9"/>
    </row>
    <row r="153" spans="1:87" ht="15" customHeight="1">
      <c r="A153" s="141">
        <v>46137</v>
      </c>
      <c r="B153" s="142"/>
      <c r="C153" s="142"/>
      <c r="D153" s="142"/>
      <c r="E153" s="142"/>
      <c r="F153" s="142"/>
      <c r="G153" s="142"/>
      <c r="H153" s="142"/>
      <c r="I153" s="142"/>
      <c r="J153" s="146"/>
      <c r="K153" s="143"/>
      <c r="L153" s="146"/>
      <c r="M153" s="158"/>
      <c r="N153" s="381"/>
      <c r="O153" s="217"/>
      <c r="P153" s="134"/>
      <c r="Q153" s="141">
        <v>46137</v>
      </c>
      <c r="R153" s="142"/>
      <c r="S153" s="142"/>
      <c r="T153" s="142"/>
      <c r="U153" s="142"/>
      <c r="V153" s="142"/>
      <c r="W153" s="142"/>
      <c r="X153" s="142"/>
      <c r="Y153" s="142"/>
      <c r="Z153" s="146"/>
      <c r="AA153" s="143"/>
      <c r="AB153" s="146"/>
      <c r="AC153" s="158"/>
      <c r="AD153" s="381"/>
      <c r="AE153" s="217"/>
      <c r="AG153" s="141">
        <v>46137</v>
      </c>
      <c r="AH153" s="142"/>
      <c r="AI153" s="142"/>
      <c r="AJ153" s="142"/>
      <c r="AK153" s="142"/>
      <c r="AL153" s="142"/>
      <c r="AM153" s="142"/>
      <c r="AN153" s="142"/>
      <c r="AO153" s="142"/>
      <c r="AP153" s="143"/>
      <c r="AQ153" s="143"/>
      <c r="AR153" s="146"/>
      <c r="AS153" s="158"/>
      <c r="AT153" s="381"/>
      <c r="AU153" s="217"/>
      <c r="AW153" s="141">
        <v>46137</v>
      </c>
      <c r="AX153" s="142"/>
      <c r="AY153" s="142"/>
      <c r="AZ153" s="142"/>
      <c r="BA153" s="142"/>
      <c r="BB153" s="142"/>
      <c r="BC153" s="142"/>
      <c r="BD153" s="142"/>
      <c r="BE153" s="142"/>
      <c r="BF153" s="143"/>
      <c r="BG153" s="143"/>
      <c r="BH153" s="146"/>
      <c r="BI153" s="158"/>
      <c r="BJ153" s="381"/>
      <c r="BK153" s="217"/>
      <c r="BN153">
        <f>'[7]2026 Március'!B$26</f>
        <v>6070</v>
      </c>
      <c r="BY153" s="267"/>
      <c r="CI153" s="9"/>
    </row>
    <row r="154" spans="1:87" ht="15" customHeight="1">
      <c r="A154" s="141">
        <v>46138</v>
      </c>
      <c r="B154" s="142"/>
      <c r="C154" s="142"/>
      <c r="D154" s="142"/>
      <c r="E154" s="142"/>
      <c r="F154" s="142"/>
      <c r="G154" s="142"/>
      <c r="H154" s="142"/>
      <c r="I154" s="142"/>
      <c r="J154" s="146"/>
      <c r="K154" s="143"/>
      <c r="L154" s="146"/>
      <c r="M154" s="158"/>
      <c r="N154" s="381"/>
      <c r="O154" s="217"/>
      <c r="P154" s="134"/>
      <c r="Q154" s="141">
        <v>46138</v>
      </c>
      <c r="R154" s="142"/>
      <c r="S154" s="142"/>
      <c r="T154" s="142"/>
      <c r="U154" s="142"/>
      <c r="V154" s="142"/>
      <c r="W154" s="142"/>
      <c r="X154" s="142"/>
      <c r="Y154" s="142"/>
      <c r="Z154" s="146"/>
      <c r="AA154" s="143"/>
      <c r="AB154" s="146"/>
      <c r="AC154" s="158"/>
      <c r="AD154" s="381"/>
      <c r="AE154" s="217"/>
      <c r="AG154" s="141">
        <v>46138</v>
      </c>
      <c r="AH154" s="142"/>
      <c r="AI154" s="142"/>
      <c r="AJ154" s="142"/>
      <c r="AK154" s="142"/>
      <c r="AL154" s="142"/>
      <c r="AM154" s="142"/>
      <c r="AN154" s="142"/>
      <c r="AO154" s="142"/>
      <c r="AP154" s="143"/>
      <c r="AQ154" s="143"/>
      <c r="AR154" s="146"/>
      <c r="AS154" s="158"/>
      <c r="AT154" s="381"/>
      <c r="AU154" s="217"/>
      <c r="AW154" s="141">
        <v>46138</v>
      </c>
      <c r="AX154" s="142"/>
      <c r="AY154" s="142"/>
      <c r="AZ154" s="142"/>
      <c r="BA154" s="142"/>
      <c r="BB154" s="142"/>
      <c r="BC154" s="142"/>
      <c r="BD154" s="142"/>
      <c r="BE154" s="142"/>
      <c r="BF154" s="143"/>
      <c r="BG154" s="143"/>
      <c r="BH154" s="146"/>
      <c r="BI154" s="158"/>
      <c r="BJ154" s="381"/>
      <c r="BK154" s="217"/>
      <c r="BN154">
        <f>'[7]2026 Március'!B$27</f>
        <v>32415</v>
      </c>
      <c r="BY154" s="267"/>
      <c r="CI154" s="9"/>
    </row>
    <row r="155" spans="1:87" ht="15" customHeight="1">
      <c r="A155" s="141">
        <v>46139</v>
      </c>
      <c r="B155" s="15"/>
      <c r="C155" s="15"/>
      <c r="D155" s="15"/>
      <c r="E155" s="15"/>
      <c r="F155" s="15"/>
      <c r="G155" s="15"/>
      <c r="H155" s="15"/>
      <c r="I155" s="15"/>
      <c r="J155" s="571"/>
      <c r="K155" s="565"/>
      <c r="L155" s="571"/>
      <c r="M155" s="568"/>
      <c r="N155" s="569"/>
      <c r="O155" s="570"/>
      <c r="P155" s="134"/>
      <c r="Q155" s="141">
        <v>46139</v>
      </c>
      <c r="R155" s="15"/>
      <c r="S155" s="15"/>
      <c r="T155" s="15"/>
      <c r="U155" s="15"/>
      <c r="V155" s="15"/>
      <c r="W155" s="15"/>
      <c r="X155" s="15"/>
      <c r="Y155" s="15"/>
      <c r="Z155" s="571"/>
      <c r="AA155" s="565"/>
      <c r="AB155" s="571"/>
      <c r="AC155" s="568"/>
      <c r="AD155" s="569"/>
      <c r="AE155" s="570"/>
      <c r="AG155" s="141">
        <v>46139</v>
      </c>
      <c r="AH155" s="15"/>
      <c r="AI155" s="15"/>
      <c r="AJ155" s="15"/>
      <c r="AK155" s="15"/>
      <c r="AL155" s="15"/>
      <c r="AM155" s="15"/>
      <c r="AN155" s="15"/>
      <c r="AO155" s="15"/>
      <c r="AP155" s="565"/>
      <c r="AQ155" s="565"/>
      <c r="AR155" s="571"/>
      <c r="AS155" s="568"/>
      <c r="AT155" s="569"/>
      <c r="AU155" s="570"/>
      <c r="AW155" s="141">
        <v>46139</v>
      </c>
      <c r="AX155" s="15"/>
      <c r="AY155" s="15"/>
      <c r="AZ155" s="15"/>
      <c r="BA155" s="15"/>
      <c r="BB155" s="15"/>
      <c r="BC155" s="15"/>
      <c r="BD155" s="15"/>
      <c r="BE155" s="15"/>
      <c r="BF155" s="565"/>
      <c r="BG155" s="565"/>
      <c r="BH155" s="571"/>
      <c r="BI155" s="568"/>
      <c r="BJ155" s="569"/>
      <c r="BK155" s="570"/>
      <c r="BN155">
        <f>'[7]2026 Március'!B$28</f>
        <v>37420</v>
      </c>
      <c r="BY155" s="267"/>
      <c r="CI155" s="9"/>
    </row>
    <row r="156" spans="1:87" ht="15" customHeight="1">
      <c r="A156" s="141">
        <v>46140</v>
      </c>
      <c r="B156" s="15"/>
      <c r="C156" s="15"/>
      <c r="D156" s="15"/>
      <c r="E156" s="15"/>
      <c r="F156" s="15"/>
      <c r="G156" s="15"/>
      <c r="H156" s="15"/>
      <c r="I156" s="15"/>
      <c r="J156" s="571"/>
      <c r="K156" s="565"/>
      <c r="L156" s="571"/>
      <c r="M156" s="568"/>
      <c r="N156" s="569"/>
      <c r="O156" s="570"/>
      <c r="P156" s="134"/>
      <c r="Q156" s="141">
        <v>46140</v>
      </c>
      <c r="R156" s="15"/>
      <c r="S156" s="15"/>
      <c r="T156" s="15"/>
      <c r="U156" s="15"/>
      <c r="V156" s="15"/>
      <c r="W156" s="15"/>
      <c r="X156" s="15"/>
      <c r="Y156" s="15"/>
      <c r="Z156" s="571"/>
      <c r="AA156" s="565"/>
      <c r="AB156" s="571"/>
      <c r="AC156" s="568"/>
      <c r="AD156" s="569"/>
      <c r="AE156" s="570"/>
      <c r="AG156" s="141">
        <v>46140</v>
      </c>
      <c r="AH156" s="15"/>
      <c r="AI156" s="15"/>
      <c r="AJ156" s="15"/>
      <c r="AK156" s="15"/>
      <c r="AL156" s="15"/>
      <c r="AM156" s="15"/>
      <c r="AN156" s="15"/>
      <c r="AO156" s="15"/>
      <c r="AP156" s="565"/>
      <c r="AQ156" s="565"/>
      <c r="AR156" s="571"/>
      <c r="AS156" s="568"/>
      <c r="AT156" s="569"/>
      <c r="AU156" s="570"/>
      <c r="AW156" s="141">
        <v>46140</v>
      </c>
      <c r="AX156" s="15"/>
      <c r="AY156" s="15"/>
      <c r="AZ156" s="15"/>
      <c r="BA156" s="15"/>
      <c r="BB156" s="15"/>
      <c r="BC156" s="15"/>
      <c r="BD156" s="15"/>
      <c r="BE156" s="15"/>
      <c r="BF156" s="565"/>
      <c r="BG156" s="565"/>
      <c r="BH156" s="571"/>
      <c r="BI156" s="568"/>
      <c r="BJ156" s="569"/>
      <c r="BK156" s="570"/>
      <c r="BN156">
        <f>'[7]2026 Március'!B$29</f>
        <v>4820</v>
      </c>
      <c r="BY156" s="267"/>
      <c r="CI156" s="158"/>
    </row>
    <row r="157" spans="1:87" ht="15" customHeight="1">
      <c r="A157" s="141">
        <v>46141</v>
      </c>
      <c r="B157" s="15"/>
      <c r="C157" s="15"/>
      <c r="D157" s="15"/>
      <c r="E157" s="15"/>
      <c r="F157" s="15"/>
      <c r="G157" s="15"/>
      <c r="H157" s="15"/>
      <c r="I157" s="15"/>
      <c r="J157" s="571"/>
      <c r="K157" s="565"/>
      <c r="L157" s="571"/>
      <c r="M157" s="568"/>
      <c r="N157" s="569"/>
      <c r="O157" s="570"/>
      <c r="P157" s="134"/>
      <c r="Q157" s="141">
        <v>46141</v>
      </c>
      <c r="R157" s="15"/>
      <c r="S157" s="15"/>
      <c r="T157" s="15"/>
      <c r="U157" s="15"/>
      <c r="V157" s="15"/>
      <c r="W157" s="15"/>
      <c r="X157" s="15"/>
      <c r="Y157" s="15"/>
      <c r="Z157" s="571"/>
      <c r="AA157" s="565"/>
      <c r="AB157" s="571"/>
      <c r="AC157" s="568"/>
      <c r="AD157" s="569"/>
      <c r="AE157" s="570"/>
      <c r="AG157" s="141">
        <v>46141</v>
      </c>
      <c r="AH157" s="15"/>
      <c r="AI157" s="15"/>
      <c r="AJ157" s="15"/>
      <c r="AK157" s="15"/>
      <c r="AL157" s="15"/>
      <c r="AM157" s="15"/>
      <c r="AN157" s="15"/>
      <c r="AO157" s="15"/>
      <c r="AP157" s="565"/>
      <c r="AQ157" s="565"/>
      <c r="AR157" s="571"/>
      <c r="AS157" s="568"/>
      <c r="AT157" s="569"/>
      <c r="AU157" s="570"/>
      <c r="AW157" s="141">
        <v>46141</v>
      </c>
      <c r="AX157" s="15"/>
      <c r="AY157" s="15"/>
      <c r="AZ157" s="15"/>
      <c r="BA157" s="15"/>
      <c r="BB157" s="15"/>
      <c r="BC157" s="15"/>
      <c r="BD157" s="15"/>
      <c r="BE157" s="15"/>
      <c r="BF157" s="565"/>
      <c r="BG157" s="565"/>
      <c r="BH157" s="571"/>
      <c r="BI157" s="568"/>
      <c r="BJ157" s="569"/>
      <c r="BK157" s="570"/>
      <c r="BN157">
        <f>'[7]2026 Március'!B$30</f>
        <v>1268750</v>
      </c>
      <c r="BY157" s="267"/>
      <c r="CI157" s="9"/>
    </row>
    <row r="158" spans="1:87" ht="15" customHeight="1">
      <c r="A158" s="141">
        <v>46142</v>
      </c>
      <c r="B158" s="15"/>
      <c r="C158" s="15"/>
      <c r="D158" s="15"/>
      <c r="E158" s="15"/>
      <c r="F158" s="15"/>
      <c r="G158" s="15"/>
      <c r="H158" s="15"/>
      <c r="I158" s="15"/>
      <c r="J158" s="571"/>
      <c r="K158" s="565"/>
      <c r="L158" s="571"/>
      <c r="M158" s="568"/>
      <c r="N158" s="569"/>
      <c r="O158" s="570"/>
      <c r="P158" s="134"/>
      <c r="Q158" s="141">
        <v>46142</v>
      </c>
      <c r="R158" s="15"/>
      <c r="S158" s="15"/>
      <c r="T158" s="15"/>
      <c r="U158" s="15"/>
      <c r="V158" s="15"/>
      <c r="W158" s="15"/>
      <c r="X158" s="15"/>
      <c r="Y158" s="15"/>
      <c r="Z158" s="571"/>
      <c r="AA158" s="565"/>
      <c r="AB158" s="571"/>
      <c r="AC158" s="568"/>
      <c r="AD158" s="569"/>
      <c r="AE158" s="570"/>
      <c r="AG158" s="141">
        <v>46142</v>
      </c>
      <c r="AH158" s="15"/>
      <c r="AI158" s="15"/>
      <c r="AJ158" s="15"/>
      <c r="AK158" s="15"/>
      <c r="AL158" s="15"/>
      <c r="AM158" s="15"/>
      <c r="AN158" s="15"/>
      <c r="AO158" s="15"/>
      <c r="AP158" s="565"/>
      <c r="AQ158" s="565"/>
      <c r="AR158" s="571"/>
      <c r="AS158" s="568"/>
      <c r="AT158" s="569"/>
      <c r="AU158" s="570"/>
      <c r="AW158" s="141">
        <v>46142</v>
      </c>
      <c r="AX158" s="15"/>
      <c r="AY158" s="15"/>
      <c r="AZ158" s="15"/>
      <c r="BA158" s="15"/>
      <c r="BB158" s="15"/>
      <c r="BC158" s="15"/>
      <c r="BD158" s="15"/>
      <c r="BE158" s="15"/>
      <c r="BF158" s="565"/>
      <c r="BG158" s="565"/>
      <c r="BH158" s="571"/>
      <c r="BI158" s="568"/>
      <c r="BJ158" s="569"/>
      <c r="BK158" s="570"/>
      <c r="BN158">
        <f>'[7]2026 Március'!B$31</f>
        <v>0</v>
      </c>
      <c r="BY158" s="267"/>
      <c r="CI158" s="9"/>
    </row>
    <row r="159" spans="1:87" ht="15" customHeight="1">
      <c r="A159" s="141"/>
      <c r="B159" s="15"/>
      <c r="C159" s="15"/>
      <c r="D159" s="15"/>
      <c r="E159" s="15"/>
      <c r="F159" s="15"/>
      <c r="G159" s="15"/>
      <c r="H159" s="15"/>
      <c r="I159" s="15"/>
      <c r="J159" s="571"/>
      <c r="K159" s="565"/>
      <c r="L159" s="571"/>
      <c r="M159" s="568"/>
      <c r="N159" s="569"/>
      <c r="O159" s="570"/>
      <c r="P159" s="134"/>
      <c r="Q159" s="141"/>
      <c r="R159" s="11"/>
      <c r="S159" s="11"/>
      <c r="T159" s="11"/>
      <c r="U159" s="11"/>
      <c r="V159" s="11"/>
      <c r="W159" s="11"/>
      <c r="X159" s="11"/>
      <c r="Y159" s="11"/>
      <c r="Z159" s="72"/>
      <c r="AA159" s="38"/>
      <c r="AB159" s="72"/>
      <c r="AC159" s="9"/>
      <c r="AD159" s="216"/>
      <c r="AE159" s="214"/>
      <c r="AG159" s="141"/>
      <c r="AH159" s="15"/>
      <c r="AI159" s="15"/>
      <c r="AJ159" s="15"/>
      <c r="AK159" s="15"/>
      <c r="AL159" s="15"/>
      <c r="AM159" s="15"/>
      <c r="AN159" s="15"/>
      <c r="AO159" s="15"/>
      <c r="AP159" s="565"/>
      <c r="AQ159" s="565"/>
      <c r="AR159" s="571"/>
      <c r="AS159" s="568"/>
      <c r="AT159" s="569"/>
      <c r="AU159" s="570"/>
      <c r="AW159" s="141"/>
      <c r="AX159" s="15"/>
      <c r="AY159" s="15"/>
      <c r="AZ159" s="15"/>
      <c r="BA159" s="15"/>
      <c r="BB159" s="15"/>
      <c r="BC159" s="15"/>
      <c r="BD159" s="15"/>
      <c r="BE159" s="15"/>
      <c r="BF159" s="565"/>
      <c r="BG159" s="565"/>
      <c r="BH159" s="571"/>
      <c r="BI159" s="568"/>
      <c r="BJ159" s="569"/>
      <c r="BK159" s="570"/>
      <c r="BN159">
        <f>'[7]2026 Március'!B$32</f>
        <v>0</v>
      </c>
      <c r="BY159" s="267"/>
      <c r="CI159" s="9"/>
    </row>
    <row r="160" spans="1:87" ht="15" customHeight="1">
      <c r="A160" s="141"/>
      <c r="B160" s="15"/>
      <c r="C160" s="15"/>
      <c r="D160" s="15"/>
      <c r="E160" s="15"/>
      <c r="F160" s="15"/>
      <c r="G160" s="15"/>
      <c r="H160" s="15"/>
      <c r="I160" s="15"/>
      <c r="J160" s="575"/>
      <c r="K160" s="574"/>
      <c r="L160" s="575"/>
      <c r="M160" s="576"/>
      <c r="N160" s="569"/>
      <c r="O160" s="570"/>
      <c r="P160" s="134"/>
      <c r="Q160" s="141"/>
      <c r="R160" s="11"/>
      <c r="S160" s="11"/>
      <c r="T160" s="11"/>
      <c r="U160" s="11"/>
      <c r="V160" s="11"/>
      <c r="W160" s="11"/>
      <c r="X160" s="11"/>
      <c r="Y160" s="11"/>
      <c r="Z160" s="206"/>
      <c r="AA160" s="205"/>
      <c r="AB160" s="206"/>
      <c r="AC160" s="380"/>
      <c r="AD160" s="216"/>
      <c r="AE160" s="214"/>
      <c r="AG160" s="141"/>
      <c r="AH160" s="15"/>
      <c r="AI160" s="15"/>
      <c r="AJ160" s="15"/>
      <c r="AK160" s="15"/>
      <c r="AL160" s="15"/>
      <c r="AM160" s="15"/>
      <c r="AN160" s="15"/>
      <c r="AO160" s="15"/>
      <c r="AP160" s="574"/>
      <c r="AQ160" s="574"/>
      <c r="AR160" s="575"/>
      <c r="AS160" s="576"/>
      <c r="AT160" s="569"/>
      <c r="AU160" s="570"/>
      <c r="AW160" s="141"/>
      <c r="AX160" s="15"/>
      <c r="AY160" s="15"/>
      <c r="AZ160" s="15"/>
      <c r="BA160" s="15"/>
      <c r="BB160" s="15"/>
      <c r="BC160" s="15"/>
      <c r="BD160" s="15"/>
      <c r="BE160" s="15"/>
      <c r="BF160" s="574"/>
      <c r="BG160" s="574"/>
      <c r="BH160" s="575"/>
      <c r="BI160" s="576"/>
      <c r="BJ160" s="569"/>
      <c r="BK160" s="570"/>
      <c r="BN160">
        <f>'[7]2026 Március'!B$33</f>
        <v>7950</v>
      </c>
      <c r="BY160" s="267"/>
      <c r="CI160" s="9"/>
    </row>
    <row r="161" spans="1:87" ht="15" customHeight="1">
      <c r="A161" s="18" t="s">
        <v>64</v>
      </c>
      <c r="B161" s="362"/>
      <c r="C161" s="19">
        <f>SUM(C129:C160)</f>
        <v>50</v>
      </c>
      <c r="D161" s="19">
        <f>SUM(D129:D160)</f>
        <v>11800</v>
      </c>
      <c r="E161" s="19">
        <f>SUM(E129:E160)</f>
        <v>0</v>
      </c>
      <c r="F161" s="19">
        <f>SUM(F129:F160)</f>
        <v>1660</v>
      </c>
      <c r="G161" s="20">
        <f>SUM(G129:G160)</f>
        <v>3350</v>
      </c>
      <c r="H161" s="20">
        <f>SUM(H129:H160)</f>
        <v>10160</v>
      </c>
      <c r="I161" s="39">
        <f>SUM(I129:I160)</f>
        <v>10160</v>
      </c>
      <c r="J161" s="12"/>
      <c r="K161" s="373"/>
      <c r="L161" s="252"/>
      <c r="M161" s="9"/>
      <c r="N161" s="382"/>
      <c r="O161" s="214"/>
      <c r="P161" s="134"/>
      <c r="Q161" s="18" t="s">
        <v>64</v>
      </c>
      <c r="R161" s="362"/>
      <c r="S161" s="19">
        <f>SUM(S129:S160)</f>
        <v>0</v>
      </c>
      <c r="T161" s="19">
        <f>SUM(T129:T160)</f>
        <v>0</v>
      </c>
      <c r="U161" s="19">
        <f>SUM(U129:U160)</f>
        <v>0</v>
      </c>
      <c r="V161" s="19">
        <f>SUM(V129:V160)</f>
        <v>0</v>
      </c>
      <c r="W161" s="20">
        <f>SUM(W129:W160)</f>
        <v>0</v>
      </c>
      <c r="X161" s="20">
        <f>SUM(X129:X160)</f>
        <v>0</v>
      </c>
      <c r="Y161" s="39">
        <f>SUM(Y129:Y160)</f>
        <v>0</v>
      </c>
      <c r="Z161" s="32"/>
      <c r="AA161" s="373"/>
      <c r="AB161" s="17"/>
      <c r="AC161" s="9"/>
      <c r="AD161" s="382"/>
      <c r="AE161" s="214"/>
      <c r="AG161" s="18" t="s">
        <v>64</v>
      </c>
      <c r="AH161" s="362"/>
      <c r="AI161" s="19">
        <f>SUM(AI129:AI160)</f>
        <v>0</v>
      </c>
      <c r="AJ161" s="19">
        <f>SUM(AJ129:AJ160)</f>
        <v>0</v>
      </c>
      <c r="AK161" s="19">
        <f>SUM(AK129:AK160)</f>
        <v>0</v>
      </c>
      <c r="AL161" s="19">
        <f>SUM(AL129:AL160)</f>
        <v>0</v>
      </c>
      <c r="AM161" s="20">
        <f>SUM(AM129:AM160)</f>
        <v>0</v>
      </c>
      <c r="AN161" s="20">
        <f>SUM(AN129:AN160)</f>
        <v>0</v>
      </c>
      <c r="AO161" s="39">
        <f>SUM(AO129:AO160)</f>
        <v>0</v>
      </c>
      <c r="AP161" s="32"/>
      <c r="AQ161" s="373"/>
      <c r="AR161" s="252"/>
      <c r="AS161" s="9"/>
      <c r="AT161" s="382"/>
      <c r="AU161" s="214"/>
      <c r="AW161" s="18" t="s">
        <v>64</v>
      </c>
      <c r="AX161" s="362"/>
      <c r="AY161" s="19">
        <f>SUM(AY129:AY160)</f>
        <v>0</v>
      </c>
      <c r="AZ161" s="19">
        <f>SUM(AZ129:AZ160)</f>
        <v>0</v>
      </c>
      <c r="BA161" s="19">
        <f>SUM(BA129:BA160)</f>
        <v>0</v>
      </c>
      <c r="BB161" s="19">
        <f>SUM(BB129:BB160)</f>
        <v>0</v>
      </c>
      <c r="BC161" s="20">
        <f>SUM(BC129:BC160)</f>
        <v>0</v>
      </c>
      <c r="BD161" s="20">
        <f>SUM(BD129:BD160)</f>
        <v>0</v>
      </c>
      <c r="BE161" s="39">
        <f>SUM(BE129:BE160)</f>
        <v>0</v>
      </c>
      <c r="BF161" s="32"/>
      <c r="BG161" s="373"/>
      <c r="BH161" s="252"/>
      <c r="BI161" s="9"/>
      <c r="BJ161" s="382"/>
      <c r="BK161" s="214"/>
      <c r="BY161" s="267"/>
      <c r="CI161" s="9"/>
    </row>
    <row r="162" spans="1:87" ht="15" customHeight="1">
      <c r="A162" s="5"/>
      <c r="B162" s="11"/>
      <c r="C162" s="29">
        <f>C161+D161+E161+F161</f>
        <v>13510</v>
      </c>
      <c r="D162" s="10"/>
      <c r="E162" s="10"/>
      <c r="F162" s="10"/>
      <c r="G162" s="47">
        <f>G161+H161</f>
        <v>13510</v>
      </c>
      <c r="H162" s="10"/>
      <c r="I162" s="10"/>
      <c r="J162" s="33"/>
      <c r="K162" s="33"/>
      <c r="L162" s="414"/>
      <c r="M162" s="9"/>
      <c r="N162" s="382"/>
      <c r="O162" s="214"/>
      <c r="P162" s="134"/>
      <c r="Q162" s="5"/>
      <c r="R162" s="11"/>
      <c r="S162" s="29">
        <f>S161+T161+U161+V161</f>
        <v>0</v>
      </c>
      <c r="T162" s="10"/>
      <c r="U162" s="10"/>
      <c r="V162" s="10"/>
      <c r="W162" s="47">
        <f>W161+X161</f>
        <v>0</v>
      </c>
      <c r="X162" s="10"/>
      <c r="Y162" s="10"/>
      <c r="Z162" s="33"/>
      <c r="AA162" s="33"/>
      <c r="AB162" s="11"/>
      <c r="AC162" s="9"/>
      <c r="AD162" s="382"/>
      <c r="AE162" s="214"/>
      <c r="AG162" s="5"/>
      <c r="AH162" s="11"/>
      <c r="AI162" s="29">
        <f>AI161+AJ161+AK161+AL161</f>
        <v>0</v>
      </c>
      <c r="AJ162" s="10"/>
      <c r="AK162" s="10"/>
      <c r="AL162" s="10"/>
      <c r="AM162" s="47">
        <f>AM161+AN161</f>
        <v>0</v>
      </c>
      <c r="AN162" s="10"/>
      <c r="AO162" s="10"/>
      <c r="AP162" s="33"/>
      <c r="AQ162" s="33"/>
      <c r="AR162" s="414"/>
      <c r="AS162" s="9"/>
      <c r="AT162" s="382"/>
      <c r="AU162" s="214"/>
      <c r="AW162" s="5"/>
      <c r="AX162" s="11"/>
      <c r="AY162" s="29">
        <f>AY161+AZ161+BA161+BB161</f>
        <v>0</v>
      </c>
      <c r="AZ162" s="10"/>
      <c r="BA162" s="10"/>
      <c r="BB162" s="10"/>
      <c r="BC162" s="47">
        <f>BC161+BD161</f>
        <v>0</v>
      </c>
      <c r="BD162" s="10"/>
      <c r="BE162" s="10"/>
      <c r="BF162" s="33"/>
      <c r="BG162" s="33"/>
      <c r="BH162" s="414"/>
      <c r="BI162" s="9"/>
      <c r="BJ162" s="382"/>
      <c r="BK162" s="214"/>
      <c r="BY162" s="267"/>
    </row>
    <row r="163" spans="1:87" ht="15" customHeight="1">
      <c r="A163" s="67"/>
      <c r="C163"/>
      <c r="D163"/>
      <c r="E163"/>
      <c r="F163"/>
      <c r="G163"/>
      <c r="H163"/>
      <c r="I163"/>
      <c r="J163"/>
      <c r="K163"/>
      <c r="L163" s="261"/>
      <c r="M163" s="261"/>
      <c r="N163" s="136"/>
      <c r="O163" s="134"/>
      <c r="P163" s="134"/>
      <c r="Q163" s="67"/>
      <c r="R163" s="356"/>
      <c r="S163"/>
      <c r="T163"/>
      <c r="U163"/>
      <c r="V163"/>
      <c r="W163"/>
      <c r="X163"/>
      <c r="Y163"/>
      <c r="Z163"/>
      <c r="AA163" s="37"/>
      <c r="AB163" s="261"/>
      <c r="AC163" s="261"/>
      <c r="AD163" s="136"/>
      <c r="AE163" s="134"/>
      <c r="AG163" s="67"/>
      <c r="AH163" s="356"/>
      <c r="AR163" s="261"/>
      <c r="AS163" s="261"/>
      <c r="AT163" s="136"/>
      <c r="AU163" s="134"/>
      <c r="AW163" s="67"/>
      <c r="AX163" s="356"/>
      <c r="BH163" s="261"/>
      <c r="BI163" s="261"/>
      <c r="BJ163" s="136"/>
      <c r="BK163" s="134"/>
    </row>
    <row r="164" spans="1:87" ht="15" customHeight="1">
      <c r="A164" s="403" t="s">
        <v>177</v>
      </c>
      <c r="B164" s="404"/>
      <c r="C164" s="405"/>
      <c r="D164" s="405"/>
      <c r="E164" s="405"/>
      <c r="F164" s="406"/>
      <c r="G164" s="406"/>
      <c r="H164" s="406"/>
      <c r="I164" s="406"/>
      <c r="J164" s="407"/>
      <c r="K164" s="408"/>
      <c r="L164" s="261"/>
      <c r="M164" s="261"/>
      <c r="N164" s="136"/>
      <c r="O164" s="134"/>
      <c r="P164" s="134"/>
      <c r="Q164" s="403" t="s">
        <v>177</v>
      </c>
      <c r="R164" s="404"/>
      <c r="S164" s="405"/>
      <c r="T164" s="405"/>
      <c r="U164" s="405"/>
      <c r="V164" s="406"/>
      <c r="W164" s="406"/>
      <c r="X164" s="406"/>
      <c r="Y164" s="406"/>
      <c r="Z164" s="407"/>
      <c r="AA164" s="415"/>
      <c r="AB164" s="261"/>
      <c r="AC164" s="261"/>
      <c r="AD164" s="136"/>
      <c r="AE164" s="134"/>
      <c r="AG164" s="403" t="s">
        <v>177</v>
      </c>
      <c r="AH164" s="404"/>
      <c r="AI164" s="405"/>
      <c r="AJ164" s="405"/>
      <c r="AK164" s="405"/>
      <c r="AL164" s="406"/>
      <c r="AM164" s="406"/>
      <c r="AN164" s="406"/>
      <c r="AO164" s="406"/>
      <c r="AP164" s="407"/>
      <c r="AQ164" s="408"/>
      <c r="AR164" s="261"/>
      <c r="AS164" s="261"/>
      <c r="AT164" s="136"/>
      <c r="AU164" s="134"/>
      <c r="AW164" s="403" t="s">
        <v>177</v>
      </c>
      <c r="AX164" s="404"/>
      <c r="AY164" s="405"/>
      <c r="AZ164" s="405"/>
      <c r="BA164" s="405"/>
      <c r="BB164" s="406"/>
      <c r="BC164" s="406"/>
      <c r="BD164" s="406"/>
      <c r="BE164" s="406"/>
      <c r="BF164" s="407"/>
      <c r="BG164" s="408"/>
      <c r="BH164" s="261"/>
      <c r="BI164" s="261"/>
      <c r="BJ164" s="136"/>
      <c r="BK164" s="134"/>
    </row>
    <row r="165" spans="1:87" ht="15" customHeight="1">
      <c r="A165" s="409"/>
      <c r="B165" s="402"/>
      <c r="C165" s="402"/>
      <c r="D165" s="402"/>
      <c r="E165" s="402"/>
      <c r="F165" s="402"/>
      <c r="G165" s="396"/>
      <c r="H165" s="396"/>
      <c r="I165" s="396"/>
      <c r="J165" s="396"/>
      <c r="K165" s="410"/>
      <c r="L165" s="261"/>
      <c r="M165" s="261"/>
      <c r="N165" s="136"/>
      <c r="O165" s="134"/>
      <c r="P165" s="134"/>
      <c r="Q165" s="409"/>
      <c r="R165" s="402"/>
      <c r="S165" s="402"/>
      <c r="T165" s="402"/>
      <c r="U165" s="402"/>
      <c r="V165" s="402"/>
      <c r="W165" s="396"/>
      <c r="X165" s="396"/>
      <c r="Y165" s="396"/>
      <c r="Z165" s="396"/>
      <c r="AA165" s="416"/>
      <c r="AB165" s="261"/>
      <c r="AC165" s="261"/>
      <c r="AD165" s="136"/>
      <c r="AE165" s="134"/>
      <c r="AG165" s="409"/>
      <c r="AH165" s="402"/>
      <c r="AI165" s="402"/>
      <c r="AJ165" s="402"/>
      <c r="AK165" s="402"/>
      <c r="AL165" s="402"/>
      <c r="AM165" s="396"/>
      <c r="AN165" s="396"/>
      <c r="AO165" s="396"/>
      <c r="AP165" s="396"/>
      <c r="AQ165" s="410"/>
      <c r="AR165" s="261"/>
      <c r="AS165" s="261"/>
      <c r="AT165" s="136"/>
      <c r="AU165" s="134"/>
      <c r="AW165" s="409"/>
      <c r="AX165" s="402"/>
      <c r="AY165" s="402"/>
      <c r="AZ165" s="402"/>
      <c r="BA165" s="402"/>
      <c r="BB165" s="402"/>
      <c r="BC165" s="396"/>
      <c r="BD165" s="396"/>
      <c r="BE165" s="396"/>
      <c r="BF165" s="396"/>
      <c r="BG165" s="410"/>
      <c r="BH165" s="261"/>
      <c r="BI165" s="261"/>
      <c r="BJ165" s="136"/>
      <c r="BK165" s="134"/>
    </row>
    <row r="166" spans="1:87" ht="15" customHeight="1">
      <c r="A166" s="628"/>
      <c r="B166" s="629"/>
      <c r="C166" s="629"/>
      <c r="D166" s="629"/>
      <c r="E166" s="629"/>
      <c r="F166" s="629"/>
      <c r="G166" s="411"/>
      <c r="H166" s="411"/>
      <c r="I166" s="411"/>
      <c r="J166" s="411"/>
      <c r="K166" s="412"/>
      <c r="L166" s="261"/>
      <c r="M166" s="261"/>
      <c r="N166" s="136"/>
      <c r="O166" s="134"/>
      <c r="P166" s="134"/>
      <c r="Q166" s="628"/>
      <c r="R166" s="629"/>
      <c r="S166" s="629"/>
      <c r="T166" s="629"/>
      <c r="U166" s="629"/>
      <c r="V166" s="629"/>
      <c r="W166" s="411"/>
      <c r="X166" s="411"/>
      <c r="Y166" s="411"/>
      <c r="Z166" s="411"/>
      <c r="AA166" s="527"/>
      <c r="AB166" s="261"/>
      <c r="AC166" s="261"/>
      <c r="AD166" s="136"/>
      <c r="AE166" s="134"/>
      <c r="AG166" s="628"/>
      <c r="AH166" s="629"/>
      <c r="AI166" s="629"/>
      <c r="AJ166" s="629"/>
      <c r="AK166" s="629"/>
      <c r="AL166" s="629"/>
      <c r="AM166" s="411"/>
      <c r="AN166" s="411"/>
      <c r="AO166" s="411"/>
      <c r="AP166" s="411"/>
      <c r="AQ166" s="412"/>
      <c r="AR166" s="261"/>
      <c r="AS166" s="261"/>
      <c r="AT166" s="136"/>
      <c r="AU166" s="134"/>
      <c r="AW166" s="496"/>
      <c r="AX166" s="497"/>
      <c r="AY166" s="497"/>
      <c r="AZ166" s="497"/>
      <c r="BA166" s="497"/>
      <c r="BB166" s="497"/>
      <c r="BC166" s="411"/>
      <c r="BD166" s="411"/>
      <c r="BE166" s="411"/>
      <c r="BF166" s="411"/>
      <c r="BG166" s="412"/>
      <c r="BH166" s="261"/>
      <c r="BI166" s="261"/>
      <c r="BJ166" s="136"/>
      <c r="BK166" s="134"/>
    </row>
    <row r="167" spans="1:87" ht="15" customHeight="1">
      <c r="R167" s="356"/>
      <c r="AA167" s="35"/>
    </row>
    <row r="168" spans="1:87" ht="15" customHeight="1">
      <c r="R168" s="356"/>
      <c r="AA168" s="35"/>
    </row>
    <row r="169" spans="1:87" ht="15" customHeight="1">
      <c r="R169" s="356"/>
      <c r="AA169" s="35"/>
    </row>
    <row r="170" spans="1:87" ht="15" customHeight="1">
      <c r="R170" s="356"/>
      <c r="AA170" s="35"/>
    </row>
    <row r="171" spans="1:87" ht="15" customHeight="1">
      <c r="R171" s="356"/>
      <c r="AA171" s="35"/>
    </row>
    <row r="172" spans="1:87" ht="15" customHeight="1">
      <c r="R172" s="356"/>
      <c r="AA172" s="35"/>
    </row>
    <row r="173" spans="1:87" ht="15" customHeight="1">
      <c r="R173" s="356"/>
      <c r="AA173" s="35"/>
    </row>
    <row r="174" spans="1:87" ht="15" customHeight="1">
      <c r="R174" s="356"/>
      <c r="AA174" s="35"/>
    </row>
    <row r="175" spans="1:87" ht="15" customHeight="1">
      <c r="R175" s="356"/>
      <c r="AA175" s="35"/>
    </row>
    <row r="176" spans="1:87" ht="15" customHeight="1">
      <c r="R176" s="356"/>
      <c r="AA176" s="35"/>
    </row>
    <row r="177" spans="18:27" ht="15" customHeight="1">
      <c r="R177" s="356"/>
      <c r="AA177" s="35"/>
    </row>
    <row r="178" spans="18:27" ht="15" customHeight="1">
      <c r="R178" s="356"/>
      <c r="AA178" s="35"/>
    </row>
    <row r="179" spans="18:27" ht="15" customHeight="1">
      <c r="R179" s="356"/>
      <c r="AA179" s="35"/>
    </row>
    <row r="180" spans="18:27" ht="15" customHeight="1">
      <c r="R180" s="356"/>
      <c r="AA180" s="35"/>
    </row>
    <row r="181" spans="18:27" ht="15" customHeight="1">
      <c r="R181" s="356"/>
      <c r="AA181" s="35"/>
    </row>
    <row r="182" spans="18:27" ht="15" customHeight="1">
      <c r="R182" s="356"/>
      <c r="AA182" s="35"/>
    </row>
    <row r="183" spans="18:27" ht="15" customHeight="1">
      <c r="R183" s="356"/>
      <c r="AA183" s="35"/>
    </row>
    <row r="184" spans="18:27" ht="15" customHeight="1">
      <c r="R184" s="356"/>
      <c r="AA184" s="35"/>
    </row>
    <row r="185" spans="18:27" ht="15" customHeight="1">
      <c r="R185" s="356"/>
      <c r="AA185" s="35"/>
    </row>
    <row r="186" spans="18:27" ht="15" customHeight="1">
      <c r="R186" s="356"/>
      <c r="AA186" s="35"/>
    </row>
    <row r="187" spans="18:27" ht="15" customHeight="1">
      <c r="R187" s="356"/>
      <c r="AA187" s="35"/>
    </row>
    <row r="188" spans="18:27" ht="15" customHeight="1">
      <c r="R188" s="356"/>
    </row>
    <row r="189" spans="18:27" ht="15" customHeight="1">
      <c r="R189" s="356"/>
    </row>
    <row r="190" spans="18:27" ht="15" customHeight="1">
      <c r="R190" s="356"/>
    </row>
    <row r="191" spans="18:27" ht="15" customHeight="1">
      <c r="R191" s="356"/>
    </row>
    <row r="192" spans="18:27" ht="15" customHeight="1">
      <c r="R192" s="356"/>
    </row>
    <row r="193" spans="18:18" ht="15" customHeight="1">
      <c r="R193" s="356"/>
    </row>
    <row r="194" spans="18:18" ht="15" customHeight="1">
      <c r="R194" s="356"/>
    </row>
    <row r="195" spans="18:18" ht="15" customHeight="1">
      <c r="R195" s="356"/>
    </row>
    <row r="196" spans="18:18" ht="15" customHeight="1">
      <c r="R196" s="356"/>
    </row>
    <row r="197" spans="18:18" ht="15" customHeight="1">
      <c r="R197" s="356"/>
    </row>
    <row r="198" spans="18:18" ht="15" customHeight="1">
      <c r="R198" s="356"/>
    </row>
    <row r="199" spans="18:18" ht="15" customHeight="1">
      <c r="R199" s="356"/>
    </row>
    <row r="200" spans="18:18" ht="15" customHeight="1">
      <c r="R200" s="356"/>
    </row>
    <row r="201" spans="18:18" ht="15" customHeight="1">
      <c r="R201" s="356"/>
    </row>
    <row r="202" spans="18:18" ht="15" customHeight="1">
      <c r="R202" s="356"/>
    </row>
    <row r="203" spans="18:18" ht="15" customHeight="1">
      <c r="R203" s="356"/>
    </row>
    <row r="204" spans="18:18" ht="15" customHeight="1">
      <c r="R204" s="356"/>
    </row>
    <row r="205" spans="18:18" ht="15" customHeight="1">
      <c r="R205" s="356"/>
    </row>
    <row r="206" spans="18:18" ht="15" customHeight="1">
      <c r="R206" s="356"/>
    </row>
    <row r="207" spans="18:18" ht="15" customHeight="1">
      <c r="R207" s="356"/>
    </row>
    <row r="208" spans="18:18" ht="15" customHeight="1">
      <c r="R208" s="356"/>
    </row>
    <row r="209" spans="18:18" ht="15" customHeight="1">
      <c r="R209" s="356"/>
    </row>
    <row r="210" spans="18:18" ht="15" customHeight="1">
      <c r="R210" s="356"/>
    </row>
    <row r="211" spans="18:18" ht="15" customHeight="1">
      <c r="R211" s="356"/>
    </row>
    <row r="212" spans="18:18" ht="15" customHeight="1">
      <c r="R212" s="356"/>
    </row>
    <row r="213" spans="18:18" ht="15" customHeight="1">
      <c r="R213" s="356"/>
    </row>
    <row r="214" spans="18:18" ht="15" customHeight="1">
      <c r="R214" s="356"/>
    </row>
    <row r="215" spans="18:18" ht="15" customHeight="1">
      <c r="R215" s="356"/>
    </row>
    <row r="216" spans="18:18" ht="15" customHeight="1">
      <c r="R216" s="356"/>
    </row>
    <row r="217" spans="18:18" ht="15" customHeight="1">
      <c r="R217" s="356"/>
    </row>
    <row r="218" spans="18:18" ht="15" customHeight="1">
      <c r="R218" s="356"/>
    </row>
    <row r="219" spans="18:18" ht="15" customHeight="1">
      <c r="R219" s="356"/>
    </row>
    <row r="220" spans="18:18" ht="15" customHeight="1">
      <c r="R220" s="356"/>
    </row>
    <row r="221" spans="18:18" ht="15" customHeight="1">
      <c r="R221" s="356"/>
    </row>
    <row r="222" spans="18:18" ht="15" customHeight="1">
      <c r="R222" s="356"/>
    </row>
    <row r="223" spans="18:18" ht="15" customHeight="1">
      <c r="R223" s="356"/>
    </row>
    <row r="224" spans="18:18" ht="15" customHeight="1">
      <c r="R224" s="356"/>
    </row>
    <row r="225" spans="18:18" ht="15" customHeight="1">
      <c r="R225" s="356"/>
    </row>
    <row r="226" spans="18:18" ht="15" customHeight="1">
      <c r="R226" s="356"/>
    </row>
    <row r="227" spans="18:18" ht="15" customHeight="1">
      <c r="R227" s="356"/>
    </row>
    <row r="228" spans="18:18" ht="15" customHeight="1">
      <c r="R228" s="356"/>
    </row>
    <row r="229" spans="18:18" ht="15" customHeight="1">
      <c r="R229" s="356"/>
    </row>
    <row r="230" spans="18:18" ht="15" customHeight="1">
      <c r="R230" s="356"/>
    </row>
    <row r="231" spans="18:18" ht="15" customHeight="1">
      <c r="R231" s="356"/>
    </row>
    <row r="232" spans="18:18" ht="15" customHeight="1">
      <c r="R232" s="356"/>
    </row>
    <row r="233" spans="18:18" ht="15" customHeight="1">
      <c r="R233" s="356"/>
    </row>
    <row r="234" spans="18:18" ht="15" customHeight="1">
      <c r="R234" s="356"/>
    </row>
    <row r="235" spans="18:18" ht="15" customHeight="1">
      <c r="R235" s="356"/>
    </row>
    <row r="236" spans="18:18" ht="15" customHeight="1">
      <c r="R236" s="356"/>
    </row>
    <row r="237" spans="18:18" ht="15" customHeight="1">
      <c r="R237" s="356"/>
    </row>
    <row r="238" spans="18:18" ht="15" customHeight="1">
      <c r="R238" s="356"/>
    </row>
    <row r="239" spans="18:18" ht="15" customHeight="1">
      <c r="R239" s="356"/>
    </row>
    <row r="240" spans="18:18" ht="15" customHeight="1">
      <c r="R240" s="356"/>
    </row>
    <row r="241" spans="18:18" ht="15" customHeight="1">
      <c r="R241" s="356"/>
    </row>
    <row r="242" spans="18:18" ht="15" customHeight="1">
      <c r="R242" s="356"/>
    </row>
    <row r="243" spans="18:18" ht="15" customHeight="1">
      <c r="R243" s="356"/>
    </row>
    <row r="244" spans="18:18" ht="15" customHeight="1">
      <c r="R244" s="356"/>
    </row>
    <row r="245" spans="18:18" ht="15" customHeight="1">
      <c r="R245" s="356"/>
    </row>
    <row r="246" spans="18:18" ht="15" customHeight="1">
      <c r="R246" s="356"/>
    </row>
    <row r="247" spans="18:18" ht="15" customHeight="1">
      <c r="R247" s="356"/>
    </row>
    <row r="248" spans="18:18" ht="15" customHeight="1">
      <c r="R248" s="356"/>
    </row>
    <row r="249" spans="18:18" ht="15" customHeight="1">
      <c r="R249" s="356"/>
    </row>
    <row r="250" spans="18:18" ht="15" customHeight="1">
      <c r="R250" s="356"/>
    </row>
    <row r="251" spans="18:18" ht="15" customHeight="1">
      <c r="R251" s="356"/>
    </row>
    <row r="252" spans="18:18" ht="15" customHeight="1">
      <c r="R252" s="356"/>
    </row>
    <row r="253" spans="18:18" ht="15" customHeight="1">
      <c r="R253" s="356"/>
    </row>
    <row r="254" spans="18:18" ht="15" customHeight="1">
      <c r="R254" s="356"/>
    </row>
    <row r="255" spans="18:18" ht="15" customHeight="1">
      <c r="R255" s="356"/>
    </row>
    <row r="256" spans="18:18" ht="15" customHeight="1">
      <c r="R256" s="356"/>
    </row>
    <row r="257" spans="18:18" ht="15" customHeight="1">
      <c r="R257" s="356"/>
    </row>
    <row r="258" spans="18:18" ht="15" customHeight="1">
      <c r="R258" s="356"/>
    </row>
    <row r="259" spans="18:18" ht="15" customHeight="1">
      <c r="R259" s="356"/>
    </row>
    <row r="260" spans="18:18" ht="15" customHeight="1">
      <c r="R260" s="356"/>
    </row>
    <row r="261" spans="18:18" ht="15" customHeight="1">
      <c r="R261" s="356"/>
    </row>
    <row r="262" spans="18:18" ht="15" customHeight="1">
      <c r="R262" s="356"/>
    </row>
    <row r="263" spans="18:18" ht="15" customHeight="1">
      <c r="R263" s="356"/>
    </row>
    <row r="264" spans="18:18" ht="15" customHeight="1">
      <c r="R264" s="356"/>
    </row>
    <row r="265" spans="18:18" ht="15" customHeight="1">
      <c r="R265" s="356"/>
    </row>
    <row r="266" spans="18:18" ht="15" customHeight="1">
      <c r="R266" s="356"/>
    </row>
    <row r="267" spans="18:18" ht="15" customHeight="1">
      <c r="R267" s="356"/>
    </row>
    <row r="268" spans="18:18" ht="15" customHeight="1">
      <c r="R268" s="356"/>
    </row>
    <row r="269" spans="18:18" ht="15" customHeight="1">
      <c r="R269" s="356"/>
    </row>
    <row r="270" spans="18:18" ht="15" customHeight="1">
      <c r="R270" s="356"/>
    </row>
    <row r="271" spans="18:18" ht="15" customHeight="1">
      <c r="R271" s="356"/>
    </row>
    <row r="272" spans="18:18" ht="15" customHeight="1">
      <c r="R272" s="356"/>
    </row>
    <row r="273" spans="18:18" ht="15" customHeight="1">
      <c r="R273" s="356"/>
    </row>
    <row r="274" spans="18:18" ht="15" customHeight="1">
      <c r="R274" s="356"/>
    </row>
    <row r="275" spans="18:18" ht="15" customHeight="1">
      <c r="R275" s="356"/>
    </row>
    <row r="276" spans="18:18" ht="15" customHeight="1">
      <c r="R276" s="356"/>
    </row>
    <row r="277" spans="18:18" ht="15" customHeight="1">
      <c r="R277" s="356"/>
    </row>
    <row r="278" spans="18:18" ht="15" customHeight="1">
      <c r="R278" s="356"/>
    </row>
    <row r="279" spans="18:18" ht="15" customHeight="1">
      <c r="R279" s="356"/>
    </row>
    <row r="280" spans="18:18" ht="15" customHeight="1">
      <c r="R280" s="356"/>
    </row>
    <row r="281" spans="18:18" ht="15" customHeight="1">
      <c r="R281" s="356"/>
    </row>
    <row r="282" spans="18:18" ht="15" customHeight="1">
      <c r="R282" s="356"/>
    </row>
    <row r="283" spans="18:18" ht="15" customHeight="1">
      <c r="R283" s="356"/>
    </row>
    <row r="284" spans="18:18" ht="15" customHeight="1">
      <c r="R284" s="356"/>
    </row>
    <row r="285" spans="18:18" ht="15" customHeight="1">
      <c r="R285" s="356"/>
    </row>
    <row r="286" spans="18:18" ht="15" customHeight="1">
      <c r="R286" s="356"/>
    </row>
    <row r="287" spans="18:18" ht="15" customHeight="1">
      <c r="R287" s="356"/>
    </row>
    <row r="288" spans="18:18" ht="15" customHeight="1">
      <c r="R288" s="356"/>
    </row>
    <row r="289" spans="18:18" ht="15" customHeight="1">
      <c r="R289" s="356"/>
    </row>
    <row r="290" spans="18:18" ht="15" customHeight="1">
      <c r="R290" s="356"/>
    </row>
    <row r="291" spans="18:18" ht="15" customHeight="1">
      <c r="R291" s="356"/>
    </row>
    <row r="292" spans="18:18" ht="15" customHeight="1">
      <c r="R292" s="356"/>
    </row>
    <row r="293" spans="18:18" ht="15" customHeight="1">
      <c r="R293" s="356"/>
    </row>
    <row r="294" spans="18:18" ht="15" customHeight="1">
      <c r="R294" s="356"/>
    </row>
    <row r="295" spans="18:18" ht="15" customHeight="1">
      <c r="R295" s="356"/>
    </row>
    <row r="296" spans="18:18" ht="15" customHeight="1">
      <c r="R296" s="356"/>
    </row>
    <row r="297" spans="18:18" ht="15" customHeight="1">
      <c r="R297" s="356"/>
    </row>
    <row r="298" spans="18:18" ht="15" customHeight="1">
      <c r="R298" s="356"/>
    </row>
    <row r="299" spans="18:18" ht="15" customHeight="1">
      <c r="R299" s="356"/>
    </row>
    <row r="300" spans="18:18" ht="15" customHeight="1">
      <c r="R300" s="356"/>
    </row>
    <row r="301" spans="18:18" ht="15" customHeight="1">
      <c r="R301" s="356"/>
    </row>
    <row r="302" spans="18:18" ht="15" customHeight="1">
      <c r="R302" s="356"/>
    </row>
    <row r="303" spans="18:18" ht="15" customHeight="1">
      <c r="R303" s="356"/>
    </row>
    <row r="304" spans="18:18" ht="15" customHeight="1">
      <c r="R304" s="356"/>
    </row>
    <row r="305" spans="18:18" ht="15" customHeight="1">
      <c r="R305" s="356"/>
    </row>
    <row r="306" spans="18:18" ht="15" customHeight="1">
      <c r="R306" s="356"/>
    </row>
    <row r="307" spans="18:18" ht="15" customHeight="1">
      <c r="R307" s="356"/>
    </row>
    <row r="308" spans="18:18" ht="15" customHeight="1">
      <c r="R308" s="356"/>
    </row>
    <row r="309" spans="18:18" ht="15" customHeight="1">
      <c r="R309" s="356"/>
    </row>
    <row r="310" spans="18:18" ht="15" customHeight="1">
      <c r="R310" s="356"/>
    </row>
    <row r="311" spans="18:18" ht="15" customHeight="1">
      <c r="R311" s="356"/>
    </row>
    <row r="312" spans="18:18" ht="15" customHeight="1">
      <c r="R312" s="356"/>
    </row>
    <row r="313" spans="18:18" ht="15" customHeight="1">
      <c r="R313" s="356"/>
    </row>
    <row r="314" spans="18:18" ht="15" customHeight="1">
      <c r="R314" s="356"/>
    </row>
    <row r="315" spans="18:18" ht="15" customHeight="1">
      <c r="R315" s="356"/>
    </row>
    <row r="316" spans="18:18" ht="15" customHeight="1">
      <c r="R316" s="356"/>
    </row>
    <row r="317" spans="18:18" ht="15" customHeight="1">
      <c r="R317" s="356"/>
    </row>
    <row r="318" spans="18:18" ht="15" customHeight="1">
      <c r="R318" s="356"/>
    </row>
    <row r="319" spans="18:18" ht="15" customHeight="1">
      <c r="R319" s="356"/>
    </row>
    <row r="320" spans="18:18" ht="15" customHeight="1">
      <c r="R320" s="356"/>
    </row>
    <row r="321" spans="18:18" ht="15" customHeight="1">
      <c r="R321" s="356"/>
    </row>
    <row r="322" spans="18:18" ht="15" customHeight="1">
      <c r="R322" s="356"/>
    </row>
    <row r="323" spans="18:18" ht="15" customHeight="1">
      <c r="R323" s="356"/>
    </row>
    <row r="324" spans="18:18" ht="15" customHeight="1">
      <c r="R324" s="356"/>
    </row>
    <row r="325" spans="18:18" ht="15" customHeight="1">
      <c r="R325" s="356"/>
    </row>
    <row r="326" spans="18:18" ht="15" customHeight="1">
      <c r="R326" s="356"/>
    </row>
    <row r="327" spans="18:18" ht="15" customHeight="1">
      <c r="R327" s="356"/>
    </row>
    <row r="328" spans="18:18" ht="15" customHeight="1">
      <c r="R328" s="356"/>
    </row>
    <row r="329" spans="18:18" ht="15" customHeight="1">
      <c r="R329" s="356"/>
    </row>
    <row r="330" spans="18:18" ht="15" customHeight="1">
      <c r="R330" s="356"/>
    </row>
    <row r="331" spans="18:18" ht="15" customHeight="1">
      <c r="R331" s="356"/>
    </row>
    <row r="332" spans="18:18" ht="15" customHeight="1">
      <c r="R332" s="356"/>
    </row>
    <row r="333" spans="18:18" ht="15" customHeight="1">
      <c r="R333" s="356"/>
    </row>
    <row r="334" spans="18:18" ht="15" customHeight="1">
      <c r="R334" s="356"/>
    </row>
    <row r="335" spans="18:18" ht="15" customHeight="1">
      <c r="R335" s="356"/>
    </row>
    <row r="336" spans="18:18" ht="15" customHeight="1">
      <c r="R336" s="356"/>
    </row>
    <row r="337" spans="18:18" ht="15" customHeight="1">
      <c r="R337" s="356"/>
    </row>
    <row r="338" spans="18:18" ht="15" customHeight="1">
      <c r="R338" s="356"/>
    </row>
    <row r="339" spans="18:18" ht="15" customHeight="1">
      <c r="R339" s="356"/>
    </row>
    <row r="340" spans="18:18" ht="15" customHeight="1">
      <c r="R340" s="356"/>
    </row>
    <row r="341" spans="18:18" ht="15" customHeight="1">
      <c r="R341" s="356"/>
    </row>
    <row r="342" spans="18:18" ht="15" customHeight="1">
      <c r="R342" s="356"/>
    </row>
    <row r="343" spans="18:18" ht="15" customHeight="1">
      <c r="R343" s="356"/>
    </row>
    <row r="344" spans="18:18" ht="15" customHeight="1">
      <c r="R344" s="356"/>
    </row>
    <row r="345" spans="18:18" ht="15" customHeight="1">
      <c r="R345" s="356"/>
    </row>
    <row r="346" spans="18:18" ht="15" customHeight="1">
      <c r="R346" s="356"/>
    </row>
    <row r="347" spans="18:18" ht="15" customHeight="1">
      <c r="R347" s="356"/>
    </row>
    <row r="348" spans="18:18" ht="15" customHeight="1">
      <c r="R348" s="356"/>
    </row>
    <row r="349" spans="18:18" ht="15" customHeight="1">
      <c r="R349" s="356"/>
    </row>
    <row r="350" spans="18:18" ht="15" customHeight="1">
      <c r="R350" s="356"/>
    </row>
    <row r="351" spans="18:18" ht="15" customHeight="1">
      <c r="R351" s="356"/>
    </row>
    <row r="352" spans="18:18" ht="15" customHeight="1">
      <c r="R352" s="356"/>
    </row>
    <row r="353" spans="18:18" ht="15" customHeight="1">
      <c r="R353" s="356"/>
    </row>
    <row r="354" spans="18:18" ht="15" customHeight="1">
      <c r="R354" s="356"/>
    </row>
    <row r="355" spans="18:18" ht="15" customHeight="1">
      <c r="R355" s="356"/>
    </row>
    <row r="356" spans="18:18" ht="15" customHeight="1">
      <c r="R356" s="356"/>
    </row>
    <row r="357" spans="18:18" ht="15" customHeight="1">
      <c r="R357" s="356"/>
    </row>
    <row r="358" spans="18:18" ht="15" customHeight="1">
      <c r="R358" s="356"/>
    </row>
    <row r="359" spans="18:18" ht="15" customHeight="1">
      <c r="R359" s="356"/>
    </row>
    <row r="360" spans="18:18" ht="15" customHeight="1">
      <c r="R360" s="356"/>
    </row>
    <row r="361" spans="18:18" ht="15" customHeight="1">
      <c r="R361" s="356"/>
    </row>
    <row r="362" spans="18:18" ht="15" customHeight="1">
      <c r="R362" s="356"/>
    </row>
    <row r="363" spans="18:18" ht="15" customHeight="1">
      <c r="R363" s="356"/>
    </row>
    <row r="364" spans="18:18" ht="15" customHeight="1">
      <c r="R364" s="356"/>
    </row>
    <row r="365" spans="18:18" ht="15" customHeight="1">
      <c r="R365" s="356"/>
    </row>
    <row r="366" spans="18:18" ht="15" customHeight="1">
      <c r="R366" s="356"/>
    </row>
    <row r="367" spans="18:18" ht="15" customHeight="1">
      <c r="R367" s="356"/>
    </row>
    <row r="368" spans="18:18" ht="15" customHeight="1">
      <c r="R368" s="356"/>
    </row>
    <row r="369" spans="18:18" ht="15" customHeight="1">
      <c r="R369" s="356"/>
    </row>
    <row r="370" spans="18:18" ht="15" customHeight="1">
      <c r="R370" s="356"/>
    </row>
    <row r="371" spans="18:18" ht="15" customHeight="1">
      <c r="R371" s="356"/>
    </row>
    <row r="372" spans="18:18" ht="15" customHeight="1">
      <c r="R372" s="356"/>
    </row>
    <row r="373" spans="18:18" ht="15" customHeight="1">
      <c r="R373" s="356"/>
    </row>
    <row r="374" spans="18:18" ht="15" customHeight="1">
      <c r="R374" s="356"/>
    </row>
    <row r="375" spans="18:18" ht="15" customHeight="1">
      <c r="R375" s="356"/>
    </row>
    <row r="376" spans="18:18" ht="15" customHeight="1">
      <c r="R376" s="356"/>
    </row>
    <row r="377" spans="18:18" ht="15" customHeight="1">
      <c r="R377" s="356"/>
    </row>
    <row r="378" spans="18:18" ht="15" customHeight="1">
      <c r="R378" s="356"/>
    </row>
    <row r="379" spans="18:18" ht="15" customHeight="1">
      <c r="R379" s="356"/>
    </row>
    <row r="380" spans="18:18" ht="15" customHeight="1">
      <c r="R380" s="356"/>
    </row>
    <row r="381" spans="18:18" ht="15" customHeight="1">
      <c r="R381" s="356"/>
    </row>
    <row r="382" spans="18:18" ht="15" customHeight="1">
      <c r="R382" s="356"/>
    </row>
    <row r="383" spans="18:18" ht="15" customHeight="1">
      <c r="R383" s="356"/>
    </row>
    <row r="384" spans="18:18" ht="15" customHeight="1">
      <c r="R384" s="356"/>
    </row>
    <row r="385" spans="18:18" ht="15" customHeight="1">
      <c r="R385" s="356"/>
    </row>
    <row r="386" spans="18:18" ht="15" customHeight="1">
      <c r="R386" s="356"/>
    </row>
    <row r="387" spans="18:18" ht="15" customHeight="1">
      <c r="R387" s="356"/>
    </row>
    <row r="388" spans="18:18" ht="15" customHeight="1">
      <c r="R388" s="356"/>
    </row>
    <row r="389" spans="18:18" ht="15" customHeight="1">
      <c r="R389" s="356"/>
    </row>
    <row r="390" spans="18:18" ht="15" customHeight="1">
      <c r="R390" s="356"/>
    </row>
    <row r="391" spans="18:18" ht="15" customHeight="1">
      <c r="R391" s="356"/>
    </row>
    <row r="392" spans="18:18" ht="15" customHeight="1">
      <c r="R392" s="356"/>
    </row>
    <row r="393" spans="18:18" ht="15" customHeight="1">
      <c r="R393" s="356"/>
    </row>
    <row r="394" spans="18:18" ht="15" customHeight="1">
      <c r="R394" s="356"/>
    </row>
    <row r="395" spans="18:18" ht="15" customHeight="1">
      <c r="R395" s="356"/>
    </row>
    <row r="396" spans="18:18" ht="15" customHeight="1">
      <c r="R396" s="356"/>
    </row>
    <row r="397" spans="18:18" ht="15" customHeight="1">
      <c r="R397" s="356"/>
    </row>
    <row r="398" spans="18:18" ht="15" customHeight="1">
      <c r="R398" s="356"/>
    </row>
    <row r="399" spans="18:18" ht="15" customHeight="1">
      <c r="R399" s="356"/>
    </row>
    <row r="400" spans="18:18" ht="15" customHeight="1">
      <c r="R400" s="356"/>
    </row>
    <row r="401" spans="18:18" ht="15" customHeight="1">
      <c r="R401" s="356"/>
    </row>
    <row r="402" spans="18:18" ht="15" customHeight="1">
      <c r="R402" s="356"/>
    </row>
    <row r="403" spans="18:18" ht="15" customHeight="1">
      <c r="R403" s="356"/>
    </row>
    <row r="404" spans="18:18" ht="15" customHeight="1">
      <c r="R404" s="356"/>
    </row>
    <row r="405" spans="18:18" ht="15" customHeight="1">
      <c r="R405" s="356"/>
    </row>
    <row r="406" spans="18:18" ht="15" customHeight="1">
      <c r="R406" s="356"/>
    </row>
    <row r="407" spans="18:18" ht="15" customHeight="1">
      <c r="R407" s="356"/>
    </row>
    <row r="408" spans="18:18" ht="15" customHeight="1">
      <c r="R408" s="356"/>
    </row>
    <row r="409" spans="18:18" ht="15" customHeight="1">
      <c r="R409" s="356"/>
    </row>
    <row r="410" spans="18:18" ht="15" customHeight="1">
      <c r="R410" s="356"/>
    </row>
    <row r="411" spans="18:18" ht="15" customHeight="1">
      <c r="R411" s="356"/>
    </row>
    <row r="412" spans="18:18" ht="15" customHeight="1">
      <c r="R412" s="356"/>
    </row>
    <row r="413" spans="18:18" ht="15" customHeight="1">
      <c r="R413" s="356"/>
    </row>
    <row r="414" spans="18:18" ht="15" customHeight="1">
      <c r="R414" s="356"/>
    </row>
    <row r="415" spans="18:18" ht="15" customHeight="1">
      <c r="R415" s="356"/>
    </row>
    <row r="416" spans="18:18" ht="15" customHeight="1">
      <c r="R416" s="356"/>
    </row>
    <row r="417" spans="18:18" ht="15" customHeight="1">
      <c r="R417" s="356"/>
    </row>
    <row r="418" spans="18:18" ht="15" customHeight="1">
      <c r="R418" s="356"/>
    </row>
    <row r="419" spans="18:18" ht="15" customHeight="1">
      <c r="R419" s="356"/>
    </row>
    <row r="420" spans="18:18" ht="15" customHeight="1">
      <c r="R420" s="356"/>
    </row>
    <row r="421" spans="18:18" ht="15" customHeight="1">
      <c r="R421" s="356"/>
    </row>
    <row r="422" spans="18:18" ht="15" customHeight="1">
      <c r="R422" s="356"/>
    </row>
    <row r="423" spans="18:18" ht="15" customHeight="1">
      <c r="R423" s="356"/>
    </row>
    <row r="424" spans="18:18" ht="15" customHeight="1">
      <c r="R424" s="356"/>
    </row>
    <row r="425" spans="18:18" ht="15" customHeight="1">
      <c r="R425" s="356"/>
    </row>
    <row r="426" spans="18:18" ht="15" customHeight="1">
      <c r="R426" s="356"/>
    </row>
    <row r="427" spans="18:18" ht="15" customHeight="1">
      <c r="R427" s="356"/>
    </row>
    <row r="428" spans="18:18" ht="15" customHeight="1">
      <c r="R428" s="356"/>
    </row>
    <row r="429" spans="18:18" ht="15" customHeight="1">
      <c r="R429" s="356"/>
    </row>
    <row r="430" spans="18:18" ht="15" customHeight="1">
      <c r="R430" s="356"/>
    </row>
    <row r="431" spans="18:18" ht="15" customHeight="1">
      <c r="R431" s="356"/>
    </row>
    <row r="432" spans="18:18" ht="15" customHeight="1">
      <c r="R432" s="356"/>
    </row>
    <row r="433" spans="18:18" ht="15" customHeight="1">
      <c r="R433" s="356"/>
    </row>
    <row r="434" spans="18:18" ht="15" customHeight="1">
      <c r="R434" s="356"/>
    </row>
    <row r="435" spans="18:18" ht="15" customHeight="1">
      <c r="R435" s="356"/>
    </row>
    <row r="436" spans="18:18" ht="15" customHeight="1">
      <c r="R436" s="356"/>
    </row>
    <row r="437" spans="18:18" ht="15" customHeight="1">
      <c r="R437" s="356"/>
    </row>
    <row r="438" spans="18:18" ht="15" customHeight="1">
      <c r="R438" s="356"/>
    </row>
    <row r="439" spans="18:18" ht="15" customHeight="1">
      <c r="R439" s="356"/>
    </row>
    <row r="440" spans="18:18" ht="15" customHeight="1">
      <c r="R440" s="356"/>
    </row>
    <row r="441" spans="18:18" ht="15" customHeight="1">
      <c r="R441" s="356"/>
    </row>
    <row r="442" spans="18:18" ht="15" customHeight="1">
      <c r="R442" s="356"/>
    </row>
    <row r="443" spans="18:18" ht="15" customHeight="1">
      <c r="R443" s="356"/>
    </row>
    <row r="444" spans="18:18" ht="15" customHeight="1">
      <c r="R444" s="356"/>
    </row>
    <row r="445" spans="18:18" ht="15" customHeight="1">
      <c r="R445" s="356"/>
    </row>
    <row r="446" spans="18:18" ht="15" customHeight="1">
      <c r="R446" s="356"/>
    </row>
    <row r="447" spans="18:18" ht="15" customHeight="1">
      <c r="R447" s="356"/>
    </row>
    <row r="448" spans="18:18" ht="15" customHeight="1">
      <c r="R448" s="356"/>
    </row>
    <row r="449" spans="18:18" ht="15" customHeight="1">
      <c r="R449" s="356"/>
    </row>
    <row r="450" spans="18:18" ht="15" customHeight="1">
      <c r="R450" s="356"/>
    </row>
    <row r="451" spans="18:18" ht="15" customHeight="1">
      <c r="R451" s="356"/>
    </row>
    <row r="452" spans="18:18" ht="15" customHeight="1">
      <c r="R452" s="356"/>
    </row>
    <row r="453" spans="18:18" ht="15" customHeight="1">
      <c r="R453" s="356"/>
    </row>
    <row r="454" spans="18:18" ht="15" customHeight="1">
      <c r="R454" s="356"/>
    </row>
    <row r="455" spans="18:18" ht="15" customHeight="1">
      <c r="R455" s="356"/>
    </row>
    <row r="456" spans="18:18" ht="15" customHeight="1">
      <c r="R456" s="356"/>
    </row>
    <row r="457" spans="18:18" ht="15" customHeight="1">
      <c r="R457" s="356"/>
    </row>
    <row r="458" spans="18:18" ht="15" customHeight="1">
      <c r="R458" s="356"/>
    </row>
    <row r="459" spans="18:18" ht="15" customHeight="1">
      <c r="R459" s="356"/>
    </row>
    <row r="460" spans="18:18" ht="15" customHeight="1">
      <c r="R460" s="356"/>
    </row>
    <row r="461" spans="18:18" ht="15" customHeight="1">
      <c r="R461" s="356"/>
    </row>
  </sheetData>
  <sheetProtection formatCells="0" formatColumns="0" formatRows="0"/>
  <protectedRanges>
    <protectedRange sqref="A126:A127 P462:AD590 Q83:Q84 N83:O84 S83:AD84 AE81:CO84 AE43:AF51 AU43:AV51 BL44:BM51 BL43:CO43 BL76:CO80 BL57:BM75 BK43:BK51 BK57:BK80 AE37:AF37 AV37 BK37:CO37 AE38:AP42 AR38:CO42 AQ38 AQ40:AQ42 BK53:BM56 AU53:AV80 AE53:AF80 BO44:CO75 C126:Q127 S126:CO127 BN120 A167:A593 C167:M593 P167:Q461 N167:O590 S167:AD461 AE167:CO590 BN161" name="Range1"/>
    <protectedRange sqref="I1" name="Range2"/>
    <protectedRange sqref="Y1" name="Range2_1"/>
    <protectedRange sqref="Q36:Q38 A36:A38 N38:O42 A42 M39:M41 Q42 AC39:AD41 C38:M38 C36:O37 C42:M42 S36:AD38 S42:AD42 N77:O82 O43:O51 A77 C77:M77 Q77 S77:AD77 A81:A84 C81:M84 L78:M80 Q81:Q82 S81:AD82 AB78:AD80 AG77 AI77:AT77 AR78:AT80 AW77 AY77:BJ77 BH78:BJ80 O53:O76" name="Range1_3"/>
    <protectedRange sqref="M2:O2 AC2:AE2" name="Range1_2_1"/>
    <protectedRange sqref="J1 Z1" name="Range2_3"/>
    <protectedRange sqref="B36:B38 B42 R36:R38 R42 B77 R77 B81:B84 R81:R84 AH77 AX77 B126:B127 R126:R127 B167:B504 R167:R461" name="Range1_1"/>
    <protectedRange sqref="B1 R1 AH1 AX1" name="Range1_1_1"/>
    <protectedRange sqref="O52:P52 R52:AF52 AS52:AV52 AX52:BM52" name="Range1_2"/>
    <protectedRange sqref="AG1 AI1:AR1" name="Range2_2"/>
    <protectedRange sqref="AW1 AY1:BH1" name="Range2_4"/>
    <protectedRange sqref="AS2" name="Range1_2_1_1"/>
    <protectedRange sqref="AT2:AU2" name="Range1_2_1_1_1"/>
    <protectedRange sqref="BH2" name="Range1_2_1_2"/>
    <protectedRange sqref="BI2:BJ2" name="Range1_2_1_1_2"/>
    <protectedRange sqref="A122 N122:O125 C122:M122 BZ121:CF121 L123:M125 AT122:AV125 P89:P125 O89:O121 Q122 AD122:AE125 S122:AC122 AB123:AC125 AG122 BX122:CF125 AI122:AS122 AR123:AS125 AW122 BJ122:BK125 AY122:BI122 BH123:BI125 BX85:BX121 BZ85:CI120 AV85:AV121 O85:P88 AF85:AF125 AE86:AE121 AU86:AU121 BK86:BK121 A163 N163:O166 C163:M163 BZ162:CF162 L164:M166 AT163:AV166 P131:P166 O131:O162 Q163 AD163:AE166 S163:AC163 AB164:AC166 AG163 BX163:CF166 AI163:AS163 AR164:AS166 AW163 BJ163:BK166 AY163:BI163 BH164:BI166 BX128:BX162 BZ128:CI161 AV128:AV162 O128:P130 AF128:AF166 AE129:AE162 AU129:AU162 BK129:BK162" name="Range1_4"/>
    <protectedRange sqref="B122 R122 AH122 AX122 B163 R163 AH163 AX163" name="Range1_1_2"/>
  </protectedRanges>
  <mergeCells count="10">
    <mergeCell ref="AW80:BB80"/>
    <mergeCell ref="A125:F125"/>
    <mergeCell ref="Q125:V125"/>
    <mergeCell ref="AG125:AL125"/>
    <mergeCell ref="A166:F166"/>
    <mergeCell ref="Q166:V166"/>
    <mergeCell ref="AG166:AL166"/>
    <mergeCell ref="A80:F80"/>
    <mergeCell ref="Q80:V80"/>
    <mergeCell ref="AG80:AL80"/>
  </mergeCells>
  <conditionalFormatting sqref="A2 C2:L2 M52:N52 A43:A76 C53:N74 B44:B74 Q43:Q76 AG43:AG76 AX53:BJ74 AW43:AW76 B85:B119 A85:A121 R86:R119 Q86:Q121 S86:AD121 AH86:AH119 AG86:AG121 AI86:AT121 AW86:AW121 C85:N121 AH55:AT74 AY100:BJ121 AZ99:BJ99 AX91:AX119 AY91:BJ98 AX86:BJ90 R53:AD74">
    <cfRule type="containsText" dxfId="464" priority="317" stopIfTrue="1" operator="containsText" text="ELTÉRÉS!">
      <formula>NOT(ISERROR(SEARCH("ELTÉRÉS!",A2)))</formula>
    </cfRule>
    <cfRule type="containsText" dxfId="463" priority="318" stopIfTrue="1" operator="containsText" text="STIMMEL!">
      <formula>NOT(ISERROR(SEARCH("STIMMEL!",A2)))</formula>
    </cfRule>
  </conditionalFormatting>
  <conditionalFormatting sqref="A2 C2:L2 M52:N52 A43:A76 C53:N74 B44:B74 Q43:Q76 AG43:AG76 AX53:BJ74 AW43:AW76 B85:B119 A85:A121 R86:R119 Q86:Q121 S86:AD121 AH86:AH119 AG86:AG121 AI86:AT121 AW86:AW121 C85:N121 AH55:AT74 AY100:BJ121 AZ99:BJ99 AX91:AX119 AY91:BJ98 AX86:BJ90 R53:AD74">
    <cfRule type="cellIs" dxfId="462" priority="316" operator="equal">
      <formula>0.01</formula>
    </cfRule>
  </conditionalFormatting>
  <conditionalFormatting sqref="Q2 S2:AB2">
    <cfRule type="containsText" dxfId="461" priority="314" stopIfTrue="1" operator="containsText" text="ELTÉRÉS!">
      <formula>NOT(ISERROR(SEARCH("ELTÉRÉS!",Q2)))</formula>
    </cfRule>
    <cfRule type="containsText" dxfId="460" priority="315" stopIfTrue="1" operator="containsText" text="STIMMEL!">
      <formula>NOT(ISERROR(SEARCH("STIMMEL!",Q2)))</formula>
    </cfRule>
  </conditionalFormatting>
  <conditionalFormatting sqref="Q2 S2:AB2">
    <cfRule type="cellIs" dxfId="459" priority="313" operator="equal">
      <formula>0.01</formula>
    </cfRule>
  </conditionalFormatting>
  <conditionalFormatting sqref="M3:M33">
    <cfRule type="containsText" dxfId="458" priority="308" stopIfTrue="1" operator="containsText" text="ELTÉRÉS!">
      <formula>NOT(ISERROR(SEARCH("ELTÉRÉS!",M3)))</formula>
    </cfRule>
    <cfRule type="containsText" dxfId="457" priority="309" stopIfTrue="1" operator="containsText" text="STIMMEL!">
      <formula>NOT(ISERROR(SEARCH("STIMMEL!",M3)))</formula>
    </cfRule>
  </conditionalFormatting>
  <conditionalFormatting sqref="M3:M33">
    <cfRule type="cellIs" dxfId="456" priority="307" operator="equal">
      <formula>0.01</formula>
    </cfRule>
  </conditionalFormatting>
  <conditionalFormatting sqref="A3:A33 C3:L33">
    <cfRule type="containsText" dxfId="455" priority="305" stopIfTrue="1" operator="containsText" text="ELTÉRÉS!">
      <formula>NOT(ISERROR(SEARCH("ELTÉRÉS!",A3)))</formula>
    </cfRule>
    <cfRule type="containsText" dxfId="454" priority="306" stopIfTrue="1" operator="containsText" text="STIMMEL!">
      <formula>NOT(ISERROR(SEARCH("STIMMEL!",A3)))</formula>
    </cfRule>
  </conditionalFormatting>
  <conditionalFormatting sqref="A3:A33 C3:L33">
    <cfRule type="cellIs" dxfId="453" priority="304" operator="equal">
      <formula>0.01</formula>
    </cfRule>
  </conditionalFormatting>
  <conditionalFormatting sqref="AC3:AC33">
    <cfRule type="containsText" dxfId="452" priority="302" stopIfTrue="1" operator="containsText" text="ELTÉRÉS!">
      <formula>NOT(ISERROR(SEARCH("ELTÉRÉS!",AC3)))</formula>
    </cfRule>
    <cfRule type="containsText" dxfId="451" priority="303" stopIfTrue="1" operator="containsText" text="STIMMEL!">
      <formula>NOT(ISERROR(SEARCH("STIMMEL!",AC3)))</formula>
    </cfRule>
  </conditionalFormatting>
  <conditionalFormatting sqref="AC3:AC33">
    <cfRule type="cellIs" dxfId="450" priority="301" operator="equal">
      <formula>0.01</formula>
    </cfRule>
  </conditionalFormatting>
  <conditionalFormatting sqref="Q3:Q33 S3:AB33">
    <cfRule type="containsText" dxfId="449" priority="299" stopIfTrue="1" operator="containsText" text="ELTÉRÉS!">
      <formula>NOT(ISERROR(SEARCH("ELTÉRÉS!",Q3)))</formula>
    </cfRule>
    <cfRule type="containsText" dxfId="448" priority="300" stopIfTrue="1" operator="containsText" text="STIMMEL!">
      <formula>NOT(ISERROR(SEARCH("STIMMEL!",Q3)))</formula>
    </cfRule>
  </conditionalFormatting>
  <conditionalFormatting sqref="Q3:Q33 S3:AB33">
    <cfRule type="cellIs" dxfId="447" priority="298" operator="equal">
      <formula>0.01</formula>
    </cfRule>
  </conditionalFormatting>
  <conditionalFormatting sqref="Q39 U40:AB41 V39:AB39">
    <cfRule type="containsText" dxfId="446" priority="284" stopIfTrue="1" operator="containsText" text="ELTÉRÉS!">
      <formula>NOT(ISERROR(SEARCH("ELTÉRÉS!",Q39)))</formula>
    </cfRule>
    <cfRule type="containsText" dxfId="445" priority="285" stopIfTrue="1" operator="containsText" text="STIMMEL!">
      <formula>NOT(ISERROR(SEARCH("STIMMEL!",Q39)))</formula>
    </cfRule>
  </conditionalFormatting>
  <conditionalFormatting sqref="Q39 U40:AB41 V39:AB39">
    <cfRule type="cellIs" dxfId="444" priority="283" operator="equal">
      <formula>0.01</formula>
    </cfRule>
  </conditionalFormatting>
  <conditionalFormatting sqref="A39 E40:L41 F39:L39">
    <cfRule type="containsText" dxfId="443" priority="281" stopIfTrue="1" operator="containsText" text="ELTÉRÉS!">
      <formula>NOT(ISERROR(SEARCH("ELTÉRÉS!",A39)))</formula>
    </cfRule>
    <cfRule type="containsText" dxfId="442" priority="282" stopIfTrue="1" operator="containsText" text="STIMMEL!">
      <formula>NOT(ISERROR(SEARCH("STIMMEL!",A39)))</formula>
    </cfRule>
  </conditionalFormatting>
  <conditionalFormatting sqref="A39 E40:L41 F39:L39">
    <cfRule type="cellIs" dxfId="441" priority="280" operator="equal">
      <formula>0.01</formula>
    </cfRule>
  </conditionalFormatting>
  <conditionalFormatting sqref="B2:B33">
    <cfRule type="containsText" dxfId="440" priority="278" stopIfTrue="1" operator="containsText" text="ELTÉRÉS!">
      <formula>NOT(ISERROR(SEARCH("ELTÉRÉS!",B2)))</formula>
    </cfRule>
    <cfRule type="containsText" dxfId="439" priority="279" stopIfTrue="1" operator="containsText" text="STIMMEL!">
      <formula>NOT(ISERROR(SEARCH("STIMMEL!",B2)))</formula>
    </cfRule>
  </conditionalFormatting>
  <conditionalFormatting sqref="B2:B33">
    <cfRule type="cellIs" dxfId="438" priority="277" operator="equal">
      <formula>0.01</formula>
    </cfRule>
  </conditionalFormatting>
  <conditionalFormatting sqref="B39">
    <cfRule type="containsText" dxfId="437" priority="275" stopIfTrue="1" operator="containsText" text="ELTÉRÉS!">
      <formula>NOT(ISERROR(SEARCH("ELTÉRÉS!",B39)))</formula>
    </cfRule>
    <cfRule type="containsText" dxfId="436" priority="276" stopIfTrue="1" operator="containsText" text="STIMMEL!">
      <formula>NOT(ISERROR(SEARCH("STIMMEL!",B39)))</formula>
    </cfRule>
  </conditionalFormatting>
  <conditionalFormatting sqref="B39">
    <cfRule type="cellIs" dxfId="435" priority="274" operator="equal">
      <formula>0.01</formula>
    </cfRule>
  </conditionalFormatting>
  <conditionalFormatting sqref="R2:R33">
    <cfRule type="containsText" dxfId="434" priority="272" stopIfTrue="1" operator="containsText" text="ELTÉRÉS!">
      <formula>NOT(ISERROR(SEARCH("ELTÉRÉS!",R2)))</formula>
    </cfRule>
    <cfRule type="containsText" dxfId="433" priority="273" stopIfTrue="1" operator="containsText" text="STIMMEL!">
      <formula>NOT(ISERROR(SEARCH("STIMMEL!",R2)))</formula>
    </cfRule>
  </conditionalFormatting>
  <conditionalFormatting sqref="R2:R33">
    <cfRule type="cellIs" dxfId="432" priority="271" operator="equal">
      <formula>0.01</formula>
    </cfRule>
  </conditionalFormatting>
  <conditionalFormatting sqref="R39">
    <cfRule type="containsText" dxfId="431" priority="269" stopIfTrue="1" operator="containsText" text="ELTÉRÉS!">
      <formula>NOT(ISERROR(SEARCH("ELTÉRÉS!",R39)))</formula>
    </cfRule>
    <cfRule type="containsText" dxfId="430" priority="270" stopIfTrue="1" operator="containsText" text="STIMMEL!">
      <formula>NOT(ISERROR(SEARCH("STIMMEL!",R39)))</formula>
    </cfRule>
  </conditionalFormatting>
  <conditionalFormatting sqref="R39">
    <cfRule type="cellIs" dxfId="429" priority="268" operator="equal">
      <formula>0.01</formula>
    </cfRule>
  </conditionalFormatting>
  <conditionalFormatting sqref="M44:N51 C44:L52 B43:N43 C76:N76 C75:H75 J75:N75">
    <cfRule type="containsText" dxfId="428" priority="266" stopIfTrue="1" operator="containsText" text="ELTÉRÉS!">
      <formula>NOT(ISERROR(SEARCH("ELTÉRÉS!",B43)))</formula>
    </cfRule>
    <cfRule type="containsText" dxfId="427" priority="267" stopIfTrue="1" operator="containsText" text="STIMMEL!">
      <formula>NOT(ISERROR(SEARCH("STIMMEL!",B43)))</formula>
    </cfRule>
  </conditionalFormatting>
  <conditionalFormatting sqref="M44:N51 C44:L52 B43:N43 C76:N76 C75:H75 J75:N75">
    <cfRule type="cellIs" dxfId="426" priority="265" operator="equal">
      <formula>0.01</formula>
    </cfRule>
  </conditionalFormatting>
  <conditionalFormatting sqref="S43:AD51 S76:AD76 S75:X75 Z75:AD75">
    <cfRule type="containsText" dxfId="425" priority="260" stopIfTrue="1" operator="containsText" text="ELTÉRÉS!">
      <formula>NOT(ISERROR(SEARCH("ELTÉRÉS!",S43)))</formula>
    </cfRule>
    <cfRule type="containsText" dxfId="424" priority="261" stopIfTrue="1" operator="containsText" text="STIMMEL!">
      <formula>NOT(ISERROR(SEARCH("STIMMEL!",S43)))</formula>
    </cfRule>
  </conditionalFormatting>
  <conditionalFormatting sqref="S43:AD51 S76:AD76 S75:X75 Z75:AD75">
    <cfRule type="cellIs" dxfId="423" priority="259" operator="equal">
      <formula>0.01</formula>
    </cfRule>
  </conditionalFormatting>
  <conditionalFormatting sqref="R43:R51">
    <cfRule type="containsText" dxfId="422" priority="257" stopIfTrue="1" operator="containsText" text="ELTÉRÉS!">
      <formula>NOT(ISERROR(SEARCH("ELTÉRÉS!",R43)))</formula>
    </cfRule>
    <cfRule type="containsText" dxfId="421" priority="258" stopIfTrue="1" operator="containsText" text="STIMMEL!">
      <formula>NOT(ISERROR(SEARCH("STIMMEL!",R43)))</formula>
    </cfRule>
  </conditionalFormatting>
  <conditionalFormatting sqref="R43:R51">
    <cfRule type="cellIs" dxfId="420" priority="256" operator="equal">
      <formula>0.01</formula>
    </cfRule>
  </conditionalFormatting>
  <conditionalFormatting sqref="F78:K78">
    <cfRule type="containsText" dxfId="419" priority="254" stopIfTrue="1" operator="containsText" text="ELTÉRÉS!">
      <formula>NOT(ISERROR(SEARCH("ELTÉRÉS!",F78)))</formula>
    </cfRule>
    <cfRule type="containsText" dxfId="418" priority="255" stopIfTrue="1" operator="containsText" text="STIMMEL!">
      <formula>NOT(ISERROR(SEARCH("STIMMEL!",F78)))</formula>
    </cfRule>
  </conditionalFormatting>
  <conditionalFormatting sqref="F78:K78">
    <cfRule type="cellIs" dxfId="417" priority="253" operator="equal">
      <formula>0.01</formula>
    </cfRule>
  </conditionalFormatting>
  <conditionalFormatting sqref="A78">
    <cfRule type="containsText" dxfId="416" priority="251" stopIfTrue="1" operator="containsText" text="ELTÉRÉS!">
      <formula>NOT(ISERROR(SEARCH("ELTÉRÉS!",A78)))</formula>
    </cfRule>
    <cfRule type="containsText" dxfId="415" priority="252" stopIfTrue="1" operator="containsText" text="STIMMEL!">
      <formula>NOT(ISERROR(SEARCH("STIMMEL!",A78)))</formula>
    </cfRule>
  </conditionalFormatting>
  <conditionalFormatting sqref="A78">
    <cfRule type="cellIs" dxfId="414" priority="250" operator="equal">
      <formula>0.01</formula>
    </cfRule>
  </conditionalFormatting>
  <conditionalFormatting sqref="B78">
    <cfRule type="containsText" dxfId="413" priority="248" stopIfTrue="1" operator="containsText" text="ELTÉRÉS!">
      <formula>NOT(ISERROR(SEARCH("ELTÉRÉS!",B78)))</formula>
    </cfRule>
    <cfRule type="containsText" dxfId="412" priority="249" stopIfTrue="1" operator="containsText" text="STIMMEL!">
      <formula>NOT(ISERROR(SEARCH("STIMMEL!",B78)))</formula>
    </cfRule>
  </conditionalFormatting>
  <conditionalFormatting sqref="B78">
    <cfRule type="cellIs" dxfId="411" priority="247" operator="equal">
      <formula>0.01</formula>
    </cfRule>
  </conditionalFormatting>
  <conditionalFormatting sqref="V78:AA78">
    <cfRule type="containsText" dxfId="410" priority="245" stopIfTrue="1" operator="containsText" text="ELTÉRÉS!">
      <formula>NOT(ISERROR(SEARCH("ELTÉRÉS!",V78)))</formula>
    </cfRule>
    <cfRule type="containsText" dxfId="409" priority="246" stopIfTrue="1" operator="containsText" text="STIMMEL!">
      <formula>NOT(ISERROR(SEARCH("STIMMEL!",V78)))</formula>
    </cfRule>
  </conditionalFormatting>
  <conditionalFormatting sqref="V78:AA78">
    <cfRule type="cellIs" dxfId="408" priority="244" operator="equal">
      <formula>0.01</formula>
    </cfRule>
  </conditionalFormatting>
  <conditionalFormatting sqref="Q78">
    <cfRule type="containsText" dxfId="407" priority="242" stopIfTrue="1" operator="containsText" text="ELTÉRÉS!">
      <formula>NOT(ISERROR(SEARCH("ELTÉRÉS!",Q78)))</formula>
    </cfRule>
    <cfRule type="containsText" dxfId="406" priority="243" stopIfTrue="1" operator="containsText" text="STIMMEL!">
      <formula>NOT(ISERROR(SEARCH("STIMMEL!",Q78)))</formula>
    </cfRule>
  </conditionalFormatting>
  <conditionalFormatting sqref="Q78">
    <cfRule type="cellIs" dxfId="405" priority="241" operator="equal">
      <formula>0.01</formula>
    </cfRule>
  </conditionalFormatting>
  <conditionalFormatting sqref="R78">
    <cfRule type="containsText" dxfId="404" priority="239" stopIfTrue="1" operator="containsText" text="ELTÉRÉS!">
      <formula>NOT(ISERROR(SEARCH("ELTÉRÉS!",R78)))</formula>
    </cfRule>
    <cfRule type="containsText" dxfId="403" priority="240" stopIfTrue="1" operator="containsText" text="STIMMEL!">
      <formula>NOT(ISERROR(SEARCH("STIMMEL!",R78)))</formula>
    </cfRule>
  </conditionalFormatting>
  <conditionalFormatting sqref="R78">
    <cfRule type="cellIs" dxfId="402" priority="238" operator="equal">
      <formula>0.01</formula>
    </cfRule>
  </conditionalFormatting>
  <conditionalFormatting sqref="AI43:AT43 AS53:AT54 AS44:AT51 AI76:AT76 AI75:AN75 AP75:AT75">
    <cfRule type="containsText" dxfId="401" priority="215" stopIfTrue="1" operator="containsText" text="ELTÉRÉS!">
      <formula>NOT(ISERROR(SEARCH("ELTÉRÉS!",AI43)))</formula>
    </cfRule>
    <cfRule type="containsText" dxfId="400" priority="216" stopIfTrue="1" operator="containsText" text="STIMMEL!">
      <formula>NOT(ISERROR(SEARCH("STIMMEL!",AI43)))</formula>
    </cfRule>
  </conditionalFormatting>
  <conditionalFormatting sqref="AI43:AT43 AS53:AT54 AS44:AT51 AI76:AT76 AI75:AN75 AP75:AT75">
    <cfRule type="cellIs" dxfId="399" priority="214" operator="equal">
      <formula>0.01</formula>
    </cfRule>
  </conditionalFormatting>
  <conditionalFormatting sqref="AH43">
    <cfRule type="containsText" dxfId="398" priority="212" stopIfTrue="1" operator="containsText" text="ELTÉRÉS!">
      <formula>NOT(ISERROR(SEARCH("ELTÉRÉS!",AH43)))</formula>
    </cfRule>
    <cfRule type="containsText" dxfId="397" priority="213" stopIfTrue="1" operator="containsText" text="STIMMEL!">
      <formula>NOT(ISERROR(SEARCH("STIMMEL!",AH43)))</formula>
    </cfRule>
  </conditionalFormatting>
  <conditionalFormatting sqref="AH43">
    <cfRule type="cellIs" dxfId="396" priority="211" operator="equal">
      <formula>0.01</formula>
    </cfRule>
  </conditionalFormatting>
  <conditionalFormatting sqref="AL78:AQ78">
    <cfRule type="containsText" dxfId="395" priority="209" stopIfTrue="1" operator="containsText" text="ELTÉRÉS!">
      <formula>NOT(ISERROR(SEARCH("ELTÉRÉS!",AL78)))</formula>
    </cfRule>
    <cfRule type="containsText" dxfId="394" priority="210" stopIfTrue="1" operator="containsText" text="STIMMEL!">
      <formula>NOT(ISERROR(SEARCH("STIMMEL!",AL78)))</formula>
    </cfRule>
  </conditionalFormatting>
  <conditionalFormatting sqref="AL78:AQ78">
    <cfRule type="cellIs" dxfId="393" priority="208" operator="equal">
      <formula>0.01</formula>
    </cfRule>
  </conditionalFormatting>
  <conditionalFormatting sqref="AG78">
    <cfRule type="containsText" dxfId="392" priority="206" stopIfTrue="1" operator="containsText" text="ELTÉRÉS!">
      <formula>NOT(ISERROR(SEARCH("ELTÉRÉS!",AG78)))</formula>
    </cfRule>
    <cfRule type="containsText" dxfId="391" priority="207" stopIfTrue="1" operator="containsText" text="STIMMEL!">
      <formula>NOT(ISERROR(SEARCH("STIMMEL!",AG78)))</formula>
    </cfRule>
  </conditionalFormatting>
  <conditionalFormatting sqref="AG78">
    <cfRule type="cellIs" dxfId="390" priority="205" operator="equal">
      <formula>0.01</formula>
    </cfRule>
  </conditionalFormatting>
  <conditionalFormatting sqref="AH78">
    <cfRule type="containsText" dxfId="389" priority="203" stopIfTrue="1" operator="containsText" text="ELTÉRÉS!">
      <formula>NOT(ISERROR(SEARCH("ELTÉRÉS!",AH78)))</formula>
    </cfRule>
    <cfRule type="containsText" dxfId="388" priority="204" stopIfTrue="1" operator="containsText" text="STIMMEL!">
      <formula>NOT(ISERROR(SEARCH("STIMMEL!",AH78)))</formula>
    </cfRule>
  </conditionalFormatting>
  <conditionalFormatting sqref="AH78">
    <cfRule type="cellIs" dxfId="387" priority="202" operator="equal">
      <formula>0.01</formula>
    </cfRule>
  </conditionalFormatting>
  <conditionalFormatting sqref="AY43:BJ51 AY76:BJ76 AY75:BD75 BF75:BJ75">
    <cfRule type="containsText" dxfId="386" priority="200" stopIfTrue="1" operator="containsText" text="ELTÉRÉS!">
      <formula>NOT(ISERROR(SEARCH("ELTÉRÉS!",AY43)))</formula>
    </cfRule>
    <cfRule type="containsText" dxfId="385" priority="201" stopIfTrue="1" operator="containsText" text="STIMMEL!">
      <formula>NOT(ISERROR(SEARCH("STIMMEL!",AY43)))</formula>
    </cfRule>
  </conditionalFormatting>
  <conditionalFormatting sqref="AY43:BJ51 AY76:BJ76 AY75:BD75 BF75:BJ75">
    <cfRule type="cellIs" dxfId="384" priority="199" operator="equal">
      <formula>0.01</formula>
    </cfRule>
  </conditionalFormatting>
  <conditionalFormatting sqref="AX43:AX51">
    <cfRule type="containsText" dxfId="383" priority="197" stopIfTrue="1" operator="containsText" text="ELTÉRÉS!">
      <formula>NOT(ISERROR(SEARCH("ELTÉRÉS!",AX43)))</formula>
    </cfRule>
    <cfRule type="containsText" dxfId="382" priority="198" stopIfTrue="1" operator="containsText" text="STIMMEL!">
      <formula>NOT(ISERROR(SEARCH("STIMMEL!",AX43)))</formula>
    </cfRule>
  </conditionalFormatting>
  <conditionalFormatting sqref="AX43:AX51">
    <cfRule type="cellIs" dxfId="381" priority="196" operator="equal">
      <formula>0.01</formula>
    </cfRule>
  </conditionalFormatting>
  <conditionalFormatting sqref="BB78:BG78">
    <cfRule type="containsText" dxfId="380" priority="194" stopIfTrue="1" operator="containsText" text="ELTÉRÉS!">
      <formula>NOT(ISERROR(SEARCH("ELTÉRÉS!",BB78)))</formula>
    </cfRule>
    <cfRule type="containsText" dxfId="379" priority="195" stopIfTrue="1" operator="containsText" text="STIMMEL!">
      <formula>NOT(ISERROR(SEARCH("STIMMEL!",BB78)))</formula>
    </cfRule>
  </conditionalFormatting>
  <conditionalFormatting sqref="BB78:BG78">
    <cfRule type="cellIs" dxfId="378" priority="193" operator="equal">
      <formula>0.01</formula>
    </cfRule>
  </conditionalFormatting>
  <conditionalFormatting sqref="AW78">
    <cfRule type="containsText" dxfId="377" priority="191" stopIfTrue="1" operator="containsText" text="ELTÉRÉS!">
      <formula>NOT(ISERROR(SEARCH("ELTÉRÉS!",AW78)))</formula>
    </cfRule>
    <cfRule type="containsText" dxfId="376" priority="192" stopIfTrue="1" operator="containsText" text="STIMMEL!">
      <formula>NOT(ISERROR(SEARCH("STIMMEL!",AW78)))</formula>
    </cfRule>
  </conditionalFormatting>
  <conditionalFormatting sqref="AW78">
    <cfRule type="cellIs" dxfId="375" priority="190" operator="equal">
      <formula>0.01</formula>
    </cfRule>
  </conditionalFormatting>
  <conditionalFormatting sqref="AX78">
    <cfRule type="containsText" dxfId="374" priority="188" stopIfTrue="1" operator="containsText" text="ELTÉRÉS!">
      <formula>NOT(ISERROR(SEARCH("ELTÉRÉS!",AX78)))</formula>
    </cfRule>
    <cfRule type="containsText" dxfId="373" priority="189" stopIfTrue="1" operator="containsText" text="STIMMEL!">
      <formula>NOT(ISERROR(SEARCH("STIMMEL!",AX78)))</formula>
    </cfRule>
  </conditionalFormatting>
  <conditionalFormatting sqref="AX78">
    <cfRule type="cellIs" dxfId="372" priority="187" operator="equal">
      <formula>0.01</formula>
    </cfRule>
  </conditionalFormatting>
  <conditionalFormatting sqref="AR53 AI53:AP53 AI44:AR51 AI54:AR54 AH44:AH52">
    <cfRule type="containsText" dxfId="371" priority="185" stopIfTrue="1" operator="containsText" text="ELTÉRÉS!">
      <formula>NOT(ISERROR(SEARCH("ELTÉRÉS!",AH44)))</formula>
    </cfRule>
    <cfRule type="containsText" dxfId="370" priority="186" stopIfTrue="1" operator="containsText" text="STIMMEL!">
      <formula>NOT(ISERROR(SEARCH("STIMMEL!",AH44)))</formula>
    </cfRule>
  </conditionalFormatting>
  <conditionalFormatting sqref="AR53 AI53:AP53 AI44:AR51 AI54:AR54 AH44:AH52">
    <cfRule type="cellIs" dxfId="369" priority="184" operator="equal">
      <formula>0.01</formula>
    </cfRule>
  </conditionalFormatting>
  <conditionalFormatting sqref="AH44:AH54">
    <cfRule type="containsText" dxfId="368" priority="182" stopIfTrue="1" operator="containsText" text="ELTÉRÉS!">
      <formula>NOT(ISERROR(SEARCH("ELTÉRÉS!",AH44)))</formula>
    </cfRule>
    <cfRule type="containsText" dxfId="367" priority="183" stopIfTrue="1" operator="containsText" text="STIMMEL!">
      <formula>NOT(ISERROR(SEARCH("STIMMEL!",AH44)))</formula>
    </cfRule>
  </conditionalFormatting>
  <conditionalFormatting sqref="AH44:AH54">
    <cfRule type="cellIs" dxfId="366" priority="181" operator="equal">
      <formula>0.01</formula>
    </cfRule>
  </conditionalFormatting>
  <conditionalFormatting sqref="AI52:AO52 AQ52:AR52">
    <cfRule type="containsText" dxfId="365" priority="179" stopIfTrue="1" operator="containsText" text="ELTÉRÉS!">
      <formula>NOT(ISERROR(SEARCH("ELTÉRÉS!",AI52)))</formula>
    </cfRule>
    <cfRule type="containsText" dxfId="364" priority="180" stopIfTrue="1" operator="containsText" text="STIMMEL!">
      <formula>NOT(ISERROR(SEARCH("STIMMEL!",AI52)))</formula>
    </cfRule>
  </conditionalFormatting>
  <conditionalFormatting sqref="AI52:AO52 AQ52:AR52">
    <cfRule type="cellIs" dxfId="363" priority="178" operator="equal">
      <formula>0.01</formula>
    </cfRule>
  </conditionalFormatting>
  <conditionalFormatting sqref="AH44:AH51">
    <cfRule type="containsText" dxfId="362" priority="176" stopIfTrue="1" operator="containsText" text="ELTÉRÉS!">
      <formula>NOT(ISERROR(SEARCH("ELTÉRÉS!",AH44)))</formula>
    </cfRule>
    <cfRule type="containsText" dxfId="361" priority="177" stopIfTrue="1" operator="containsText" text="STIMMEL!">
      <formula>NOT(ISERROR(SEARCH("STIMMEL!",AH44)))</formula>
    </cfRule>
  </conditionalFormatting>
  <conditionalFormatting sqref="AH44:AH51">
    <cfRule type="cellIs" dxfId="360" priority="175" operator="equal">
      <formula>0.01</formula>
    </cfRule>
  </conditionalFormatting>
  <conditionalFormatting sqref="AH52">
    <cfRule type="containsText" dxfId="359" priority="173" stopIfTrue="1" operator="containsText" text="ELTÉRÉS!">
      <formula>NOT(ISERROR(SEARCH("ELTÉRÉS!",AH52)))</formula>
    </cfRule>
    <cfRule type="containsText" dxfId="358" priority="174" stopIfTrue="1" operator="containsText" text="STIMMEL!">
      <formula>NOT(ISERROR(SEARCH("STIMMEL!",AH52)))</formula>
    </cfRule>
  </conditionalFormatting>
  <conditionalFormatting sqref="AH52">
    <cfRule type="cellIs" dxfId="357" priority="172" operator="equal">
      <formula>0.01</formula>
    </cfRule>
  </conditionalFormatting>
  <conditionalFormatting sqref="AG2:AR2">
    <cfRule type="containsText" dxfId="356" priority="170" stopIfTrue="1" operator="containsText" text="ELTÉRÉS!">
      <formula>NOT(ISERROR(SEARCH("ELTÉRÉS!",AG2)))</formula>
    </cfRule>
    <cfRule type="containsText" dxfId="355" priority="171" stopIfTrue="1" operator="containsText" text="STIMMEL!">
      <formula>NOT(ISERROR(SEARCH("STIMMEL!",AG2)))</formula>
    </cfRule>
  </conditionalFormatting>
  <conditionalFormatting sqref="AG2:AR2">
    <cfRule type="cellIs" dxfId="354" priority="169" operator="equal">
      <formula>0.01</formula>
    </cfRule>
  </conditionalFormatting>
  <conditionalFormatting sqref="AG3:AS35">
    <cfRule type="containsText" dxfId="353" priority="167" stopIfTrue="1" operator="containsText" text="ELTÉRÉS!">
      <formula>NOT(ISERROR(SEARCH("ELTÉRÉS!",AG3)))</formula>
    </cfRule>
    <cfRule type="containsText" dxfId="352" priority="168" stopIfTrue="1" operator="containsText" text="STIMMEL!">
      <formula>NOT(ISERROR(SEARCH("STIMMEL!",AG3)))</formula>
    </cfRule>
  </conditionalFormatting>
  <conditionalFormatting sqref="AG3:AS35">
    <cfRule type="cellIs" dxfId="351" priority="166" operator="equal">
      <formula>0.01</formula>
    </cfRule>
  </conditionalFormatting>
  <conditionalFormatting sqref="AO36">
    <cfRule type="containsText" dxfId="350" priority="164" stopIfTrue="1" operator="containsText" text="ELTÉRÉS!">
      <formula>NOT(ISERROR(SEARCH("ELTÉRÉS!",AO36)))</formula>
    </cfRule>
    <cfRule type="containsText" dxfId="349" priority="165" stopIfTrue="1" operator="containsText" text="STIMMEL!">
      <formula>NOT(ISERROR(SEARCH("STIMMEL!",AO36)))</formula>
    </cfRule>
  </conditionalFormatting>
  <conditionalFormatting sqref="AO36">
    <cfRule type="cellIs" dxfId="348" priority="163" operator="equal">
      <formula>0.01</formula>
    </cfRule>
  </conditionalFormatting>
  <conditionalFormatting sqref="AW2:BG2">
    <cfRule type="containsText" dxfId="347" priority="161" stopIfTrue="1" operator="containsText" text="ELTÉRÉS!">
      <formula>NOT(ISERROR(SEARCH("ELTÉRÉS!",AW2)))</formula>
    </cfRule>
    <cfRule type="containsText" dxfId="346" priority="162" stopIfTrue="1" operator="containsText" text="STIMMEL!">
      <formula>NOT(ISERROR(SEARCH("STIMMEL!",AW2)))</formula>
    </cfRule>
  </conditionalFormatting>
  <conditionalFormatting sqref="AW2:BG2">
    <cfRule type="cellIs" dxfId="345" priority="160" operator="equal">
      <formula>0.01</formula>
    </cfRule>
  </conditionalFormatting>
  <conditionalFormatting sqref="AW3:BH32 AW34:BH35 AW33:BG33">
    <cfRule type="containsText" dxfId="344" priority="158" stopIfTrue="1" operator="containsText" text="ELTÉRÉS!">
      <formula>NOT(ISERROR(SEARCH("ELTÉRÉS!",AW3)))</formula>
    </cfRule>
    <cfRule type="containsText" dxfId="343" priority="159" stopIfTrue="1" operator="containsText" text="STIMMEL!">
      <formula>NOT(ISERROR(SEARCH("STIMMEL!",AW3)))</formula>
    </cfRule>
  </conditionalFormatting>
  <conditionalFormatting sqref="AW3:BH32 AW34:BH35 AW33:BG33">
    <cfRule type="cellIs" dxfId="342" priority="157" operator="equal">
      <formula>0.01</formula>
    </cfRule>
  </conditionalFormatting>
  <conditionalFormatting sqref="BE36">
    <cfRule type="containsText" dxfId="341" priority="152" stopIfTrue="1" operator="containsText" text="ELTÉRÉS!">
      <formula>NOT(ISERROR(SEARCH("ELTÉRÉS!",BE36)))</formula>
    </cfRule>
    <cfRule type="containsText" dxfId="340" priority="153" stopIfTrue="1" operator="containsText" text="STIMMEL!">
      <formula>NOT(ISERROR(SEARCH("STIMMEL!",BE36)))</formula>
    </cfRule>
  </conditionalFormatting>
  <conditionalFormatting sqref="BE36">
    <cfRule type="cellIs" dxfId="339" priority="151" operator="equal">
      <formula>0.01</formula>
    </cfRule>
  </conditionalFormatting>
  <conditionalFormatting sqref="S85:AD85 Q85">
    <cfRule type="containsText" dxfId="338" priority="146" stopIfTrue="1" operator="containsText" text="ELTÉRÉS!">
      <formula>NOT(ISERROR(SEARCH("ELTÉRÉS!",Q85)))</formula>
    </cfRule>
    <cfRule type="containsText" dxfId="337" priority="147" stopIfTrue="1" operator="containsText" text="STIMMEL!">
      <formula>NOT(ISERROR(SEARCH("STIMMEL!",Q85)))</formula>
    </cfRule>
  </conditionalFormatting>
  <conditionalFormatting sqref="S85:AD85 Q85">
    <cfRule type="cellIs" dxfId="336" priority="145" operator="equal">
      <formula>0.01</formula>
    </cfRule>
  </conditionalFormatting>
  <conditionalFormatting sqref="R85">
    <cfRule type="containsText" dxfId="335" priority="143" stopIfTrue="1" operator="containsText" text="ELTÉRÉS!">
      <formula>NOT(ISERROR(SEARCH("ELTÉRÉS!",R85)))</formula>
    </cfRule>
    <cfRule type="containsText" dxfId="334" priority="144" stopIfTrue="1" operator="containsText" text="STIMMEL!">
      <formula>NOT(ISERROR(SEARCH("STIMMEL!",R85)))</formula>
    </cfRule>
  </conditionalFormatting>
  <conditionalFormatting sqref="R85">
    <cfRule type="cellIs" dxfId="333" priority="142" operator="equal">
      <formula>0.01</formula>
    </cfRule>
  </conditionalFormatting>
  <conditionalFormatting sqref="AE85">
    <cfRule type="containsText" dxfId="332" priority="140" stopIfTrue="1" operator="containsText" text="ELTÉRÉS!">
      <formula>NOT(ISERROR(SEARCH("ELTÉRÉS!",AE85)))</formula>
    </cfRule>
    <cfRule type="containsText" dxfId="331" priority="141" stopIfTrue="1" operator="containsText" text="STIMMEL!">
      <formula>NOT(ISERROR(SEARCH("STIMMEL!",AE85)))</formula>
    </cfRule>
  </conditionalFormatting>
  <conditionalFormatting sqref="AE85">
    <cfRule type="cellIs" dxfId="330" priority="139" operator="equal">
      <formula>0.01</formula>
    </cfRule>
  </conditionalFormatting>
  <conditionalFormatting sqref="F123:K123">
    <cfRule type="containsText" dxfId="329" priority="137" stopIfTrue="1" operator="containsText" text="ELTÉRÉS!">
      <formula>NOT(ISERROR(SEARCH("ELTÉRÉS!",F123)))</formula>
    </cfRule>
    <cfRule type="containsText" dxfId="328" priority="138" stopIfTrue="1" operator="containsText" text="STIMMEL!">
      <formula>NOT(ISERROR(SEARCH("STIMMEL!",F123)))</formula>
    </cfRule>
  </conditionalFormatting>
  <conditionalFormatting sqref="F123:K123">
    <cfRule type="cellIs" dxfId="327" priority="136" operator="equal">
      <formula>0.01</formula>
    </cfRule>
  </conditionalFormatting>
  <conditionalFormatting sqref="A123">
    <cfRule type="containsText" dxfId="326" priority="134" stopIfTrue="1" operator="containsText" text="ELTÉRÉS!">
      <formula>NOT(ISERROR(SEARCH("ELTÉRÉS!",A123)))</formula>
    </cfRule>
    <cfRule type="containsText" dxfId="325" priority="135" stopIfTrue="1" operator="containsText" text="STIMMEL!">
      <formula>NOT(ISERROR(SEARCH("STIMMEL!",A123)))</formula>
    </cfRule>
  </conditionalFormatting>
  <conditionalFormatting sqref="A123">
    <cfRule type="cellIs" dxfId="324" priority="133" operator="equal">
      <formula>0.01</formula>
    </cfRule>
  </conditionalFormatting>
  <conditionalFormatting sqref="B123">
    <cfRule type="containsText" dxfId="323" priority="131" stopIfTrue="1" operator="containsText" text="ELTÉRÉS!">
      <formula>NOT(ISERROR(SEARCH("ELTÉRÉS!",B123)))</formula>
    </cfRule>
    <cfRule type="containsText" dxfId="322" priority="132" stopIfTrue="1" operator="containsText" text="STIMMEL!">
      <formula>NOT(ISERROR(SEARCH("STIMMEL!",B123)))</formula>
    </cfRule>
  </conditionalFormatting>
  <conditionalFormatting sqref="B123">
    <cfRule type="cellIs" dxfId="321" priority="130" operator="equal">
      <formula>0.01</formula>
    </cfRule>
  </conditionalFormatting>
  <conditionalFormatting sqref="V123:AA123">
    <cfRule type="containsText" dxfId="320" priority="125" stopIfTrue="1" operator="containsText" text="ELTÉRÉS!">
      <formula>NOT(ISERROR(SEARCH("ELTÉRÉS!",V123)))</formula>
    </cfRule>
    <cfRule type="containsText" dxfId="319" priority="126" stopIfTrue="1" operator="containsText" text="STIMMEL!">
      <formula>NOT(ISERROR(SEARCH("STIMMEL!",V123)))</formula>
    </cfRule>
  </conditionalFormatting>
  <conditionalFormatting sqref="V123:AA123">
    <cfRule type="cellIs" dxfId="318" priority="124" operator="equal">
      <formula>0.01</formula>
    </cfRule>
  </conditionalFormatting>
  <conditionalFormatting sqref="Q123">
    <cfRule type="containsText" dxfId="317" priority="122" stopIfTrue="1" operator="containsText" text="ELTÉRÉS!">
      <formula>NOT(ISERROR(SEARCH("ELTÉRÉS!",Q123)))</formula>
    </cfRule>
    <cfRule type="containsText" dxfId="316" priority="123" stopIfTrue="1" operator="containsText" text="STIMMEL!">
      <formula>NOT(ISERROR(SEARCH("STIMMEL!",Q123)))</formula>
    </cfRule>
  </conditionalFormatting>
  <conditionalFormatting sqref="Q123">
    <cfRule type="cellIs" dxfId="315" priority="121" operator="equal">
      <formula>0.01</formula>
    </cfRule>
  </conditionalFormatting>
  <conditionalFormatting sqref="R123">
    <cfRule type="containsText" dxfId="314" priority="119" stopIfTrue="1" operator="containsText" text="ELTÉRÉS!">
      <formula>NOT(ISERROR(SEARCH("ELTÉRÉS!",R123)))</formula>
    </cfRule>
    <cfRule type="containsText" dxfId="313" priority="120" stopIfTrue="1" operator="containsText" text="STIMMEL!">
      <formula>NOT(ISERROR(SEARCH("STIMMEL!",R123)))</formula>
    </cfRule>
  </conditionalFormatting>
  <conditionalFormatting sqref="R123">
    <cfRule type="cellIs" dxfId="312" priority="118" operator="equal">
      <formula>0.01</formula>
    </cfRule>
  </conditionalFormatting>
  <conditionalFormatting sqref="AI85:AT85 AG85">
    <cfRule type="containsText" dxfId="311" priority="116" stopIfTrue="1" operator="containsText" text="ELTÉRÉS!">
      <formula>NOT(ISERROR(SEARCH("ELTÉRÉS!",AG85)))</formula>
    </cfRule>
    <cfRule type="containsText" dxfId="310" priority="117" stopIfTrue="1" operator="containsText" text="STIMMEL!">
      <formula>NOT(ISERROR(SEARCH("STIMMEL!",AG85)))</formula>
    </cfRule>
  </conditionalFormatting>
  <conditionalFormatting sqref="AI85:AT85 AG85">
    <cfRule type="cellIs" dxfId="309" priority="115" operator="equal">
      <formula>0.01</formula>
    </cfRule>
  </conditionalFormatting>
  <conditionalFormatting sqref="AH85">
    <cfRule type="containsText" dxfId="308" priority="113" stopIfTrue="1" operator="containsText" text="ELTÉRÉS!">
      <formula>NOT(ISERROR(SEARCH("ELTÉRÉS!",AH85)))</formula>
    </cfRule>
    <cfRule type="containsText" dxfId="307" priority="114" stopIfTrue="1" operator="containsText" text="STIMMEL!">
      <formula>NOT(ISERROR(SEARCH("STIMMEL!",AH85)))</formula>
    </cfRule>
  </conditionalFormatting>
  <conditionalFormatting sqref="AH85">
    <cfRule type="cellIs" dxfId="306" priority="112" operator="equal">
      <formula>0.01</formula>
    </cfRule>
  </conditionalFormatting>
  <conditionalFormatting sqref="AU85">
    <cfRule type="containsText" dxfId="305" priority="110" stopIfTrue="1" operator="containsText" text="ELTÉRÉS!">
      <formula>NOT(ISERROR(SEARCH("ELTÉRÉS!",AU85)))</formula>
    </cfRule>
    <cfRule type="containsText" dxfId="304" priority="111" stopIfTrue="1" operator="containsText" text="STIMMEL!">
      <formula>NOT(ISERROR(SEARCH("STIMMEL!",AU85)))</formula>
    </cfRule>
  </conditionalFormatting>
  <conditionalFormatting sqref="AU85">
    <cfRule type="cellIs" dxfId="303" priority="109" operator="equal">
      <formula>0.01</formula>
    </cfRule>
  </conditionalFormatting>
  <conditionalFormatting sqref="AL123:AQ123">
    <cfRule type="containsText" dxfId="302" priority="104" stopIfTrue="1" operator="containsText" text="ELTÉRÉS!">
      <formula>NOT(ISERROR(SEARCH("ELTÉRÉS!",AL123)))</formula>
    </cfRule>
    <cfRule type="containsText" dxfId="301" priority="105" stopIfTrue="1" operator="containsText" text="STIMMEL!">
      <formula>NOT(ISERROR(SEARCH("STIMMEL!",AL123)))</formula>
    </cfRule>
  </conditionalFormatting>
  <conditionalFormatting sqref="AL123:AQ123">
    <cfRule type="cellIs" dxfId="300" priority="103" operator="equal">
      <formula>0.01</formula>
    </cfRule>
  </conditionalFormatting>
  <conditionalFormatting sqref="AG123">
    <cfRule type="containsText" dxfId="299" priority="101" stopIfTrue="1" operator="containsText" text="ELTÉRÉS!">
      <formula>NOT(ISERROR(SEARCH("ELTÉRÉS!",AG123)))</formula>
    </cfRule>
    <cfRule type="containsText" dxfId="298" priority="102" stopIfTrue="1" operator="containsText" text="STIMMEL!">
      <formula>NOT(ISERROR(SEARCH("STIMMEL!",AG123)))</formula>
    </cfRule>
  </conditionalFormatting>
  <conditionalFormatting sqref="AG123">
    <cfRule type="cellIs" dxfId="297" priority="100" operator="equal">
      <formula>0.01</formula>
    </cfRule>
  </conditionalFormatting>
  <conditionalFormatting sqref="AH123">
    <cfRule type="containsText" dxfId="296" priority="98" stopIfTrue="1" operator="containsText" text="ELTÉRÉS!">
      <formula>NOT(ISERROR(SEARCH("ELTÉRÉS!",AH123)))</formula>
    </cfRule>
    <cfRule type="containsText" dxfId="295" priority="99" stopIfTrue="1" operator="containsText" text="STIMMEL!">
      <formula>NOT(ISERROR(SEARCH("STIMMEL!",AH123)))</formula>
    </cfRule>
  </conditionalFormatting>
  <conditionalFormatting sqref="AH123">
    <cfRule type="cellIs" dxfId="294" priority="97" operator="equal">
      <formula>0.01</formula>
    </cfRule>
  </conditionalFormatting>
  <conditionalFormatting sqref="AY85:BJ85 AW85">
    <cfRule type="containsText" dxfId="293" priority="95" stopIfTrue="1" operator="containsText" text="ELTÉRÉS!">
      <formula>NOT(ISERROR(SEARCH("ELTÉRÉS!",AW85)))</formula>
    </cfRule>
    <cfRule type="containsText" dxfId="292" priority="96" stopIfTrue="1" operator="containsText" text="STIMMEL!">
      <formula>NOT(ISERROR(SEARCH("STIMMEL!",AW85)))</formula>
    </cfRule>
  </conditionalFormatting>
  <conditionalFormatting sqref="AY85:BJ85 AW85">
    <cfRule type="cellIs" dxfId="291" priority="94" operator="equal">
      <formula>0.01</formula>
    </cfRule>
  </conditionalFormatting>
  <conditionalFormatting sqref="AX85">
    <cfRule type="containsText" dxfId="290" priority="92" stopIfTrue="1" operator="containsText" text="ELTÉRÉS!">
      <formula>NOT(ISERROR(SEARCH("ELTÉRÉS!",AX85)))</formula>
    </cfRule>
    <cfRule type="containsText" dxfId="289" priority="93" stopIfTrue="1" operator="containsText" text="STIMMEL!">
      <formula>NOT(ISERROR(SEARCH("STIMMEL!",AX85)))</formula>
    </cfRule>
  </conditionalFormatting>
  <conditionalFormatting sqref="AX85">
    <cfRule type="cellIs" dxfId="288" priority="91" operator="equal">
      <formula>0.01</formula>
    </cfRule>
  </conditionalFormatting>
  <conditionalFormatting sqref="BK85">
    <cfRule type="containsText" dxfId="287" priority="89" stopIfTrue="1" operator="containsText" text="ELTÉRÉS!">
      <formula>NOT(ISERROR(SEARCH("ELTÉRÉS!",BK85)))</formula>
    </cfRule>
    <cfRule type="containsText" dxfId="286" priority="90" stopIfTrue="1" operator="containsText" text="STIMMEL!">
      <formula>NOT(ISERROR(SEARCH("STIMMEL!",BK85)))</formula>
    </cfRule>
  </conditionalFormatting>
  <conditionalFormatting sqref="BK85">
    <cfRule type="cellIs" dxfId="285" priority="88" operator="equal">
      <formula>0.01</formula>
    </cfRule>
  </conditionalFormatting>
  <conditionalFormatting sqref="BB123:BG123">
    <cfRule type="containsText" dxfId="284" priority="83" stopIfTrue="1" operator="containsText" text="ELTÉRÉS!">
      <formula>NOT(ISERROR(SEARCH("ELTÉRÉS!",BB123)))</formula>
    </cfRule>
    <cfRule type="containsText" dxfId="283" priority="84" stopIfTrue="1" operator="containsText" text="STIMMEL!">
      <formula>NOT(ISERROR(SEARCH("STIMMEL!",BB123)))</formula>
    </cfRule>
  </conditionalFormatting>
  <conditionalFormatting sqref="BB123:BG123">
    <cfRule type="cellIs" dxfId="282" priority="82" operator="equal">
      <formula>0.01</formula>
    </cfRule>
  </conditionalFormatting>
  <conditionalFormatting sqref="AW123">
    <cfRule type="containsText" dxfId="281" priority="80" stopIfTrue="1" operator="containsText" text="ELTÉRÉS!">
      <formula>NOT(ISERROR(SEARCH("ELTÉRÉS!",AW123)))</formula>
    </cfRule>
    <cfRule type="containsText" dxfId="280" priority="81" stopIfTrue="1" operator="containsText" text="STIMMEL!">
      <formula>NOT(ISERROR(SEARCH("STIMMEL!",AW123)))</formula>
    </cfRule>
  </conditionalFormatting>
  <conditionalFormatting sqref="AW123">
    <cfRule type="cellIs" dxfId="279" priority="79" operator="equal">
      <formula>0.01</formula>
    </cfRule>
  </conditionalFormatting>
  <conditionalFormatting sqref="AX123">
    <cfRule type="containsText" dxfId="278" priority="77" stopIfTrue="1" operator="containsText" text="ELTÉRÉS!">
      <formula>NOT(ISERROR(SEARCH("ELTÉRÉS!",AX123)))</formula>
    </cfRule>
    <cfRule type="containsText" dxfId="277" priority="78" stopIfTrue="1" operator="containsText" text="STIMMEL!">
      <formula>NOT(ISERROR(SEARCH("STIMMEL!",AX123)))</formula>
    </cfRule>
  </conditionalFormatting>
  <conditionalFormatting sqref="AX123">
    <cfRule type="cellIs" dxfId="276" priority="76" operator="equal">
      <formula>0.01</formula>
    </cfRule>
  </conditionalFormatting>
  <conditionalFormatting sqref="R129:R160 S129:AD162 AH129:AT160 AX129:AX160 B128:N160 AY129:BJ139 AY141:BJ160 AZ140:BJ140 A128:A162 Q129:Q162 AG129:AG162 AW129:AW162 C162:N162 J161:N161 AI162:AT162 AP161:AT161 AY162:BJ162 BF161:BJ161">
    <cfRule type="containsText" dxfId="275" priority="74" stopIfTrue="1" operator="containsText" text="ELTÉRÉS!">
      <formula>NOT(ISERROR(SEARCH("ELTÉRÉS!",A128)))</formula>
    </cfRule>
    <cfRule type="containsText" dxfId="274" priority="75" stopIfTrue="1" operator="containsText" text="STIMMEL!">
      <formula>NOT(ISERROR(SEARCH("STIMMEL!",A128)))</formula>
    </cfRule>
  </conditionalFormatting>
  <conditionalFormatting sqref="R129:R160 S129:AD162 AH129:AT160 AX129:AX160 B128:N160 AY129:BJ139 AY141:BJ160 AZ140:BJ140 A128:A162 Q129:Q162 AG129:AG162 AW129:AW162 C162:N162 J161:N161 AI162:AT162 AP161:AT161 AY162:BJ162 BF161:BJ161">
    <cfRule type="cellIs" dxfId="273" priority="73" operator="equal">
      <formula>0.01</formula>
    </cfRule>
  </conditionalFormatting>
  <conditionalFormatting sqref="S128:AD128 Q128">
    <cfRule type="containsText" dxfId="272" priority="71" stopIfTrue="1" operator="containsText" text="ELTÉRÉS!">
      <formula>NOT(ISERROR(SEARCH("ELTÉRÉS!",Q128)))</formula>
    </cfRule>
    <cfRule type="containsText" dxfId="271" priority="72" stopIfTrue="1" operator="containsText" text="STIMMEL!">
      <formula>NOT(ISERROR(SEARCH("STIMMEL!",Q128)))</formula>
    </cfRule>
  </conditionalFormatting>
  <conditionalFormatting sqref="S128:AD128 Q128">
    <cfRule type="cellIs" dxfId="270" priority="70" operator="equal">
      <formula>0.01</formula>
    </cfRule>
  </conditionalFormatting>
  <conditionalFormatting sqref="R128">
    <cfRule type="containsText" dxfId="269" priority="68" stopIfTrue="1" operator="containsText" text="ELTÉRÉS!">
      <formula>NOT(ISERROR(SEARCH("ELTÉRÉS!",R128)))</formula>
    </cfRule>
    <cfRule type="containsText" dxfId="268" priority="69" stopIfTrue="1" operator="containsText" text="STIMMEL!">
      <formula>NOT(ISERROR(SEARCH("STIMMEL!",R128)))</formula>
    </cfRule>
  </conditionalFormatting>
  <conditionalFormatting sqref="R128">
    <cfRule type="cellIs" dxfId="267" priority="67" operator="equal">
      <formula>0.01</formula>
    </cfRule>
  </conditionalFormatting>
  <conditionalFormatting sqref="AE128">
    <cfRule type="containsText" dxfId="266" priority="65" stopIfTrue="1" operator="containsText" text="ELTÉRÉS!">
      <formula>NOT(ISERROR(SEARCH("ELTÉRÉS!",AE128)))</formula>
    </cfRule>
    <cfRule type="containsText" dxfId="265" priority="66" stopIfTrue="1" operator="containsText" text="STIMMEL!">
      <formula>NOT(ISERROR(SEARCH("STIMMEL!",AE128)))</formula>
    </cfRule>
  </conditionalFormatting>
  <conditionalFormatting sqref="AE128">
    <cfRule type="cellIs" dxfId="264" priority="64" operator="equal">
      <formula>0.01</formula>
    </cfRule>
  </conditionalFormatting>
  <conditionalFormatting sqref="F164:K164">
    <cfRule type="containsText" dxfId="263" priority="62" stopIfTrue="1" operator="containsText" text="ELTÉRÉS!">
      <formula>NOT(ISERROR(SEARCH("ELTÉRÉS!",F164)))</formula>
    </cfRule>
    <cfRule type="containsText" dxfId="262" priority="63" stopIfTrue="1" operator="containsText" text="STIMMEL!">
      <formula>NOT(ISERROR(SEARCH("STIMMEL!",F164)))</formula>
    </cfRule>
  </conditionalFormatting>
  <conditionalFormatting sqref="F164:K164">
    <cfRule type="cellIs" dxfId="261" priority="61" operator="equal">
      <formula>0.01</formula>
    </cfRule>
  </conditionalFormatting>
  <conditionalFormatting sqref="A164">
    <cfRule type="containsText" dxfId="260" priority="59" stopIfTrue="1" operator="containsText" text="ELTÉRÉS!">
      <formula>NOT(ISERROR(SEARCH("ELTÉRÉS!",A164)))</formula>
    </cfRule>
    <cfRule type="containsText" dxfId="259" priority="60" stopIfTrue="1" operator="containsText" text="STIMMEL!">
      <formula>NOT(ISERROR(SEARCH("STIMMEL!",A164)))</formula>
    </cfRule>
  </conditionalFormatting>
  <conditionalFormatting sqref="A164">
    <cfRule type="cellIs" dxfId="258" priority="58" operator="equal">
      <formula>0.01</formula>
    </cfRule>
  </conditionalFormatting>
  <conditionalFormatting sqref="B164">
    <cfRule type="containsText" dxfId="257" priority="56" stopIfTrue="1" operator="containsText" text="ELTÉRÉS!">
      <formula>NOT(ISERROR(SEARCH("ELTÉRÉS!",B164)))</formula>
    </cfRule>
    <cfRule type="containsText" dxfId="256" priority="57" stopIfTrue="1" operator="containsText" text="STIMMEL!">
      <formula>NOT(ISERROR(SEARCH("STIMMEL!",B164)))</formula>
    </cfRule>
  </conditionalFormatting>
  <conditionalFormatting sqref="B164">
    <cfRule type="cellIs" dxfId="255" priority="55" operator="equal">
      <formula>0.01</formula>
    </cfRule>
  </conditionalFormatting>
  <conditionalFormatting sqref="V164:AA164">
    <cfRule type="containsText" dxfId="254" priority="53" stopIfTrue="1" operator="containsText" text="ELTÉRÉS!">
      <formula>NOT(ISERROR(SEARCH("ELTÉRÉS!",V164)))</formula>
    </cfRule>
    <cfRule type="containsText" dxfId="253" priority="54" stopIfTrue="1" operator="containsText" text="STIMMEL!">
      <formula>NOT(ISERROR(SEARCH("STIMMEL!",V164)))</formula>
    </cfRule>
  </conditionalFormatting>
  <conditionalFormatting sqref="V164:AA164">
    <cfRule type="cellIs" dxfId="252" priority="52" operator="equal">
      <formula>0.01</formula>
    </cfRule>
  </conditionalFormatting>
  <conditionalFormatting sqref="Q164">
    <cfRule type="containsText" dxfId="251" priority="50" stopIfTrue="1" operator="containsText" text="ELTÉRÉS!">
      <formula>NOT(ISERROR(SEARCH("ELTÉRÉS!",Q164)))</formula>
    </cfRule>
    <cfRule type="containsText" dxfId="250" priority="51" stopIfTrue="1" operator="containsText" text="STIMMEL!">
      <formula>NOT(ISERROR(SEARCH("STIMMEL!",Q164)))</formula>
    </cfRule>
  </conditionalFormatting>
  <conditionalFormatting sqref="Q164">
    <cfRule type="cellIs" dxfId="249" priority="49" operator="equal">
      <formula>0.01</formula>
    </cfRule>
  </conditionalFormatting>
  <conditionalFormatting sqref="R164">
    <cfRule type="containsText" dxfId="248" priority="47" stopIfTrue="1" operator="containsText" text="ELTÉRÉS!">
      <formula>NOT(ISERROR(SEARCH("ELTÉRÉS!",R164)))</formula>
    </cfRule>
    <cfRule type="containsText" dxfId="247" priority="48" stopIfTrue="1" operator="containsText" text="STIMMEL!">
      <formula>NOT(ISERROR(SEARCH("STIMMEL!",R164)))</formula>
    </cfRule>
  </conditionalFormatting>
  <conditionalFormatting sqref="R164">
    <cfRule type="cellIs" dxfId="246" priority="46" operator="equal">
      <formula>0.01</formula>
    </cfRule>
  </conditionalFormatting>
  <conditionalFormatting sqref="AI128:AT128 AG128">
    <cfRule type="containsText" dxfId="245" priority="44" stopIfTrue="1" operator="containsText" text="ELTÉRÉS!">
      <formula>NOT(ISERROR(SEARCH("ELTÉRÉS!",AG128)))</formula>
    </cfRule>
    <cfRule type="containsText" dxfId="244" priority="45" stopIfTrue="1" operator="containsText" text="STIMMEL!">
      <formula>NOT(ISERROR(SEARCH("STIMMEL!",AG128)))</formula>
    </cfRule>
  </conditionalFormatting>
  <conditionalFormatting sqref="AI128:AT128 AG128">
    <cfRule type="cellIs" dxfId="243" priority="43" operator="equal">
      <formula>0.01</formula>
    </cfRule>
  </conditionalFormatting>
  <conditionalFormatting sqref="AH128">
    <cfRule type="containsText" dxfId="242" priority="41" stopIfTrue="1" operator="containsText" text="ELTÉRÉS!">
      <formula>NOT(ISERROR(SEARCH("ELTÉRÉS!",AH128)))</formula>
    </cfRule>
    <cfRule type="containsText" dxfId="241" priority="42" stopIfTrue="1" operator="containsText" text="STIMMEL!">
      <formula>NOT(ISERROR(SEARCH("STIMMEL!",AH128)))</formula>
    </cfRule>
  </conditionalFormatting>
  <conditionalFormatting sqref="AH128">
    <cfRule type="cellIs" dxfId="240" priority="40" operator="equal">
      <formula>0.01</formula>
    </cfRule>
  </conditionalFormatting>
  <conditionalFormatting sqref="AU128">
    <cfRule type="containsText" dxfId="239" priority="38" stopIfTrue="1" operator="containsText" text="ELTÉRÉS!">
      <formula>NOT(ISERROR(SEARCH("ELTÉRÉS!",AU128)))</formula>
    </cfRule>
    <cfRule type="containsText" dxfId="238" priority="39" stopIfTrue="1" operator="containsText" text="STIMMEL!">
      <formula>NOT(ISERROR(SEARCH("STIMMEL!",AU128)))</formula>
    </cfRule>
  </conditionalFormatting>
  <conditionalFormatting sqref="AU128">
    <cfRule type="cellIs" dxfId="237" priority="37" operator="equal">
      <formula>0.01</formula>
    </cfRule>
  </conditionalFormatting>
  <conditionalFormatting sqref="AL164:AQ164">
    <cfRule type="containsText" dxfId="236" priority="35" stopIfTrue="1" operator="containsText" text="ELTÉRÉS!">
      <formula>NOT(ISERROR(SEARCH("ELTÉRÉS!",AL164)))</formula>
    </cfRule>
    <cfRule type="containsText" dxfId="235" priority="36" stopIfTrue="1" operator="containsText" text="STIMMEL!">
      <formula>NOT(ISERROR(SEARCH("STIMMEL!",AL164)))</formula>
    </cfRule>
  </conditionalFormatting>
  <conditionalFormatting sqref="AL164:AQ164">
    <cfRule type="cellIs" dxfId="234" priority="34" operator="equal">
      <formula>0.01</formula>
    </cfRule>
  </conditionalFormatting>
  <conditionalFormatting sqref="AG164">
    <cfRule type="containsText" dxfId="233" priority="32" stopIfTrue="1" operator="containsText" text="ELTÉRÉS!">
      <formula>NOT(ISERROR(SEARCH("ELTÉRÉS!",AG164)))</formula>
    </cfRule>
    <cfRule type="containsText" dxfId="232" priority="33" stopIfTrue="1" operator="containsText" text="STIMMEL!">
      <formula>NOT(ISERROR(SEARCH("STIMMEL!",AG164)))</formula>
    </cfRule>
  </conditionalFormatting>
  <conditionalFormatting sqref="AG164">
    <cfRule type="cellIs" dxfId="231" priority="31" operator="equal">
      <formula>0.01</formula>
    </cfRule>
  </conditionalFormatting>
  <conditionalFormatting sqref="AH164">
    <cfRule type="containsText" dxfId="230" priority="29" stopIfTrue="1" operator="containsText" text="ELTÉRÉS!">
      <formula>NOT(ISERROR(SEARCH("ELTÉRÉS!",AH164)))</formula>
    </cfRule>
    <cfRule type="containsText" dxfId="229" priority="30" stopIfTrue="1" operator="containsText" text="STIMMEL!">
      <formula>NOT(ISERROR(SEARCH("STIMMEL!",AH164)))</formula>
    </cfRule>
  </conditionalFormatting>
  <conditionalFormatting sqref="AH164">
    <cfRule type="cellIs" dxfId="228" priority="28" operator="equal">
      <formula>0.01</formula>
    </cfRule>
  </conditionalFormatting>
  <conditionalFormatting sqref="AY128:BJ128 AW128">
    <cfRule type="containsText" dxfId="227" priority="26" stopIfTrue="1" operator="containsText" text="ELTÉRÉS!">
      <formula>NOT(ISERROR(SEARCH("ELTÉRÉS!",AW128)))</formula>
    </cfRule>
    <cfRule type="containsText" dxfId="226" priority="27" stopIfTrue="1" operator="containsText" text="STIMMEL!">
      <formula>NOT(ISERROR(SEARCH("STIMMEL!",AW128)))</formula>
    </cfRule>
  </conditionalFormatting>
  <conditionalFormatting sqref="AY128:BJ128 AW128">
    <cfRule type="cellIs" dxfId="225" priority="25" operator="equal">
      <formula>0.01</formula>
    </cfRule>
  </conditionalFormatting>
  <conditionalFormatting sqref="AX128">
    <cfRule type="containsText" dxfId="224" priority="23" stopIfTrue="1" operator="containsText" text="ELTÉRÉS!">
      <formula>NOT(ISERROR(SEARCH("ELTÉRÉS!",AX128)))</formula>
    </cfRule>
    <cfRule type="containsText" dxfId="223" priority="24" stopIfTrue="1" operator="containsText" text="STIMMEL!">
      <formula>NOT(ISERROR(SEARCH("STIMMEL!",AX128)))</formula>
    </cfRule>
  </conditionalFormatting>
  <conditionalFormatting sqref="AX128">
    <cfRule type="cellIs" dxfId="222" priority="22" operator="equal">
      <formula>0.01</formula>
    </cfRule>
  </conditionalFormatting>
  <conditionalFormatting sqref="BK128">
    <cfRule type="containsText" dxfId="221" priority="20" stopIfTrue="1" operator="containsText" text="ELTÉRÉS!">
      <formula>NOT(ISERROR(SEARCH("ELTÉRÉS!",BK128)))</formula>
    </cfRule>
    <cfRule type="containsText" dxfId="220" priority="21" stopIfTrue="1" operator="containsText" text="STIMMEL!">
      <formula>NOT(ISERROR(SEARCH("STIMMEL!",BK128)))</formula>
    </cfRule>
  </conditionalFormatting>
  <conditionalFormatting sqref="BK128">
    <cfRule type="cellIs" dxfId="219" priority="19" operator="equal">
      <formula>0.01</formula>
    </cfRule>
  </conditionalFormatting>
  <conditionalFormatting sqref="BB164:BG164">
    <cfRule type="containsText" dxfId="218" priority="17" stopIfTrue="1" operator="containsText" text="ELTÉRÉS!">
      <formula>NOT(ISERROR(SEARCH("ELTÉRÉS!",BB164)))</formula>
    </cfRule>
    <cfRule type="containsText" dxfId="217" priority="18" stopIfTrue="1" operator="containsText" text="STIMMEL!">
      <formula>NOT(ISERROR(SEARCH("STIMMEL!",BB164)))</formula>
    </cfRule>
  </conditionalFormatting>
  <conditionalFormatting sqref="BB164:BG164">
    <cfRule type="cellIs" dxfId="216" priority="16" operator="equal">
      <formula>0.01</formula>
    </cfRule>
  </conditionalFormatting>
  <conditionalFormatting sqref="AW164">
    <cfRule type="containsText" dxfId="215" priority="14" stopIfTrue="1" operator="containsText" text="ELTÉRÉS!">
      <formula>NOT(ISERROR(SEARCH("ELTÉRÉS!",AW164)))</formula>
    </cfRule>
    <cfRule type="containsText" dxfId="214" priority="15" stopIfTrue="1" operator="containsText" text="STIMMEL!">
      <formula>NOT(ISERROR(SEARCH("STIMMEL!",AW164)))</formula>
    </cfRule>
  </conditionalFormatting>
  <conditionalFormatting sqref="AW164">
    <cfRule type="cellIs" dxfId="213" priority="13" operator="equal">
      <formula>0.01</formula>
    </cfRule>
  </conditionalFormatting>
  <conditionalFormatting sqref="AX164">
    <cfRule type="containsText" dxfId="212" priority="11" stopIfTrue="1" operator="containsText" text="ELTÉRÉS!">
      <formula>NOT(ISERROR(SEARCH("ELTÉRÉS!",AX164)))</formula>
    </cfRule>
    <cfRule type="containsText" dxfId="211" priority="12" stopIfTrue="1" operator="containsText" text="STIMMEL!">
      <formula>NOT(ISERROR(SEARCH("STIMMEL!",AX164)))</formula>
    </cfRule>
  </conditionalFormatting>
  <conditionalFormatting sqref="AX164">
    <cfRule type="cellIs" dxfId="210" priority="10" operator="equal">
      <formula>0.01</formula>
    </cfRule>
  </conditionalFormatting>
  <conditionalFormatting sqref="C161:I161">
    <cfRule type="containsText" dxfId="209" priority="8" stopIfTrue="1" operator="containsText" text="ELTÉRÉS!">
      <formula>NOT(ISERROR(SEARCH("ELTÉRÉS!",C161)))</formula>
    </cfRule>
    <cfRule type="containsText" dxfId="208" priority="9" stopIfTrue="1" operator="containsText" text="STIMMEL!">
      <formula>NOT(ISERROR(SEARCH("STIMMEL!",C161)))</formula>
    </cfRule>
  </conditionalFormatting>
  <conditionalFormatting sqref="C161:I161">
    <cfRule type="cellIs" dxfId="207" priority="7" operator="equal">
      <formula>0.01</formula>
    </cfRule>
  </conditionalFormatting>
  <conditionalFormatting sqref="AI161:AO161">
    <cfRule type="containsText" dxfId="206" priority="5" stopIfTrue="1" operator="containsText" text="ELTÉRÉS!">
      <formula>NOT(ISERROR(SEARCH("ELTÉRÉS!",AI161)))</formula>
    </cfRule>
    <cfRule type="containsText" dxfId="205" priority="6" stopIfTrue="1" operator="containsText" text="STIMMEL!">
      <formula>NOT(ISERROR(SEARCH("STIMMEL!",AI161)))</formula>
    </cfRule>
  </conditionalFormatting>
  <conditionalFormatting sqref="AI161:AO161">
    <cfRule type="cellIs" dxfId="204" priority="4" operator="equal">
      <formula>0.01</formula>
    </cfRule>
  </conditionalFormatting>
  <conditionalFormatting sqref="AY161:BE161">
    <cfRule type="containsText" dxfId="203" priority="2" stopIfTrue="1" operator="containsText" text="ELTÉRÉS!">
      <formula>NOT(ISERROR(SEARCH("ELTÉRÉS!",AY161)))</formula>
    </cfRule>
    <cfRule type="containsText" dxfId="202" priority="3" stopIfTrue="1" operator="containsText" text="STIMMEL!">
      <formula>NOT(ISERROR(SEARCH("STIMMEL!",AY161)))</formula>
    </cfRule>
  </conditionalFormatting>
  <conditionalFormatting sqref="AY161:BE161">
    <cfRule type="cellIs" dxfId="201" priority="1" operator="equal">
      <formula>0.01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2926-6D15-4A5D-B920-49FB7CFD48C5}">
  <dimension ref="A1:BV164"/>
  <sheetViews>
    <sheetView tabSelected="1" workbookViewId="0">
      <pane ySplit="1" topLeftCell="AU99" activePane="bottomLeft" state="frozen"/>
      <selection pane="bottomLeft" activeCell="AR123" sqref="AR123:AW123"/>
    </sheetView>
  </sheetViews>
  <sheetFormatPr defaultColWidth="9.140625" defaultRowHeight="15" customHeight="1"/>
  <cols>
    <col min="1" max="1" width="14.42578125" style="67" hidden="1" customWidth="1"/>
    <col min="2" max="3" width="12.7109375" style="4" hidden="1" customWidth="1"/>
    <col min="4" max="4" width="11.5703125" style="4" hidden="1" customWidth="1"/>
    <col min="5" max="5" width="11.42578125" style="4" hidden="1" customWidth="1"/>
    <col min="6" max="7" width="12.7109375" style="4" hidden="1" customWidth="1"/>
    <col min="8" max="8" width="12.7109375" hidden="1" customWidth="1"/>
    <col min="9" max="9" width="11.85546875" style="35" hidden="1" customWidth="1"/>
    <col min="10" max="11" width="15.5703125" style="4" hidden="1" customWidth="1"/>
    <col min="12" max="12" width="9.140625" hidden="1" customWidth="1"/>
    <col min="13" max="14" width="14.42578125" hidden="1" customWidth="1"/>
    <col min="15" max="17" width="12.7109375" style="4" hidden="1" customWidth="1"/>
    <col min="18" max="18" width="13.85546875" style="4" hidden="1" customWidth="1"/>
    <col min="19" max="22" width="12.7109375" style="4" hidden="1" customWidth="1"/>
    <col min="23" max="23" width="9.140625" style="35" hidden="1" customWidth="1"/>
    <col min="24" max="24" width="15.85546875" style="4" hidden="1" customWidth="1"/>
    <col min="25" max="25" width="14.28515625" style="4" hidden="1" customWidth="1"/>
    <col min="26" max="26" width="13.28515625" hidden="1" customWidth="1"/>
    <col min="27" max="27" width="15" hidden="1" customWidth="1"/>
    <col min="28" max="28" width="9.140625" hidden="1" customWidth="1"/>
    <col min="29" max="29" width="15.140625" hidden="1" customWidth="1"/>
    <col min="30" max="35" width="12.7109375" hidden="1" customWidth="1"/>
    <col min="36" max="36" width="15.42578125" style="35" hidden="1" customWidth="1"/>
    <col min="37" max="37" width="14.28515625" hidden="1" customWidth="1"/>
    <col min="38" max="38" width="14.140625" hidden="1" customWidth="1"/>
    <col min="39" max="39" width="16.28515625" hidden="1" customWidth="1"/>
    <col min="40" max="40" width="14.140625" hidden="1" customWidth="1"/>
    <col min="41" max="41" width="9.140625" hidden="1" customWidth="1"/>
    <col min="42" max="42" width="15" hidden="1" customWidth="1"/>
    <col min="43" max="43" width="12.7109375" style="4" hidden="1" customWidth="1"/>
    <col min="44" max="44" width="14.5703125" style="4" customWidth="1"/>
    <col min="45" max="45" width="11" style="4" customWidth="1"/>
    <col min="46" max="46" width="12.5703125" style="4" customWidth="1"/>
    <col min="47" max="47" width="11.28515625" style="4" customWidth="1"/>
    <col min="48" max="48" width="12.7109375" style="4" customWidth="1"/>
    <col min="49" max="49" width="11.5703125" style="4" customWidth="1"/>
    <col min="50" max="50" width="12.28515625" style="4" customWidth="1"/>
    <col min="51" max="51" width="11.28515625" style="4" customWidth="1"/>
    <col min="52" max="52" width="13.42578125" style="35" customWidth="1"/>
    <col min="53" max="53" width="13.5703125" style="4" customWidth="1"/>
    <col min="54" max="54" width="9.140625" customWidth="1"/>
    <col min="55" max="55" width="14.140625" customWidth="1"/>
    <col min="56" max="56" width="15.28515625" style="4" customWidth="1"/>
    <col min="57" max="57" width="9.140625" customWidth="1"/>
    <col min="58" max="58" width="13.28515625" customWidth="1"/>
    <col min="59" max="59" width="9.140625" style="4" customWidth="1"/>
    <col min="60" max="60" width="17.5703125" style="4" customWidth="1"/>
    <col min="61" max="65" width="12.7109375" style="4" customWidth="1"/>
    <col min="66" max="66" width="12.7109375" style="35" customWidth="1"/>
    <col min="67" max="67" width="12.7109375" style="4" customWidth="1"/>
    <col min="68" max="69" width="12.7109375" customWidth="1"/>
    <col min="70" max="70" width="16.5703125" customWidth="1"/>
    <col min="71" max="72" width="12.7109375" customWidth="1"/>
    <col min="73" max="73" width="16" customWidth="1"/>
  </cols>
  <sheetData>
    <row r="1" spans="1:74" ht="26.25" customHeight="1">
      <c r="A1" s="68"/>
      <c r="B1" s="3">
        <v>0</v>
      </c>
      <c r="C1" s="3">
        <v>0.05</v>
      </c>
      <c r="D1" s="3">
        <v>0.18</v>
      </c>
      <c r="E1" s="3">
        <v>0.27</v>
      </c>
      <c r="F1" s="2" t="s">
        <v>148</v>
      </c>
      <c r="G1" s="2" t="s">
        <v>149</v>
      </c>
      <c r="H1" s="40" t="s">
        <v>150</v>
      </c>
      <c r="I1" s="31" t="s">
        <v>222</v>
      </c>
      <c r="J1" s="2" t="s">
        <v>152</v>
      </c>
      <c r="K1" s="60" t="s">
        <v>153</v>
      </c>
      <c r="M1" s="432" t="s">
        <v>53</v>
      </c>
      <c r="N1" s="30"/>
      <c r="O1" s="3">
        <v>0</v>
      </c>
      <c r="P1" s="3">
        <v>0.05</v>
      </c>
      <c r="Q1" s="3">
        <v>0.18</v>
      </c>
      <c r="R1" s="3">
        <v>0.27</v>
      </c>
      <c r="S1" s="2" t="s">
        <v>148</v>
      </c>
      <c r="T1" s="2" t="s">
        <v>149</v>
      </c>
      <c r="U1" s="40" t="s">
        <v>150</v>
      </c>
      <c r="V1" s="131" t="s">
        <v>221</v>
      </c>
      <c r="W1" s="31" t="s">
        <v>222</v>
      </c>
      <c r="X1" s="189" t="s">
        <v>152</v>
      </c>
      <c r="Y1" s="61" t="s">
        <v>153</v>
      </c>
      <c r="Z1" s="44" t="s">
        <v>154</v>
      </c>
      <c r="AA1" s="44" t="s">
        <v>155</v>
      </c>
      <c r="AC1" s="432" t="s">
        <v>55</v>
      </c>
      <c r="AD1" s="3">
        <v>0</v>
      </c>
      <c r="AE1" s="3">
        <v>0.05</v>
      </c>
      <c r="AF1" s="3">
        <v>0.18</v>
      </c>
      <c r="AG1" s="3">
        <v>0.27</v>
      </c>
      <c r="AH1" s="2" t="s">
        <v>148</v>
      </c>
      <c r="AI1" s="2" t="s">
        <v>149</v>
      </c>
      <c r="AJ1" s="40" t="s">
        <v>150</v>
      </c>
      <c r="AK1" s="131" t="s">
        <v>221</v>
      </c>
      <c r="AL1" s="31" t="s">
        <v>222</v>
      </c>
      <c r="AM1" s="189" t="s">
        <v>152</v>
      </c>
      <c r="AN1" s="61" t="s">
        <v>153</v>
      </c>
      <c r="AO1" s="44" t="s">
        <v>154</v>
      </c>
      <c r="AP1" s="44" t="s">
        <v>155</v>
      </c>
      <c r="AQ1"/>
      <c r="AR1" s="2" t="s">
        <v>58</v>
      </c>
      <c r="AS1" s="350" t="s">
        <v>147</v>
      </c>
      <c r="AT1" s="3">
        <v>0</v>
      </c>
      <c r="AU1" s="3">
        <v>0.05</v>
      </c>
      <c r="AV1" s="3">
        <v>0.18</v>
      </c>
      <c r="AW1" s="3">
        <v>0.27</v>
      </c>
      <c r="AX1" s="2" t="s">
        <v>148</v>
      </c>
      <c r="AY1" s="2" t="s">
        <v>149</v>
      </c>
      <c r="AZ1" s="40" t="s">
        <v>150</v>
      </c>
      <c r="BA1" s="131" t="s">
        <v>221</v>
      </c>
      <c r="BB1" s="31" t="s">
        <v>222</v>
      </c>
      <c r="BC1" s="189" t="s">
        <v>827</v>
      </c>
      <c r="BD1" s="2" t="s">
        <v>153</v>
      </c>
      <c r="BE1" s="44" t="s">
        <v>154</v>
      </c>
      <c r="BF1" s="44" t="s">
        <v>155</v>
      </c>
      <c r="BG1" s="161"/>
      <c r="BH1" s="65" t="s">
        <v>61</v>
      </c>
      <c r="BI1" s="350" t="s">
        <v>147</v>
      </c>
      <c r="BJ1" s="3">
        <v>0</v>
      </c>
      <c r="BK1" s="3">
        <v>0.05</v>
      </c>
      <c r="BL1" s="3">
        <v>0.18</v>
      </c>
      <c r="BM1" s="3">
        <v>0.27</v>
      </c>
      <c r="BN1" s="2" t="s">
        <v>148</v>
      </c>
      <c r="BO1" s="2" t="s">
        <v>149</v>
      </c>
      <c r="BP1" s="40" t="s">
        <v>150</v>
      </c>
      <c r="BQ1" s="2" t="s">
        <v>222</v>
      </c>
      <c r="BR1" s="2" t="s">
        <v>152</v>
      </c>
      <c r="BS1" s="61" t="s">
        <v>153</v>
      </c>
      <c r="BT1" s="44" t="s">
        <v>154</v>
      </c>
      <c r="BU1" s="44" t="s">
        <v>155</v>
      </c>
      <c r="BV1" s="154"/>
    </row>
    <row r="2" spans="1:74" ht="21">
      <c r="A2" s="66" t="s">
        <v>3</v>
      </c>
      <c r="B2" s="27"/>
      <c r="C2" s="27"/>
      <c r="D2" s="27"/>
      <c r="E2" s="27"/>
      <c r="F2" s="27"/>
      <c r="G2" s="27"/>
      <c r="H2" s="27"/>
      <c r="I2" s="27"/>
      <c r="J2" s="34"/>
      <c r="K2" s="27"/>
      <c r="L2" s="27"/>
      <c r="M2" s="66" t="s">
        <v>3</v>
      </c>
      <c r="N2" s="66"/>
      <c r="O2" s="26"/>
      <c r="P2" s="26"/>
      <c r="Q2" s="26"/>
      <c r="R2" s="26"/>
      <c r="S2" s="26"/>
      <c r="T2" s="26"/>
      <c r="U2" s="26"/>
      <c r="V2" s="26"/>
      <c r="W2" s="34"/>
      <c r="X2" s="26"/>
      <c r="Y2" s="27"/>
      <c r="Z2" s="27"/>
      <c r="AA2" s="27"/>
      <c r="AB2" s="27"/>
      <c r="AC2" s="66" t="s">
        <v>3</v>
      </c>
      <c r="AD2" s="26"/>
      <c r="AE2" s="26"/>
      <c r="AF2" s="26"/>
      <c r="AG2" s="26"/>
      <c r="AH2" s="26"/>
      <c r="AI2" s="26"/>
      <c r="AJ2" s="26"/>
      <c r="AK2" s="26"/>
      <c r="AL2" s="34"/>
      <c r="AM2" s="26"/>
      <c r="AN2" s="27"/>
      <c r="AO2" s="27"/>
      <c r="AP2" s="27"/>
      <c r="AQ2" s="27"/>
      <c r="AR2" s="66" t="s">
        <v>3</v>
      </c>
      <c r="AS2" s="66"/>
      <c r="AT2" s="26"/>
      <c r="AU2" s="26"/>
      <c r="AV2" s="26"/>
      <c r="AW2" s="26"/>
      <c r="AX2" s="26"/>
      <c r="AY2" s="26"/>
      <c r="AZ2" s="26"/>
      <c r="BA2" s="26"/>
      <c r="BB2" s="34"/>
      <c r="BC2" s="26"/>
      <c r="BD2" s="27"/>
      <c r="BE2" s="27"/>
      <c r="BF2" s="27"/>
      <c r="BG2" s="27"/>
      <c r="BH2" s="160" t="s">
        <v>3</v>
      </c>
      <c r="BI2" s="66"/>
      <c r="BJ2" s="26"/>
      <c r="BK2" s="26"/>
      <c r="BL2" s="26"/>
      <c r="BM2" s="26"/>
      <c r="BN2" s="26"/>
      <c r="BO2" s="26"/>
      <c r="BP2" s="26"/>
      <c r="BQ2" s="26"/>
      <c r="BR2" s="34"/>
      <c r="BS2" s="26"/>
      <c r="BT2" s="27"/>
      <c r="BU2" s="27"/>
      <c r="BV2" s="159"/>
    </row>
    <row r="3" spans="1:74">
      <c r="A3" s="5">
        <v>45658</v>
      </c>
      <c r="B3" s="13"/>
      <c r="C3" s="13"/>
      <c r="D3" s="13"/>
      <c r="E3" s="13"/>
      <c r="F3" s="13"/>
      <c r="G3" s="13"/>
      <c r="H3" s="13"/>
      <c r="I3" s="14"/>
      <c r="J3" s="73"/>
      <c r="K3" s="16"/>
      <c r="M3" s="141">
        <v>46023</v>
      </c>
      <c r="N3" s="141"/>
      <c r="O3" s="142"/>
      <c r="P3" s="142"/>
      <c r="Q3" s="142"/>
      <c r="R3" s="142"/>
      <c r="S3" s="142"/>
      <c r="T3" s="142"/>
      <c r="U3" s="142"/>
      <c r="V3" s="142"/>
      <c r="W3" s="143"/>
      <c r="X3" s="199"/>
      <c r="Y3" s="145"/>
      <c r="Z3" s="153"/>
      <c r="AA3" s="153"/>
      <c r="AC3" s="141">
        <v>46023</v>
      </c>
      <c r="AD3" s="142"/>
      <c r="AE3" s="142"/>
      <c r="AF3" s="142"/>
      <c r="AG3" s="142"/>
      <c r="AH3" s="142"/>
      <c r="AI3" s="142"/>
      <c r="AJ3" s="142"/>
      <c r="AK3" s="142"/>
      <c r="AL3" s="143"/>
      <c r="AM3" s="144"/>
      <c r="AN3" s="145"/>
      <c r="AO3" s="153"/>
      <c r="AP3" s="153"/>
      <c r="AQ3"/>
      <c r="AR3" s="141">
        <v>46023</v>
      </c>
      <c r="AS3" s="141"/>
      <c r="AT3" s="142"/>
      <c r="AU3" s="142"/>
      <c r="AV3" s="142"/>
      <c r="AW3" s="142"/>
      <c r="AX3" s="142"/>
      <c r="AY3" s="142"/>
      <c r="AZ3" s="142"/>
      <c r="BA3" s="142"/>
      <c r="BB3" s="143"/>
      <c r="BC3" s="199"/>
      <c r="BD3" s="145"/>
      <c r="BE3" s="153"/>
      <c r="BF3" s="153"/>
      <c r="BG3"/>
      <c r="BH3" s="231">
        <v>46023</v>
      </c>
      <c r="BI3" s="231"/>
      <c r="BJ3" s="142"/>
      <c r="BK3" s="142"/>
      <c r="BL3" s="142"/>
      <c r="BM3" s="142"/>
      <c r="BN3" s="142"/>
      <c r="BO3" s="142"/>
      <c r="BP3" s="142"/>
      <c r="BQ3" s="142"/>
      <c r="BR3" s="198"/>
      <c r="BS3" s="199"/>
      <c r="BT3" s="153"/>
      <c r="BU3" s="153"/>
      <c r="BV3" s="163"/>
    </row>
    <row r="4" spans="1:74">
      <c r="A4" s="5">
        <v>45659</v>
      </c>
      <c r="B4" s="11"/>
      <c r="C4" s="11"/>
      <c r="D4" s="11"/>
      <c r="E4" s="11"/>
      <c r="F4" s="11"/>
      <c r="G4" s="11"/>
      <c r="H4" s="11"/>
      <c r="I4" s="10"/>
      <c r="J4" s="72"/>
      <c r="K4" s="11"/>
      <c r="M4" s="141">
        <v>46024</v>
      </c>
      <c r="N4" s="141"/>
      <c r="O4" s="142"/>
      <c r="P4" s="142"/>
      <c r="Q4" s="142"/>
      <c r="R4" s="142"/>
      <c r="S4" s="142"/>
      <c r="T4" s="142"/>
      <c r="U4" s="142"/>
      <c r="V4" s="142"/>
      <c r="W4" s="143"/>
      <c r="X4" s="199"/>
      <c r="Y4" s="145"/>
      <c r="Z4" s="153"/>
      <c r="AA4" s="153"/>
      <c r="AC4" s="141">
        <v>46024</v>
      </c>
      <c r="AD4" s="142"/>
      <c r="AE4" s="142"/>
      <c r="AF4" s="142"/>
      <c r="AG4" s="142"/>
      <c r="AH4" s="142"/>
      <c r="AI4" s="142"/>
      <c r="AJ4" s="142"/>
      <c r="AK4" s="142"/>
      <c r="AL4" s="143"/>
      <c r="AM4" s="144"/>
      <c r="AN4" s="145"/>
      <c r="AO4" s="153"/>
      <c r="AP4" s="153"/>
      <c r="AQ4"/>
      <c r="AR4" s="141">
        <v>46024</v>
      </c>
      <c r="AS4" s="141"/>
      <c r="AT4" s="142"/>
      <c r="AU4" s="142"/>
      <c r="AV4" s="142"/>
      <c r="AW4" s="142"/>
      <c r="AX4" s="142"/>
      <c r="AY4" s="142"/>
      <c r="AZ4" s="142"/>
      <c r="BA4" s="142"/>
      <c r="BB4" s="143"/>
      <c r="BC4" s="226"/>
      <c r="BD4" s="228"/>
      <c r="BE4" s="224"/>
      <c r="BF4" s="224"/>
      <c r="BG4"/>
      <c r="BH4" s="141">
        <v>46024</v>
      </c>
      <c r="BI4" s="141"/>
      <c r="BJ4" s="142"/>
      <c r="BK4" s="142"/>
      <c r="BL4" s="142"/>
      <c r="BM4" s="142"/>
      <c r="BN4" s="142"/>
      <c r="BO4" s="142"/>
      <c r="BP4" s="142"/>
      <c r="BQ4" s="142"/>
      <c r="BR4" s="198"/>
      <c r="BS4" s="199"/>
      <c r="BT4" s="153"/>
      <c r="BU4" s="153"/>
      <c r="BV4" s="163"/>
    </row>
    <row r="5" spans="1:74">
      <c r="A5" s="5">
        <v>45660</v>
      </c>
      <c r="B5" s="11"/>
      <c r="C5" s="11"/>
      <c r="D5" s="11"/>
      <c r="E5" s="11"/>
      <c r="F5" s="11"/>
      <c r="G5" s="11"/>
      <c r="H5" s="11"/>
      <c r="I5" s="10"/>
      <c r="J5" s="72"/>
      <c r="K5" s="11"/>
      <c r="M5" s="141">
        <v>46025</v>
      </c>
      <c r="N5" s="141"/>
      <c r="O5" s="142">
        <v>0</v>
      </c>
      <c r="P5" s="142">
        <v>0</v>
      </c>
      <c r="Q5" s="142">
        <v>0</v>
      </c>
      <c r="R5" s="142">
        <v>0</v>
      </c>
      <c r="S5" s="142">
        <v>0</v>
      </c>
      <c r="T5" s="142">
        <v>0</v>
      </c>
      <c r="U5" s="142">
        <v>0</v>
      </c>
      <c r="V5" s="142"/>
      <c r="W5" s="143" t="s">
        <v>163</v>
      </c>
      <c r="X5" s="229">
        <v>272779049</v>
      </c>
      <c r="Y5" s="230"/>
      <c r="Z5" s="224"/>
      <c r="AA5" s="224"/>
      <c r="AC5" s="141">
        <v>46025</v>
      </c>
      <c r="AD5" s="142"/>
      <c r="AE5" s="142"/>
      <c r="AF5" s="142"/>
      <c r="AG5" s="142"/>
      <c r="AH5" s="142"/>
      <c r="AI5" s="142"/>
      <c r="AJ5" s="142"/>
      <c r="AK5" s="142"/>
      <c r="AL5" s="143"/>
      <c r="AM5" s="146"/>
      <c r="AN5" s="230"/>
      <c r="AO5" s="224"/>
      <c r="AP5" s="224"/>
      <c r="AQ5"/>
      <c r="AR5" s="141">
        <v>46025</v>
      </c>
      <c r="AS5" s="141"/>
      <c r="AT5" s="142"/>
      <c r="AU5" s="142"/>
      <c r="AV5" s="142"/>
      <c r="AW5" s="142"/>
      <c r="AX5" s="142"/>
      <c r="AY5" s="142"/>
      <c r="AZ5" s="142"/>
      <c r="BA5" s="142"/>
      <c r="BB5" s="143"/>
      <c r="BC5" s="146"/>
      <c r="BD5" s="147"/>
      <c r="BE5" s="153"/>
      <c r="BF5" s="153"/>
      <c r="BG5"/>
      <c r="BH5" s="141">
        <v>46025</v>
      </c>
      <c r="BI5" s="141"/>
      <c r="BJ5" s="142"/>
      <c r="BK5" s="142"/>
      <c r="BL5" s="142"/>
      <c r="BM5" s="142"/>
      <c r="BN5" s="142"/>
      <c r="BO5" s="142"/>
      <c r="BP5" s="142"/>
      <c r="BQ5" s="142"/>
      <c r="BR5" s="198"/>
      <c r="BS5" s="142"/>
      <c r="BT5" s="153"/>
      <c r="BU5" s="153"/>
      <c r="BV5" s="164"/>
    </row>
    <row r="6" spans="1:74">
      <c r="A6" s="5">
        <v>45661</v>
      </c>
      <c r="B6" s="11"/>
      <c r="C6" s="11"/>
      <c r="D6" s="11"/>
      <c r="E6" s="11"/>
      <c r="F6" s="11"/>
      <c r="G6" s="11"/>
      <c r="H6" s="11"/>
      <c r="I6" s="10"/>
      <c r="J6" s="72"/>
      <c r="K6" s="11"/>
      <c r="M6" s="141">
        <v>46026</v>
      </c>
      <c r="N6" s="141"/>
      <c r="O6" s="142"/>
      <c r="P6" s="142"/>
      <c r="Q6" s="142"/>
      <c r="R6" s="142"/>
      <c r="S6" s="142"/>
      <c r="T6" s="142"/>
      <c r="U6" s="142"/>
      <c r="V6" s="142"/>
      <c r="W6" s="143"/>
      <c r="X6" s="146"/>
      <c r="Y6" s="147"/>
      <c r="Z6" s="153"/>
      <c r="AA6" s="153"/>
      <c r="AC6" s="141">
        <v>46026</v>
      </c>
      <c r="AD6" s="142"/>
      <c r="AE6" s="142"/>
      <c r="AF6" s="142"/>
      <c r="AG6" s="142"/>
      <c r="AH6" s="142"/>
      <c r="AI6" s="142"/>
      <c r="AJ6" s="142"/>
      <c r="AK6" s="142"/>
      <c r="AL6" s="143"/>
      <c r="AM6" s="146"/>
      <c r="AN6" s="147"/>
      <c r="AO6" s="153"/>
      <c r="AP6" s="153"/>
      <c r="AQ6"/>
      <c r="AR6" s="141">
        <v>46026</v>
      </c>
      <c r="AS6" s="141"/>
      <c r="AT6" s="142"/>
      <c r="AU6" s="142"/>
      <c r="AV6" s="142"/>
      <c r="AW6" s="142"/>
      <c r="AX6" s="142"/>
      <c r="AY6" s="142"/>
      <c r="AZ6" s="142"/>
      <c r="BA6" s="142"/>
      <c r="BB6" s="143"/>
      <c r="BC6" s="146"/>
      <c r="BD6" s="147"/>
      <c r="BE6" s="153"/>
      <c r="BF6" s="153"/>
      <c r="BG6"/>
      <c r="BH6" s="231">
        <v>46026</v>
      </c>
      <c r="BI6" s="231"/>
      <c r="BJ6" s="232"/>
      <c r="BK6" s="232"/>
      <c r="BL6" s="232"/>
      <c r="BM6" s="232"/>
      <c r="BN6" s="232"/>
      <c r="BO6" s="232"/>
      <c r="BP6" s="232"/>
      <c r="BQ6" s="232"/>
      <c r="BR6" s="233"/>
      <c r="BS6" s="229"/>
      <c r="BT6" s="224"/>
      <c r="BU6" s="224"/>
      <c r="BV6" s="164"/>
    </row>
    <row r="7" spans="1:74">
      <c r="A7" s="5">
        <v>45662</v>
      </c>
      <c r="B7" s="11"/>
      <c r="C7" s="11"/>
      <c r="D7" s="11"/>
      <c r="E7" s="11"/>
      <c r="F7" s="11"/>
      <c r="G7" s="11"/>
      <c r="H7" s="11"/>
      <c r="I7" s="10"/>
      <c r="J7" s="72"/>
      <c r="K7" s="11"/>
      <c r="M7" s="5">
        <v>46027</v>
      </c>
      <c r="N7" s="5"/>
      <c r="O7" s="11"/>
      <c r="P7" s="11"/>
      <c r="Q7" s="11"/>
      <c r="R7" s="11"/>
      <c r="S7" s="11"/>
      <c r="T7" s="11"/>
      <c r="U7" s="11"/>
      <c r="V7" s="11"/>
      <c r="W7" s="38"/>
      <c r="X7" s="72"/>
      <c r="Y7" s="138"/>
      <c r="Z7" s="148"/>
      <c r="AA7" s="148"/>
      <c r="AC7" s="5">
        <v>46027</v>
      </c>
      <c r="AD7" s="11"/>
      <c r="AE7" s="11"/>
      <c r="AF7" s="11"/>
      <c r="AG7" s="11"/>
      <c r="AH7" s="11"/>
      <c r="AI7" s="11"/>
      <c r="AJ7" s="11"/>
      <c r="AK7" s="11"/>
      <c r="AL7" s="38"/>
      <c r="AM7" s="72"/>
      <c r="AN7" s="138"/>
      <c r="AO7" s="148"/>
      <c r="AP7" s="148"/>
      <c r="AQ7"/>
      <c r="AR7" s="5">
        <v>46027</v>
      </c>
      <c r="AS7" s="5"/>
      <c r="AT7" s="11"/>
      <c r="AU7" s="11"/>
      <c r="AV7" s="11"/>
      <c r="AW7" s="11"/>
      <c r="AX7" s="11"/>
      <c r="AY7" s="11"/>
      <c r="AZ7" s="11"/>
      <c r="BA7" s="11"/>
      <c r="BB7" s="38"/>
      <c r="BC7" s="72"/>
      <c r="BD7" s="138"/>
      <c r="BE7" s="148"/>
      <c r="BF7" s="148"/>
      <c r="BG7"/>
      <c r="BH7" s="5">
        <v>46027</v>
      </c>
      <c r="BI7" s="5"/>
      <c r="BJ7" s="11"/>
      <c r="BK7" s="11"/>
      <c r="BL7" s="11"/>
      <c r="BM7" s="11"/>
      <c r="BN7" s="11"/>
      <c r="BO7" s="11"/>
      <c r="BP7" s="11"/>
      <c r="BQ7" s="11"/>
      <c r="BR7" s="38"/>
      <c r="BS7" s="72"/>
      <c r="BT7" s="148"/>
      <c r="BU7" s="148"/>
      <c r="BV7" s="164"/>
    </row>
    <row r="8" spans="1:74">
      <c r="A8" s="5">
        <v>45663</v>
      </c>
      <c r="B8" s="11"/>
      <c r="C8" s="11"/>
      <c r="D8" s="11"/>
      <c r="E8" s="11"/>
      <c r="F8" s="11"/>
      <c r="G8" s="11"/>
      <c r="H8" s="11"/>
      <c r="I8" s="10"/>
      <c r="J8" s="72"/>
      <c r="K8" s="11"/>
      <c r="M8" s="5">
        <v>46028</v>
      </c>
      <c r="N8" s="5"/>
      <c r="O8" s="11"/>
      <c r="P8" s="11"/>
      <c r="Q8" s="11"/>
      <c r="R8" s="11"/>
      <c r="S8" s="11"/>
      <c r="T8" s="11"/>
      <c r="U8" s="11"/>
      <c r="V8" s="11"/>
      <c r="W8" s="38"/>
      <c r="X8" s="72"/>
      <c r="Y8" s="138"/>
      <c r="Z8" s="148"/>
      <c r="AA8" s="148"/>
      <c r="AC8" s="5">
        <v>46028</v>
      </c>
      <c r="AD8" s="11"/>
      <c r="AE8" s="11"/>
      <c r="AF8" s="11"/>
      <c r="AG8" s="11"/>
      <c r="AH8" s="11"/>
      <c r="AI8" s="11"/>
      <c r="AJ8" s="11"/>
      <c r="AK8" s="11"/>
      <c r="AL8" s="38"/>
      <c r="AM8" s="72"/>
      <c r="AN8" s="138"/>
      <c r="AO8" s="148"/>
      <c r="AP8" s="148"/>
      <c r="AQ8"/>
      <c r="AR8" s="5">
        <v>46028</v>
      </c>
      <c r="AS8" s="5"/>
      <c r="AT8" s="11"/>
      <c r="AU8" s="11"/>
      <c r="AV8" s="11"/>
      <c r="AW8" s="11"/>
      <c r="AX8" s="11"/>
      <c r="AY8" s="11"/>
      <c r="AZ8" s="11"/>
      <c r="BA8" s="11"/>
      <c r="BB8" s="38"/>
      <c r="BC8" s="72"/>
      <c r="BD8" s="138"/>
      <c r="BE8" s="148"/>
      <c r="BF8" s="148"/>
      <c r="BG8"/>
      <c r="BH8" s="5">
        <v>46028</v>
      </c>
      <c r="BI8" s="5"/>
      <c r="BJ8" s="11"/>
      <c r="BK8" s="11"/>
      <c r="BL8" s="11"/>
      <c r="BM8" s="11"/>
      <c r="BN8" s="11"/>
      <c r="BO8" s="11"/>
      <c r="BP8" s="11"/>
      <c r="BQ8" s="11"/>
      <c r="BR8" s="38"/>
      <c r="BS8" s="72"/>
      <c r="BT8" s="148"/>
      <c r="BU8" s="148"/>
      <c r="BV8" s="164"/>
    </row>
    <row r="9" spans="1:74">
      <c r="A9" s="5">
        <v>45664</v>
      </c>
      <c r="B9" s="11"/>
      <c r="C9" s="11"/>
      <c r="D9" s="11"/>
      <c r="E9" s="11"/>
      <c r="F9" s="11"/>
      <c r="G9" s="11"/>
      <c r="H9" s="11"/>
      <c r="I9" s="10"/>
      <c r="J9" s="72"/>
      <c r="K9" s="11"/>
      <c r="M9" s="5">
        <v>46029</v>
      </c>
      <c r="N9" s="5"/>
      <c r="O9" s="11"/>
      <c r="P9" s="11"/>
      <c r="Q9" s="11"/>
      <c r="R9" s="11"/>
      <c r="S9" s="11"/>
      <c r="T9" s="11"/>
      <c r="U9" s="11"/>
      <c r="V9" s="11"/>
      <c r="W9" s="38"/>
      <c r="X9" s="72"/>
      <c r="Y9" s="138"/>
      <c r="Z9" s="149"/>
      <c r="AA9" s="149"/>
      <c r="AC9" s="5">
        <v>46029</v>
      </c>
      <c r="AD9" s="11"/>
      <c r="AE9" s="11"/>
      <c r="AF9" s="11"/>
      <c r="AG9" s="11"/>
      <c r="AH9" s="11"/>
      <c r="AI9" s="11"/>
      <c r="AJ9" s="11"/>
      <c r="AK9" s="11"/>
      <c r="AL9" s="38"/>
      <c r="AM9" s="72"/>
      <c r="AN9" s="138"/>
      <c r="AO9" s="149"/>
      <c r="AP9" s="149"/>
      <c r="AQ9"/>
      <c r="AR9" s="5">
        <v>46029</v>
      </c>
      <c r="AS9" s="5"/>
      <c r="AT9" s="11"/>
      <c r="AU9" s="11"/>
      <c r="AV9" s="11"/>
      <c r="AW9" s="11"/>
      <c r="AX9" s="11"/>
      <c r="AY9" s="11"/>
      <c r="AZ9" s="11"/>
      <c r="BA9" s="11"/>
      <c r="BB9" s="38"/>
      <c r="BC9" s="72"/>
      <c r="BD9" s="138"/>
      <c r="BE9" s="149"/>
      <c r="BF9" s="149"/>
      <c r="BG9"/>
      <c r="BH9" s="5">
        <v>46029</v>
      </c>
      <c r="BI9" s="5"/>
      <c r="BJ9" s="11"/>
      <c r="BK9" s="11"/>
      <c r="BL9" s="11"/>
      <c r="BM9" s="11"/>
      <c r="BN9" s="11"/>
      <c r="BO9" s="11"/>
      <c r="BP9" s="11"/>
      <c r="BQ9" s="11"/>
      <c r="BR9" s="38"/>
      <c r="BS9" s="72"/>
      <c r="BT9" s="149"/>
      <c r="BU9" s="149"/>
      <c r="BV9" s="164"/>
    </row>
    <row r="10" spans="1:74">
      <c r="A10" s="5">
        <v>45665</v>
      </c>
      <c r="B10" s="11"/>
      <c r="C10" s="11"/>
      <c r="D10" s="11"/>
      <c r="E10" s="11"/>
      <c r="F10" s="11"/>
      <c r="G10" s="11"/>
      <c r="H10" s="11"/>
      <c r="I10" s="10"/>
      <c r="J10" s="72"/>
      <c r="K10" s="11"/>
      <c r="M10" s="5">
        <v>46030</v>
      </c>
      <c r="N10" s="5"/>
      <c r="O10" s="11"/>
      <c r="P10" s="11"/>
      <c r="Q10" s="11"/>
      <c r="R10" s="11"/>
      <c r="S10" s="11"/>
      <c r="T10" s="11"/>
      <c r="U10" s="11"/>
      <c r="V10" s="11"/>
      <c r="W10" s="38"/>
      <c r="X10" s="72"/>
      <c r="Y10" s="138"/>
      <c r="Z10" s="148"/>
      <c r="AA10" s="148"/>
      <c r="AC10" s="5">
        <v>46030</v>
      </c>
      <c r="AD10" s="11"/>
      <c r="AE10" s="11"/>
      <c r="AF10" s="11"/>
      <c r="AG10" s="11"/>
      <c r="AH10" s="11"/>
      <c r="AI10" s="11"/>
      <c r="AJ10" s="11"/>
      <c r="AK10" s="11"/>
      <c r="AL10" s="38"/>
      <c r="AM10" s="72"/>
      <c r="AN10" s="138"/>
      <c r="AO10" s="148"/>
      <c r="AP10" s="148"/>
      <c r="AQ10"/>
      <c r="AR10" s="5">
        <v>46030</v>
      </c>
      <c r="AS10" s="5"/>
      <c r="AT10" s="11"/>
      <c r="AU10" s="11"/>
      <c r="AV10" s="11"/>
      <c r="AW10" s="11"/>
      <c r="AX10" s="11"/>
      <c r="AY10" s="11"/>
      <c r="AZ10" s="11"/>
      <c r="BA10" s="11"/>
      <c r="BB10" s="38"/>
      <c r="BC10" s="72"/>
      <c r="BD10" s="138"/>
      <c r="BE10" s="148"/>
      <c r="BF10" s="148"/>
      <c r="BG10"/>
      <c r="BH10" s="5">
        <v>46030</v>
      </c>
      <c r="BI10" s="5"/>
      <c r="BJ10" s="11"/>
      <c r="BK10" s="11"/>
      <c r="BL10" s="11"/>
      <c r="BM10" s="11"/>
      <c r="BN10" s="11"/>
      <c r="BO10" s="11"/>
      <c r="BP10" s="11"/>
      <c r="BQ10" s="11"/>
      <c r="BR10" s="38"/>
      <c r="BS10" s="72"/>
      <c r="BT10" s="148"/>
      <c r="BU10" s="148"/>
      <c r="BV10" s="164"/>
    </row>
    <row r="11" spans="1:74">
      <c r="A11" s="5">
        <v>45666</v>
      </c>
      <c r="B11" s="11"/>
      <c r="C11" s="11"/>
      <c r="D11" s="11"/>
      <c r="E11" s="11"/>
      <c r="F11" s="11"/>
      <c r="G11" s="11"/>
      <c r="H11" s="11"/>
      <c r="I11" s="10"/>
      <c r="J11" s="72"/>
      <c r="K11" s="11"/>
      <c r="M11" s="5">
        <v>46031</v>
      </c>
      <c r="N11" s="5"/>
      <c r="O11" s="11"/>
      <c r="P11" s="11"/>
      <c r="Q11" s="11"/>
      <c r="R11" s="11"/>
      <c r="S11" s="11"/>
      <c r="T11" s="11"/>
      <c r="U11" s="11"/>
      <c r="V11" s="11"/>
      <c r="W11" s="38"/>
      <c r="X11" s="72"/>
      <c r="Y11" s="138"/>
      <c r="Z11" s="148"/>
      <c r="AA11" s="148"/>
      <c r="AC11" s="5">
        <v>46031</v>
      </c>
      <c r="AD11" s="11"/>
      <c r="AE11" s="11"/>
      <c r="AF11" s="11"/>
      <c r="AG11" s="11"/>
      <c r="AH11" s="11"/>
      <c r="AI11" s="11"/>
      <c r="AJ11" s="11"/>
      <c r="AK11" s="11"/>
      <c r="AL11" s="38"/>
      <c r="AM11" s="72"/>
      <c r="AN11" s="138"/>
      <c r="AO11" s="148"/>
      <c r="AP11" s="148"/>
      <c r="AQ11"/>
      <c r="AR11" s="5">
        <v>46031</v>
      </c>
      <c r="AS11" s="5"/>
      <c r="AT11" s="11"/>
      <c r="AU11" s="11"/>
      <c r="AV11" s="11"/>
      <c r="AW11" s="11"/>
      <c r="AX11" s="11"/>
      <c r="AY11" s="11"/>
      <c r="AZ11" s="11"/>
      <c r="BA11" s="11"/>
      <c r="BB11" s="38"/>
      <c r="BC11" s="72"/>
      <c r="BD11" s="138"/>
      <c r="BE11" s="148"/>
      <c r="BF11" s="148"/>
      <c r="BG11"/>
      <c r="BH11" s="5">
        <v>46031</v>
      </c>
      <c r="BI11" s="5"/>
      <c r="BJ11" s="11"/>
      <c r="BK11" s="11"/>
      <c r="BL11" s="11"/>
      <c r="BM11" s="11"/>
      <c r="BN11" s="11"/>
      <c r="BO11" s="11"/>
      <c r="BP11" s="11"/>
      <c r="BQ11" s="11"/>
      <c r="BR11" s="38"/>
      <c r="BS11" s="72"/>
      <c r="BT11" s="148"/>
      <c r="BU11" s="148"/>
      <c r="BV11" s="164"/>
    </row>
    <row r="12" spans="1:74">
      <c r="A12" s="5">
        <v>45667</v>
      </c>
      <c r="B12" s="11"/>
      <c r="C12" s="11"/>
      <c r="D12" s="11"/>
      <c r="E12" s="11"/>
      <c r="F12" s="11"/>
      <c r="G12" s="11"/>
      <c r="H12" s="11"/>
      <c r="I12" s="10"/>
      <c r="J12" s="72"/>
      <c r="K12" s="11"/>
      <c r="M12" s="141">
        <v>46032</v>
      </c>
      <c r="N12" s="141"/>
      <c r="O12" s="142"/>
      <c r="P12" s="142"/>
      <c r="Q12" s="142"/>
      <c r="R12" s="142"/>
      <c r="S12" s="142"/>
      <c r="T12" s="142"/>
      <c r="U12" s="142"/>
      <c r="V12" s="142"/>
      <c r="W12" s="143"/>
      <c r="X12" s="146"/>
      <c r="Y12" s="147"/>
      <c r="Z12" s="153"/>
      <c r="AA12" s="153"/>
      <c r="AC12" s="141">
        <v>46032</v>
      </c>
      <c r="AD12" s="142"/>
      <c r="AE12" s="142"/>
      <c r="AF12" s="142"/>
      <c r="AG12" s="142"/>
      <c r="AH12" s="142"/>
      <c r="AI12" s="142"/>
      <c r="AJ12" s="142"/>
      <c r="AK12" s="142"/>
      <c r="AL12" s="143"/>
      <c r="AM12" s="146"/>
      <c r="AN12" s="147"/>
      <c r="AO12" s="153"/>
      <c r="AP12" s="153"/>
      <c r="AQ12"/>
      <c r="AR12" s="141">
        <v>46032</v>
      </c>
      <c r="AS12" s="141"/>
      <c r="AT12" s="142"/>
      <c r="AU12" s="142"/>
      <c r="AV12" s="142"/>
      <c r="AW12" s="142"/>
      <c r="AX12" s="142"/>
      <c r="AY12" s="142"/>
      <c r="AZ12" s="142"/>
      <c r="BA12" s="142"/>
      <c r="BB12" s="143"/>
      <c r="BC12" s="146"/>
      <c r="BD12" s="147"/>
      <c r="BE12" s="153"/>
      <c r="BF12" s="153"/>
      <c r="BG12"/>
      <c r="BH12" s="141">
        <v>46032</v>
      </c>
      <c r="BI12" s="141"/>
      <c r="BJ12" s="142"/>
      <c r="BK12" s="142"/>
      <c r="BL12" s="142"/>
      <c r="BM12" s="142"/>
      <c r="BN12" s="142"/>
      <c r="BO12" s="142"/>
      <c r="BP12" s="142"/>
      <c r="BQ12" s="142"/>
      <c r="BR12" s="143"/>
      <c r="BS12" s="146"/>
      <c r="BT12" s="153"/>
      <c r="BU12" s="153"/>
      <c r="BV12" s="164"/>
    </row>
    <row r="13" spans="1:74">
      <c r="A13" s="5">
        <v>45668</v>
      </c>
      <c r="B13" s="11"/>
      <c r="C13" s="11"/>
      <c r="D13" s="11"/>
      <c r="E13" s="11"/>
      <c r="F13" s="11"/>
      <c r="G13" s="11"/>
      <c r="H13" s="11"/>
      <c r="I13" s="10"/>
      <c r="J13" s="72"/>
      <c r="K13" s="11"/>
      <c r="M13" s="141">
        <v>46033</v>
      </c>
      <c r="N13" s="141"/>
      <c r="O13" s="142"/>
      <c r="P13" s="142"/>
      <c r="Q13" s="142"/>
      <c r="R13" s="142"/>
      <c r="S13" s="142"/>
      <c r="T13" s="142"/>
      <c r="U13" s="142"/>
      <c r="V13" s="142"/>
      <c r="W13" s="143"/>
      <c r="X13" s="146"/>
      <c r="Y13" s="147"/>
      <c r="Z13" s="153"/>
      <c r="AA13" s="153"/>
      <c r="AC13" s="141">
        <v>46033</v>
      </c>
      <c r="AD13" s="142"/>
      <c r="AE13" s="142"/>
      <c r="AF13" s="142"/>
      <c r="AG13" s="142"/>
      <c r="AH13" s="142"/>
      <c r="AI13" s="142"/>
      <c r="AJ13" s="142"/>
      <c r="AK13" s="142"/>
      <c r="AL13" s="143"/>
      <c r="AM13" s="146"/>
      <c r="AN13" s="147"/>
      <c r="AO13" s="153"/>
      <c r="AP13" s="153"/>
      <c r="AQ13"/>
      <c r="AR13" s="141">
        <v>46033</v>
      </c>
      <c r="AS13" s="141"/>
      <c r="AT13" s="142"/>
      <c r="AU13" s="142"/>
      <c r="AV13" s="142"/>
      <c r="AW13" s="142"/>
      <c r="AX13" s="142"/>
      <c r="AY13" s="142"/>
      <c r="AZ13" s="142"/>
      <c r="BA13" s="142"/>
      <c r="BB13" s="143"/>
      <c r="BC13" s="146"/>
      <c r="BD13" s="147"/>
      <c r="BE13" s="153"/>
      <c r="BF13" s="153"/>
      <c r="BG13"/>
      <c r="BH13" s="141">
        <v>46033</v>
      </c>
      <c r="BI13" s="141"/>
      <c r="BJ13" s="142"/>
      <c r="BK13" s="142"/>
      <c r="BL13" s="142"/>
      <c r="BM13" s="142"/>
      <c r="BN13" s="142"/>
      <c r="BO13" s="142"/>
      <c r="BP13" s="142"/>
      <c r="BQ13" s="142"/>
      <c r="BR13" s="143"/>
      <c r="BS13" s="146"/>
      <c r="BT13" s="153"/>
      <c r="BU13" s="153"/>
      <c r="BV13" s="164"/>
    </row>
    <row r="14" spans="1:74">
      <c r="A14" s="5">
        <v>45669</v>
      </c>
      <c r="B14" s="11"/>
      <c r="C14" s="11"/>
      <c r="D14" s="11"/>
      <c r="E14" s="11"/>
      <c r="F14" s="11"/>
      <c r="G14" s="11"/>
      <c r="H14" s="11"/>
      <c r="I14" s="10"/>
      <c r="J14" s="72"/>
      <c r="K14" s="11"/>
      <c r="M14" s="5">
        <v>46034</v>
      </c>
      <c r="N14" s="5"/>
      <c r="O14" s="11"/>
      <c r="P14" s="11"/>
      <c r="Q14" s="11"/>
      <c r="R14" s="11"/>
      <c r="S14" s="11"/>
      <c r="T14" s="11"/>
      <c r="U14" s="11"/>
      <c r="V14" s="11"/>
      <c r="W14" s="38"/>
      <c r="X14" s="72"/>
      <c r="Y14" s="138"/>
      <c r="Z14" s="148"/>
      <c r="AA14" s="148"/>
      <c r="AC14" s="5">
        <v>46034</v>
      </c>
      <c r="AD14" s="11"/>
      <c r="AE14" s="11"/>
      <c r="AF14" s="11"/>
      <c r="AG14" s="11"/>
      <c r="AH14" s="11"/>
      <c r="AI14" s="11"/>
      <c r="AJ14" s="11"/>
      <c r="AK14" s="11"/>
      <c r="AL14" s="38"/>
      <c r="AM14" s="72"/>
      <c r="AN14" s="138"/>
      <c r="AO14" s="148"/>
      <c r="AP14" s="148"/>
      <c r="AQ14"/>
      <c r="AR14" s="5">
        <v>46034</v>
      </c>
      <c r="AS14" s="5"/>
      <c r="AT14" s="11"/>
      <c r="AU14" s="11"/>
      <c r="AV14" s="11"/>
      <c r="AW14" s="11"/>
      <c r="AX14" s="11"/>
      <c r="AY14" s="11"/>
      <c r="AZ14" s="11"/>
      <c r="BA14" s="11"/>
      <c r="BB14" s="38"/>
      <c r="BC14" s="72"/>
      <c r="BD14" s="138"/>
      <c r="BE14" s="148"/>
      <c r="BF14" s="148"/>
      <c r="BG14"/>
      <c r="BH14" s="5">
        <v>46034</v>
      </c>
      <c r="BI14" s="5"/>
      <c r="BJ14" s="11"/>
      <c r="BK14" s="11"/>
      <c r="BL14" s="11"/>
      <c r="BM14" s="11"/>
      <c r="BN14" s="11"/>
      <c r="BO14" s="11"/>
      <c r="BP14" s="11"/>
      <c r="BQ14" s="11"/>
      <c r="BR14" s="38"/>
      <c r="BS14" s="72"/>
      <c r="BT14" s="148"/>
      <c r="BU14" s="148"/>
      <c r="BV14" s="164"/>
    </row>
    <row r="15" spans="1:74">
      <c r="A15" s="5">
        <v>45670</v>
      </c>
      <c r="B15" s="11"/>
      <c r="C15" s="11"/>
      <c r="D15" s="11"/>
      <c r="E15" s="11"/>
      <c r="F15" s="11"/>
      <c r="G15" s="11"/>
      <c r="H15" s="11"/>
      <c r="I15" s="10"/>
      <c r="J15" s="72"/>
      <c r="K15" s="11"/>
      <c r="M15" s="5">
        <v>46035</v>
      </c>
      <c r="N15" s="5"/>
      <c r="O15" s="11"/>
      <c r="P15" s="11"/>
      <c r="Q15" s="11"/>
      <c r="R15" s="11"/>
      <c r="S15" s="11"/>
      <c r="T15" s="11"/>
      <c r="U15" s="11"/>
      <c r="V15" s="11"/>
      <c r="W15" s="38"/>
      <c r="X15" s="72"/>
      <c r="Y15" s="138"/>
      <c r="Z15" s="148"/>
      <c r="AA15" s="148"/>
      <c r="AC15" s="5">
        <v>46035</v>
      </c>
      <c r="AD15" s="11"/>
      <c r="AE15" s="11"/>
      <c r="AF15" s="11"/>
      <c r="AG15" s="11"/>
      <c r="AH15" s="11"/>
      <c r="AI15" s="11"/>
      <c r="AJ15" s="11"/>
      <c r="AK15" s="11"/>
      <c r="AL15" s="38"/>
      <c r="AM15" s="72"/>
      <c r="AN15" s="138"/>
      <c r="AO15" s="148"/>
      <c r="AP15" s="148"/>
      <c r="AQ15"/>
      <c r="AR15" s="5">
        <v>46035</v>
      </c>
      <c r="AS15" s="5"/>
      <c r="AT15" s="11"/>
      <c r="AU15" s="11"/>
      <c r="AV15" s="11"/>
      <c r="AW15" s="11"/>
      <c r="AX15" s="11"/>
      <c r="AY15" s="11"/>
      <c r="AZ15" s="11"/>
      <c r="BA15" s="11"/>
      <c r="BB15" s="38"/>
      <c r="BC15" s="72"/>
      <c r="BD15" s="138"/>
      <c r="BE15" s="148"/>
      <c r="BF15" s="148"/>
      <c r="BG15"/>
      <c r="BH15" s="5">
        <v>46035</v>
      </c>
      <c r="BI15" s="5"/>
      <c r="BJ15" s="11"/>
      <c r="BK15" s="11"/>
      <c r="BL15" s="11"/>
      <c r="BM15" s="11"/>
      <c r="BN15" s="11"/>
      <c r="BO15" s="11"/>
      <c r="BP15" s="11"/>
      <c r="BQ15" s="11"/>
      <c r="BR15" s="38"/>
      <c r="BS15" s="72"/>
      <c r="BT15" s="148"/>
      <c r="BU15" s="148"/>
      <c r="BV15" s="164"/>
    </row>
    <row r="16" spans="1:74">
      <c r="A16" s="5">
        <v>45671</v>
      </c>
      <c r="B16" s="11"/>
      <c r="C16" s="11"/>
      <c r="D16" s="11"/>
      <c r="E16" s="11"/>
      <c r="F16" s="11"/>
      <c r="G16" s="11"/>
      <c r="H16" s="11"/>
      <c r="I16" s="10"/>
      <c r="J16" s="72"/>
      <c r="K16" s="11"/>
      <c r="M16" s="5">
        <v>46036</v>
      </c>
      <c r="N16" s="5"/>
      <c r="O16" s="11"/>
      <c r="P16" s="11"/>
      <c r="Q16" s="11"/>
      <c r="R16" s="11"/>
      <c r="S16" s="11"/>
      <c r="T16" s="11"/>
      <c r="U16" s="11"/>
      <c r="V16" s="11"/>
      <c r="W16" s="38"/>
      <c r="X16" s="72"/>
      <c r="Y16" s="138"/>
      <c r="Z16" s="148"/>
      <c r="AA16" s="148"/>
      <c r="AC16" s="5">
        <v>46036</v>
      </c>
      <c r="AD16" s="11"/>
      <c r="AE16" s="11"/>
      <c r="AF16" s="11"/>
      <c r="AG16" s="11"/>
      <c r="AH16" s="11"/>
      <c r="AI16" s="11"/>
      <c r="AJ16" s="11"/>
      <c r="AK16" s="11"/>
      <c r="AL16" s="38"/>
      <c r="AM16" s="72"/>
      <c r="AN16" s="138"/>
      <c r="AO16" s="148"/>
      <c r="AP16" s="148"/>
      <c r="AQ16"/>
      <c r="AR16" s="5">
        <v>46036</v>
      </c>
      <c r="AS16" s="5"/>
      <c r="AT16" s="11"/>
      <c r="AU16" s="11"/>
      <c r="AV16" s="11"/>
      <c r="AW16" s="11"/>
      <c r="AX16" s="11"/>
      <c r="AY16" s="11"/>
      <c r="AZ16" s="11"/>
      <c r="BA16" s="11"/>
      <c r="BB16" s="38"/>
      <c r="BC16" s="72"/>
      <c r="BD16" s="138"/>
      <c r="BE16" s="148"/>
      <c r="BF16" s="148"/>
      <c r="BG16"/>
      <c r="BH16" s="5">
        <v>46036</v>
      </c>
      <c r="BI16" s="5"/>
      <c r="BJ16" s="11"/>
      <c r="BK16" s="11"/>
      <c r="BL16" s="11"/>
      <c r="BM16" s="11"/>
      <c r="BN16" s="11"/>
      <c r="BO16" s="11"/>
      <c r="BP16" s="11"/>
      <c r="BQ16" s="11"/>
      <c r="BR16" s="38"/>
      <c r="BS16" s="72"/>
      <c r="BT16" s="148"/>
      <c r="BU16" s="148"/>
      <c r="BV16" s="164"/>
    </row>
    <row r="17" spans="1:74">
      <c r="A17" s="5">
        <v>45672</v>
      </c>
      <c r="B17" s="11"/>
      <c r="C17" s="11"/>
      <c r="D17" s="11"/>
      <c r="E17" s="11"/>
      <c r="F17" s="11"/>
      <c r="G17" s="11"/>
      <c r="H17" s="11"/>
      <c r="I17" s="10"/>
      <c r="J17" s="72"/>
      <c r="K17" s="11"/>
      <c r="M17" s="5">
        <v>46037</v>
      </c>
      <c r="N17" s="5"/>
      <c r="O17" s="11"/>
      <c r="P17" s="11"/>
      <c r="Q17" s="11"/>
      <c r="R17" s="11"/>
      <c r="S17" s="11"/>
      <c r="T17" s="11"/>
      <c r="U17" s="11"/>
      <c r="V17" s="11"/>
      <c r="W17" s="38"/>
      <c r="X17" s="72"/>
      <c r="Y17" s="138"/>
      <c r="Z17" s="148"/>
      <c r="AA17" s="148"/>
      <c r="AC17" s="5">
        <v>46037</v>
      </c>
      <c r="AD17" s="11"/>
      <c r="AE17" s="11"/>
      <c r="AF17" s="11"/>
      <c r="AG17" s="11"/>
      <c r="AH17" s="11"/>
      <c r="AI17" s="11"/>
      <c r="AJ17" s="11"/>
      <c r="AK17" s="11"/>
      <c r="AL17" s="38"/>
      <c r="AM17" s="72"/>
      <c r="AN17" s="138"/>
      <c r="AO17" s="148"/>
      <c r="AP17" s="148"/>
      <c r="AQ17"/>
      <c r="AR17" s="5">
        <v>46037</v>
      </c>
      <c r="AS17" s="5"/>
      <c r="AT17" s="11"/>
      <c r="AU17" s="11"/>
      <c r="AV17" s="11"/>
      <c r="AW17" s="11"/>
      <c r="AX17" s="11"/>
      <c r="AY17" s="11"/>
      <c r="AZ17" s="11"/>
      <c r="BA17" s="11"/>
      <c r="BB17" s="38"/>
      <c r="BC17" s="72"/>
      <c r="BD17" s="138"/>
      <c r="BE17" s="148"/>
      <c r="BF17" s="148"/>
      <c r="BG17"/>
      <c r="BH17" s="5">
        <v>46037</v>
      </c>
      <c r="BI17" s="5"/>
      <c r="BJ17" s="11"/>
      <c r="BK17" s="11"/>
      <c r="BL17" s="11"/>
      <c r="BM17" s="11"/>
      <c r="BN17" s="11"/>
      <c r="BO17" s="11"/>
      <c r="BP17" s="11"/>
      <c r="BQ17" s="11"/>
      <c r="BR17" s="38"/>
      <c r="BS17" s="72"/>
      <c r="BT17" s="148"/>
      <c r="BU17" s="148"/>
      <c r="BV17" s="164"/>
    </row>
    <row r="18" spans="1:74">
      <c r="A18" s="5">
        <v>45673</v>
      </c>
      <c r="B18" s="11"/>
      <c r="C18" s="11"/>
      <c r="D18" s="11"/>
      <c r="E18" s="11"/>
      <c r="F18" s="11"/>
      <c r="G18" s="11"/>
      <c r="H18" s="11"/>
      <c r="I18" s="10"/>
      <c r="J18" s="72"/>
      <c r="K18" s="11"/>
      <c r="M18" s="5">
        <v>46038</v>
      </c>
      <c r="N18" s="5"/>
      <c r="O18" s="11"/>
      <c r="P18" s="11"/>
      <c r="Q18" s="11"/>
      <c r="R18" s="11"/>
      <c r="S18" s="11"/>
      <c r="T18" s="11"/>
      <c r="U18" s="11"/>
      <c r="V18" s="11"/>
      <c r="W18" s="38"/>
      <c r="X18" s="72"/>
      <c r="Y18" s="138"/>
      <c r="Z18" s="148"/>
      <c r="AA18" s="148"/>
      <c r="AC18" s="5">
        <v>46038</v>
      </c>
      <c r="AD18" s="11"/>
      <c r="AE18" s="11"/>
      <c r="AF18" s="11"/>
      <c r="AG18" s="11"/>
      <c r="AH18" s="11"/>
      <c r="AI18" s="11"/>
      <c r="AJ18" s="11"/>
      <c r="AK18" s="11"/>
      <c r="AL18" s="38"/>
      <c r="AM18" s="72"/>
      <c r="AN18" s="138"/>
      <c r="AO18" s="148"/>
      <c r="AP18" s="148"/>
      <c r="AQ18"/>
      <c r="AR18" s="5">
        <v>46038</v>
      </c>
      <c r="AS18" s="5"/>
      <c r="AT18" s="11"/>
      <c r="AU18" s="11"/>
      <c r="AV18" s="11"/>
      <c r="AW18" s="11"/>
      <c r="AX18" s="11"/>
      <c r="AY18" s="11"/>
      <c r="AZ18" s="11"/>
      <c r="BA18" s="11"/>
      <c r="BB18" s="38"/>
      <c r="BC18" s="72"/>
      <c r="BD18" s="138"/>
      <c r="BE18" s="148"/>
      <c r="BF18" s="148"/>
      <c r="BG18"/>
      <c r="BH18" s="5">
        <v>46038</v>
      </c>
      <c r="BI18" s="5"/>
      <c r="BJ18" s="11">
        <v>500</v>
      </c>
      <c r="BK18" s="11">
        <v>28983</v>
      </c>
      <c r="BL18" s="11"/>
      <c r="BM18" s="11">
        <v>2513</v>
      </c>
      <c r="BN18" s="11">
        <v>2400</v>
      </c>
      <c r="BO18" s="11">
        <v>29596</v>
      </c>
      <c r="BP18" s="11">
        <v>29596</v>
      </c>
      <c r="BQ18" s="347">
        <v>2243</v>
      </c>
      <c r="BR18" s="11">
        <v>284111390</v>
      </c>
      <c r="BS18" s="38"/>
      <c r="BT18" s="148"/>
      <c r="BU18" s="148"/>
      <c r="BV18" s="164"/>
    </row>
    <row r="19" spans="1:74">
      <c r="A19" s="5">
        <v>45674</v>
      </c>
      <c r="B19" s="11"/>
      <c r="C19" s="11"/>
      <c r="D19" s="11"/>
      <c r="E19" s="11"/>
      <c r="F19" s="11"/>
      <c r="G19" s="11"/>
      <c r="H19" s="11"/>
      <c r="I19" s="10"/>
      <c r="J19" s="72"/>
      <c r="K19" s="11"/>
      <c r="M19" s="141">
        <v>46039</v>
      </c>
      <c r="N19" s="141"/>
      <c r="O19" s="142"/>
      <c r="P19" s="142"/>
      <c r="Q19" s="142"/>
      <c r="R19" s="142"/>
      <c r="S19" s="142"/>
      <c r="T19" s="142"/>
      <c r="U19" s="142"/>
      <c r="V19" s="142"/>
      <c r="W19" s="143"/>
      <c r="X19" s="146"/>
      <c r="Y19" s="147"/>
      <c r="Z19" s="153"/>
      <c r="AA19" s="153"/>
      <c r="AC19" s="141">
        <v>46039</v>
      </c>
      <c r="AD19" s="142"/>
      <c r="AE19" s="142"/>
      <c r="AF19" s="142"/>
      <c r="AG19" s="142"/>
      <c r="AH19" s="142"/>
      <c r="AI19" s="142"/>
      <c r="AJ19" s="142"/>
      <c r="AK19" s="142"/>
      <c r="AL19" s="143"/>
      <c r="AM19" s="146"/>
      <c r="AN19" s="147"/>
      <c r="AO19" s="153"/>
      <c r="AP19" s="153"/>
      <c r="AQ19"/>
      <c r="AR19" s="141">
        <v>46039</v>
      </c>
      <c r="AS19" s="141"/>
      <c r="AT19" s="142"/>
      <c r="AU19" s="142"/>
      <c r="AV19" s="142"/>
      <c r="AW19" s="142"/>
      <c r="AX19" s="142"/>
      <c r="AY19" s="142"/>
      <c r="AZ19" s="142"/>
      <c r="BA19" s="142"/>
      <c r="BB19" s="143"/>
      <c r="BC19" s="146"/>
      <c r="BD19" s="147"/>
      <c r="BE19" s="153"/>
      <c r="BF19" s="153"/>
      <c r="BG19"/>
      <c r="BH19" s="141">
        <v>46039</v>
      </c>
      <c r="BI19" s="141"/>
      <c r="BJ19" s="142"/>
      <c r="BK19" s="142"/>
      <c r="BL19" s="142"/>
      <c r="BM19" s="142"/>
      <c r="BN19" s="142"/>
      <c r="BO19" s="142"/>
      <c r="BP19" s="142"/>
      <c r="BQ19" s="142"/>
      <c r="BR19" s="143"/>
      <c r="BS19" s="146"/>
      <c r="BT19" s="153"/>
      <c r="BU19" s="153"/>
      <c r="BV19" s="164"/>
    </row>
    <row r="20" spans="1:74">
      <c r="A20" s="5">
        <v>45675</v>
      </c>
      <c r="B20" s="11"/>
      <c r="C20" s="11"/>
      <c r="D20" s="11"/>
      <c r="E20" s="11"/>
      <c r="F20" s="11"/>
      <c r="G20" s="11"/>
      <c r="H20" s="11"/>
      <c r="I20" s="10"/>
      <c r="J20" s="72"/>
      <c r="K20" s="11"/>
      <c r="M20" s="141">
        <v>46040</v>
      </c>
      <c r="N20" s="141"/>
      <c r="O20" s="142"/>
      <c r="P20" s="142"/>
      <c r="Q20" s="142"/>
      <c r="R20" s="142"/>
      <c r="S20" s="142"/>
      <c r="T20" s="142"/>
      <c r="U20" s="142"/>
      <c r="V20" s="142"/>
      <c r="W20" s="143"/>
      <c r="X20" s="146"/>
      <c r="Y20" s="147"/>
      <c r="Z20" s="153"/>
      <c r="AA20" s="153"/>
      <c r="AC20" s="141">
        <v>46040</v>
      </c>
      <c r="AD20" s="142"/>
      <c r="AE20" s="142"/>
      <c r="AF20" s="142"/>
      <c r="AG20" s="142"/>
      <c r="AH20" s="142"/>
      <c r="AI20" s="142"/>
      <c r="AJ20" s="142"/>
      <c r="AK20" s="142"/>
      <c r="AL20" s="143"/>
      <c r="AM20" s="146"/>
      <c r="AN20" s="147"/>
      <c r="AO20" s="153"/>
      <c r="AP20" s="153"/>
      <c r="AQ20"/>
      <c r="AR20" s="141">
        <v>46040</v>
      </c>
      <c r="AS20" s="141"/>
      <c r="AT20" s="142"/>
      <c r="AU20" s="142"/>
      <c r="AV20" s="142"/>
      <c r="AW20" s="142"/>
      <c r="AX20" s="142"/>
      <c r="AY20" s="142"/>
      <c r="AZ20" s="142"/>
      <c r="BA20" s="142"/>
      <c r="BB20" s="143"/>
      <c r="BC20" s="146"/>
      <c r="BD20" s="147"/>
      <c r="BE20" s="153"/>
      <c r="BF20" s="153"/>
      <c r="BG20"/>
      <c r="BH20" s="141">
        <v>46040</v>
      </c>
      <c r="BI20" s="141"/>
      <c r="BJ20" s="142"/>
      <c r="BK20" s="142"/>
      <c r="BL20" s="142"/>
      <c r="BM20" s="142"/>
      <c r="BN20" s="142"/>
      <c r="BO20" s="142"/>
      <c r="BP20" s="142"/>
      <c r="BQ20" s="142"/>
      <c r="BR20" s="143"/>
      <c r="BS20" s="146"/>
      <c r="BT20" s="153"/>
      <c r="BU20" s="153"/>
      <c r="BV20" s="164"/>
    </row>
    <row r="21" spans="1:74">
      <c r="A21" s="5">
        <v>45676</v>
      </c>
      <c r="B21" s="11"/>
      <c r="C21" s="11"/>
      <c r="D21" s="11"/>
      <c r="E21" s="11"/>
      <c r="F21" s="11"/>
      <c r="G21" s="11"/>
      <c r="H21" s="11"/>
      <c r="I21" s="10"/>
      <c r="J21" s="72"/>
      <c r="K21" s="11"/>
      <c r="M21" s="5">
        <v>46041</v>
      </c>
      <c r="N21" s="5"/>
      <c r="O21" s="11"/>
      <c r="P21" s="11"/>
      <c r="Q21" s="11"/>
      <c r="R21" s="11"/>
      <c r="S21" s="11"/>
      <c r="T21" s="11"/>
      <c r="U21" s="11"/>
      <c r="V21" s="11"/>
      <c r="W21" s="38"/>
      <c r="X21" s="72"/>
      <c r="Y21" s="138"/>
      <c r="Z21" s="148"/>
      <c r="AA21" s="148"/>
      <c r="AC21" s="5">
        <v>46041</v>
      </c>
      <c r="AD21" s="11"/>
      <c r="AE21" s="11"/>
      <c r="AF21" s="11"/>
      <c r="AG21" s="11"/>
      <c r="AH21" s="11"/>
      <c r="AI21" s="11"/>
      <c r="AJ21" s="11"/>
      <c r="AK21" s="11"/>
      <c r="AL21" s="38"/>
      <c r="AM21" s="72"/>
      <c r="AN21" s="138"/>
      <c r="AO21" s="148"/>
      <c r="AP21" s="148"/>
      <c r="AQ21"/>
      <c r="AR21" s="5">
        <v>46041</v>
      </c>
      <c r="AS21" s="5"/>
      <c r="AT21" s="11"/>
      <c r="AU21" s="11"/>
      <c r="AV21" s="11"/>
      <c r="AW21" s="11"/>
      <c r="AX21" s="11"/>
      <c r="AY21" s="11"/>
      <c r="AZ21" s="11"/>
      <c r="BA21" s="11"/>
      <c r="BB21" s="38"/>
      <c r="BC21" s="72"/>
      <c r="BD21" s="138"/>
      <c r="BE21" s="148"/>
      <c r="BF21" s="148"/>
      <c r="BG21"/>
      <c r="BH21" s="5">
        <v>46041</v>
      </c>
      <c r="BI21" s="5"/>
      <c r="BJ21" s="11">
        <v>1250</v>
      </c>
      <c r="BK21" s="11">
        <v>58480</v>
      </c>
      <c r="BL21" s="11"/>
      <c r="BM21" s="11">
        <v>17656</v>
      </c>
      <c r="BN21" s="11">
        <v>6440</v>
      </c>
      <c r="BO21" s="11">
        <v>70946</v>
      </c>
      <c r="BP21" s="11">
        <v>70946</v>
      </c>
      <c r="BQ21" s="347">
        <v>2244</v>
      </c>
      <c r="BR21" s="72">
        <v>284188776</v>
      </c>
      <c r="BS21" s="72"/>
      <c r="BT21" s="148"/>
      <c r="BU21" s="148"/>
      <c r="BV21" s="164"/>
    </row>
    <row r="22" spans="1:74">
      <c r="A22" s="5">
        <v>45677</v>
      </c>
      <c r="B22" s="11"/>
      <c r="C22" s="11"/>
      <c r="D22" s="11"/>
      <c r="E22" s="11"/>
      <c r="F22" s="11"/>
      <c r="G22" s="11"/>
      <c r="H22" s="11"/>
      <c r="I22" s="10"/>
      <c r="J22" s="72"/>
      <c r="K22" s="11"/>
      <c r="M22" s="5">
        <v>46042</v>
      </c>
      <c r="N22" s="5"/>
      <c r="O22" s="11"/>
      <c r="P22" s="11"/>
      <c r="Q22" s="11"/>
      <c r="R22" s="11"/>
      <c r="S22" s="11"/>
      <c r="T22" s="11"/>
      <c r="U22" s="11"/>
      <c r="V22" s="11"/>
      <c r="W22" s="38"/>
      <c r="X22" s="72"/>
      <c r="Y22" s="138"/>
      <c r="Z22" s="148"/>
      <c r="AA22" s="148"/>
      <c r="AC22" s="5">
        <v>46042</v>
      </c>
      <c r="AD22" s="11"/>
      <c r="AE22" s="11"/>
      <c r="AF22" s="11"/>
      <c r="AG22" s="11"/>
      <c r="AH22" s="11"/>
      <c r="AI22" s="11"/>
      <c r="AJ22" s="11"/>
      <c r="AK22" s="11"/>
      <c r="AL22" s="38"/>
      <c r="AM22" s="72"/>
      <c r="AN22" s="138"/>
      <c r="AO22" s="148"/>
      <c r="AP22" s="148"/>
      <c r="AQ22"/>
      <c r="AR22" s="5">
        <v>46042</v>
      </c>
      <c r="AS22" s="5"/>
      <c r="AT22" s="11"/>
      <c r="AU22" s="11"/>
      <c r="AV22" s="11"/>
      <c r="AW22" s="11"/>
      <c r="AX22" s="11"/>
      <c r="AY22" s="11"/>
      <c r="AZ22" s="11"/>
      <c r="BA22" s="11"/>
      <c r="BB22" s="38"/>
      <c r="BC22" s="72"/>
      <c r="BD22" s="138"/>
      <c r="BE22" s="148"/>
      <c r="BF22" s="148"/>
      <c r="BG22"/>
      <c r="BH22" s="5">
        <v>46042</v>
      </c>
      <c r="BI22" s="5"/>
      <c r="BJ22" s="11">
        <v>600</v>
      </c>
      <c r="BK22" s="11">
        <v>56953</v>
      </c>
      <c r="BL22" s="11"/>
      <c r="BM22" s="11">
        <v>8180</v>
      </c>
      <c r="BN22" s="11">
        <v>4940</v>
      </c>
      <c r="BO22" s="11">
        <v>60793</v>
      </c>
      <c r="BP22" s="11">
        <v>60793</v>
      </c>
      <c r="BQ22" s="347">
        <v>2245</v>
      </c>
      <c r="BR22" s="72">
        <v>284254509</v>
      </c>
      <c r="BS22" s="72"/>
      <c r="BT22" s="148"/>
      <c r="BU22" s="148"/>
      <c r="BV22" s="164"/>
    </row>
    <row r="23" spans="1:74">
      <c r="A23" s="5">
        <v>45678</v>
      </c>
      <c r="B23" s="11"/>
      <c r="C23" s="11"/>
      <c r="D23" s="11"/>
      <c r="E23" s="11"/>
      <c r="F23" s="11"/>
      <c r="G23" s="11"/>
      <c r="H23" s="11"/>
      <c r="I23" s="10"/>
      <c r="J23" s="72"/>
      <c r="K23" s="11"/>
      <c r="M23" s="5">
        <v>46043</v>
      </c>
      <c r="N23" s="5"/>
      <c r="O23" s="11"/>
      <c r="P23" s="11"/>
      <c r="Q23" s="11"/>
      <c r="R23" s="11"/>
      <c r="S23" s="11"/>
      <c r="T23" s="11"/>
      <c r="U23" s="11"/>
      <c r="V23" s="11"/>
      <c r="W23" s="38"/>
      <c r="X23" s="72"/>
      <c r="Y23" s="138"/>
      <c r="Z23" s="148"/>
      <c r="AA23" s="148"/>
      <c r="AC23" s="5">
        <v>46043</v>
      </c>
      <c r="AD23" s="11"/>
      <c r="AE23" s="11"/>
      <c r="AF23" s="11"/>
      <c r="AG23" s="11"/>
      <c r="AH23" s="11"/>
      <c r="AI23" s="11"/>
      <c r="AJ23" s="11"/>
      <c r="AK23" s="11"/>
      <c r="AL23" s="38"/>
      <c r="AM23" s="72"/>
      <c r="AN23" s="138"/>
      <c r="AO23" s="148"/>
      <c r="AP23" s="148"/>
      <c r="AQ23"/>
      <c r="AR23" s="5">
        <v>46043</v>
      </c>
      <c r="AS23" s="5"/>
      <c r="AT23" s="11"/>
      <c r="AU23" s="11"/>
      <c r="AV23" s="11"/>
      <c r="AW23" s="11"/>
      <c r="AX23" s="11"/>
      <c r="AY23" s="11"/>
      <c r="AZ23" s="11"/>
      <c r="BA23" s="11"/>
      <c r="BB23" s="38"/>
      <c r="BC23" s="72"/>
      <c r="BD23" s="138"/>
      <c r="BE23" s="148"/>
      <c r="BF23" s="148"/>
      <c r="BG23"/>
      <c r="BH23" s="5">
        <v>46043</v>
      </c>
      <c r="BI23" s="5"/>
      <c r="BJ23" s="11">
        <v>650</v>
      </c>
      <c r="BK23" s="11">
        <v>60620</v>
      </c>
      <c r="BL23" s="11"/>
      <c r="BM23" s="11">
        <v>11687</v>
      </c>
      <c r="BN23" s="11">
        <v>2950</v>
      </c>
      <c r="BO23" s="75">
        <v>70007</v>
      </c>
      <c r="BP23" s="75">
        <v>70667</v>
      </c>
      <c r="BQ23" s="347">
        <v>2246</v>
      </c>
      <c r="BR23" s="376">
        <v>284327466</v>
      </c>
      <c r="BS23" s="72"/>
      <c r="BT23" s="148"/>
      <c r="BU23" s="457" t="s">
        <v>300</v>
      </c>
      <c r="BV23" s="164"/>
    </row>
    <row r="24" spans="1:74">
      <c r="A24" s="5">
        <v>45679</v>
      </c>
      <c r="B24" s="11"/>
      <c r="C24" s="11"/>
      <c r="D24" s="11"/>
      <c r="E24" s="11"/>
      <c r="F24" s="11"/>
      <c r="G24" s="11"/>
      <c r="H24" s="11"/>
      <c r="I24" s="10"/>
      <c r="J24" s="72"/>
      <c r="K24" s="11"/>
      <c r="M24" s="5">
        <v>46044</v>
      </c>
      <c r="N24" s="5"/>
      <c r="O24" s="11"/>
      <c r="P24" s="11"/>
      <c r="Q24" s="11"/>
      <c r="R24" s="11"/>
      <c r="S24" s="11"/>
      <c r="T24" s="11"/>
      <c r="U24" s="11"/>
      <c r="V24" s="11"/>
      <c r="W24" s="38"/>
      <c r="X24" s="72"/>
      <c r="Y24" s="138"/>
      <c r="Z24" s="148"/>
      <c r="AA24" s="148"/>
      <c r="AC24" s="5">
        <v>46044</v>
      </c>
      <c r="AD24" s="11"/>
      <c r="AE24" s="11"/>
      <c r="AF24" s="11"/>
      <c r="AG24" s="11"/>
      <c r="AH24" s="11"/>
      <c r="AI24" s="11"/>
      <c r="AJ24" s="11"/>
      <c r="AK24" s="11"/>
      <c r="AL24" s="38"/>
      <c r="AM24" s="72"/>
      <c r="AN24" s="138"/>
      <c r="AO24" s="148"/>
      <c r="AP24" s="148"/>
      <c r="AQ24"/>
      <c r="AR24" s="5">
        <v>46044</v>
      </c>
      <c r="AS24" s="5"/>
      <c r="AT24" s="11"/>
      <c r="AU24" s="11"/>
      <c r="AV24" s="11"/>
      <c r="AW24" s="11"/>
      <c r="AX24" s="11"/>
      <c r="AY24" s="11"/>
      <c r="AZ24" s="11"/>
      <c r="BA24" s="11"/>
      <c r="BB24" s="38"/>
      <c r="BC24" s="72"/>
      <c r="BD24" s="138"/>
      <c r="BE24" s="148"/>
      <c r="BF24" s="148"/>
      <c r="BG24"/>
      <c r="BH24" s="5">
        <v>46044</v>
      </c>
      <c r="BI24" s="5"/>
      <c r="BJ24" s="11">
        <v>850</v>
      </c>
      <c r="BK24" s="11">
        <v>106395</v>
      </c>
      <c r="BL24" s="11"/>
      <c r="BM24" s="11">
        <v>5367</v>
      </c>
      <c r="BN24" s="11">
        <v>9835</v>
      </c>
      <c r="BO24" s="11">
        <v>102774</v>
      </c>
      <c r="BP24" s="11">
        <v>102774</v>
      </c>
      <c r="BQ24" s="347">
        <v>2247</v>
      </c>
      <c r="BR24" s="72">
        <v>284440078</v>
      </c>
      <c r="BS24" s="72"/>
      <c r="BT24" s="148"/>
      <c r="BU24" s="148"/>
      <c r="BV24" s="164"/>
    </row>
    <row r="25" spans="1:74">
      <c r="A25" s="5">
        <v>45680</v>
      </c>
      <c r="B25" s="11"/>
      <c r="C25" s="11"/>
      <c r="D25" s="11"/>
      <c r="E25" s="11"/>
      <c r="F25" s="11"/>
      <c r="G25" s="11"/>
      <c r="H25" s="11"/>
      <c r="I25" s="10"/>
      <c r="J25" s="72"/>
      <c r="K25" s="11"/>
      <c r="M25" s="5">
        <v>46045</v>
      </c>
      <c r="N25" s="5"/>
      <c r="O25" s="11"/>
      <c r="P25" s="11"/>
      <c r="Q25" s="11"/>
      <c r="R25" s="11"/>
      <c r="S25" s="11"/>
      <c r="T25" s="11"/>
      <c r="U25" s="11"/>
      <c r="V25" s="11"/>
      <c r="W25" s="38"/>
      <c r="X25" s="72"/>
      <c r="Y25" s="138"/>
      <c r="Z25" s="148"/>
      <c r="AA25" s="148"/>
      <c r="AC25" s="5">
        <v>46045</v>
      </c>
      <c r="AD25" s="11"/>
      <c r="AE25" s="11"/>
      <c r="AF25" s="11"/>
      <c r="AG25" s="11"/>
      <c r="AH25" s="11"/>
      <c r="AI25" s="11"/>
      <c r="AJ25" s="11"/>
      <c r="AK25" s="11"/>
      <c r="AL25" s="38"/>
      <c r="AM25" s="72"/>
      <c r="AN25" s="138"/>
      <c r="AO25" s="148"/>
      <c r="AP25" s="148"/>
      <c r="AQ25"/>
      <c r="AR25" s="5">
        <v>46045</v>
      </c>
      <c r="AS25" s="5"/>
      <c r="AT25" s="11">
        <v>1375</v>
      </c>
      <c r="AU25" s="11">
        <v>76286</v>
      </c>
      <c r="AV25" s="11">
        <v>1000</v>
      </c>
      <c r="AW25" s="11">
        <v>4540</v>
      </c>
      <c r="AX25" s="11">
        <v>5930</v>
      </c>
      <c r="AY25" s="11"/>
      <c r="AZ25" s="11">
        <v>77271</v>
      </c>
      <c r="BA25" s="11"/>
      <c r="BB25" s="38" t="s">
        <v>828</v>
      </c>
      <c r="BC25" s="72">
        <v>264469787</v>
      </c>
      <c r="BD25" s="138"/>
      <c r="BE25" s="148"/>
      <c r="BF25" s="148" t="s">
        <v>829</v>
      </c>
      <c r="BG25"/>
      <c r="BH25" s="5">
        <v>46045</v>
      </c>
      <c r="BI25" s="5"/>
      <c r="BJ25" s="11"/>
      <c r="BK25" s="11"/>
      <c r="BL25" s="11"/>
      <c r="BM25" s="11"/>
      <c r="BN25" s="11"/>
      <c r="BO25" s="11"/>
      <c r="BP25" s="11"/>
      <c r="BQ25" s="33"/>
      <c r="BR25" s="38"/>
      <c r="BS25" s="72"/>
      <c r="BT25" s="148"/>
      <c r="BU25" s="148"/>
      <c r="BV25" s="164"/>
    </row>
    <row r="26" spans="1:74">
      <c r="A26" s="5">
        <v>45681</v>
      </c>
      <c r="B26" s="11"/>
      <c r="C26" s="11"/>
      <c r="D26" s="11"/>
      <c r="E26" s="11"/>
      <c r="F26" s="11"/>
      <c r="G26" s="11"/>
      <c r="H26" s="11"/>
      <c r="I26" s="10"/>
      <c r="J26" s="72"/>
      <c r="K26" s="11"/>
      <c r="M26" s="141">
        <v>46046</v>
      </c>
      <c r="N26" s="141"/>
      <c r="O26" s="142"/>
      <c r="P26" s="142"/>
      <c r="Q26" s="142"/>
      <c r="R26" s="142"/>
      <c r="S26" s="142"/>
      <c r="T26" s="142"/>
      <c r="U26" s="142"/>
      <c r="V26" s="142"/>
      <c r="W26" s="143"/>
      <c r="X26" s="146"/>
      <c r="Y26" s="147"/>
      <c r="Z26" s="153"/>
      <c r="AA26" s="153"/>
      <c r="AC26" s="141">
        <v>46046</v>
      </c>
      <c r="AD26" s="142"/>
      <c r="AE26" s="142"/>
      <c r="AF26" s="142"/>
      <c r="AG26" s="142"/>
      <c r="AH26" s="142"/>
      <c r="AI26" s="142"/>
      <c r="AJ26" s="142"/>
      <c r="AK26" s="142"/>
      <c r="AL26" s="143"/>
      <c r="AM26" s="146"/>
      <c r="AN26" s="147"/>
      <c r="AO26" s="153"/>
      <c r="AP26" s="153"/>
      <c r="AQ26"/>
      <c r="AR26" s="141">
        <v>46046</v>
      </c>
      <c r="AS26" s="141"/>
      <c r="AT26" s="142"/>
      <c r="AU26" s="142"/>
      <c r="AV26" s="142"/>
      <c r="AW26" s="142"/>
      <c r="AX26" s="142"/>
      <c r="AY26" s="142"/>
      <c r="AZ26" s="142"/>
      <c r="BA26" s="142"/>
      <c r="BB26" s="143"/>
      <c r="BC26" s="146"/>
      <c r="BD26" s="147"/>
      <c r="BE26" s="153"/>
      <c r="BF26" s="153"/>
      <c r="BG26"/>
      <c r="BH26" s="141">
        <v>46046</v>
      </c>
      <c r="BI26" s="141"/>
      <c r="BJ26" s="142"/>
      <c r="BK26" s="142"/>
      <c r="BL26" s="142"/>
      <c r="BM26" s="142"/>
      <c r="BN26" s="142"/>
      <c r="BO26" s="142"/>
      <c r="BP26" s="142"/>
      <c r="BQ26" s="198"/>
      <c r="BR26" s="143"/>
      <c r="BS26" s="146"/>
      <c r="BT26" s="153"/>
      <c r="BU26" s="153"/>
      <c r="BV26" s="164"/>
    </row>
    <row r="27" spans="1:74">
      <c r="A27" s="5">
        <v>45682</v>
      </c>
      <c r="B27" s="11"/>
      <c r="C27" s="11"/>
      <c r="D27" s="11"/>
      <c r="E27" s="11"/>
      <c r="F27" s="11"/>
      <c r="G27" s="11"/>
      <c r="H27" s="11"/>
      <c r="I27" s="10"/>
      <c r="J27" s="72"/>
      <c r="K27" s="11"/>
      <c r="M27" s="141">
        <v>46047</v>
      </c>
      <c r="N27" s="141"/>
      <c r="O27" s="142"/>
      <c r="P27" s="142"/>
      <c r="Q27" s="142"/>
      <c r="R27" s="142"/>
      <c r="S27" s="142"/>
      <c r="T27" s="142"/>
      <c r="U27" s="142"/>
      <c r="V27" s="142"/>
      <c r="W27" s="143"/>
      <c r="X27" s="146"/>
      <c r="Y27" s="147"/>
      <c r="Z27" s="153"/>
      <c r="AA27" s="153"/>
      <c r="AC27" s="141">
        <v>46047</v>
      </c>
      <c r="AD27" s="142"/>
      <c r="AE27" s="142"/>
      <c r="AF27" s="142"/>
      <c r="AG27" s="142"/>
      <c r="AH27" s="142"/>
      <c r="AI27" s="142"/>
      <c r="AJ27" s="142"/>
      <c r="AK27" s="142"/>
      <c r="AL27" s="143"/>
      <c r="AM27" s="146"/>
      <c r="AN27" s="147"/>
      <c r="AO27" s="153"/>
      <c r="AP27" s="153"/>
      <c r="AQ27"/>
      <c r="AR27" s="141">
        <v>46047</v>
      </c>
      <c r="AS27" s="141"/>
      <c r="AT27" s="142"/>
      <c r="AU27" s="142"/>
      <c r="AV27" s="142"/>
      <c r="AW27" s="142"/>
      <c r="AX27" s="142"/>
      <c r="AY27" s="142"/>
      <c r="AZ27" s="142"/>
      <c r="BA27" s="142"/>
      <c r="BB27" s="143"/>
      <c r="BC27" s="146"/>
      <c r="BD27" s="147"/>
      <c r="BE27" s="153"/>
      <c r="BF27" s="153"/>
      <c r="BG27"/>
      <c r="BH27" s="141">
        <v>46047</v>
      </c>
      <c r="BI27" s="141"/>
      <c r="BJ27" s="142"/>
      <c r="BK27" s="142"/>
      <c r="BL27" s="142"/>
      <c r="BM27" s="142"/>
      <c r="BN27" s="142"/>
      <c r="BO27" s="142"/>
      <c r="BP27" s="142"/>
      <c r="BQ27" s="198"/>
      <c r="BR27" s="143"/>
      <c r="BS27" s="146"/>
      <c r="BT27" s="153"/>
      <c r="BU27" s="153"/>
      <c r="BV27" s="164"/>
    </row>
    <row r="28" spans="1:74">
      <c r="A28" s="5">
        <v>45683</v>
      </c>
      <c r="B28" s="11"/>
      <c r="C28" s="11"/>
      <c r="D28" s="11"/>
      <c r="E28" s="11"/>
      <c r="F28" s="11"/>
      <c r="G28" s="11"/>
      <c r="H28" s="11"/>
      <c r="I28" s="10"/>
      <c r="J28" s="72"/>
      <c r="K28" s="11"/>
      <c r="M28" s="5">
        <v>46048</v>
      </c>
      <c r="N28" s="5"/>
      <c r="O28" s="11"/>
      <c r="P28" s="11"/>
      <c r="Q28" s="11"/>
      <c r="R28" s="11"/>
      <c r="S28" s="11"/>
      <c r="T28" s="11"/>
      <c r="U28" s="11"/>
      <c r="V28" s="11"/>
      <c r="W28" s="38"/>
      <c r="X28" s="72"/>
      <c r="Y28" s="138"/>
      <c r="Z28" s="148"/>
      <c r="AA28" s="148"/>
      <c r="AC28" s="5">
        <v>46048</v>
      </c>
      <c r="AD28" s="11"/>
      <c r="AE28" s="11"/>
      <c r="AF28" s="11"/>
      <c r="AG28" s="11"/>
      <c r="AH28" s="11"/>
      <c r="AI28" s="11"/>
      <c r="AJ28" s="11"/>
      <c r="AK28" s="11"/>
      <c r="AL28" s="38"/>
      <c r="AM28" s="72"/>
      <c r="AN28" s="138"/>
      <c r="AO28" s="148"/>
      <c r="AP28" s="148"/>
      <c r="AQ28"/>
      <c r="AR28" s="5">
        <v>46048</v>
      </c>
      <c r="AS28" s="5"/>
      <c r="AT28" s="11">
        <v>1100</v>
      </c>
      <c r="AU28" s="11">
        <v>78050</v>
      </c>
      <c r="AV28" s="11">
        <v>9185</v>
      </c>
      <c r="AW28" s="11"/>
      <c r="AX28" s="11">
        <v>6540</v>
      </c>
      <c r="AY28" s="11">
        <v>81795</v>
      </c>
      <c r="AZ28" s="11">
        <v>81795</v>
      </c>
      <c r="BA28" s="11"/>
      <c r="BB28" s="38" t="s">
        <v>830</v>
      </c>
      <c r="BC28" s="72">
        <v>264558122</v>
      </c>
      <c r="BD28" s="138"/>
      <c r="BE28" s="148"/>
      <c r="BF28" s="148"/>
      <c r="BG28"/>
      <c r="BH28" s="5">
        <v>46048</v>
      </c>
      <c r="BI28" s="5"/>
      <c r="BJ28" s="11"/>
      <c r="BK28" s="11"/>
      <c r="BL28" s="11"/>
      <c r="BM28" s="11"/>
      <c r="BN28" s="11"/>
      <c r="BO28" s="11"/>
      <c r="BP28" s="11"/>
      <c r="BQ28" s="33"/>
      <c r="BR28" s="38"/>
      <c r="BS28" s="72"/>
      <c r="BT28" s="148"/>
      <c r="BU28" s="148"/>
      <c r="BV28" s="164"/>
    </row>
    <row r="29" spans="1:74">
      <c r="A29" s="5">
        <v>45684</v>
      </c>
      <c r="B29" s="11"/>
      <c r="C29" s="11"/>
      <c r="D29" s="11"/>
      <c r="E29" s="11"/>
      <c r="F29" s="11"/>
      <c r="G29" s="11"/>
      <c r="H29" s="11"/>
      <c r="I29" s="10"/>
      <c r="J29" s="72"/>
      <c r="K29" s="11"/>
      <c r="M29" s="5">
        <v>46049</v>
      </c>
      <c r="N29" s="5"/>
      <c r="O29" s="11"/>
      <c r="P29" s="11"/>
      <c r="Q29" s="11"/>
      <c r="R29" s="11"/>
      <c r="S29" s="11"/>
      <c r="T29" s="11"/>
      <c r="U29" s="11"/>
      <c r="V29" s="11"/>
      <c r="W29" s="38"/>
      <c r="X29" s="72"/>
      <c r="Y29" s="138"/>
      <c r="Z29" s="148"/>
      <c r="AA29" s="148"/>
      <c r="AC29" s="5">
        <v>46049</v>
      </c>
      <c r="AD29" s="11"/>
      <c r="AE29" s="11"/>
      <c r="AF29" s="11"/>
      <c r="AG29" s="11"/>
      <c r="AH29" s="11"/>
      <c r="AI29" s="11"/>
      <c r="AJ29" s="11"/>
      <c r="AK29" s="11"/>
      <c r="AL29" s="38"/>
      <c r="AM29" s="72"/>
      <c r="AN29" s="138"/>
      <c r="AO29" s="148"/>
      <c r="AP29" s="148"/>
      <c r="AQ29"/>
      <c r="AR29" s="5">
        <v>46049</v>
      </c>
      <c r="AS29" s="5"/>
      <c r="AT29" s="11">
        <v>50</v>
      </c>
      <c r="AU29" s="11">
        <v>11900</v>
      </c>
      <c r="AV29" s="11">
        <v>350</v>
      </c>
      <c r="AW29" s="11"/>
      <c r="AX29" s="11">
        <v>0</v>
      </c>
      <c r="AY29" s="15">
        <v>12300</v>
      </c>
      <c r="AZ29" s="15"/>
      <c r="BA29" s="11"/>
      <c r="BB29" s="38" t="s">
        <v>831</v>
      </c>
      <c r="BC29" s="72">
        <v>264644220</v>
      </c>
      <c r="BD29" s="138"/>
      <c r="BE29" s="148"/>
      <c r="BF29" s="148"/>
      <c r="BG29"/>
      <c r="BH29" s="5">
        <v>46049</v>
      </c>
      <c r="BI29" s="5"/>
      <c r="BJ29" s="11"/>
      <c r="BK29" s="11"/>
      <c r="BL29" s="11"/>
      <c r="BM29" s="11"/>
      <c r="BN29" s="11"/>
      <c r="BO29" s="11"/>
      <c r="BP29" s="11"/>
      <c r="BQ29" s="33"/>
      <c r="BR29" s="38"/>
      <c r="BS29" s="72"/>
      <c r="BT29" s="148"/>
      <c r="BU29" s="148"/>
      <c r="BV29" s="164"/>
    </row>
    <row r="30" spans="1:74">
      <c r="A30" s="5">
        <v>45685</v>
      </c>
      <c r="B30" s="11"/>
      <c r="C30" s="11"/>
      <c r="D30" s="11"/>
      <c r="E30" s="11"/>
      <c r="F30" s="11"/>
      <c r="G30" s="11"/>
      <c r="H30" s="11"/>
      <c r="I30" s="10"/>
      <c r="J30" s="72"/>
      <c r="K30" s="11"/>
      <c r="M30" s="5">
        <v>46050</v>
      </c>
      <c r="N30" s="5"/>
      <c r="O30" s="11"/>
      <c r="P30" s="11"/>
      <c r="Q30" s="11"/>
      <c r="R30" s="11"/>
      <c r="S30" s="11"/>
      <c r="T30" s="11"/>
      <c r="U30" s="11"/>
      <c r="V30" s="11"/>
      <c r="W30" s="38"/>
      <c r="X30" s="72"/>
      <c r="Y30" s="138"/>
      <c r="Z30" s="148"/>
      <c r="AA30" s="148"/>
      <c r="AC30" s="5">
        <v>46050</v>
      </c>
      <c r="AD30" s="11"/>
      <c r="AE30" s="11"/>
      <c r="AF30" s="11"/>
      <c r="AG30" s="11"/>
      <c r="AH30" s="11"/>
      <c r="AI30" s="11"/>
      <c r="AJ30" s="11"/>
      <c r="AK30" s="11"/>
      <c r="AL30" s="38"/>
      <c r="AM30" s="72"/>
      <c r="AN30" s="138"/>
      <c r="AO30" s="148"/>
      <c r="AP30" s="148"/>
      <c r="AQ30"/>
      <c r="AR30" s="5">
        <v>46049</v>
      </c>
      <c r="AS30" s="5"/>
      <c r="AT30" s="11"/>
      <c r="AU30" s="11">
        <v>70000</v>
      </c>
      <c r="AV30" s="11"/>
      <c r="AW30" s="11">
        <v>3798</v>
      </c>
      <c r="AX30" s="11">
        <v>0</v>
      </c>
      <c r="AY30" s="11">
        <v>73798</v>
      </c>
      <c r="AZ30" s="11">
        <v>86098</v>
      </c>
      <c r="BA30" s="11"/>
      <c r="BB30" s="38" t="s">
        <v>832</v>
      </c>
      <c r="BC30" s="72">
        <v>264644220</v>
      </c>
      <c r="BD30" s="138"/>
      <c r="BE30" s="148"/>
      <c r="BF30" s="148"/>
      <c r="BG30"/>
      <c r="BH30" s="5">
        <v>46050</v>
      </c>
      <c r="BI30" s="5"/>
      <c r="BJ30" s="11"/>
      <c r="BK30" s="11"/>
      <c r="BL30" s="11"/>
      <c r="BM30" s="11"/>
      <c r="BN30" s="11"/>
      <c r="BO30" s="11"/>
      <c r="BP30" s="11"/>
      <c r="BQ30" s="33"/>
      <c r="BR30" s="38"/>
      <c r="BS30" s="72"/>
      <c r="BT30" s="148"/>
      <c r="BU30" s="148"/>
      <c r="BV30" s="164"/>
    </row>
    <row r="31" spans="1:74">
      <c r="A31" s="5">
        <v>45686</v>
      </c>
      <c r="B31" s="11"/>
      <c r="C31" s="11"/>
      <c r="D31" s="11"/>
      <c r="E31" s="11"/>
      <c r="F31" s="11"/>
      <c r="G31" s="11"/>
      <c r="H31" s="11"/>
      <c r="I31" s="10"/>
      <c r="J31" s="72"/>
      <c r="K31" s="11"/>
      <c r="M31" s="5">
        <v>46051</v>
      </c>
      <c r="N31" s="5"/>
      <c r="O31" s="11"/>
      <c r="P31" s="11"/>
      <c r="Q31" s="11"/>
      <c r="R31" s="11"/>
      <c r="S31" s="11"/>
      <c r="T31" s="11"/>
      <c r="U31" s="11"/>
      <c r="V31" s="11"/>
      <c r="W31" s="38"/>
      <c r="X31" s="72"/>
      <c r="Y31" s="138"/>
      <c r="Z31" s="148"/>
      <c r="AA31" s="148"/>
      <c r="AC31" s="5">
        <v>46051</v>
      </c>
      <c r="AD31" s="11"/>
      <c r="AE31" s="11"/>
      <c r="AF31" s="11"/>
      <c r="AG31" s="11"/>
      <c r="AH31" s="11"/>
      <c r="AI31" s="11"/>
      <c r="AJ31" s="11"/>
      <c r="AK31" s="11"/>
      <c r="AL31" s="38"/>
      <c r="AM31" s="72"/>
      <c r="AN31" s="138"/>
      <c r="AO31" s="148"/>
      <c r="AP31" s="148"/>
      <c r="AQ31"/>
      <c r="AR31" s="5">
        <v>46050</v>
      </c>
      <c r="AS31" s="5"/>
      <c r="AT31" s="11">
        <v>700</v>
      </c>
      <c r="AU31" s="11">
        <v>91110</v>
      </c>
      <c r="AV31" s="11">
        <v>3308</v>
      </c>
      <c r="AW31" s="11">
        <v>3870</v>
      </c>
      <c r="AX31" s="11">
        <v>3170</v>
      </c>
      <c r="AY31" s="11">
        <v>95818</v>
      </c>
      <c r="AZ31" s="11">
        <v>95818</v>
      </c>
      <c r="BA31" s="11"/>
      <c r="BB31" s="38" t="s">
        <v>833</v>
      </c>
      <c r="BC31" s="72">
        <v>264743208</v>
      </c>
      <c r="BD31" s="138"/>
      <c r="BE31" s="148"/>
      <c r="BF31" s="148"/>
      <c r="BG31"/>
      <c r="BH31" s="5">
        <v>46051</v>
      </c>
      <c r="BI31" s="5"/>
      <c r="BJ31" s="11"/>
      <c r="BK31" s="11"/>
      <c r="BL31" s="11"/>
      <c r="BM31" s="11"/>
      <c r="BN31" s="11"/>
      <c r="BO31" s="11"/>
      <c r="BP31" s="11"/>
      <c r="BQ31" s="33"/>
      <c r="BR31" s="38"/>
      <c r="BS31" s="206"/>
      <c r="BT31" s="208"/>
      <c r="BU31" s="208"/>
      <c r="BV31" s="164"/>
    </row>
    <row r="32" spans="1:74">
      <c r="A32" s="5">
        <v>45687</v>
      </c>
      <c r="B32" s="11"/>
      <c r="C32" s="11"/>
      <c r="D32" s="11"/>
      <c r="E32" s="11"/>
      <c r="F32" s="11"/>
      <c r="G32" s="11"/>
      <c r="H32" s="11"/>
      <c r="I32" s="10"/>
      <c r="J32" s="72"/>
      <c r="K32" s="11"/>
      <c r="M32" s="5">
        <v>46052</v>
      </c>
      <c r="N32" s="5"/>
      <c r="O32" s="11"/>
      <c r="P32" s="11"/>
      <c r="Q32" s="11"/>
      <c r="R32" s="11"/>
      <c r="S32" s="11"/>
      <c r="T32" s="11"/>
      <c r="U32" s="11"/>
      <c r="V32" s="11"/>
      <c r="W32" s="38"/>
      <c r="X32" s="72"/>
      <c r="Y32" s="138"/>
      <c r="Z32" s="148"/>
      <c r="AA32" s="148"/>
      <c r="AC32" s="5">
        <v>46052</v>
      </c>
      <c r="AD32" s="11"/>
      <c r="AE32" s="11"/>
      <c r="AF32" s="11"/>
      <c r="AG32" s="11"/>
      <c r="AH32" s="11"/>
      <c r="AI32" s="11"/>
      <c r="AJ32" s="11"/>
      <c r="AK32" s="11"/>
      <c r="AL32" s="38"/>
      <c r="AM32" s="72"/>
      <c r="AN32" s="138"/>
      <c r="AO32" s="148"/>
      <c r="AP32" s="148"/>
      <c r="AQ32"/>
      <c r="AR32" s="5">
        <v>46051</v>
      </c>
      <c r="AS32" s="5"/>
      <c r="AT32" s="11">
        <v>450</v>
      </c>
      <c r="AU32" s="11">
        <v>45820</v>
      </c>
      <c r="AV32" s="11">
        <v>435</v>
      </c>
      <c r="AW32" s="11">
        <v>4000</v>
      </c>
      <c r="AX32" s="11">
        <v>5350</v>
      </c>
      <c r="AY32" s="11">
        <v>45355</v>
      </c>
      <c r="AZ32" s="11">
        <v>45355</v>
      </c>
      <c r="BA32" s="11"/>
      <c r="BB32" s="38" t="s">
        <v>834</v>
      </c>
      <c r="BC32" s="72">
        <v>264793913</v>
      </c>
      <c r="BD32" s="138"/>
      <c r="BE32" s="148"/>
      <c r="BF32" s="148"/>
      <c r="BG32"/>
      <c r="BH32" s="5">
        <v>46052</v>
      </c>
      <c r="BI32" s="5"/>
      <c r="BJ32" s="11"/>
      <c r="BK32" s="11">
        <v>88900</v>
      </c>
      <c r="BL32" s="11"/>
      <c r="BM32" s="11"/>
      <c r="BN32" s="11"/>
      <c r="BO32" s="11">
        <v>88900</v>
      </c>
      <c r="BP32" s="11"/>
      <c r="BQ32" s="33">
        <v>2248</v>
      </c>
      <c r="BR32" s="72">
        <v>284528978</v>
      </c>
      <c r="BS32" s="11"/>
      <c r="BT32" s="148"/>
      <c r="BU32" s="148" t="s">
        <v>835</v>
      </c>
      <c r="BV32" s="164"/>
    </row>
    <row r="33" spans="1:74">
      <c r="A33" s="5"/>
      <c r="B33" s="11"/>
      <c r="C33" s="11"/>
      <c r="D33" s="11"/>
      <c r="E33" s="11"/>
      <c r="F33" s="11"/>
      <c r="G33" s="11"/>
      <c r="H33" s="11"/>
      <c r="I33" s="10"/>
      <c r="J33" s="72"/>
      <c r="K33" s="11"/>
      <c r="M33" s="141">
        <v>46053</v>
      </c>
      <c r="N33" s="141"/>
      <c r="O33" s="142">
        <v>0</v>
      </c>
      <c r="P33" s="142">
        <v>0</v>
      </c>
      <c r="Q33" s="142">
        <v>0</v>
      </c>
      <c r="R33" s="142">
        <v>0</v>
      </c>
      <c r="S33" s="142">
        <v>0</v>
      </c>
      <c r="T33" s="142">
        <v>0</v>
      </c>
      <c r="U33" s="142">
        <v>0</v>
      </c>
      <c r="V33" s="142"/>
      <c r="W33" s="143" t="s">
        <v>164</v>
      </c>
      <c r="X33" s="146">
        <v>272779049</v>
      </c>
      <c r="Y33" s="147"/>
      <c r="Z33" s="153"/>
      <c r="AA33" s="153"/>
      <c r="AC33" s="5"/>
      <c r="AD33" s="11"/>
      <c r="AE33" s="11"/>
      <c r="AF33" s="11"/>
      <c r="AG33" s="11"/>
      <c r="AH33" s="11"/>
      <c r="AI33" s="11"/>
      <c r="AJ33" s="11"/>
      <c r="AK33" s="11"/>
      <c r="AL33" s="38"/>
      <c r="AM33" s="72"/>
      <c r="AN33" s="138"/>
      <c r="AO33" s="148"/>
      <c r="AP33" s="148"/>
      <c r="AQ33"/>
      <c r="AR33" s="5">
        <v>46052</v>
      </c>
      <c r="AS33" s="5"/>
      <c r="AT33" s="11">
        <v>400</v>
      </c>
      <c r="AU33" s="11">
        <v>55736</v>
      </c>
      <c r="AV33" s="11">
        <v>1360</v>
      </c>
      <c r="AW33" s="11">
        <v>2000</v>
      </c>
      <c r="AX33" s="11">
        <v>7940</v>
      </c>
      <c r="AY33" s="11">
        <v>51556</v>
      </c>
      <c r="AZ33" s="11">
        <v>51556</v>
      </c>
      <c r="BA33" s="11"/>
      <c r="BB33" s="38" t="s">
        <v>836</v>
      </c>
      <c r="BC33" s="72">
        <v>264853409</v>
      </c>
      <c r="BD33" s="138"/>
      <c r="BE33" s="148"/>
      <c r="BF33" s="148"/>
      <c r="BG33"/>
      <c r="BH33" s="5">
        <v>46052</v>
      </c>
      <c r="BI33" s="5"/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33" t="s">
        <v>837</v>
      </c>
      <c r="BR33" s="72">
        <v>284528978</v>
      </c>
      <c r="BS33" s="445"/>
      <c r="BT33" s="486"/>
      <c r="BU33" s="486"/>
      <c r="BV33" s="164"/>
    </row>
    <row r="34" spans="1:74">
      <c r="A34" s="5"/>
      <c r="B34" s="11"/>
      <c r="C34" s="11"/>
      <c r="D34" s="11"/>
      <c r="E34" s="11"/>
      <c r="F34" s="11"/>
      <c r="G34" s="11"/>
      <c r="H34" s="11"/>
      <c r="I34" s="10"/>
      <c r="J34" s="72"/>
      <c r="K34" s="11"/>
      <c r="M34" s="141">
        <v>46053</v>
      </c>
      <c r="N34" s="141"/>
      <c r="O34" s="142">
        <v>0</v>
      </c>
      <c r="P34" s="142">
        <v>0</v>
      </c>
      <c r="Q34" s="142">
        <v>0</v>
      </c>
      <c r="R34" s="142">
        <v>0</v>
      </c>
      <c r="S34" s="142">
        <v>0</v>
      </c>
      <c r="T34" s="142">
        <v>0</v>
      </c>
      <c r="U34" s="142">
        <v>0</v>
      </c>
      <c r="V34" s="142"/>
      <c r="W34" s="143" t="s">
        <v>166</v>
      </c>
      <c r="X34" s="146">
        <v>272779049</v>
      </c>
      <c r="Y34" s="147"/>
      <c r="Z34" s="153"/>
      <c r="AA34" s="153"/>
      <c r="AC34" s="5"/>
      <c r="AD34" s="11"/>
      <c r="AE34" s="11"/>
      <c r="AF34" s="11"/>
      <c r="AG34" s="11"/>
      <c r="AH34" s="11"/>
      <c r="AI34" s="11"/>
      <c r="AJ34" s="11"/>
      <c r="AK34" s="11"/>
      <c r="AL34" s="38"/>
      <c r="AM34" s="72"/>
      <c r="AN34" s="138"/>
      <c r="AO34" s="148"/>
      <c r="AP34" s="148"/>
      <c r="AQ34"/>
      <c r="AR34" s="5"/>
      <c r="AS34" s="5"/>
      <c r="AT34" s="11"/>
      <c r="AU34" s="11"/>
      <c r="AV34" s="11"/>
      <c r="AW34" s="11"/>
      <c r="AX34" s="11"/>
      <c r="AY34" s="11"/>
      <c r="AZ34" s="11"/>
      <c r="BA34" s="11"/>
      <c r="BB34" s="38"/>
      <c r="BC34" s="72"/>
      <c r="BD34" s="138"/>
      <c r="BE34" s="148"/>
      <c r="BF34" s="148"/>
      <c r="BG34"/>
      <c r="BH34" s="5"/>
      <c r="BI34" s="5"/>
      <c r="BJ34" s="11"/>
      <c r="BK34" s="11"/>
      <c r="BL34" s="11"/>
      <c r="BM34" s="11"/>
      <c r="BN34" s="11"/>
      <c r="BO34" s="11"/>
      <c r="BP34" s="11"/>
      <c r="BQ34" s="33"/>
      <c r="BR34" s="72"/>
      <c r="BS34" s="72"/>
      <c r="BT34" s="148"/>
      <c r="BU34" s="148"/>
      <c r="BV34" s="164"/>
    </row>
    <row r="35" spans="1:74" ht="18" customHeight="1">
      <c r="A35" s="5">
        <v>45688</v>
      </c>
      <c r="B35" s="11"/>
      <c r="C35" s="11"/>
      <c r="D35" s="11"/>
      <c r="E35" s="11"/>
      <c r="F35" s="11"/>
      <c r="G35" s="11"/>
      <c r="H35" s="11"/>
      <c r="I35" s="10"/>
      <c r="J35" s="71"/>
      <c r="K35" s="16"/>
      <c r="M35" s="141">
        <v>46053</v>
      </c>
      <c r="N35" s="141"/>
      <c r="O35" s="142">
        <v>11065</v>
      </c>
      <c r="P35" s="142">
        <v>589720</v>
      </c>
      <c r="Q35" s="142">
        <v>0</v>
      </c>
      <c r="R35" s="142">
        <v>265500</v>
      </c>
      <c r="S35" s="142"/>
      <c r="T35" s="142"/>
      <c r="U35" s="142"/>
      <c r="V35" s="142"/>
      <c r="W35" s="143" t="s">
        <v>167</v>
      </c>
      <c r="X35" s="146">
        <v>273645334</v>
      </c>
      <c r="Y35" s="194"/>
      <c r="Z35" s="153"/>
      <c r="AA35" s="153"/>
      <c r="AC35" s="141">
        <v>46053</v>
      </c>
      <c r="AD35" s="142"/>
      <c r="AE35" s="142"/>
      <c r="AF35" s="142"/>
      <c r="AG35" s="142"/>
      <c r="AH35" s="142"/>
      <c r="AI35" s="142"/>
      <c r="AJ35" s="142"/>
      <c r="AK35" s="142"/>
      <c r="AL35" s="143"/>
      <c r="AM35" s="146"/>
      <c r="AN35" s="147"/>
      <c r="AO35" s="153"/>
      <c r="AP35" s="153"/>
      <c r="AQ35"/>
      <c r="AR35" s="141">
        <v>46053</v>
      </c>
      <c r="AS35" s="141"/>
      <c r="AT35" s="142"/>
      <c r="AU35" s="142"/>
      <c r="AV35" s="142"/>
      <c r="AW35" s="142"/>
      <c r="AX35" s="142"/>
      <c r="AY35" s="142"/>
      <c r="AZ35" s="142"/>
      <c r="BA35" s="142"/>
      <c r="BB35" s="143"/>
      <c r="BC35" s="146"/>
      <c r="BD35" s="147"/>
      <c r="BE35" s="158"/>
      <c r="BF35" s="158"/>
      <c r="BG35"/>
      <c r="BH35" s="141">
        <v>46053</v>
      </c>
      <c r="BI35" s="141"/>
      <c r="BJ35" s="142"/>
      <c r="BK35" s="142"/>
      <c r="BL35" s="142"/>
      <c r="BM35" s="142"/>
      <c r="BN35" s="142"/>
      <c r="BO35" s="142"/>
      <c r="BP35" s="142"/>
      <c r="BQ35" s="198"/>
      <c r="BR35" s="143"/>
      <c r="BS35" s="146"/>
      <c r="BT35" s="153"/>
      <c r="BU35" s="153"/>
      <c r="BV35" s="164"/>
    </row>
    <row r="36" spans="1:74" ht="18.75">
      <c r="A36" s="69" t="s">
        <v>64</v>
      </c>
      <c r="B36" s="19">
        <f>SUM(B1:B35)</f>
        <v>0</v>
      </c>
      <c r="C36" s="19">
        <f>SUM(C1:C35)</f>
        <v>0.05</v>
      </c>
      <c r="D36" s="19">
        <f>SUM(D1:D35)</f>
        <v>0.18</v>
      </c>
      <c r="E36" s="19">
        <f>SUM(E1:E35)</f>
        <v>0.27</v>
      </c>
      <c r="F36" s="20">
        <f>SUM(F3:F35)</f>
        <v>0</v>
      </c>
      <c r="G36" s="20">
        <f>SUM(G3:G35)</f>
        <v>0</v>
      </c>
      <c r="H36" s="39">
        <f>SUM(H5:H35)</f>
        <v>0</v>
      </c>
      <c r="I36" s="12"/>
      <c r="J36" s="17"/>
      <c r="K36" s="45"/>
      <c r="M36" s="21" t="s">
        <v>64</v>
      </c>
      <c r="N36" s="21"/>
      <c r="O36" s="19">
        <f>SUM(O1:O35)</f>
        <v>11065</v>
      </c>
      <c r="P36" s="19">
        <f>SUM(P1:P35)</f>
        <v>589720.05000000005</v>
      </c>
      <c r="Q36" s="19">
        <f>SUM(Q1:Q35)</f>
        <v>0.18</v>
      </c>
      <c r="R36" s="19">
        <f>SUM(R1:R35)</f>
        <v>265500.27</v>
      </c>
      <c r="S36" s="20">
        <f>SUM(S3:S35)</f>
        <v>0</v>
      </c>
      <c r="T36" s="20">
        <f>SUM(T3:T35)</f>
        <v>0</v>
      </c>
      <c r="U36" s="39">
        <f>SUM(U5:U35)</f>
        <v>0</v>
      </c>
      <c r="V36" s="39"/>
      <c r="W36" s="12"/>
      <c r="X36" s="425">
        <v>273645334</v>
      </c>
      <c r="Y36" s="418">
        <v>866285</v>
      </c>
      <c r="Z36" s="184"/>
      <c r="AA36" s="9"/>
      <c r="AC36" s="21" t="s">
        <v>64</v>
      </c>
      <c r="AD36" s="19">
        <f>SUM(AD3:AD35)</f>
        <v>0</v>
      </c>
      <c r="AE36" s="19">
        <f>SUM(AE3:AE35)</f>
        <v>0</v>
      </c>
      <c r="AF36" s="19">
        <f>SUM(AF3:AF35)</f>
        <v>0</v>
      </c>
      <c r="AG36" s="19">
        <f>SUM(AG3:AG35)</f>
        <v>0</v>
      </c>
      <c r="AH36" s="20">
        <f>SUM(AH3:AH35)</f>
        <v>0</v>
      </c>
      <c r="AI36" s="20">
        <f>SUM(AI3:AI35)</f>
        <v>0</v>
      </c>
      <c r="AJ36" s="39">
        <f>SUM(AJ5:AJ35)</f>
        <v>0</v>
      </c>
      <c r="AK36" s="39"/>
      <c r="AL36" s="12"/>
      <c r="AM36" s="17"/>
      <c r="AN36" s="45"/>
      <c r="AO36" s="9"/>
      <c r="AP36" s="9"/>
      <c r="AQ36"/>
      <c r="AR36" s="5"/>
      <c r="AS36" s="5"/>
      <c r="AT36" s="11"/>
      <c r="AU36" s="11"/>
      <c r="AV36" s="11"/>
      <c r="AW36" s="11"/>
      <c r="AX36" s="11"/>
      <c r="AY36" s="11"/>
      <c r="AZ36" s="11"/>
      <c r="BA36" s="11"/>
      <c r="BB36" s="38"/>
      <c r="BC36" s="72"/>
      <c r="BD36" s="138"/>
      <c r="BE36" s="9"/>
      <c r="BF36" s="9"/>
      <c r="BG36"/>
      <c r="BH36" s="21" t="s">
        <v>64</v>
      </c>
      <c r="BI36" s="21"/>
      <c r="BJ36" s="19">
        <f>SUM(BJ4:BJ35)</f>
        <v>3850</v>
      </c>
      <c r="BK36" s="19">
        <f>SUM(BK4:BK35)</f>
        <v>400331</v>
      </c>
      <c r="BL36" s="19">
        <f>SUM(BL4:BL35)</f>
        <v>0</v>
      </c>
      <c r="BM36" s="19">
        <f>SUM(BM4:BM35)</f>
        <v>45403</v>
      </c>
      <c r="BN36" s="20">
        <f>SUM(BN4:BN35)</f>
        <v>26565</v>
      </c>
      <c r="BO36" s="20">
        <f>SUM(BO5:BO35)</f>
        <v>423016</v>
      </c>
      <c r="BP36" s="39">
        <f>SUM(BP5:BP35)</f>
        <v>334776</v>
      </c>
      <c r="BQ36" s="39"/>
      <c r="BR36" s="418">
        <v>284528978</v>
      </c>
      <c r="BS36" s="418">
        <v>449584</v>
      </c>
      <c r="BT36" s="9"/>
      <c r="BU36" s="9"/>
      <c r="BV36" s="45"/>
    </row>
    <row r="37" spans="1:74" s="25" customFormat="1">
      <c r="A37" s="70"/>
      <c r="B37" s="23">
        <f>B36+C36+D36+E36</f>
        <v>0.5</v>
      </c>
      <c r="C37" s="9"/>
      <c r="D37" s="9"/>
      <c r="E37" s="9"/>
      <c r="F37" s="22">
        <f>F36+G36</f>
        <v>0</v>
      </c>
      <c r="G37" s="9"/>
      <c r="H37"/>
      <c r="I37"/>
      <c r="J37"/>
      <c r="K37"/>
      <c r="L37"/>
      <c r="M37" s="10"/>
      <c r="N37" s="10"/>
      <c r="O37" s="23">
        <f>O36+P36+Q36+R36</f>
        <v>866285.50000000012</v>
      </c>
      <c r="P37" s="10"/>
      <c r="Q37" s="10"/>
      <c r="R37" s="10"/>
      <c r="S37" s="24">
        <f>S36+T36</f>
        <v>0</v>
      </c>
      <c r="T37" s="10"/>
      <c r="U37" s="4"/>
      <c r="V37" s="4"/>
      <c r="W37" s="4"/>
      <c r="X37" s="4"/>
      <c r="Y37" s="4"/>
      <c r="Z37"/>
      <c r="AA37" s="10"/>
      <c r="AB37" s="23">
        <f>AD36+AE36+AF36+AG36</f>
        <v>0</v>
      </c>
      <c r="AC37" s="10"/>
      <c r="AD37" s="10"/>
      <c r="AE37" s="10"/>
      <c r="AF37" s="24">
        <f>AH36+AI36</f>
        <v>0</v>
      </c>
      <c r="AG37" s="10"/>
      <c r="AH37" s="4"/>
      <c r="AI37" s="4"/>
      <c r="AJ37" s="4"/>
      <c r="AK37" s="4"/>
      <c r="AL37" s="4"/>
      <c r="AM37"/>
      <c r="AN37" s="10"/>
      <c r="AO37"/>
      <c r="AP37" s="10"/>
      <c r="AQ37" s="23">
        <f>AT37+AU37+AV37+AW37</f>
        <v>466823</v>
      </c>
      <c r="AR37" s="21" t="s">
        <v>64</v>
      </c>
      <c r="AS37" s="21"/>
      <c r="AT37" s="19">
        <f>SUM(AT5:AT36)</f>
        <v>4075</v>
      </c>
      <c r="AU37" s="19">
        <f>SUM(AU5:AU36)</f>
        <v>428902</v>
      </c>
      <c r="AV37" s="19">
        <f>SUM(AV5:AV36)</f>
        <v>15638</v>
      </c>
      <c r="AW37" s="19">
        <f>SUM(AW5:AW36)</f>
        <v>18208</v>
      </c>
      <c r="AX37" s="20">
        <f>SUM(AX5:AX36)</f>
        <v>28930</v>
      </c>
      <c r="AY37" s="20">
        <f>SUM(AY6:AY36)</f>
        <v>360622</v>
      </c>
      <c r="AZ37" s="39">
        <f>SUM(AZ6:AZ36)</f>
        <v>437893</v>
      </c>
      <c r="BA37" s="39"/>
      <c r="BB37" s="12"/>
      <c r="BC37" s="418">
        <v>264853409</v>
      </c>
      <c r="BD37" s="102">
        <v>466823</v>
      </c>
      <c r="BE37"/>
      <c r="BF37" s="10"/>
      <c r="BG37" s="23"/>
      <c r="BH37" s="10"/>
      <c r="BI37" s="10"/>
      <c r="BJ37" s="29">
        <f>BJ36+BK36+BL36+BM36</f>
        <v>449584</v>
      </c>
      <c r="BK37" s="10"/>
      <c r="BL37" s="10"/>
      <c r="BM37" s="10"/>
      <c r="BN37" s="47">
        <f>BN36+BO36</f>
        <v>449581</v>
      </c>
      <c r="BO37" s="10"/>
      <c r="BP37" s="10"/>
      <c r="BQ37" s="4"/>
      <c r="BR37" s="4"/>
      <c r="BS37"/>
      <c r="BT37"/>
      <c r="BU37" s="10"/>
      <c r="BV37" s="234"/>
    </row>
    <row r="38" spans="1:74" s="159" customFormat="1" ht="21">
      <c r="A38" s="67"/>
      <c r="B38"/>
      <c r="C38"/>
      <c r="D38"/>
      <c r="E38"/>
      <c r="F38"/>
      <c r="G38"/>
      <c r="H38"/>
      <c r="I38"/>
      <c r="J38"/>
      <c r="K38"/>
      <c r="L38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/>
      <c r="AM38"/>
      <c r="AN38"/>
      <c r="AO38"/>
      <c r="AP38" s="4"/>
      <c r="AQ38"/>
      <c r="AR38" s="10"/>
      <c r="AS38" s="10"/>
      <c r="AT38" s="29">
        <f>AT37+AU37+AV37+AW37</f>
        <v>466823</v>
      </c>
      <c r="AU38" s="10"/>
      <c r="AV38" s="10"/>
      <c r="AW38" s="10"/>
      <c r="AX38" s="47">
        <f>AX37+AY37</f>
        <v>389552</v>
      </c>
      <c r="AY38" s="10"/>
      <c r="AZ38" s="10"/>
      <c r="BA38" s="4"/>
      <c r="BB38" s="4"/>
      <c r="BC38"/>
      <c r="BD38" s="10"/>
      <c r="BE38"/>
      <c r="BF38" s="4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 s="4"/>
      <c r="BV38"/>
    </row>
    <row r="39" spans="1:74" ht="15" customHeight="1">
      <c r="AR39"/>
      <c r="AS39"/>
      <c r="AT39"/>
      <c r="AU39"/>
      <c r="AV39"/>
      <c r="AW39"/>
      <c r="AX39"/>
      <c r="AY39"/>
      <c r="AZ39"/>
      <c r="BA39"/>
      <c r="BD39"/>
    </row>
    <row r="41" spans="1:74" ht="15" customHeight="1">
      <c r="M41" s="238" t="s">
        <v>177</v>
      </c>
      <c r="N41" s="239"/>
      <c r="O41" s="239"/>
      <c r="P41" s="239"/>
      <c r="Q41" s="239"/>
      <c r="R41" s="170"/>
      <c r="S41" s="170"/>
      <c r="T41" s="170"/>
      <c r="U41" s="170"/>
      <c r="V41" s="170"/>
      <c r="W41" s="171"/>
      <c r="X41" s="237"/>
      <c r="AC41" s="238" t="s">
        <v>177</v>
      </c>
      <c r="AD41" s="239"/>
      <c r="AE41" s="239"/>
      <c r="AF41" s="239"/>
      <c r="AG41" s="170"/>
      <c r="AH41" s="170"/>
      <c r="AI41" s="170"/>
      <c r="AJ41" s="170"/>
      <c r="AK41" s="170"/>
      <c r="AL41" s="171"/>
      <c r="AM41" s="237"/>
      <c r="AR41" s="403" t="s">
        <v>177</v>
      </c>
      <c r="AS41" s="427"/>
      <c r="AT41" s="404"/>
      <c r="AU41" s="405"/>
      <c r="AV41" s="405"/>
      <c r="AW41" s="405"/>
      <c r="AX41" s="406"/>
      <c r="AY41" s="406"/>
      <c r="AZ41" s="406"/>
      <c r="BA41" s="406"/>
      <c r="BB41" s="407"/>
      <c r="BC41" s="408"/>
      <c r="BH41" s="238" t="s">
        <v>177</v>
      </c>
      <c r="BI41" s="239"/>
      <c r="BJ41" s="239"/>
      <c r="BK41" s="239"/>
      <c r="BL41" s="239"/>
      <c r="BM41" s="170"/>
      <c r="BN41" s="170"/>
      <c r="BO41" s="170"/>
      <c r="BP41" s="170"/>
      <c r="BQ41" s="170"/>
      <c r="BR41" s="171"/>
      <c r="BS41" s="237"/>
    </row>
    <row r="42" spans="1:74" ht="15" customHeight="1">
      <c r="M42" s="177"/>
      <c r="N42" s="67"/>
      <c r="O42" s="67"/>
      <c r="P42" s="67"/>
      <c r="X42" s="52"/>
      <c r="AC42" s="177"/>
      <c r="AD42" s="67"/>
      <c r="AE42" s="67"/>
      <c r="AF42" s="4"/>
      <c r="AG42" s="4"/>
      <c r="AH42" s="4"/>
      <c r="AI42" s="4"/>
      <c r="AJ42" s="4"/>
      <c r="AK42" s="4"/>
      <c r="AL42" s="35"/>
      <c r="AM42" s="52"/>
      <c r="AR42" s="409"/>
      <c r="AS42" s="402"/>
      <c r="AT42" s="402"/>
      <c r="AU42" s="402"/>
      <c r="AV42" s="402"/>
      <c r="AW42" s="402"/>
      <c r="AX42" s="402"/>
      <c r="AY42" s="396"/>
      <c r="AZ42" s="396"/>
      <c r="BA42" s="396"/>
      <c r="BB42" s="396"/>
      <c r="BC42" s="410"/>
      <c r="BH42" s="177"/>
      <c r="BI42" s="67"/>
      <c r="BJ42" s="67"/>
      <c r="BK42" s="67"/>
      <c r="BN42" s="4"/>
      <c r="BP42" s="4"/>
      <c r="BQ42" s="4"/>
      <c r="BR42" s="35"/>
      <c r="BS42" s="52"/>
    </row>
    <row r="43" spans="1:74" ht="15" customHeight="1">
      <c r="M43" s="178"/>
      <c r="N43" s="179"/>
      <c r="O43" s="179"/>
      <c r="P43" s="179"/>
      <c r="Q43" s="173"/>
      <c r="R43" s="173"/>
      <c r="S43" s="173"/>
      <c r="T43" s="173"/>
      <c r="U43" s="173"/>
      <c r="V43" s="173"/>
      <c r="W43" s="174"/>
      <c r="X43" s="236"/>
      <c r="AC43" s="178"/>
      <c r="AD43" s="179"/>
      <c r="AE43" s="179"/>
      <c r="AF43" s="173"/>
      <c r="AG43" s="173"/>
      <c r="AH43" s="173"/>
      <c r="AI43" s="173"/>
      <c r="AJ43" s="173"/>
      <c r="AK43" s="173"/>
      <c r="AL43" s="174"/>
      <c r="AM43" s="236"/>
      <c r="AR43" s="628"/>
      <c r="AS43" s="629"/>
      <c r="AT43" s="629"/>
      <c r="AU43" s="629"/>
      <c r="AV43" s="629"/>
      <c r="AW43" s="629"/>
      <c r="AX43" s="629"/>
      <c r="AY43" s="411"/>
      <c r="AZ43" s="411"/>
      <c r="BA43" s="411"/>
      <c r="BB43" s="411"/>
      <c r="BC43" s="412"/>
      <c r="BH43" s="178"/>
      <c r="BI43" s="179"/>
      <c r="BJ43" s="179"/>
      <c r="BK43" s="179"/>
      <c r="BL43" s="173"/>
      <c r="BM43" s="173"/>
      <c r="BN43" s="173"/>
      <c r="BO43" s="173"/>
      <c r="BP43" s="173"/>
      <c r="BQ43" s="173"/>
      <c r="BR43" s="174"/>
      <c r="BS43" s="236"/>
    </row>
    <row r="44" spans="1:74" ht="15" customHeight="1">
      <c r="AR44" s="178"/>
      <c r="AS44" s="179"/>
      <c r="AT44" s="179"/>
      <c r="AU44" s="179"/>
      <c r="AV44" s="173"/>
      <c r="AW44" s="173"/>
      <c r="AX44" s="173"/>
      <c r="AY44" s="173"/>
      <c r="AZ44" s="173"/>
      <c r="BA44" s="173"/>
      <c r="BB44" s="174"/>
      <c r="BC44" s="236"/>
    </row>
    <row r="45" spans="1:74" ht="15" customHeight="1">
      <c r="M45" s="66" t="s">
        <v>4</v>
      </c>
      <c r="N45" s="428" t="s">
        <v>838</v>
      </c>
      <c r="O45" s="351"/>
      <c r="P45" s="26"/>
      <c r="Q45" s="26"/>
      <c r="R45" s="26"/>
      <c r="S45" s="26"/>
      <c r="T45" s="26"/>
      <c r="U45" s="26"/>
      <c r="V45" s="26"/>
      <c r="W45" s="34"/>
      <c r="X45" s="349"/>
      <c r="Y45" s="255"/>
      <c r="Z45" s="385"/>
      <c r="AA45" s="157"/>
      <c r="AC45" s="66" t="s">
        <v>4</v>
      </c>
      <c r="AD45" s="351"/>
      <c r="AE45" s="26"/>
      <c r="AF45" s="26"/>
      <c r="AG45" s="26"/>
      <c r="AH45" s="26"/>
      <c r="AI45" s="26"/>
      <c r="AJ45" s="26"/>
      <c r="AK45" s="26"/>
      <c r="AL45" s="34"/>
      <c r="AM45" s="349"/>
      <c r="AN45" s="255"/>
      <c r="AO45" s="385"/>
      <c r="AP45" s="157"/>
      <c r="AR45" s="66" t="s">
        <v>4</v>
      </c>
      <c r="AS45" s="66"/>
      <c r="AT45" s="351"/>
      <c r="AU45" s="26"/>
      <c r="AV45" s="26"/>
      <c r="AW45" s="26"/>
      <c r="AX45" s="26"/>
      <c r="AY45" s="26"/>
      <c r="AZ45" s="26"/>
      <c r="BA45" s="26"/>
      <c r="BB45" s="34"/>
      <c r="BC45" s="349"/>
      <c r="BD45" s="255"/>
      <c r="BE45" s="385"/>
      <c r="BF45" s="157"/>
      <c r="BH45" s="66" t="s">
        <v>4</v>
      </c>
      <c r="BI45" s="66"/>
      <c r="BJ45" s="351"/>
      <c r="BK45" s="26"/>
      <c r="BL45" s="26"/>
      <c r="BM45" s="26"/>
      <c r="BN45" s="26"/>
      <c r="BO45" s="26"/>
      <c r="BP45" s="26"/>
      <c r="BQ45" s="26"/>
      <c r="BR45" s="34"/>
      <c r="BS45" s="349"/>
      <c r="BT45" s="385"/>
      <c r="BU45" s="157"/>
    </row>
    <row r="46" spans="1:74" ht="15" customHeight="1">
      <c r="M46" s="141">
        <v>46054</v>
      </c>
      <c r="N46" s="142">
        <v>215080</v>
      </c>
      <c r="O46" s="142">
        <v>200</v>
      </c>
      <c r="P46" s="142">
        <v>3670</v>
      </c>
      <c r="Q46" s="142">
        <v>11710</v>
      </c>
      <c r="R46" s="142">
        <v>199499</v>
      </c>
      <c r="S46" s="142">
        <v>76520</v>
      </c>
      <c r="T46" s="28">
        <v>138561</v>
      </c>
      <c r="U46" s="28">
        <v>138561</v>
      </c>
      <c r="V46" s="146">
        <v>4791</v>
      </c>
      <c r="W46" s="438">
        <v>1020</v>
      </c>
      <c r="X46" s="146">
        <v>273860413</v>
      </c>
      <c r="Y46" s="158"/>
      <c r="Z46" s="158"/>
      <c r="AA46" s="158"/>
      <c r="AC46" s="141">
        <v>46054</v>
      </c>
      <c r="AD46" s="142"/>
      <c r="AE46" s="142"/>
      <c r="AF46" s="142"/>
      <c r="AG46" s="142"/>
      <c r="AH46" s="142"/>
      <c r="AI46" s="142"/>
      <c r="AJ46" s="142"/>
      <c r="AK46" s="142"/>
      <c r="AL46" s="143"/>
      <c r="AM46" s="144"/>
      <c r="AN46" s="256"/>
      <c r="AO46" s="381"/>
      <c r="AP46" s="158"/>
      <c r="AR46" s="141">
        <v>46054</v>
      </c>
      <c r="AS46" s="141"/>
      <c r="AT46" s="142"/>
      <c r="AU46" s="142"/>
      <c r="AV46" s="142"/>
      <c r="AW46" s="142"/>
      <c r="AX46" s="142"/>
      <c r="AY46" s="142"/>
      <c r="AZ46" s="142"/>
      <c r="BA46" s="142"/>
      <c r="BB46" s="143"/>
      <c r="BC46" s="144"/>
      <c r="BD46" s="256"/>
      <c r="BE46" s="381"/>
      <c r="BF46" s="158"/>
      <c r="BH46" s="141">
        <v>46054</v>
      </c>
      <c r="BI46" s="141"/>
      <c r="BJ46" s="142"/>
      <c r="BK46" s="142"/>
      <c r="BL46" s="142"/>
      <c r="BM46" s="142"/>
      <c r="BN46" s="142"/>
      <c r="BO46" s="142"/>
      <c r="BP46" s="142"/>
      <c r="BQ46" s="142"/>
      <c r="BR46" s="143"/>
      <c r="BS46" s="144"/>
      <c r="BT46" s="381"/>
      <c r="BU46" s="158"/>
    </row>
    <row r="47" spans="1:74" ht="15" customHeight="1">
      <c r="M47" s="141">
        <v>46055</v>
      </c>
      <c r="N47" s="11"/>
      <c r="O47" s="11"/>
      <c r="P47" s="11"/>
      <c r="Q47" s="11"/>
      <c r="R47" s="11"/>
      <c r="S47" s="11"/>
      <c r="T47" s="11"/>
      <c r="U47" s="11"/>
      <c r="V47" s="72"/>
      <c r="W47" s="423"/>
      <c r="X47" s="71"/>
      <c r="Y47" s="9"/>
      <c r="Z47" s="9"/>
      <c r="AA47" s="9"/>
      <c r="AC47" s="141">
        <v>46055</v>
      </c>
      <c r="AD47" s="11"/>
      <c r="AE47" s="11"/>
      <c r="AF47" s="11"/>
      <c r="AG47" s="11"/>
      <c r="AH47" s="11"/>
      <c r="AI47" s="11"/>
      <c r="AJ47" s="11"/>
      <c r="AK47" s="11"/>
      <c r="AL47" s="38"/>
      <c r="AM47" s="71"/>
      <c r="AN47" s="377"/>
      <c r="AO47" s="216"/>
      <c r="AP47" s="9"/>
      <c r="AR47" s="141">
        <v>46055</v>
      </c>
      <c r="AS47" s="5"/>
      <c r="AT47" s="11">
        <v>700</v>
      </c>
      <c r="AU47" s="11">
        <v>47680</v>
      </c>
      <c r="AV47" s="11"/>
      <c r="AW47" s="11">
        <v>4971</v>
      </c>
      <c r="AX47" s="11">
        <v>6720</v>
      </c>
      <c r="AY47" s="11">
        <v>46631</v>
      </c>
      <c r="AZ47" s="11">
        <v>46630</v>
      </c>
      <c r="BA47" s="11"/>
      <c r="BB47" s="38" t="s">
        <v>131</v>
      </c>
      <c r="BC47" s="448">
        <v>264906760</v>
      </c>
      <c r="BD47" s="377"/>
      <c r="BE47" s="216"/>
      <c r="BF47" s="9"/>
      <c r="BH47" s="141">
        <v>46055</v>
      </c>
      <c r="BI47" s="5"/>
      <c r="BJ47" s="11"/>
      <c r="BK47" s="11"/>
      <c r="BL47" s="11"/>
      <c r="BM47" s="11"/>
      <c r="BN47" s="11"/>
      <c r="BO47" s="11"/>
      <c r="BP47" s="11"/>
      <c r="BQ47" s="11"/>
      <c r="BR47" s="38"/>
      <c r="BS47" s="71"/>
      <c r="BT47" s="216"/>
      <c r="BU47" s="9"/>
    </row>
    <row r="48" spans="1:74" ht="15" customHeight="1">
      <c r="M48" s="141">
        <v>46056</v>
      </c>
      <c r="N48" s="11">
        <v>38550</v>
      </c>
      <c r="O48" s="11">
        <v>250</v>
      </c>
      <c r="P48" s="11">
        <v>10590</v>
      </c>
      <c r="Q48" s="11">
        <v>990</v>
      </c>
      <c r="R48" s="11">
        <v>26720</v>
      </c>
      <c r="S48" s="11">
        <v>15410</v>
      </c>
      <c r="T48" s="11">
        <v>23140</v>
      </c>
      <c r="U48" s="11">
        <v>23922</v>
      </c>
      <c r="V48" s="72">
        <v>782</v>
      </c>
      <c r="W48" s="438">
        <v>1021</v>
      </c>
      <c r="X48" s="72">
        <v>273898963</v>
      </c>
      <c r="Y48" s="9"/>
      <c r="Z48" s="9"/>
      <c r="AA48" s="9"/>
      <c r="AC48" s="141">
        <v>46056</v>
      </c>
      <c r="AD48" s="11"/>
      <c r="AE48" s="11"/>
      <c r="AF48" s="11"/>
      <c r="AG48" s="11"/>
      <c r="AH48" s="11"/>
      <c r="AI48" s="11"/>
      <c r="AJ48" s="11"/>
      <c r="AK48" s="11"/>
      <c r="AL48" s="38"/>
      <c r="AM48" s="72"/>
      <c r="AN48" s="258"/>
      <c r="AO48" s="216"/>
      <c r="AP48" s="9"/>
      <c r="AR48" s="141">
        <v>46056</v>
      </c>
      <c r="AS48" s="5"/>
      <c r="AT48" s="11">
        <v>650</v>
      </c>
      <c r="AU48" s="11">
        <v>90110</v>
      </c>
      <c r="AV48" s="11"/>
      <c r="AW48" s="11">
        <v>5443</v>
      </c>
      <c r="AX48" s="11">
        <v>3500</v>
      </c>
      <c r="AY48" s="11">
        <v>92703</v>
      </c>
      <c r="AZ48" s="11">
        <v>92703</v>
      </c>
      <c r="BA48" s="11"/>
      <c r="BB48" s="38" t="s">
        <v>839</v>
      </c>
      <c r="BC48" s="72">
        <v>265002963</v>
      </c>
      <c r="BD48" s="258"/>
      <c r="BE48" s="216"/>
      <c r="BF48" s="9"/>
      <c r="BH48" s="141">
        <v>46056</v>
      </c>
      <c r="BI48" s="5"/>
      <c r="BJ48" s="11"/>
      <c r="BK48" s="11"/>
      <c r="BL48" s="11"/>
      <c r="BM48" s="11"/>
      <c r="BN48" s="11"/>
      <c r="BO48" s="11"/>
      <c r="BP48" s="11"/>
      <c r="BQ48" s="11"/>
      <c r="BR48" s="38"/>
      <c r="BS48" s="72"/>
      <c r="BT48" s="216"/>
      <c r="BU48" s="9"/>
    </row>
    <row r="49" spans="2:73" ht="15" customHeight="1">
      <c r="M49" s="141">
        <v>46057</v>
      </c>
      <c r="N49" s="11"/>
      <c r="O49" s="11">
        <v>200</v>
      </c>
      <c r="P49" s="11">
        <v>1530</v>
      </c>
      <c r="Q49" s="11">
        <v>0</v>
      </c>
      <c r="R49" s="11">
        <v>6520</v>
      </c>
      <c r="S49" s="11">
        <v>35720</v>
      </c>
      <c r="T49" s="11">
        <v>2530</v>
      </c>
      <c r="U49" s="11">
        <v>2617</v>
      </c>
      <c r="V49" s="72">
        <v>87</v>
      </c>
      <c r="W49" s="439">
        <v>1022</v>
      </c>
      <c r="X49" s="72">
        <v>273907213</v>
      </c>
      <c r="Y49" s="9"/>
      <c r="Z49" s="9"/>
      <c r="AA49" s="9"/>
      <c r="AC49" s="141">
        <v>46057</v>
      </c>
      <c r="AD49" s="11"/>
      <c r="AE49" s="11"/>
      <c r="AF49" s="11"/>
      <c r="AG49" s="11"/>
      <c r="AH49" s="11"/>
      <c r="AI49" s="11"/>
      <c r="AJ49" s="11"/>
      <c r="AK49" s="11"/>
      <c r="AL49" s="38"/>
      <c r="AM49" s="72"/>
      <c r="AN49" s="258"/>
      <c r="AO49" s="216"/>
      <c r="AP49" s="9"/>
      <c r="AR49" s="141">
        <v>46057</v>
      </c>
      <c r="AS49" s="5"/>
      <c r="AT49" s="11">
        <v>700</v>
      </c>
      <c r="AU49" s="11">
        <v>68760</v>
      </c>
      <c r="AV49" s="11"/>
      <c r="AW49" s="11">
        <v>9521</v>
      </c>
      <c r="AX49" s="11">
        <v>7740</v>
      </c>
      <c r="AY49" s="11">
        <v>71241</v>
      </c>
      <c r="AZ49" s="11">
        <v>71241</v>
      </c>
      <c r="BA49" s="11"/>
      <c r="BB49" s="38" t="s">
        <v>840</v>
      </c>
      <c r="BC49" s="72">
        <v>265081944</v>
      </c>
      <c r="BD49" s="258" t="s">
        <v>93</v>
      </c>
      <c r="BE49" s="216"/>
      <c r="BF49" s="9"/>
      <c r="BH49" s="141">
        <v>46057</v>
      </c>
      <c r="BI49" s="5"/>
      <c r="BJ49" s="11"/>
      <c r="BK49" s="11"/>
      <c r="BL49" s="11"/>
      <c r="BM49" s="11"/>
      <c r="BN49" s="11"/>
      <c r="BO49" s="11"/>
      <c r="BP49" s="11"/>
      <c r="BQ49" s="11"/>
      <c r="BR49" s="38"/>
      <c r="BS49" s="72"/>
      <c r="BT49" s="216"/>
      <c r="BU49" s="9"/>
    </row>
    <row r="50" spans="2:73" ht="15" customHeight="1">
      <c r="M50" s="141">
        <v>46058</v>
      </c>
      <c r="N50" s="11">
        <v>19120</v>
      </c>
      <c r="O50" s="11">
        <v>50</v>
      </c>
      <c r="P50" s="11">
        <v>8451</v>
      </c>
      <c r="Q50" s="11">
        <v>0</v>
      </c>
      <c r="R50" s="11">
        <v>4260</v>
      </c>
      <c r="S50" s="11">
        <v>36390</v>
      </c>
      <c r="T50" s="11">
        <v>6371</v>
      </c>
      <c r="U50" s="11">
        <v>6603</v>
      </c>
      <c r="V50" s="72">
        <v>232</v>
      </c>
      <c r="W50" s="439">
        <v>1023</v>
      </c>
      <c r="X50" s="72">
        <v>273919974</v>
      </c>
      <c r="Y50" s="9"/>
      <c r="Z50" s="9"/>
      <c r="AA50" s="9"/>
      <c r="AC50" s="141">
        <v>46058</v>
      </c>
      <c r="AD50" s="11"/>
      <c r="AE50" s="11"/>
      <c r="AF50" s="11"/>
      <c r="AG50" s="11"/>
      <c r="AH50" s="11"/>
      <c r="AI50" s="11"/>
      <c r="AJ50" s="11"/>
      <c r="AK50" s="11"/>
      <c r="AL50" s="38"/>
      <c r="AM50" s="72"/>
      <c r="AN50" s="258"/>
      <c r="AO50" s="216"/>
      <c r="AP50" s="9"/>
      <c r="AR50" s="141">
        <v>46058</v>
      </c>
      <c r="AS50" s="5"/>
      <c r="AT50" s="11">
        <v>4900</v>
      </c>
      <c r="AU50" s="11">
        <v>61893</v>
      </c>
      <c r="AV50" s="11"/>
      <c r="AW50" s="11">
        <v>14451</v>
      </c>
      <c r="AX50" s="11">
        <v>4900</v>
      </c>
      <c r="AY50" s="11">
        <v>76344</v>
      </c>
      <c r="AZ50" s="11">
        <v>76344</v>
      </c>
      <c r="BA50" s="11"/>
      <c r="BB50" s="38" t="s">
        <v>841</v>
      </c>
      <c r="BC50" s="72">
        <v>265163188</v>
      </c>
      <c r="BD50" s="258"/>
      <c r="BE50" s="216"/>
      <c r="BF50" s="9"/>
      <c r="BH50" s="141">
        <v>46058</v>
      </c>
      <c r="BI50" s="5"/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33">
        <v>2250</v>
      </c>
      <c r="BR50" s="72">
        <v>284528978</v>
      </c>
      <c r="BS50" s="72"/>
      <c r="BT50" s="216"/>
      <c r="BU50" s="9"/>
    </row>
    <row r="51" spans="2:73" ht="15" customHeight="1">
      <c r="M51" s="141">
        <v>46059</v>
      </c>
      <c r="N51" s="11">
        <v>232990</v>
      </c>
      <c r="O51" s="11">
        <v>2140</v>
      </c>
      <c r="P51" s="11">
        <v>11751</v>
      </c>
      <c r="Q51" s="11">
        <v>11780</v>
      </c>
      <c r="R51" s="11">
        <v>157489</v>
      </c>
      <c r="S51" s="11">
        <v>66570</v>
      </c>
      <c r="T51" s="11">
        <v>146591</v>
      </c>
      <c r="U51" s="11">
        <v>150288</v>
      </c>
      <c r="V51" s="72">
        <v>3697</v>
      </c>
      <c r="W51" s="439">
        <v>1024</v>
      </c>
      <c r="X51" s="72">
        <v>274103134</v>
      </c>
      <c r="Y51" s="9"/>
      <c r="Z51" s="9"/>
      <c r="AA51" s="9"/>
      <c r="AC51" s="141">
        <v>46059</v>
      </c>
      <c r="AD51" s="11"/>
      <c r="AE51" s="11"/>
      <c r="AF51" s="11"/>
      <c r="AG51" s="11"/>
      <c r="AH51" s="11"/>
      <c r="AI51" s="11"/>
      <c r="AJ51" s="11"/>
      <c r="AK51" s="11"/>
      <c r="AL51" s="38"/>
      <c r="AM51" s="72"/>
      <c r="AN51" s="258"/>
      <c r="AO51" s="216"/>
      <c r="AP51" s="9"/>
      <c r="AR51" s="141">
        <v>46059</v>
      </c>
      <c r="AS51" s="5"/>
      <c r="AT51" s="11"/>
      <c r="AU51" s="11"/>
      <c r="AV51" s="11"/>
      <c r="AW51" s="11"/>
      <c r="AX51" s="11"/>
      <c r="AY51" s="11"/>
      <c r="AZ51" s="11"/>
      <c r="BA51" s="11"/>
      <c r="BB51" s="38"/>
      <c r="BC51" s="72"/>
      <c r="BD51" s="258"/>
      <c r="BE51" s="216"/>
      <c r="BF51" s="9"/>
      <c r="BH51" s="141">
        <v>46059</v>
      </c>
      <c r="BI51" s="5"/>
      <c r="BJ51" s="11"/>
      <c r="BK51" s="11"/>
      <c r="BL51" s="11"/>
      <c r="BM51" s="11"/>
      <c r="BN51" s="11"/>
      <c r="BO51" s="11"/>
      <c r="BP51" s="11"/>
      <c r="BQ51" s="11"/>
      <c r="BR51" s="38"/>
      <c r="BS51" s="72"/>
      <c r="BT51" s="216"/>
      <c r="BU51" s="9"/>
    </row>
    <row r="52" spans="2:73" ht="15" customHeight="1">
      <c r="M52" s="141">
        <v>46060</v>
      </c>
      <c r="N52" s="142">
        <v>8050</v>
      </c>
      <c r="O52" s="142">
        <v>0</v>
      </c>
      <c r="P52" s="142">
        <v>5190</v>
      </c>
      <c r="Q52" s="142">
        <v>0</v>
      </c>
      <c r="R52" s="142">
        <v>2860</v>
      </c>
      <c r="S52" s="142">
        <v>8050</v>
      </c>
      <c r="T52" s="142">
        <v>4230</v>
      </c>
      <c r="U52" s="142">
        <v>4230</v>
      </c>
      <c r="V52" s="146">
        <v>0</v>
      </c>
      <c r="W52" s="439">
        <v>1025</v>
      </c>
      <c r="X52" s="146">
        <v>274111184</v>
      </c>
      <c r="Y52" s="158"/>
      <c r="Z52" s="158"/>
      <c r="AA52" s="158"/>
      <c r="AC52" s="141">
        <v>46060</v>
      </c>
      <c r="AD52" s="142"/>
      <c r="AE52" s="142"/>
      <c r="AF52" s="142"/>
      <c r="AG52" s="142"/>
      <c r="AH52" s="142"/>
      <c r="AI52" s="142"/>
      <c r="AJ52" s="142"/>
      <c r="AK52" s="142"/>
      <c r="AL52" s="143"/>
      <c r="AM52" s="146"/>
      <c r="AN52" s="257"/>
      <c r="AO52" s="381"/>
      <c r="AP52" s="158"/>
      <c r="AR52" s="141">
        <v>46060</v>
      </c>
      <c r="AS52" s="141"/>
      <c r="AT52" s="142"/>
      <c r="AU52" s="142"/>
      <c r="AV52" s="142"/>
      <c r="AW52" s="142"/>
      <c r="AX52" s="142"/>
      <c r="AY52" s="142"/>
      <c r="AZ52" s="142"/>
      <c r="BA52" s="142"/>
      <c r="BB52" s="143"/>
      <c r="BC52" s="146"/>
      <c r="BD52" s="257"/>
      <c r="BE52" s="381"/>
      <c r="BF52" s="158"/>
      <c r="BH52" s="141">
        <v>46060</v>
      </c>
      <c r="BI52" s="141"/>
      <c r="BJ52" s="142"/>
      <c r="BK52" s="142"/>
      <c r="BL52" s="142"/>
      <c r="BM52" s="142"/>
      <c r="BN52" s="142"/>
      <c r="BO52" s="142"/>
      <c r="BP52" s="142"/>
      <c r="BQ52" s="142"/>
      <c r="BR52" s="143"/>
      <c r="BS52" s="146"/>
      <c r="BT52" s="381"/>
      <c r="BU52" s="158"/>
    </row>
    <row r="53" spans="2:73" ht="15" customHeight="1">
      <c r="M53" s="141">
        <v>46061</v>
      </c>
      <c r="N53" s="142">
        <v>1023540</v>
      </c>
      <c r="O53" s="142">
        <v>8540</v>
      </c>
      <c r="P53" s="142">
        <v>213758</v>
      </c>
      <c r="Q53" s="142">
        <v>80190</v>
      </c>
      <c r="R53" s="142">
        <v>721050</v>
      </c>
      <c r="S53" s="142">
        <v>494575</v>
      </c>
      <c r="T53" s="142">
        <v>528967</v>
      </c>
      <c r="U53" s="142">
        <v>546136</v>
      </c>
      <c r="V53" s="146">
        <v>17169</v>
      </c>
      <c r="W53" s="439">
        <v>1026</v>
      </c>
      <c r="X53" s="146">
        <v>275134722</v>
      </c>
      <c r="Y53" s="158"/>
      <c r="Z53" s="158"/>
      <c r="AA53" s="158"/>
      <c r="AC53" s="141">
        <v>46061</v>
      </c>
      <c r="AD53" s="142"/>
      <c r="AE53" s="142"/>
      <c r="AF53" s="142"/>
      <c r="AG53" s="142"/>
      <c r="AH53" s="142"/>
      <c r="AI53" s="142"/>
      <c r="AJ53" s="142"/>
      <c r="AK53" s="142"/>
      <c r="AL53" s="143"/>
      <c r="AM53" s="146"/>
      <c r="AN53" s="257"/>
      <c r="AO53" s="381"/>
      <c r="AP53" s="158"/>
      <c r="AR53" s="141">
        <v>46061</v>
      </c>
      <c r="AS53" s="141"/>
      <c r="AT53" s="142"/>
      <c r="AU53" s="142"/>
      <c r="AV53" s="142"/>
      <c r="AW53" s="142"/>
      <c r="AX53" s="142"/>
      <c r="AY53" s="142"/>
      <c r="AZ53" s="142"/>
      <c r="BA53" s="142"/>
      <c r="BB53" s="143"/>
      <c r="BC53" s="146"/>
      <c r="BD53" s="257"/>
      <c r="BE53" s="381"/>
      <c r="BF53" s="158"/>
      <c r="BH53" s="141">
        <v>46061</v>
      </c>
      <c r="BI53" s="141"/>
      <c r="BJ53" s="142"/>
      <c r="BK53" s="142"/>
      <c r="BL53" s="142"/>
      <c r="BM53" s="142"/>
      <c r="BN53" s="142"/>
      <c r="BO53" s="142"/>
      <c r="BP53" s="142"/>
      <c r="BQ53" s="142"/>
      <c r="BR53" s="143"/>
      <c r="BS53" s="146"/>
      <c r="BT53" s="381"/>
      <c r="BU53" s="158"/>
    </row>
    <row r="54" spans="2:73" ht="15" customHeight="1">
      <c r="M54" s="141">
        <v>46062</v>
      </c>
      <c r="N54" s="11">
        <v>48820</v>
      </c>
      <c r="O54" s="11">
        <v>750</v>
      </c>
      <c r="P54" s="11">
        <v>23120</v>
      </c>
      <c r="Q54" s="11">
        <v>0</v>
      </c>
      <c r="R54" s="11">
        <v>22920</v>
      </c>
      <c r="S54" s="11">
        <v>38500</v>
      </c>
      <c r="T54" s="11">
        <v>38290</v>
      </c>
      <c r="U54" s="11">
        <v>39383</v>
      </c>
      <c r="V54" s="41">
        <v>1093</v>
      </c>
      <c r="W54" s="441" t="s">
        <v>174</v>
      </c>
      <c r="X54" s="72">
        <v>275181512</v>
      </c>
      <c r="Y54" s="9"/>
      <c r="Z54" s="9"/>
      <c r="AA54" s="9"/>
      <c r="AC54" s="141">
        <v>46062</v>
      </c>
      <c r="AD54" s="11"/>
      <c r="AE54" s="11"/>
      <c r="AF54" s="11"/>
      <c r="AG54" s="11"/>
      <c r="AH54" s="11"/>
      <c r="AI54" s="11"/>
      <c r="AJ54" s="11"/>
      <c r="AK54" s="11"/>
      <c r="AL54" s="38"/>
      <c r="AM54" s="72"/>
      <c r="AN54" s="258"/>
      <c r="AO54" s="216"/>
      <c r="AP54" s="9"/>
      <c r="AR54" s="141">
        <v>46062</v>
      </c>
      <c r="AS54" s="5"/>
      <c r="AT54" s="11"/>
      <c r="AU54" s="11"/>
      <c r="AV54" s="11"/>
      <c r="AW54" s="11"/>
      <c r="AX54" s="11"/>
      <c r="AY54" s="11"/>
      <c r="AZ54" s="11"/>
      <c r="BA54" s="11"/>
      <c r="BB54" s="38"/>
      <c r="BC54" s="72"/>
      <c r="BD54" s="258"/>
      <c r="BE54" s="216"/>
      <c r="BF54" s="9"/>
      <c r="BH54" s="141">
        <v>46062</v>
      </c>
      <c r="BI54" s="5"/>
      <c r="BJ54" s="11"/>
      <c r="BK54" s="11"/>
      <c r="BL54" s="11"/>
      <c r="BM54" s="11"/>
      <c r="BN54" s="11"/>
      <c r="BO54" s="11"/>
      <c r="BP54" s="11"/>
      <c r="BQ54" s="11"/>
      <c r="BR54" s="38"/>
      <c r="BS54" s="72"/>
      <c r="BT54" s="216"/>
      <c r="BU54" s="9"/>
    </row>
    <row r="55" spans="2:73" ht="15" customHeight="1">
      <c r="M55" s="141">
        <v>46063</v>
      </c>
      <c r="N55" s="11">
        <v>4755</v>
      </c>
      <c r="O55" s="11">
        <v>100</v>
      </c>
      <c r="P55" s="11">
        <v>2675</v>
      </c>
      <c r="Q55" s="11">
        <v>0</v>
      </c>
      <c r="R55" s="11">
        <v>1980</v>
      </c>
      <c r="S55" s="11">
        <v>720</v>
      </c>
      <c r="T55" s="28">
        <v>4035</v>
      </c>
      <c r="U55" s="28">
        <v>4035</v>
      </c>
      <c r="V55" s="72">
        <v>48</v>
      </c>
      <c r="W55" s="33" t="s">
        <v>175</v>
      </c>
      <c r="X55" s="440">
        <v>275186267</v>
      </c>
      <c r="Y55" s="258"/>
      <c r="Z55" s="216"/>
      <c r="AA55" s="9"/>
      <c r="AC55" s="141">
        <v>46063</v>
      </c>
      <c r="AD55" s="11"/>
      <c r="AE55" s="11"/>
      <c r="AF55" s="11"/>
      <c r="AG55" s="11"/>
      <c r="AH55" s="11"/>
      <c r="AI55" s="11"/>
      <c r="AJ55" s="11"/>
      <c r="AK55" s="11"/>
      <c r="AL55" s="38"/>
      <c r="AM55" s="72"/>
      <c r="AN55" s="258"/>
      <c r="AO55" s="216"/>
      <c r="AP55" s="9"/>
      <c r="AR55" s="141">
        <v>46063</v>
      </c>
      <c r="AS55" s="5"/>
      <c r="AT55" s="11"/>
      <c r="AU55" s="11"/>
      <c r="AV55" s="11"/>
      <c r="AW55" s="11"/>
      <c r="AX55" s="11"/>
      <c r="AY55" s="11"/>
      <c r="AZ55" s="11"/>
      <c r="BA55" s="11"/>
      <c r="BB55" s="38"/>
      <c r="BC55" s="72"/>
      <c r="BD55" s="258"/>
      <c r="BE55" s="216"/>
      <c r="BF55" s="9"/>
      <c r="BH55" s="141">
        <v>46063</v>
      </c>
      <c r="BI55" s="5"/>
      <c r="BJ55" s="11"/>
      <c r="BK55" s="11"/>
      <c r="BL55" s="11"/>
      <c r="BM55" s="11"/>
      <c r="BN55" s="11"/>
      <c r="BO55" s="11"/>
      <c r="BP55" s="11"/>
      <c r="BQ55" s="11"/>
      <c r="BR55" s="38"/>
      <c r="BS55" s="72"/>
      <c r="BT55" s="216"/>
      <c r="BU55" s="9"/>
    </row>
    <row r="56" spans="2:73" customFormat="1" ht="15" customHeight="1">
      <c r="B56" s="4"/>
      <c r="C56" s="4"/>
      <c r="D56" s="4"/>
      <c r="E56" s="4"/>
      <c r="F56" s="4"/>
      <c r="G56" s="4"/>
      <c r="I56" s="4"/>
      <c r="J56" s="4"/>
      <c r="K56" s="4"/>
      <c r="M56" s="141">
        <v>46064</v>
      </c>
      <c r="N56" s="11">
        <v>10525</v>
      </c>
      <c r="O56" s="11">
        <v>150</v>
      </c>
      <c r="P56" s="11">
        <v>7845</v>
      </c>
      <c r="Q56" s="11">
        <v>0</v>
      </c>
      <c r="R56" s="11">
        <v>2530</v>
      </c>
      <c r="S56" s="11">
        <v>0</v>
      </c>
      <c r="T56" s="11">
        <v>10525</v>
      </c>
      <c r="U56" s="11">
        <v>10525</v>
      </c>
      <c r="V56" s="11">
        <v>411</v>
      </c>
      <c r="W56" s="442">
        <v>1029</v>
      </c>
      <c r="X56" s="105">
        <v>275196792</v>
      </c>
      <c r="Y56" s="216"/>
      <c r="Z56" s="216"/>
      <c r="AA56" s="9"/>
      <c r="AC56" s="83">
        <v>46064</v>
      </c>
      <c r="AD56" s="10"/>
      <c r="AE56" s="10"/>
      <c r="AF56" s="10"/>
      <c r="AG56" s="10"/>
      <c r="AH56" s="10"/>
      <c r="AI56" s="10"/>
      <c r="AJ56" s="10"/>
      <c r="AK56" s="10"/>
      <c r="AL56" s="105"/>
      <c r="AM56" s="105"/>
      <c r="AN56" s="216"/>
      <c r="AO56" s="216"/>
      <c r="AP56" s="9"/>
      <c r="AQ56" s="4"/>
      <c r="AR56" s="141">
        <v>46064</v>
      </c>
      <c r="AS56" s="5"/>
      <c r="AT56" s="10"/>
      <c r="AU56" s="10"/>
      <c r="AV56" s="10"/>
      <c r="AW56" s="10"/>
      <c r="AX56" s="10"/>
      <c r="AY56" s="10"/>
      <c r="AZ56" s="10"/>
      <c r="BA56" s="10"/>
      <c r="BB56" s="105"/>
      <c r="BC56" s="105"/>
      <c r="BD56" s="216"/>
      <c r="BE56" s="216"/>
      <c r="BF56" s="9"/>
      <c r="BG56" s="4"/>
      <c r="BH56" s="141">
        <v>46064</v>
      </c>
      <c r="BI56" s="10"/>
      <c r="BJ56" s="10"/>
      <c r="BK56" s="10"/>
      <c r="BL56" s="10"/>
      <c r="BM56" s="10"/>
      <c r="BN56" s="10"/>
      <c r="BO56" s="10"/>
      <c r="BP56" s="10"/>
      <c r="BQ56" s="10"/>
      <c r="BR56" s="105"/>
      <c r="BS56" s="105"/>
      <c r="BT56" s="216"/>
      <c r="BU56" s="9"/>
    </row>
    <row r="57" spans="2:73" customFormat="1" ht="15" customHeight="1">
      <c r="B57" s="4"/>
      <c r="C57" s="4"/>
      <c r="D57" s="4"/>
      <c r="E57" s="4"/>
      <c r="F57" s="4"/>
      <c r="G57" s="4"/>
      <c r="I57" s="4"/>
      <c r="J57" s="4"/>
      <c r="K57" s="4"/>
      <c r="M57" s="141">
        <v>46065</v>
      </c>
      <c r="N57" s="10"/>
      <c r="O57" s="10"/>
      <c r="P57" s="10"/>
      <c r="Q57" s="10"/>
      <c r="R57" s="10"/>
      <c r="S57" s="10"/>
      <c r="T57" s="10"/>
      <c r="U57" s="10"/>
      <c r="V57" s="11"/>
      <c r="W57" s="105"/>
      <c r="X57" s="105"/>
      <c r="Y57" s="216"/>
      <c r="Z57" s="106"/>
      <c r="AA57" s="9"/>
      <c r="AC57" s="83">
        <v>46065</v>
      </c>
      <c r="AD57" s="10"/>
      <c r="AE57" s="10"/>
      <c r="AF57" s="10"/>
      <c r="AG57" s="10"/>
      <c r="AH57" s="10"/>
      <c r="AI57" s="10"/>
      <c r="AJ57" s="10"/>
      <c r="AK57" s="10"/>
      <c r="AL57" s="105"/>
      <c r="AM57" s="105"/>
      <c r="AN57" s="216"/>
      <c r="AO57" s="106"/>
      <c r="AP57" s="9"/>
      <c r="AQ57" s="4"/>
      <c r="AR57" s="141">
        <v>46065</v>
      </c>
      <c r="AS57" s="5"/>
      <c r="AT57" s="10"/>
      <c r="AU57" s="10"/>
      <c r="AV57" s="10"/>
      <c r="AW57" s="10"/>
      <c r="AX57" s="10"/>
      <c r="AY57" s="10"/>
      <c r="AZ57" s="10"/>
      <c r="BA57" s="10"/>
      <c r="BB57" s="105"/>
      <c r="BC57" s="105"/>
      <c r="BD57" s="216"/>
      <c r="BE57" s="106"/>
      <c r="BF57" s="9"/>
      <c r="BG57" s="4"/>
      <c r="BH57" s="141">
        <v>46065</v>
      </c>
      <c r="BI57" s="10"/>
      <c r="BJ57" s="10"/>
      <c r="BK57" s="10"/>
      <c r="BL57" s="10"/>
      <c r="BM57" s="10"/>
      <c r="BN57" s="10"/>
      <c r="BO57" s="10"/>
      <c r="BP57" s="10"/>
      <c r="BQ57" s="10"/>
      <c r="BR57" s="105"/>
      <c r="BS57" s="105"/>
      <c r="BT57" s="106"/>
      <c r="BU57" s="9"/>
    </row>
    <row r="58" spans="2:73" customFormat="1" ht="15" customHeight="1">
      <c r="B58" s="4"/>
      <c r="C58" s="4"/>
      <c r="D58" s="4"/>
      <c r="E58" s="4"/>
      <c r="F58" s="4"/>
      <c r="G58" s="4"/>
      <c r="I58" s="4"/>
      <c r="J58" s="4"/>
      <c r="K58" s="4"/>
      <c r="M58" s="141">
        <v>46066</v>
      </c>
      <c r="N58" s="10"/>
      <c r="O58" s="10"/>
      <c r="P58" s="10"/>
      <c r="Q58" s="10"/>
      <c r="R58" s="10"/>
      <c r="S58" s="10"/>
      <c r="T58" s="10"/>
      <c r="U58" s="10"/>
      <c r="V58" s="41"/>
      <c r="W58" s="105"/>
      <c r="X58" s="105"/>
      <c r="Y58" s="216"/>
      <c r="Z58" s="216"/>
      <c r="AA58" s="9"/>
      <c r="AC58" s="83">
        <v>46066</v>
      </c>
      <c r="AD58" s="10"/>
      <c r="AE58" s="10"/>
      <c r="AF58" s="10"/>
      <c r="AG58" s="10"/>
      <c r="AH58" s="10"/>
      <c r="AI58" s="10"/>
      <c r="AJ58" s="10"/>
      <c r="AK58" s="10"/>
      <c r="AL58" s="105"/>
      <c r="AM58" s="105"/>
      <c r="AN58" s="216"/>
      <c r="AO58" s="216"/>
      <c r="AP58" s="9"/>
      <c r="AQ58" s="4"/>
      <c r="AR58" s="141">
        <v>46066</v>
      </c>
      <c r="AS58" s="5"/>
      <c r="AT58" s="10"/>
      <c r="AU58" s="10"/>
      <c r="AV58" s="10"/>
      <c r="AW58" s="10"/>
      <c r="AX58" s="10"/>
      <c r="AY58" s="10"/>
      <c r="AZ58" s="10"/>
      <c r="BA58" s="10"/>
      <c r="BB58" s="105"/>
      <c r="BC58" s="105"/>
      <c r="BD58" s="216"/>
      <c r="BE58" s="216"/>
      <c r="BF58" s="9"/>
      <c r="BG58" s="4"/>
      <c r="BH58" s="141">
        <v>46066</v>
      </c>
      <c r="BI58" s="10"/>
      <c r="BJ58" s="10"/>
      <c r="BK58" s="10"/>
      <c r="BL58" s="10"/>
      <c r="BM58" s="10"/>
      <c r="BN58" s="10"/>
      <c r="BO58" s="10"/>
      <c r="BP58" s="10"/>
      <c r="BQ58" s="10"/>
      <c r="BR58" s="105"/>
      <c r="BS58" s="105"/>
      <c r="BT58" s="216"/>
      <c r="BU58" s="9"/>
    </row>
    <row r="59" spans="2:73" customFormat="1" ht="15" customHeight="1">
      <c r="B59" s="4"/>
      <c r="C59" s="4"/>
      <c r="D59" s="4"/>
      <c r="E59" s="4"/>
      <c r="F59" s="4"/>
      <c r="G59" s="4"/>
      <c r="I59" s="4"/>
      <c r="J59" s="4"/>
      <c r="K59" s="4"/>
      <c r="M59" s="141">
        <v>46067</v>
      </c>
      <c r="N59" s="83"/>
      <c r="O59" s="83"/>
      <c r="P59" s="83"/>
      <c r="Q59" s="83"/>
      <c r="R59" s="83"/>
      <c r="S59" s="83"/>
      <c r="T59" s="83"/>
      <c r="U59" s="83"/>
      <c r="V59" s="142"/>
      <c r="W59" s="436"/>
      <c r="X59" s="436"/>
      <c r="Y59" s="381"/>
      <c r="Z59" s="381"/>
      <c r="AA59" s="158"/>
      <c r="AC59" s="83">
        <v>46067</v>
      </c>
      <c r="AD59" s="83"/>
      <c r="AE59" s="83"/>
      <c r="AF59" s="83"/>
      <c r="AG59" s="83"/>
      <c r="AH59" s="83"/>
      <c r="AI59" s="83"/>
      <c r="AJ59" s="83"/>
      <c r="AK59" s="83"/>
      <c r="AL59" s="436"/>
      <c r="AM59" s="436"/>
      <c r="AN59" s="381"/>
      <c r="AO59" s="381"/>
      <c r="AP59" s="158"/>
      <c r="AQ59" s="4"/>
      <c r="AR59" s="141">
        <v>46067</v>
      </c>
      <c r="AS59" s="141"/>
      <c r="AT59" s="83"/>
      <c r="AU59" s="83"/>
      <c r="AV59" s="83"/>
      <c r="AW59" s="83"/>
      <c r="AX59" s="83"/>
      <c r="AY59" s="83"/>
      <c r="AZ59" s="83"/>
      <c r="BA59" s="83"/>
      <c r="BB59" s="436"/>
      <c r="BC59" s="436"/>
      <c r="BD59" s="381"/>
      <c r="BE59" s="381"/>
      <c r="BF59" s="158"/>
      <c r="BG59" s="4"/>
      <c r="BH59" s="141">
        <v>46067</v>
      </c>
      <c r="BI59" s="83"/>
      <c r="BJ59" s="83"/>
      <c r="BK59" s="83"/>
      <c r="BL59" s="83"/>
      <c r="BM59" s="83"/>
      <c r="BN59" s="83"/>
      <c r="BO59" s="83"/>
      <c r="BP59" s="83"/>
      <c r="BQ59" s="83"/>
      <c r="BR59" s="436"/>
      <c r="BS59" s="436"/>
      <c r="BT59" s="381"/>
      <c r="BU59" s="158"/>
    </row>
    <row r="60" spans="2:73" customFormat="1" ht="15" customHeight="1">
      <c r="B60" s="4"/>
      <c r="C60" s="4"/>
      <c r="D60" s="4"/>
      <c r="E60" s="4"/>
      <c r="F60" s="4"/>
      <c r="G60" s="4"/>
      <c r="I60" s="4"/>
      <c r="J60" s="4"/>
      <c r="K60" s="4"/>
      <c r="M60" s="141">
        <v>46068</v>
      </c>
      <c r="N60" s="83"/>
      <c r="O60" s="83"/>
      <c r="P60" s="83"/>
      <c r="Q60" s="83"/>
      <c r="R60" s="83"/>
      <c r="S60" s="83"/>
      <c r="T60" s="83"/>
      <c r="U60" s="83"/>
      <c r="V60" s="142"/>
      <c r="W60" s="436"/>
      <c r="X60" s="436"/>
      <c r="Y60" s="381"/>
      <c r="Z60" s="381"/>
      <c r="AA60" s="158"/>
      <c r="AC60" s="83">
        <v>46068</v>
      </c>
      <c r="AD60" s="83"/>
      <c r="AE60" s="83"/>
      <c r="AF60" s="83"/>
      <c r="AG60" s="83"/>
      <c r="AH60" s="83"/>
      <c r="AI60" s="83"/>
      <c r="AJ60" s="83"/>
      <c r="AK60" s="83"/>
      <c r="AL60" s="436"/>
      <c r="AM60" s="436"/>
      <c r="AN60" s="381"/>
      <c r="AO60" s="381"/>
      <c r="AP60" s="158"/>
      <c r="AQ60" s="4"/>
      <c r="AR60" s="141">
        <v>46068</v>
      </c>
      <c r="AS60" s="141"/>
      <c r="AT60" s="83"/>
      <c r="AU60" s="83"/>
      <c r="AV60" s="83"/>
      <c r="AW60" s="83"/>
      <c r="AX60" s="83"/>
      <c r="AY60" s="83"/>
      <c r="AZ60" s="83"/>
      <c r="BA60" s="83"/>
      <c r="BB60" s="436"/>
      <c r="BC60" s="436"/>
      <c r="BD60" s="381"/>
      <c r="BE60" s="381"/>
      <c r="BF60" s="158"/>
      <c r="BG60" s="4"/>
      <c r="BH60" s="141">
        <v>46068</v>
      </c>
      <c r="BI60" s="83"/>
      <c r="BJ60" s="83"/>
      <c r="BK60" s="83"/>
      <c r="BL60" s="83"/>
      <c r="BM60" s="83"/>
      <c r="BN60" s="83"/>
      <c r="BO60" s="83"/>
      <c r="BP60" s="83"/>
      <c r="BQ60" s="83"/>
      <c r="BR60" s="436"/>
      <c r="BS60" s="436"/>
      <c r="BT60" s="381"/>
      <c r="BU60" s="158"/>
    </row>
    <row r="61" spans="2:73" customFormat="1" ht="15" customHeight="1">
      <c r="B61" s="4"/>
      <c r="C61" s="4"/>
      <c r="D61" s="4"/>
      <c r="E61" s="4"/>
      <c r="F61" s="4"/>
      <c r="G61" s="4"/>
      <c r="I61" s="4"/>
      <c r="J61" s="4"/>
      <c r="K61" s="4"/>
      <c r="M61" s="141">
        <v>46069</v>
      </c>
      <c r="N61" s="10"/>
      <c r="O61" s="10"/>
      <c r="P61" s="10"/>
      <c r="Q61" s="10"/>
      <c r="R61" s="10"/>
      <c r="S61" s="10"/>
      <c r="T61" s="10"/>
      <c r="U61" s="10"/>
      <c r="V61" s="11"/>
      <c r="W61" s="105"/>
      <c r="X61" s="105"/>
      <c r="Y61" s="216"/>
      <c r="Z61" s="216"/>
      <c r="AA61" s="9"/>
      <c r="AC61" s="83">
        <v>46069</v>
      </c>
      <c r="AD61" s="10"/>
      <c r="AE61" s="10"/>
      <c r="AF61" s="10"/>
      <c r="AG61" s="10"/>
      <c r="AH61" s="10"/>
      <c r="AI61" s="10"/>
      <c r="AJ61" s="10"/>
      <c r="AK61" s="10"/>
      <c r="AL61" s="105"/>
      <c r="AM61" s="105"/>
      <c r="AN61" s="216"/>
      <c r="AO61" s="216"/>
      <c r="AP61" s="9"/>
      <c r="AQ61" s="4"/>
      <c r="AR61" s="141">
        <v>46069</v>
      </c>
      <c r="AS61" s="5"/>
      <c r="AT61" s="10"/>
      <c r="AU61" s="10"/>
      <c r="AV61" s="10"/>
      <c r="AW61" s="10"/>
      <c r="AX61" s="10"/>
      <c r="AY61" s="10"/>
      <c r="AZ61" s="10"/>
      <c r="BA61" s="10"/>
      <c r="BB61" s="105"/>
      <c r="BC61" s="105"/>
      <c r="BD61" s="216"/>
      <c r="BE61" s="216"/>
      <c r="BF61" s="9"/>
      <c r="BG61" s="4"/>
      <c r="BH61" s="141">
        <v>46069</v>
      </c>
      <c r="BI61" s="10"/>
      <c r="BJ61" s="10"/>
      <c r="BK61" s="10"/>
      <c r="BL61" s="10"/>
      <c r="BM61" s="10"/>
      <c r="BN61" s="10"/>
      <c r="BO61" s="10"/>
      <c r="BP61" s="10"/>
      <c r="BQ61" s="10"/>
      <c r="BR61" s="105"/>
      <c r="BS61" s="105"/>
      <c r="BT61" s="216"/>
      <c r="BU61" s="9"/>
    </row>
    <row r="62" spans="2:73" customFormat="1" ht="15" customHeight="1">
      <c r="B62" s="4"/>
      <c r="C62" s="4"/>
      <c r="D62" s="4"/>
      <c r="E62" s="4"/>
      <c r="F62" s="4"/>
      <c r="G62" s="4"/>
      <c r="I62" s="4"/>
      <c r="J62" s="4"/>
      <c r="K62" s="4"/>
      <c r="M62" s="141">
        <v>46070</v>
      </c>
      <c r="N62" s="10"/>
      <c r="O62" s="10"/>
      <c r="P62" s="10"/>
      <c r="Q62" s="10"/>
      <c r="R62" s="10"/>
      <c r="S62" s="10"/>
      <c r="T62" s="10"/>
      <c r="U62" s="10"/>
      <c r="V62" s="11"/>
      <c r="W62" s="105"/>
      <c r="X62" s="105"/>
      <c r="Y62" s="216"/>
      <c r="Z62" s="216"/>
      <c r="AA62" s="9"/>
      <c r="AC62" s="83">
        <v>46070</v>
      </c>
      <c r="AD62" s="10"/>
      <c r="AE62" s="10"/>
      <c r="AF62" s="10"/>
      <c r="AG62" s="10"/>
      <c r="AH62" s="10"/>
      <c r="AI62" s="10"/>
      <c r="AJ62" s="10"/>
      <c r="AK62" s="10"/>
      <c r="AL62" s="105"/>
      <c r="AM62" s="105"/>
      <c r="AN62" s="216"/>
      <c r="AO62" s="216"/>
      <c r="AP62" s="9"/>
      <c r="AQ62" s="4"/>
      <c r="AR62" s="141">
        <v>46070</v>
      </c>
      <c r="AS62" s="5"/>
      <c r="AT62" s="10"/>
      <c r="AU62" s="10"/>
      <c r="AV62" s="10"/>
      <c r="AW62" s="10"/>
      <c r="AX62" s="10"/>
      <c r="AY62" s="10"/>
      <c r="AZ62" s="10"/>
      <c r="BA62" s="10"/>
      <c r="BB62" s="105"/>
      <c r="BC62" s="105"/>
      <c r="BD62" s="216"/>
      <c r="BE62" s="216"/>
      <c r="BF62" s="9"/>
      <c r="BG62" s="4"/>
      <c r="BH62" s="141">
        <v>46070</v>
      </c>
      <c r="BI62" s="10"/>
      <c r="BJ62" s="10"/>
      <c r="BK62" s="10"/>
      <c r="BL62" s="10"/>
      <c r="BM62" s="10"/>
      <c r="BN62" s="10"/>
      <c r="BO62" s="10"/>
      <c r="BP62" s="10"/>
      <c r="BQ62" s="10"/>
      <c r="BR62" s="105"/>
      <c r="BS62" s="105"/>
      <c r="BT62" s="216"/>
      <c r="BU62" s="9"/>
    </row>
    <row r="63" spans="2:73" customFormat="1" ht="15" customHeight="1">
      <c r="B63" s="4"/>
      <c r="C63" s="4"/>
      <c r="D63" s="4"/>
      <c r="E63" s="4"/>
      <c r="F63" s="4"/>
      <c r="G63" s="4"/>
      <c r="I63" s="4"/>
      <c r="J63" s="4"/>
      <c r="K63" s="4"/>
      <c r="M63" s="141">
        <v>46071</v>
      </c>
      <c r="N63" s="10"/>
      <c r="O63" s="10"/>
      <c r="P63" s="10"/>
      <c r="Q63" s="10"/>
      <c r="R63" s="10"/>
      <c r="S63" s="10"/>
      <c r="T63" s="10"/>
      <c r="U63" s="10"/>
      <c r="V63" s="11"/>
      <c r="W63" s="105"/>
      <c r="X63" s="105"/>
      <c r="Y63" s="216"/>
      <c r="Z63" s="216"/>
      <c r="AA63" s="9"/>
      <c r="AC63" s="83">
        <v>46071</v>
      </c>
      <c r="AD63" s="10"/>
      <c r="AE63" s="10"/>
      <c r="AF63" s="10"/>
      <c r="AG63" s="10"/>
      <c r="AH63" s="10"/>
      <c r="AI63" s="10"/>
      <c r="AJ63" s="10"/>
      <c r="AK63" s="10"/>
      <c r="AL63" s="105"/>
      <c r="AM63" s="105"/>
      <c r="AN63" s="216"/>
      <c r="AO63" s="216"/>
      <c r="AP63" s="9"/>
      <c r="AQ63" s="4"/>
      <c r="AR63" s="141">
        <v>46071</v>
      </c>
      <c r="AS63" s="5"/>
      <c r="AT63" s="10"/>
      <c r="AU63" s="10"/>
      <c r="AV63" s="10"/>
      <c r="AW63" s="10"/>
      <c r="AX63" s="10"/>
      <c r="AY63" s="10"/>
      <c r="AZ63" s="10"/>
      <c r="BA63" s="10"/>
      <c r="BB63" s="105"/>
      <c r="BC63" s="105"/>
      <c r="BD63" s="216"/>
      <c r="BE63" s="216"/>
      <c r="BF63" s="9"/>
      <c r="BG63" s="4"/>
      <c r="BH63" s="141">
        <v>46071</v>
      </c>
      <c r="BI63" s="10"/>
      <c r="BJ63" s="10"/>
      <c r="BK63" s="10"/>
      <c r="BL63" s="10"/>
      <c r="BM63" s="10"/>
      <c r="BN63" s="10"/>
      <c r="BO63" s="10"/>
      <c r="BP63" s="10"/>
      <c r="BQ63" s="10"/>
      <c r="BR63" s="105"/>
      <c r="BS63" s="105"/>
      <c r="BT63" s="216"/>
      <c r="BU63" s="9"/>
    </row>
    <row r="64" spans="2:73" customFormat="1" ht="15" customHeight="1">
      <c r="B64" s="4"/>
      <c r="C64" s="4"/>
      <c r="D64" s="4"/>
      <c r="E64" s="4"/>
      <c r="F64" s="4"/>
      <c r="G64" s="4"/>
      <c r="I64" s="4"/>
      <c r="J64" s="4"/>
      <c r="K64" s="4"/>
      <c r="M64" s="141">
        <v>46072</v>
      </c>
      <c r="N64" s="10"/>
      <c r="O64" s="10"/>
      <c r="P64" s="437"/>
      <c r="Q64" s="10"/>
      <c r="R64" s="10"/>
      <c r="S64" s="10"/>
      <c r="T64" s="10"/>
      <c r="U64" s="10"/>
      <c r="V64" s="11"/>
      <c r="W64" s="105"/>
      <c r="X64" s="105"/>
      <c r="Y64" s="216"/>
      <c r="Z64" s="216"/>
      <c r="AA64" s="9"/>
      <c r="AC64" s="83">
        <v>46072</v>
      </c>
      <c r="AD64" s="10"/>
      <c r="AE64" s="10"/>
      <c r="AF64" s="10"/>
      <c r="AG64" s="10"/>
      <c r="AH64" s="10"/>
      <c r="AI64" s="10"/>
      <c r="AJ64" s="10"/>
      <c r="AK64" s="10"/>
      <c r="AL64" s="105"/>
      <c r="AM64" s="105"/>
      <c r="AN64" s="216"/>
      <c r="AO64" s="216"/>
      <c r="AP64" s="9"/>
      <c r="AQ64" s="4"/>
      <c r="AR64" s="141">
        <v>46072</v>
      </c>
      <c r="AS64" s="5"/>
      <c r="AT64" s="10"/>
      <c r="AU64" s="10"/>
      <c r="AV64" s="10"/>
      <c r="AW64" s="10"/>
      <c r="AX64" s="10"/>
      <c r="AY64" s="10"/>
      <c r="AZ64" s="10"/>
      <c r="BA64" s="10"/>
      <c r="BB64" s="105"/>
      <c r="BC64" s="105"/>
      <c r="BD64" s="216"/>
      <c r="BE64" s="216"/>
      <c r="BF64" s="9"/>
      <c r="BG64" s="4"/>
      <c r="BH64" s="141">
        <v>46072</v>
      </c>
      <c r="BI64" s="10"/>
      <c r="BJ64" s="10"/>
      <c r="BK64" s="10"/>
      <c r="BL64" s="10"/>
      <c r="BM64" s="10"/>
      <c r="BN64" s="10"/>
      <c r="BO64" s="10"/>
      <c r="BP64" s="10"/>
      <c r="BQ64" s="10"/>
      <c r="BR64" s="105"/>
      <c r="BS64" s="105"/>
      <c r="BT64" s="216"/>
      <c r="BU64" s="9"/>
    </row>
    <row r="65" spans="1:73" ht="15" customHeight="1">
      <c r="A65"/>
      <c r="I65" s="4"/>
      <c r="M65" s="141">
        <v>46073</v>
      </c>
      <c r="N65" s="10"/>
      <c r="O65" s="10"/>
      <c r="P65" s="10"/>
      <c r="Q65" s="10"/>
      <c r="R65" s="10"/>
      <c r="S65" s="10"/>
      <c r="T65" s="10"/>
      <c r="U65" s="10"/>
      <c r="V65" s="11"/>
      <c r="W65" s="105"/>
      <c r="X65" s="105"/>
      <c r="Y65" s="216"/>
      <c r="Z65" s="216"/>
      <c r="AA65" s="9"/>
      <c r="AC65" s="83">
        <v>46073</v>
      </c>
      <c r="AD65" s="10"/>
      <c r="AE65" s="10"/>
      <c r="AF65" s="10"/>
      <c r="AG65" s="10"/>
      <c r="AH65" s="10"/>
      <c r="AI65" s="10"/>
      <c r="AJ65" s="10"/>
      <c r="AK65" s="10"/>
      <c r="AL65" s="105"/>
      <c r="AM65" s="105"/>
      <c r="AN65" s="216"/>
      <c r="AO65" s="216"/>
      <c r="AP65" s="9"/>
      <c r="AR65" s="141">
        <v>46073</v>
      </c>
      <c r="AS65" s="5"/>
      <c r="AT65" s="10"/>
      <c r="AU65" s="10"/>
      <c r="AV65" s="10"/>
      <c r="AW65" s="10"/>
      <c r="AX65" s="10"/>
      <c r="AY65" s="10"/>
      <c r="AZ65" s="10"/>
      <c r="BA65" s="10"/>
      <c r="BB65" s="105"/>
      <c r="BC65" s="105"/>
      <c r="BD65" s="216"/>
      <c r="BE65" s="216"/>
      <c r="BF65" s="9"/>
      <c r="BH65" s="141">
        <v>46073</v>
      </c>
      <c r="BI65" s="10"/>
      <c r="BJ65" s="10"/>
      <c r="BK65" s="10"/>
      <c r="BL65" s="10"/>
      <c r="BM65" s="10"/>
      <c r="BN65" s="10"/>
      <c r="BO65" s="10"/>
      <c r="BP65" s="10"/>
      <c r="BQ65" s="10"/>
      <c r="BR65" s="105"/>
      <c r="BS65" s="105"/>
      <c r="BT65" s="216"/>
      <c r="BU65" s="9"/>
    </row>
    <row r="66" spans="1:73" ht="15" customHeight="1">
      <c r="A66"/>
      <c r="I66" s="4"/>
      <c r="M66" s="141">
        <v>46074</v>
      </c>
      <c r="N66" s="83"/>
      <c r="O66" s="83"/>
      <c r="P66" s="83"/>
      <c r="Q66" s="83"/>
      <c r="R66" s="83"/>
      <c r="S66" s="83"/>
      <c r="T66" s="83"/>
      <c r="U66" s="83"/>
      <c r="V66" s="142"/>
      <c r="W66" s="436"/>
      <c r="X66" s="436"/>
      <c r="Y66" s="381"/>
      <c r="Z66" s="381"/>
      <c r="AA66" s="158"/>
      <c r="AC66" s="83">
        <v>46074</v>
      </c>
      <c r="AD66" s="83"/>
      <c r="AE66" s="83"/>
      <c r="AF66" s="83"/>
      <c r="AG66" s="83"/>
      <c r="AH66" s="83"/>
      <c r="AI66" s="83"/>
      <c r="AJ66" s="83"/>
      <c r="AK66" s="83"/>
      <c r="AL66" s="436"/>
      <c r="AM66" s="436"/>
      <c r="AN66" s="381"/>
      <c r="AO66" s="381"/>
      <c r="AP66" s="158"/>
      <c r="AR66" s="141">
        <v>46074</v>
      </c>
      <c r="AS66" s="141"/>
      <c r="AT66" s="83"/>
      <c r="AU66" s="83"/>
      <c r="AV66" s="83"/>
      <c r="AW66" s="83"/>
      <c r="AX66" s="83"/>
      <c r="AY66" s="83"/>
      <c r="AZ66" s="83"/>
      <c r="BA66" s="83"/>
      <c r="BB66" s="436"/>
      <c r="BC66" s="436"/>
      <c r="BD66" s="381"/>
      <c r="BE66" s="381"/>
      <c r="BF66" s="158"/>
      <c r="BH66" s="141">
        <v>46074</v>
      </c>
      <c r="BI66" s="83"/>
      <c r="BJ66" s="83"/>
      <c r="BK66" s="83"/>
      <c r="BL66" s="83"/>
      <c r="BM66" s="83"/>
      <c r="BN66" s="83"/>
      <c r="BO66" s="83"/>
      <c r="BP66" s="83"/>
      <c r="BQ66" s="83"/>
      <c r="BR66" s="436"/>
      <c r="BS66" s="436"/>
      <c r="BT66" s="381"/>
      <c r="BU66" s="158"/>
    </row>
    <row r="67" spans="1:73" ht="15" customHeight="1">
      <c r="A67"/>
      <c r="I67" s="4"/>
      <c r="M67" s="141">
        <v>46075</v>
      </c>
      <c r="N67" s="83"/>
      <c r="O67" s="83"/>
      <c r="P67" s="83"/>
      <c r="Q67" s="83"/>
      <c r="R67" s="83"/>
      <c r="S67" s="83"/>
      <c r="T67" s="83"/>
      <c r="U67" s="83"/>
      <c r="V67" s="142"/>
      <c r="W67" s="436"/>
      <c r="X67" s="436"/>
      <c r="Y67" s="381"/>
      <c r="Z67" s="381"/>
      <c r="AA67" s="158"/>
      <c r="AC67" s="83">
        <v>46075</v>
      </c>
      <c r="AD67" s="83"/>
      <c r="AE67" s="83"/>
      <c r="AF67" s="83"/>
      <c r="AG67" s="83"/>
      <c r="AH67" s="83"/>
      <c r="AI67" s="83"/>
      <c r="AJ67" s="83"/>
      <c r="AK67" s="83"/>
      <c r="AL67" s="436"/>
      <c r="AM67" s="436"/>
      <c r="AN67" s="381"/>
      <c r="AO67" s="381"/>
      <c r="AP67" s="158"/>
      <c r="AR67" s="141">
        <v>46075</v>
      </c>
      <c r="AS67" s="141"/>
      <c r="AT67" s="83"/>
      <c r="AU67" s="83"/>
      <c r="AV67" s="83"/>
      <c r="AW67" s="83"/>
      <c r="AX67" s="83"/>
      <c r="AY67" s="83"/>
      <c r="AZ67" s="83"/>
      <c r="BA67" s="83"/>
      <c r="BB67" s="436"/>
      <c r="BC67" s="436"/>
      <c r="BD67" s="381"/>
      <c r="BE67" s="381"/>
      <c r="BF67" s="158"/>
      <c r="BH67" s="141">
        <v>46075</v>
      </c>
      <c r="BI67" s="83"/>
      <c r="BJ67" s="83"/>
      <c r="BK67" s="83"/>
      <c r="BL67" s="83"/>
      <c r="BM67" s="83"/>
      <c r="BN67" s="83"/>
      <c r="BO67" s="83"/>
      <c r="BP67" s="83"/>
      <c r="BQ67" s="83"/>
      <c r="BR67" s="436"/>
      <c r="BS67" s="436"/>
      <c r="BT67" s="381"/>
      <c r="BU67" s="158"/>
    </row>
    <row r="68" spans="1:73" ht="15" customHeight="1">
      <c r="A68"/>
      <c r="I68" s="4"/>
      <c r="M68" s="141">
        <v>46076</v>
      </c>
      <c r="N68" s="10"/>
      <c r="O68" s="10"/>
      <c r="P68" s="10"/>
      <c r="Q68" s="10"/>
      <c r="R68" s="10"/>
      <c r="S68" s="10"/>
      <c r="T68" s="10"/>
      <c r="U68" s="10"/>
      <c r="V68" s="11"/>
      <c r="W68" s="105"/>
      <c r="X68" s="105"/>
      <c r="Y68" s="216"/>
      <c r="Z68" s="216"/>
      <c r="AA68" s="9"/>
      <c r="AC68" s="83">
        <v>46076</v>
      </c>
      <c r="AD68" s="10"/>
      <c r="AE68" s="10"/>
      <c r="AF68" s="10"/>
      <c r="AG68" s="10"/>
      <c r="AH68" s="10"/>
      <c r="AI68" s="10"/>
      <c r="AJ68" s="10"/>
      <c r="AK68" s="10"/>
      <c r="AL68" s="105"/>
      <c r="AM68" s="105"/>
      <c r="AN68" s="216"/>
      <c r="AO68" s="216"/>
      <c r="AP68" s="9"/>
      <c r="AR68" s="141">
        <v>46076</v>
      </c>
      <c r="AS68" s="5"/>
      <c r="AT68" s="10"/>
      <c r="AU68" s="11">
        <v>1</v>
      </c>
      <c r="AV68" s="10"/>
      <c r="AW68" s="10"/>
      <c r="AX68" s="10"/>
      <c r="AY68" s="10"/>
      <c r="AZ68" s="10"/>
      <c r="BA68" s="10"/>
      <c r="BB68" s="105">
        <v>1677</v>
      </c>
      <c r="BC68" s="72">
        <v>265163189</v>
      </c>
      <c r="BD68" s="216"/>
      <c r="BE68" s="216"/>
      <c r="BF68" s="9"/>
      <c r="BH68" s="141">
        <v>46076</v>
      </c>
      <c r="BI68" s="10"/>
      <c r="BJ68" s="10"/>
      <c r="BK68" s="10"/>
      <c r="BL68" s="10"/>
      <c r="BM68" s="10"/>
      <c r="BN68" s="10"/>
      <c r="BO68" s="10"/>
      <c r="BP68" s="10"/>
      <c r="BQ68" s="10"/>
      <c r="BR68" s="105"/>
      <c r="BS68" s="105"/>
      <c r="BT68" s="216"/>
      <c r="BU68" s="9"/>
    </row>
    <row r="69" spans="1:73" ht="15" customHeight="1">
      <c r="A69"/>
      <c r="I69" s="4"/>
      <c r="M69" s="141">
        <v>46077</v>
      </c>
      <c r="N69" s="10"/>
      <c r="O69" s="10"/>
      <c r="P69" s="10"/>
      <c r="Q69" s="10"/>
      <c r="R69" s="10"/>
      <c r="S69" s="10"/>
      <c r="T69" s="10"/>
      <c r="U69" s="10"/>
      <c r="V69" s="11"/>
      <c r="W69" s="105"/>
      <c r="X69" s="105"/>
      <c r="Y69" s="216"/>
      <c r="Z69" s="216"/>
      <c r="AA69" s="9"/>
      <c r="AC69" s="83">
        <v>46077</v>
      </c>
      <c r="AD69" s="10"/>
      <c r="AE69" s="10"/>
      <c r="AF69" s="10"/>
      <c r="AG69" s="10"/>
      <c r="AH69" s="10"/>
      <c r="AI69" s="10"/>
      <c r="AJ69" s="10"/>
      <c r="AK69" s="10"/>
      <c r="AL69" s="105"/>
      <c r="AM69" s="105"/>
      <c r="AN69" s="216"/>
      <c r="AO69" s="216"/>
      <c r="AP69" s="9"/>
      <c r="AR69" s="141">
        <v>46077</v>
      </c>
      <c r="AS69" s="5"/>
      <c r="AT69" s="10"/>
      <c r="AU69" s="11">
        <v>88900</v>
      </c>
      <c r="AV69" s="10"/>
      <c r="AW69" s="10"/>
      <c r="AX69" s="10"/>
      <c r="AY69" s="10"/>
      <c r="AZ69" s="10"/>
      <c r="BA69" s="10"/>
      <c r="BB69" s="105">
        <v>1678</v>
      </c>
      <c r="BC69" s="72">
        <v>265252089</v>
      </c>
      <c r="BD69" s="216"/>
      <c r="BE69" s="216"/>
      <c r="BF69" s="9"/>
      <c r="BH69" s="141">
        <v>46077</v>
      </c>
      <c r="BI69" s="11">
        <v>122780</v>
      </c>
      <c r="BJ69" s="11"/>
      <c r="BK69" s="11">
        <v>2090</v>
      </c>
      <c r="BL69" s="11"/>
      <c r="BM69" s="11"/>
      <c r="BN69" s="11">
        <v>1200</v>
      </c>
      <c r="BO69" s="11">
        <v>890</v>
      </c>
      <c r="BP69" s="11"/>
      <c r="BQ69" s="10">
        <v>2251</v>
      </c>
      <c r="BR69" s="72">
        <v>284531068</v>
      </c>
      <c r="BS69" s="105"/>
      <c r="BT69" s="216"/>
      <c r="BU69" s="9"/>
    </row>
    <row r="70" spans="1:73" ht="15" customHeight="1">
      <c r="A70"/>
      <c r="I70" s="4"/>
      <c r="M70" s="141">
        <v>46078</v>
      </c>
      <c r="N70" s="10"/>
      <c r="O70" s="10"/>
      <c r="P70" s="10"/>
      <c r="Q70" s="10"/>
      <c r="R70" s="10"/>
      <c r="S70" s="10"/>
      <c r="T70" s="10"/>
      <c r="U70" s="10"/>
      <c r="V70" s="11"/>
      <c r="W70" s="105"/>
      <c r="X70" s="105"/>
      <c r="Y70" s="216"/>
      <c r="Z70" s="216"/>
      <c r="AA70" s="9"/>
      <c r="AC70" s="83">
        <v>46078</v>
      </c>
      <c r="AD70" s="10"/>
      <c r="AE70" s="10"/>
      <c r="AF70" s="10"/>
      <c r="AG70" s="10"/>
      <c r="AH70" s="10"/>
      <c r="AI70" s="10"/>
      <c r="AJ70" s="10"/>
      <c r="AK70" s="10"/>
      <c r="AL70" s="105"/>
      <c r="AM70" s="105"/>
      <c r="AN70" s="216"/>
      <c r="AO70" s="216"/>
      <c r="AP70" s="9"/>
      <c r="AR70" s="141">
        <v>46078</v>
      </c>
      <c r="AS70" s="5"/>
      <c r="AT70" s="10"/>
      <c r="AU70" s="11"/>
      <c r="AV70" s="10"/>
      <c r="AW70" s="10"/>
      <c r="AX70" s="10"/>
      <c r="AY70" s="10"/>
      <c r="AZ70" s="10"/>
      <c r="BA70" s="10"/>
      <c r="BB70" s="105"/>
      <c r="BC70" s="72"/>
      <c r="BD70" s="216"/>
      <c r="BE70" s="216"/>
      <c r="BF70" s="9"/>
      <c r="BH70" s="141">
        <v>46077</v>
      </c>
      <c r="BI70" s="11"/>
      <c r="BJ70" s="11">
        <v>611</v>
      </c>
      <c r="BK70" s="11">
        <v>71570</v>
      </c>
      <c r="BL70" s="11"/>
      <c r="BM70" s="11">
        <v>5230</v>
      </c>
      <c r="BN70" s="11">
        <v>3940</v>
      </c>
      <c r="BO70" s="11">
        <v>73471</v>
      </c>
      <c r="BP70" s="11">
        <v>74361</v>
      </c>
      <c r="BQ70" s="10">
        <v>2252</v>
      </c>
      <c r="BR70" s="72">
        <v>284608479</v>
      </c>
      <c r="BS70" s="105"/>
      <c r="BT70" s="216"/>
      <c r="BU70" s="9"/>
    </row>
    <row r="71" spans="1:73" ht="15" customHeight="1">
      <c r="A71"/>
      <c r="I71" s="4"/>
      <c r="M71" s="141">
        <v>46079</v>
      </c>
      <c r="N71" s="10"/>
      <c r="O71" s="10"/>
      <c r="P71" s="10"/>
      <c r="Q71" s="10"/>
      <c r="R71" s="10"/>
      <c r="S71" s="10"/>
      <c r="T71" s="10"/>
      <c r="U71" s="10"/>
      <c r="V71" s="11"/>
      <c r="W71" s="105"/>
      <c r="X71" s="105"/>
      <c r="Y71" s="216"/>
      <c r="Z71" s="216"/>
      <c r="AA71" s="9"/>
      <c r="AC71" s="83">
        <v>46079</v>
      </c>
      <c r="AD71" s="10"/>
      <c r="AE71" s="10"/>
      <c r="AF71" s="10"/>
      <c r="AG71" s="10"/>
      <c r="AH71" s="10"/>
      <c r="AI71" s="10"/>
      <c r="AJ71" s="10"/>
      <c r="AK71" s="10"/>
      <c r="AL71" s="105"/>
      <c r="AM71" s="105"/>
      <c r="AN71" s="216"/>
      <c r="AO71" s="216"/>
      <c r="AP71" s="9"/>
      <c r="AR71" s="141">
        <v>46079</v>
      </c>
      <c r="AS71" s="5"/>
      <c r="AT71" s="10"/>
      <c r="AU71" s="11"/>
      <c r="AV71" s="10"/>
      <c r="AW71" s="10"/>
      <c r="AX71" s="10"/>
      <c r="AY71" s="10"/>
      <c r="AZ71" s="10"/>
      <c r="BA71" s="10"/>
      <c r="BB71" s="105"/>
      <c r="BC71" s="72"/>
      <c r="BD71" s="216"/>
      <c r="BE71" s="216"/>
      <c r="BF71" s="9"/>
      <c r="BH71" s="141">
        <v>46078</v>
      </c>
      <c r="BI71" s="11">
        <v>130205</v>
      </c>
      <c r="BJ71" s="11">
        <v>600</v>
      </c>
      <c r="BK71" s="11">
        <v>92448</v>
      </c>
      <c r="BL71" s="11"/>
      <c r="BM71" s="11">
        <v>9632</v>
      </c>
      <c r="BN71" s="11">
        <v>10780</v>
      </c>
      <c r="BO71" s="11">
        <v>91900</v>
      </c>
      <c r="BP71" s="11">
        <v>91900</v>
      </c>
      <c r="BQ71" s="10">
        <v>2253</v>
      </c>
      <c r="BR71" s="72">
        <v>284711159</v>
      </c>
      <c r="BS71" s="105"/>
      <c r="BT71" s="216"/>
      <c r="BU71" s="9"/>
    </row>
    <row r="72" spans="1:73" ht="15" customHeight="1">
      <c r="A72"/>
      <c r="I72" s="4"/>
      <c r="M72" s="141">
        <v>46080</v>
      </c>
      <c r="N72" s="10"/>
      <c r="O72" s="10"/>
      <c r="P72" s="10"/>
      <c r="Q72" s="10"/>
      <c r="R72" s="10"/>
      <c r="S72" s="10"/>
      <c r="T72" s="10"/>
      <c r="U72" s="10"/>
      <c r="V72" s="11"/>
      <c r="W72" s="105"/>
      <c r="X72" s="105"/>
      <c r="Y72" s="216"/>
      <c r="Z72" s="216"/>
      <c r="AA72" s="9"/>
      <c r="AC72" s="83">
        <v>46080</v>
      </c>
      <c r="AD72" s="10"/>
      <c r="AE72" s="10"/>
      <c r="AF72" s="10"/>
      <c r="AG72" s="10"/>
      <c r="AH72" s="10"/>
      <c r="AI72" s="10"/>
      <c r="AJ72" s="10"/>
      <c r="AK72" s="10"/>
      <c r="AL72" s="105"/>
      <c r="AM72" s="105"/>
      <c r="AN72" s="216"/>
      <c r="AO72" s="216"/>
      <c r="AP72" s="9"/>
      <c r="AR72" s="141">
        <v>46080</v>
      </c>
      <c r="AS72" s="5"/>
      <c r="AT72" s="10"/>
      <c r="AU72" s="11"/>
      <c r="AV72" s="10"/>
      <c r="AW72" s="10"/>
      <c r="AX72" s="10"/>
      <c r="AY72" s="10"/>
      <c r="AZ72" s="10"/>
      <c r="BA72" s="10"/>
      <c r="BB72" s="105">
        <v>1679</v>
      </c>
      <c r="BC72" s="72">
        <v>265252089</v>
      </c>
      <c r="BD72" s="216"/>
      <c r="BE72" s="216"/>
      <c r="BF72" s="9"/>
      <c r="BH72" s="141">
        <v>46079</v>
      </c>
      <c r="BI72" s="11">
        <v>69725</v>
      </c>
      <c r="BJ72" s="41">
        <v>700</v>
      </c>
      <c r="BK72" s="11">
        <v>47520</v>
      </c>
      <c r="BL72" s="11"/>
      <c r="BM72" s="11">
        <v>4558</v>
      </c>
      <c r="BN72" s="11">
        <v>8210</v>
      </c>
      <c r="BO72" s="11">
        <v>44568</v>
      </c>
      <c r="BP72" s="11">
        <v>44568</v>
      </c>
      <c r="BQ72" s="10">
        <v>2254</v>
      </c>
      <c r="BR72" s="72">
        <v>284763937</v>
      </c>
      <c r="BS72" s="105"/>
      <c r="BT72" s="216"/>
      <c r="BU72" s="9"/>
    </row>
    <row r="73" spans="1:73" ht="15" customHeight="1">
      <c r="A73"/>
      <c r="I73" s="4"/>
      <c r="M73" s="141"/>
      <c r="N73" s="10"/>
      <c r="O73" s="10"/>
      <c r="P73" s="10"/>
      <c r="Q73" s="10"/>
      <c r="R73" s="10"/>
      <c r="S73" s="10"/>
      <c r="T73" s="10"/>
      <c r="U73" s="10"/>
      <c r="V73" s="11"/>
      <c r="W73" s="105"/>
      <c r="X73" s="105"/>
      <c r="Y73" s="216"/>
      <c r="Z73" s="216"/>
      <c r="AA73" s="9"/>
      <c r="AC73" s="83"/>
      <c r="AD73" s="10"/>
      <c r="AE73" s="10"/>
      <c r="AF73" s="10"/>
      <c r="AG73" s="10"/>
      <c r="AH73" s="10"/>
      <c r="AI73" s="10"/>
      <c r="AJ73" s="10"/>
      <c r="AK73" s="10"/>
      <c r="AL73" s="105"/>
      <c r="AM73" s="105"/>
      <c r="AN73" s="216"/>
      <c r="AO73" s="216"/>
      <c r="AP73" s="9"/>
      <c r="AR73" s="141">
        <v>46080</v>
      </c>
      <c r="AS73" s="5"/>
      <c r="AT73" s="10"/>
      <c r="AU73" s="11"/>
      <c r="AV73" s="10"/>
      <c r="AW73" s="10"/>
      <c r="AX73" s="10"/>
      <c r="AY73" s="10"/>
      <c r="AZ73" s="10"/>
      <c r="BA73" s="10"/>
      <c r="BB73" s="105">
        <v>1680</v>
      </c>
      <c r="BC73" s="72">
        <v>265252089</v>
      </c>
      <c r="BD73" s="216"/>
      <c r="BE73" s="216"/>
      <c r="BF73" s="9"/>
      <c r="BH73" s="141"/>
      <c r="BI73" s="11"/>
      <c r="BJ73" s="41"/>
      <c r="BK73" s="11"/>
      <c r="BL73" s="11"/>
      <c r="BM73" s="11"/>
      <c r="BN73" s="11"/>
      <c r="BO73" s="11"/>
      <c r="BP73" s="11"/>
      <c r="BQ73" s="10"/>
      <c r="BR73" s="72"/>
      <c r="BS73" s="105"/>
      <c r="BT73" s="216"/>
      <c r="BU73" s="9"/>
    </row>
    <row r="74" spans="1:73" ht="15" customHeight="1">
      <c r="A74"/>
      <c r="I74" s="4"/>
      <c r="M74" s="141">
        <v>46081</v>
      </c>
      <c r="N74" s="83"/>
      <c r="O74" s="83"/>
      <c r="P74" s="83"/>
      <c r="Q74" s="83"/>
      <c r="R74" s="83"/>
      <c r="S74" s="83"/>
      <c r="T74" s="83"/>
      <c r="U74" s="83"/>
      <c r="V74" s="142"/>
      <c r="W74" s="436"/>
      <c r="X74" s="436"/>
      <c r="Y74" s="381"/>
      <c r="Z74" s="381"/>
      <c r="AA74" s="158"/>
      <c r="AC74" s="83">
        <v>46081</v>
      </c>
      <c r="AD74" s="83"/>
      <c r="AE74" s="83"/>
      <c r="AF74" s="83"/>
      <c r="AG74" s="83"/>
      <c r="AH74" s="83"/>
      <c r="AI74" s="83"/>
      <c r="AJ74" s="83"/>
      <c r="AK74" s="83"/>
      <c r="AL74" s="436"/>
      <c r="AM74" s="436"/>
      <c r="AN74" s="381"/>
      <c r="AO74" s="381"/>
      <c r="AP74" s="158"/>
      <c r="AR74" s="141">
        <v>46081</v>
      </c>
      <c r="AS74" s="141"/>
      <c r="AT74" s="83"/>
      <c r="AU74" s="142"/>
      <c r="AV74" s="83"/>
      <c r="AW74" s="83"/>
      <c r="AX74" s="83"/>
      <c r="AY74" s="83"/>
      <c r="AZ74" s="83"/>
      <c r="BA74" s="83"/>
      <c r="BB74" s="436"/>
      <c r="BC74" s="146"/>
      <c r="BD74" s="381"/>
      <c r="BE74" s="381"/>
      <c r="BF74" s="158"/>
      <c r="BH74" s="141">
        <v>46080</v>
      </c>
      <c r="BI74" s="11">
        <v>42460</v>
      </c>
      <c r="BJ74" s="11">
        <v>350</v>
      </c>
      <c r="BK74" s="11">
        <v>32205</v>
      </c>
      <c r="BL74" s="11"/>
      <c r="BM74" s="11">
        <v>3070</v>
      </c>
      <c r="BN74" s="11">
        <v>4440</v>
      </c>
      <c r="BO74" s="11">
        <v>31185</v>
      </c>
      <c r="BP74" s="11">
        <v>31185</v>
      </c>
      <c r="BQ74" s="10">
        <v>2255</v>
      </c>
      <c r="BR74" s="72">
        <v>284799562</v>
      </c>
      <c r="BS74" s="105"/>
      <c r="BT74" s="216"/>
      <c r="BU74" s="9"/>
    </row>
    <row r="75" spans="1:73" ht="15" customHeight="1">
      <c r="A75"/>
      <c r="I75" s="4"/>
      <c r="M75" s="10"/>
      <c r="N75" s="10"/>
      <c r="O75" s="10"/>
      <c r="P75" s="10"/>
      <c r="Q75" s="10"/>
      <c r="R75" s="10"/>
      <c r="S75" s="10"/>
      <c r="T75" s="10"/>
      <c r="U75" s="10"/>
      <c r="V75" s="11"/>
      <c r="W75" s="105"/>
      <c r="X75" s="105"/>
      <c r="Y75" s="216"/>
      <c r="Z75" s="216"/>
      <c r="AA75" s="9"/>
      <c r="AC75" s="10"/>
      <c r="AD75" s="10"/>
      <c r="AE75" s="10"/>
      <c r="AF75" s="10"/>
      <c r="AG75" s="10"/>
      <c r="AH75" s="10"/>
      <c r="AI75" s="10"/>
      <c r="AJ75" s="10"/>
      <c r="AK75" s="10"/>
      <c r="AL75" s="105"/>
      <c r="AM75" s="105"/>
      <c r="AN75" s="216"/>
      <c r="AO75" s="216"/>
      <c r="AP75" s="9"/>
      <c r="AR75" s="10"/>
      <c r="AS75" s="10"/>
      <c r="AT75" s="10"/>
      <c r="AU75" s="11"/>
      <c r="AV75" s="10"/>
      <c r="AW75" s="10"/>
      <c r="AX75" s="10"/>
      <c r="AY75" s="10"/>
      <c r="AZ75" s="10"/>
      <c r="BA75" s="10"/>
      <c r="BB75" s="105"/>
      <c r="BC75" s="72"/>
      <c r="BD75" s="216"/>
      <c r="BE75" s="216"/>
      <c r="BF75" s="9"/>
      <c r="BH75" s="141">
        <v>46081</v>
      </c>
      <c r="BI75" s="142"/>
      <c r="BJ75" s="142"/>
      <c r="BK75" s="142"/>
      <c r="BL75" s="142"/>
      <c r="BM75" s="142"/>
      <c r="BN75" s="142"/>
      <c r="BO75" s="142"/>
      <c r="BP75" s="142"/>
      <c r="BQ75" s="83"/>
      <c r="BR75" s="436"/>
      <c r="BS75" s="436"/>
      <c r="BT75" s="381"/>
      <c r="BU75" s="158"/>
    </row>
    <row r="76" spans="1:73" ht="15" customHeight="1">
      <c r="M76" s="5"/>
      <c r="N76" s="5"/>
      <c r="O76" s="11"/>
      <c r="P76" s="11"/>
      <c r="Q76" s="11"/>
      <c r="R76" s="11"/>
      <c r="S76" s="11"/>
      <c r="T76" s="11"/>
      <c r="U76" s="11"/>
      <c r="V76" s="11"/>
      <c r="W76" s="38"/>
      <c r="X76" s="72"/>
      <c r="Y76" s="258"/>
      <c r="Z76" s="216"/>
      <c r="AA76" s="9"/>
      <c r="AC76" s="5"/>
      <c r="AD76" s="11"/>
      <c r="AE76" s="11"/>
      <c r="AF76" s="11"/>
      <c r="AG76" s="11"/>
      <c r="AH76" s="11"/>
      <c r="AI76" s="11"/>
      <c r="AJ76" s="11"/>
      <c r="AK76" s="11"/>
      <c r="AL76" s="38"/>
      <c r="AM76" s="72"/>
      <c r="AN76" s="258"/>
      <c r="AO76" s="216"/>
      <c r="AP76" s="9"/>
      <c r="AR76" s="5"/>
      <c r="AS76" s="5"/>
      <c r="AT76" s="11"/>
      <c r="AU76" s="11"/>
      <c r="AV76" s="11"/>
      <c r="AW76" s="11"/>
      <c r="AX76" s="11"/>
      <c r="AY76" s="11"/>
      <c r="AZ76" s="11"/>
      <c r="BA76" s="11"/>
      <c r="BB76" s="38"/>
      <c r="BC76" s="72"/>
      <c r="BD76" s="258"/>
      <c r="BE76" s="216"/>
      <c r="BF76" s="9"/>
      <c r="BH76" s="141"/>
      <c r="BI76" s="11"/>
      <c r="BJ76" s="11"/>
      <c r="BK76" s="11"/>
      <c r="BL76" s="11"/>
      <c r="BM76" s="11"/>
      <c r="BN76" s="11"/>
      <c r="BO76" s="11"/>
      <c r="BP76" s="11"/>
      <c r="BQ76" s="10"/>
      <c r="BR76" s="105"/>
      <c r="BS76" s="105"/>
      <c r="BT76" s="216"/>
      <c r="BU76" s="9"/>
    </row>
    <row r="77" spans="1:73" ht="15" customHeight="1">
      <c r="M77" s="141"/>
      <c r="N77" s="141"/>
      <c r="O77" s="11"/>
      <c r="P77" s="11"/>
      <c r="Q77" s="11"/>
      <c r="R77" s="11"/>
      <c r="S77" s="11"/>
      <c r="T77" s="11"/>
      <c r="U77" s="11"/>
      <c r="V77" s="11"/>
      <c r="W77" s="205"/>
      <c r="X77" s="206"/>
      <c r="Y77" s="379"/>
      <c r="Z77" s="388"/>
      <c r="AA77" s="9"/>
      <c r="AC77" s="141"/>
      <c r="AD77" s="11"/>
      <c r="AE77" s="11"/>
      <c r="AF77" s="11"/>
      <c r="AG77" s="11"/>
      <c r="AH77" s="11"/>
      <c r="AI77" s="11"/>
      <c r="AJ77" s="11"/>
      <c r="AK77" s="11"/>
      <c r="AL77" s="205"/>
      <c r="AM77" s="206"/>
      <c r="AN77" s="379"/>
      <c r="AO77" s="388"/>
      <c r="AP77" s="9"/>
      <c r="AR77" s="546"/>
      <c r="AS77" s="546"/>
      <c r="AT77" s="11"/>
      <c r="AU77" s="11"/>
      <c r="AV77" s="11"/>
      <c r="AW77" s="11"/>
      <c r="AX77" s="11"/>
      <c r="AY77" s="11"/>
      <c r="AZ77" s="11"/>
      <c r="BA77" s="11"/>
      <c r="BB77" s="205"/>
      <c r="BC77" s="206"/>
      <c r="BD77" s="379"/>
      <c r="BE77" s="388"/>
      <c r="BF77" s="9"/>
      <c r="BH77" s="141"/>
      <c r="BI77" s="11"/>
      <c r="BJ77" s="11"/>
      <c r="BK77" s="11"/>
      <c r="BL77" s="11"/>
      <c r="BM77" s="11"/>
      <c r="BN77" s="11"/>
      <c r="BO77" s="11"/>
      <c r="BP77" s="11"/>
      <c r="BQ77" s="11"/>
      <c r="BR77" s="38"/>
      <c r="BS77" s="72"/>
      <c r="BT77" s="216"/>
      <c r="BU77" s="9"/>
    </row>
    <row r="78" spans="1:73" ht="15" customHeight="1">
      <c r="M78" s="18" t="s">
        <v>64</v>
      </c>
      <c r="N78" s="18"/>
      <c r="O78" s="362"/>
      <c r="P78" s="19">
        <f>SUM(P44:P77)</f>
        <v>288580</v>
      </c>
      <c r="Q78" s="19">
        <f>SUM(Q44:Q77)</f>
        <v>104670</v>
      </c>
      <c r="R78" s="19">
        <f>SUM(R44:R77)</f>
        <v>1145828</v>
      </c>
      <c r="S78" s="19">
        <f>SUM(S44:S77)</f>
        <v>772455</v>
      </c>
      <c r="T78" s="20">
        <f>SUM(T44:T77)</f>
        <v>903240</v>
      </c>
      <c r="U78" s="39">
        <f>SUM(U46:U77)</f>
        <v>926300</v>
      </c>
      <c r="V78" s="39"/>
      <c r="W78" s="32"/>
      <c r="X78" s="17"/>
      <c r="Y78" s="252"/>
      <c r="Z78" s="216"/>
      <c r="AA78" s="9"/>
      <c r="AC78" s="18" t="s">
        <v>64</v>
      </c>
      <c r="AD78" s="362"/>
      <c r="AE78" s="19">
        <f>SUM(AE44:AE77)</f>
        <v>0</v>
      </c>
      <c r="AF78" s="19">
        <f>SUM(AF44:AF77)</f>
        <v>0</v>
      </c>
      <c r="AG78" s="19">
        <f>SUM(AG44:AG77)</f>
        <v>0</v>
      </c>
      <c r="AH78" s="19">
        <f>SUM(AH44:AH77)</f>
        <v>0</v>
      </c>
      <c r="AI78" s="20">
        <f>SUM(AI44:AI77)</f>
        <v>0</v>
      </c>
      <c r="AJ78" s="39">
        <f>SUM(AJ46:AJ77)</f>
        <v>0</v>
      </c>
      <c r="AK78" s="39"/>
      <c r="AL78" s="32"/>
      <c r="AM78" s="17"/>
      <c r="AN78" s="252"/>
      <c r="AO78" s="216"/>
      <c r="AP78" s="9"/>
      <c r="AR78" s="18" t="s">
        <v>64</v>
      </c>
      <c r="AS78" s="18"/>
      <c r="AT78" s="19">
        <f>SUM(AT45:AT77)</f>
        <v>6950</v>
      </c>
      <c r="AU78" s="19">
        <f>SUM(AU45:AU77)</f>
        <v>357344</v>
      </c>
      <c r="AV78" s="19">
        <f>SUM(AV45:AV77)</f>
        <v>0</v>
      </c>
      <c r="AW78" s="19">
        <f>SUM(AW45:AW77)</f>
        <v>34386</v>
      </c>
      <c r="AX78" s="20">
        <f>SUM(AX45:AX77)</f>
        <v>22860</v>
      </c>
      <c r="AY78" s="20">
        <f>SUM(AY46:AY77)</f>
        <v>286919</v>
      </c>
      <c r="AZ78" s="39">
        <f>SUM(AZ46:AZ77)</f>
        <v>286918</v>
      </c>
      <c r="BA78" s="39"/>
      <c r="BB78" s="32"/>
      <c r="BC78" s="417">
        <v>265252089</v>
      </c>
      <c r="BD78" s="417">
        <v>398680</v>
      </c>
      <c r="BE78" s="216"/>
      <c r="BF78" s="9"/>
      <c r="BH78" s="141"/>
      <c r="BI78" s="5"/>
      <c r="BJ78" s="11"/>
      <c r="BK78" s="11"/>
      <c r="BL78" s="11"/>
      <c r="BM78" s="11"/>
      <c r="BN78" s="11"/>
      <c r="BO78" s="11"/>
      <c r="BP78" s="11"/>
      <c r="BQ78" s="11"/>
      <c r="BR78" s="205"/>
      <c r="BS78" s="206"/>
      <c r="BT78" s="388"/>
      <c r="BU78" s="9"/>
    </row>
    <row r="79" spans="1:73" ht="15" customHeight="1">
      <c r="M79" s="5"/>
      <c r="N79" s="5"/>
      <c r="O79" s="11"/>
      <c r="P79" s="29">
        <f>P78+Q78+R78+S78</f>
        <v>2311533</v>
      </c>
      <c r="Q79" s="10"/>
      <c r="R79" s="10"/>
      <c r="S79" s="10"/>
      <c r="T79" s="47">
        <f>T78+U78</f>
        <v>1829540</v>
      </c>
      <c r="U79" s="10"/>
      <c r="V79" s="10"/>
      <c r="W79" s="33"/>
      <c r="X79" s="11"/>
      <c r="Y79" s="260"/>
      <c r="Z79" s="216"/>
      <c r="AA79" s="9"/>
      <c r="AC79" s="5"/>
      <c r="AD79" s="11"/>
      <c r="AE79" s="29">
        <f>AE78+AF78+AG78+AH78</f>
        <v>0</v>
      </c>
      <c r="AF79" s="10"/>
      <c r="AG79" s="10"/>
      <c r="AH79" s="10"/>
      <c r="AI79" s="47">
        <f>AI78+AJ78</f>
        <v>0</v>
      </c>
      <c r="AJ79" s="10"/>
      <c r="AK79" s="10"/>
      <c r="AL79" s="33"/>
      <c r="AM79" s="11"/>
      <c r="AN79" s="260"/>
      <c r="AO79" s="216"/>
      <c r="AP79" s="9"/>
      <c r="AR79" s="5"/>
      <c r="AS79" s="5"/>
      <c r="AT79" s="29">
        <f>AT78+AU78+AV78+AW78</f>
        <v>398680</v>
      </c>
      <c r="AU79" s="10"/>
      <c r="AV79" s="10"/>
      <c r="AW79" s="10"/>
      <c r="AX79" s="47">
        <f>AX78+AY78</f>
        <v>309779</v>
      </c>
      <c r="AY79" s="10"/>
      <c r="AZ79" s="10"/>
      <c r="BA79" s="10"/>
      <c r="BB79" s="33"/>
      <c r="BC79" s="11"/>
      <c r="BD79" s="260"/>
      <c r="BE79" s="216"/>
      <c r="BF79" s="9"/>
      <c r="BH79" s="18" t="s">
        <v>64</v>
      </c>
      <c r="BI79" s="18"/>
      <c r="BJ79" s="19">
        <f>SUM(BJ45:BJ78)</f>
        <v>2261</v>
      </c>
      <c r="BK79" s="19">
        <f>SUM(BK45:BK78)</f>
        <v>245833</v>
      </c>
      <c r="BL79" s="19">
        <f>SUM(BL45:BL78)</f>
        <v>0</v>
      </c>
      <c r="BM79" s="19">
        <f>SUM(BM45:BM78)</f>
        <v>22490</v>
      </c>
      <c r="BN79" s="20">
        <f>SUM(BN45:BN78)</f>
        <v>28570</v>
      </c>
      <c r="BO79" s="20">
        <f>SUM(BO46:BO78)</f>
        <v>242014</v>
      </c>
      <c r="BP79" s="39">
        <f>SUM(BP46:BP78)</f>
        <v>242014</v>
      </c>
      <c r="BQ79" s="39"/>
      <c r="BR79" s="417">
        <v>284799562</v>
      </c>
      <c r="BS79" s="417">
        <v>270584</v>
      </c>
      <c r="BT79" s="216"/>
      <c r="BU79" s="9"/>
    </row>
    <row r="80" spans="1:73" ht="15" customHeight="1">
      <c r="BC80" s="164"/>
      <c r="BH80" s="5"/>
      <c r="BI80" s="5"/>
      <c r="BJ80" s="29">
        <f>BJ79+BK79+BL79+BM79</f>
        <v>270584</v>
      </c>
      <c r="BK80" s="10"/>
      <c r="BL80" s="10"/>
      <c r="BM80" s="10"/>
      <c r="BN80" s="47">
        <f>BN79+BO79</f>
        <v>270584</v>
      </c>
      <c r="BO80" s="10"/>
      <c r="BP80" s="10"/>
      <c r="BQ80" s="10"/>
      <c r="BR80" s="33"/>
      <c r="BS80" s="11"/>
      <c r="BT80" s="216"/>
      <c r="BU80" s="9"/>
    </row>
    <row r="81" spans="13:73" ht="15" customHeight="1">
      <c r="M81" s="403" t="s">
        <v>177</v>
      </c>
      <c r="N81" s="427"/>
      <c r="O81" s="404"/>
      <c r="P81" s="405"/>
      <c r="Q81" s="405"/>
      <c r="R81" s="405"/>
      <c r="S81" s="406"/>
      <c r="T81" s="406"/>
      <c r="U81" s="406"/>
      <c r="V81" s="406"/>
      <c r="W81" s="407"/>
      <c r="X81" s="408"/>
      <c r="AC81" s="403" t="s">
        <v>177</v>
      </c>
      <c r="AD81" s="404"/>
      <c r="AE81" s="405"/>
      <c r="AF81" s="405"/>
      <c r="AG81" s="405"/>
      <c r="AH81" s="406"/>
      <c r="AI81" s="406"/>
      <c r="AJ81" s="406"/>
      <c r="AK81" s="406"/>
      <c r="AL81" s="407"/>
      <c r="AM81" s="408"/>
      <c r="AR81" s="403" t="s">
        <v>177</v>
      </c>
      <c r="AS81" s="427"/>
      <c r="AT81" s="404"/>
      <c r="AU81" s="405"/>
      <c r="AV81" s="405"/>
      <c r="AW81" s="405"/>
      <c r="AX81" s="406"/>
      <c r="AY81" s="406"/>
      <c r="AZ81" s="406"/>
      <c r="BA81" s="406"/>
      <c r="BB81" s="407"/>
      <c r="BC81" s="408"/>
    </row>
    <row r="82" spans="13:73" ht="15" customHeight="1">
      <c r="M82" s="409"/>
      <c r="N82" s="402"/>
      <c r="O82" s="402"/>
      <c r="P82" s="402"/>
      <c r="Q82" s="402"/>
      <c r="R82" s="402"/>
      <c r="S82" s="402"/>
      <c r="T82" s="396"/>
      <c r="U82" s="396"/>
      <c r="V82" s="396"/>
      <c r="W82" s="396"/>
      <c r="X82" s="410"/>
      <c r="AC82" s="409"/>
      <c r="AD82" s="402"/>
      <c r="AE82" s="402"/>
      <c r="AF82" s="402"/>
      <c r="AG82" s="402"/>
      <c r="AH82" s="402"/>
      <c r="AI82" s="396"/>
      <c r="AJ82" s="396"/>
      <c r="AK82" s="396"/>
      <c r="AL82" s="396"/>
      <c r="AM82" s="410"/>
      <c r="AR82" s="409"/>
      <c r="AS82" s="402"/>
      <c r="AT82" s="402"/>
      <c r="AU82" s="402"/>
      <c r="AV82" s="402"/>
      <c r="AW82" s="402"/>
      <c r="AX82" s="402"/>
      <c r="AY82" s="396"/>
      <c r="AZ82" s="396"/>
      <c r="BA82" s="396"/>
      <c r="BB82" s="396"/>
      <c r="BC82" s="524"/>
      <c r="BH82" s="403" t="s">
        <v>177</v>
      </c>
      <c r="BI82" s="427"/>
      <c r="BJ82" s="404"/>
      <c r="BK82" s="405"/>
      <c r="BL82" s="405"/>
      <c r="BM82" s="405"/>
      <c r="BN82" s="406"/>
      <c r="BO82" s="406"/>
      <c r="BP82" s="406"/>
      <c r="BQ82" s="406"/>
      <c r="BR82" s="407"/>
      <c r="BS82" s="408"/>
    </row>
    <row r="83" spans="13:73" ht="15" customHeight="1">
      <c r="M83" s="628"/>
      <c r="N83" s="629"/>
      <c r="O83" s="629"/>
      <c r="P83" s="629"/>
      <c r="Q83" s="629"/>
      <c r="R83" s="629"/>
      <c r="S83" s="629"/>
      <c r="T83" s="411"/>
      <c r="U83" s="411"/>
      <c r="V83" s="411"/>
      <c r="W83" s="411"/>
      <c r="X83" s="412"/>
      <c r="AC83" s="628"/>
      <c r="AD83" s="629"/>
      <c r="AE83" s="629"/>
      <c r="AF83" s="629"/>
      <c r="AG83" s="629"/>
      <c r="AH83" s="629"/>
      <c r="AI83" s="411"/>
      <c r="AJ83" s="411"/>
      <c r="AK83" s="411"/>
      <c r="AL83" s="411"/>
      <c r="AM83" s="412"/>
      <c r="AR83" s="628"/>
      <c r="AS83" s="629"/>
      <c r="AT83" s="629"/>
      <c r="AU83" s="629"/>
      <c r="AV83" s="629"/>
      <c r="AW83" s="629"/>
      <c r="AX83" s="629"/>
      <c r="AY83" s="411"/>
      <c r="AZ83" s="411"/>
      <c r="BA83" s="411"/>
      <c r="BB83" s="411"/>
      <c r="BC83" s="525"/>
      <c r="BH83" s="409"/>
      <c r="BI83" s="402"/>
      <c r="BJ83" s="402"/>
      <c r="BK83" s="402"/>
      <c r="BL83" s="402"/>
      <c r="BM83" s="402"/>
      <c r="BN83" s="402"/>
      <c r="BO83" s="396"/>
      <c r="BP83" s="396"/>
      <c r="BQ83" s="396"/>
      <c r="BR83" s="396"/>
      <c r="BS83" s="410"/>
    </row>
    <row r="84" spans="13:73" ht="15" customHeight="1">
      <c r="BH84" s="628"/>
      <c r="BI84" s="629"/>
      <c r="BJ84" s="629"/>
      <c r="BK84" s="629"/>
      <c r="BL84" s="629"/>
      <c r="BM84" s="629"/>
      <c r="BN84" s="629"/>
      <c r="BO84" s="411"/>
      <c r="BP84" s="411"/>
      <c r="BQ84" s="411"/>
      <c r="BR84" s="411"/>
      <c r="BS84" s="412"/>
    </row>
    <row r="85" spans="13:73" ht="15" customHeight="1">
      <c r="AR85" s="66" t="s">
        <v>5</v>
      </c>
      <c r="AS85" s="351"/>
      <c r="AT85" s="26"/>
      <c r="AU85" s="26"/>
      <c r="AV85" s="26"/>
      <c r="AW85" s="26"/>
      <c r="AX85" s="26"/>
      <c r="AY85" s="26"/>
      <c r="AZ85" s="26"/>
      <c r="BA85" s="34"/>
      <c r="BB85" s="349"/>
      <c r="BC85" s="255"/>
      <c r="BD85" s="157"/>
      <c r="BE85" s="385"/>
      <c r="BF85" s="386"/>
      <c r="BH85" s="66" t="s">
        <v>5</v>
      </c>
      <c r="BI85" s="351"/>
      <c r="BJ85" s="26"/>
      <c r="BK85" s="26"/>
      <c r="BL85" s="26"/>
      <c r="BM85" s="26"/>
      <c r="BN85" s="26"/>
      <c r="BO85" s="26"/>
      <c r="BP85" s="26"/>
      <c r="BQ85" s="34"/>
      <c r="BR85" s="349"/>
      <c r="BS85" s="255"/>
      <c r="BT85" s="157"/>
      <c r="BU85" s="157"/>
    </row>
    <row r="86" spans="13:73" ht="15" customHeight="1">
      <c r="AR86" s="141">
        <v>46082</v>
      </c>
      <c r="AS86" s="142"/>
      <c r="AT86" s="142"/>
      <c r="AU86" s="142"/>
      <c r="AV86" s="142"/>
      <c r="AW86" s="142"/>
      <c r="AX86" s="142"/>
      <c r="AY86" s="142"/>
      <c r="AZ86" s="142"/>
      <c r="BA86" s="143"/>
      <c r="BB86" s="144"/>
      <c r="BC86" s="256"/>
      <c r="BD86" s="158"/>
      <c r="BE86" s="381"/>
      <c r="BF86" s="158"/>
      <c r="BH86" s="141">
        <v>46082</v>
      </c>
      <c r="BI86" s="142"/>
      <c r="BJ86" s="142"/>
      <c r="BK86" s="142"/>
      <c r="BL86" s="142"/>
      <c r="BM86" s="142"/>
      <c r="BN86" s="142"/>
      <c r="BO86" s="142"/>
      <c r="BP86" s="142"/>
      <c r="BQ86" s="143"/>
      <c r="BR86" s="144"/>
      <c r="BS86" s="256"/>
      <c r="BT86" s="158"/>
      <c r="BU86" s="158"/>
    </row>
    <row r="87" spans="13:73" ht="15" customHeight="1">
      <c r="AR87" s="141">
        <v>46083</v>
      </c>
      <c r="AS87" s="11"/>
      <c r="AT87" s="11"/>
      <c r="AU87" s="11"/>
      <c r="AV87" s="11"/>
      <c r="AW87" s="11"/>
      <c r="AX87" s="11"/>
      <c r="AY87" s="11"/>
      <c r="AZ87" s="11"/>
      <c r="BA87" s="38"/>
      <c r="BB87" s="38"/>
      <c r="BC87" s="72"/>
      <c r="BD87" s="9"/>
      <c r="BE87" s="216"/>
      <c r="BF87" s="9"/>
      <c r="BH87" s="141">
        <v>46083</v>
      </c>
      <c r="BI87" s="11">
        <v>81225</v>
      </c>
      <c r="BJ87" s="11">
        <v>550</v>
      </c>
      <c r="BK87" s="11">
        <v>46990</v>
      </c>
      <c r="BL87" s="11"/>
      <c r="BM87" s="11">
        <v>6520</v>
      </c>
      <c r="BN87" s="11">
        <v>4330</v>
      </c>
      <c r="BO87" s="11">
        <v>49730</v>
      </c>
      <c r="BP87" s="11">
        <v>49730</v>
      </c>
      <c r="BQ87" s="38" t="s">
        <v>113</v>
      </c>
      <c r="BR87" s="72">
        <v>284853622</v>
      </c>
      <c r="BS87" s="72"/>
      <c r="BT87" s="9"/>
      <c r="BU87" s="9"/>
    </row>
    <row r="88" spans="13:73" ht="15" customHeight="1">
      <c r="AR88" s="141">
        <v>46084</v>
      </c>
      <c r="AS88" s="142">
        <v>0</v>
      </c>
      <c r="AT88" s="142">
        <v>0</v>
      </c>
      <c r="AU88" s="142">
        <v>0</v>
      </c>
      <c r="AV88" s="142">
        <v>0</v>
      </c>
      <c r="AW88" s="142">
        <v>0</v>
      </c>
      <c r="AX88" s="142">
        <v>0</v>
      </c>
      <c r="AY88" s="142">
        <v>0</v>
      </c>
      <c r="AZ88" s="142">
        <v>0</v>
      </c>
      <c r="BA88" s="143" t="s">
        <v>312</v>
      </c>
      <c r="BB88" s="143" t="s">
        <v>112</v>
      </c>
      <c r="BC88" s="146">
        <v>265252089</v>
      </c>
      <c r="BD88" s="158"/>
      <c r="BE88" s="381"/>
      <c r="BF88" s="158"/>
      <c r="BH88" s="141">
        <v>46084</v>
      </c>
      <c r="BI88" s="11">
        <v>101460</v>
      </c>
      <c r="BJ88" s="11">
        <v>1300</v>
      </c>
      <c r="BK88" s="11">
        <v>61205</v>
      </c>
      <c r="BL88" s="11"/>
      <c r="BM88" s="11">
        <v>10955</v>
      </c>
      <c r="BN88" s="11">
        <v>4520</v>
      </c>
      <c r="BO88" s="11">
        <v>68940</v>
      </c>
      <c r="BP88" s="11">
        <v>68940</v>
      </c>
      <c r="BQ88" s="38" t="s">
        <v>842</v>
      </c>
      <c r="BR88" s="72">
        <v>284927082</v>
      </c>
      <c r="BS88" s="72"/>
      <c r="BT88" s="9"/>
      <c r="BU88" s="9"/>
    </row>
    <row r="89" spans="13:73" ht="15" customHeight="1">
      <c r="AR89" s="141">
        <v>46085</v>
      </c>
      <c r="AS89" s="142"/>
      <c r="AT89" s="142"/>
      <c r="AU89" s="142"/>
      <c r="AV89" s="142"/>
      <c r="AW89" s="142"/>
      <c r="AX89" s="142"/>
      <c r="AY89" s="142"/>
      <c r="AZ89" s="142"/>
      <c r="BA89" s="143"/>
      <c r="BB89" s="143"/>
      <c r="BC89" s="146"/>
      <c r="BD89" s="158"/>
      <c r="BE89" s="381"/>
      <c r="BF89" s="158"/>
      <c r="BH89" s="141">
        <v>46085</v>
      </c>
      <c r="BI89" s="11"/>
      <c r="BJ89" s="11"/>
      <c r="BK89" s="11"/>
      <c r="BL89" s="11"/>
      <c r="BM89" s="11"/>
      <c r="BN89" s="11"/>
      <c r="BO89" s="11"/>
      <c r="BP89" s="11"/>
      <c r="BQ89" s="38"/>
      <c r="BR89" s="531"/>
      <c r="BS89" s="72"/>
      <c r="BT89" s="9"/>
      <c r="BU89" s="9"/>
    </row>
    <row r="90" spans="13:73" ht="15" customHeight="1">
      <c r="AR90" s="141">
        <v>46086</v>
      </c>
      <c r="AS90" s="142"/>
      <c r="AT90" s="142"/>
      <c r="AU90" s="142"/>
      <c r="AV90" s="142"/>
      <c r="AW90" s="142"/>
      <c r="AX90" s="142"/>
      <c r="AY90" s="142"/>
      <c r="AZ90" s="142"/>
      <c r="BA90" s="143"/>
      <c r="BB90" s="143"/>
      <c r="BC90" s="146"/>
      <c r="BD90" s="158"/>
      <c r="BE90" s="381"/>
      <c r="BF90" s="158"/>
      <c r="BH90" s="141">
        <v>46086</v>
      </c>
      <c r="BI90" s="11"/>
      <c r="BJ90" s="11"/>
      <c r="BK90" s="11"/>
      <c r="BL90" s="11"/>
      <c r="BM90" s="11"/>
      <c r="BN90" s="11"/>
      <c r="BO90" s="11"/>
      <c r="BP90" s="11"/>
      <c r="BQ90" s="38"/>
      <c r="BR90" s="531"/>
      <c r="BS90" s="72"/>
      <c r="BT90" s="9"/>
      <c r="BU90" s="9"/>
    </row>
    <row r="91" spans="13:73" ht="15" customHeight="1">
      <c r="AR91" s="141">
        <v>46087</v>
      </c>
      <c r="AS91" s="142"/>
      <c r="AT91" s="142"/>
      <c r="AU91" s="142"/>
      <c r="AV91" s="142"/>
      <c r="AW91" s="142"/>
      <c r="AX91" s="142"/>
      <c r="AY91" s="142"/>
      <c r="AZ91" s="142"/>
      <c r="BA91" s="143"/>
      <c r="BB91" s="143"/>
      <c r="BC91" s="146"/>
      <c r="BD91" s="158"/>
      <c r="BE91" s="381"/>
      <c r="BF91" s="158"/>
      <c r="BH91" s="141">
        <v>46087</v>
      </c>
      <c r="BI91" s="11"/>
      <c r="BJ91" s="11"/>
      <c r="BK91" s="11"/>
      <c r="BL91" s="11"/>
      <c r="BM91" s="11"/>
      <c r="BN91" s="11"/>
      <c r="BO91" s="11"/>
      <c r="BP91" s="11"/>
      <c r="BQ91" s="38"/>
      <c r="BR91" s="531"/>
      <c r="BS91" s="72"/>
      <c r="BT91" s="9"/>
      <c r="BU91" s="9"/>
    </row>
    <row r="92" spans="13:73" ht="15" customHeight="1">
      <c r="AR92" s="141">
        <v>46088</v>
      </c>
      <c r="AS92" s="15"/>
      <c r="AT92" s="15"/>
      <c r="AU92" s="15"/>
      <c r="AV92" s="15"/>
      <c r="AW92" s="15"/>
      <c r="AX92" s="15"/>
      <c r="AY92" s="15"/>
      <c r="AZ92" s="15"/>
      <c r="BA92" s="565"/>
      <c r="BB92" s="565"/>
      <c r="BC92" s="572"/>
      <c r="BD92" s="568"/>
      <c r="BE92" s="569"/>
      <c r="BF92" s="568"/>
      <c r="BH92" s="141">
        <v>46088</v>
      </c>
      <c r="BI92" s="142"/>
      <c r="BJ92" s="142"/>
      <c r="BK92" s="142"/>
      <c r="BL92" s="142"/>
      <c r="BM92" s="142"/>
      <c r="BN92" s="142"/>
      <c r="BO92" s="142"/>
      <c r="BP92" s="142"/>
      <c r="BQ92" s="143"/>
      <c r="BR92" s="532"/>
      <c r="BS92" s="249"/>
      <c r="BT92" s="158"/>
      <c r="BU92" s="158"/>
    </row>
    <row r="93" spans="13:73" ht="15" customHeight="1">
      <c r="AR93" s="141">
        <v>46089</v>
      </c>
      <c r="AS93" s="15"/>
      <c r="AT93" s="15"/>
      <c r="AU93" s="15"/>
      <c r="AV93" s="15"/>
      <c r="AW93" s="15"/>
      <c r="AX93" s="15"/>
      <c r="AY93" s="15"/>
      <c r="AZ93" s="15"/>
      <c r="BA93" s="565"/>
      <c r="BB93" s="565"/>
      <c r="BC93" s="572"/>
      <c r="BD93" s="568"/>
      <c r="BE93" s="569"/>
      <c r="BF93" s="568"/>
      <c r="BH93" s="141">
        <v>46089</v>
      </c>
      <c r="BI93" s="142"/>
      <c r="BJ93" s="142"/>
      <c r="BK93" s="142"/>
      <c r="BL93" s="142"/>
      <c r="BM93" s="142"/>
      <c r="BN93" s="142"/>
      <c r="BO93" s="142"/>
      <c r="BP93" s="142"/>
      <c r="BQ93" s="143"/>
      <c r="BR93" s="532"/>
      <c r="BS93" s="249"/>
      <c r="BT93" s="158"/>
      <c r="BU93" s="158"/>
    </row>
    <row r="94" spans="13:73" ht="15" customHeight="1">
      <c r="AR94" s="141">
        <v>46090</v>
      </c>
      <c r="AS94" s="15"/>
      <c r="AT94" s="15"/>
      <c r="AU94" s="15"/>
      <c r="AV94" s="15"/>
      <c r="AW94" s="15"/>
      <c r="AX94" s="15"/>
      <c r="AY94" s="15"/>
      <c r="AZ94" s="15"/>
      <c r="BA94" s="565"/>
      <c r="BB94" s="565"/>
      <c r="BC94" s="571"/>
      <c r="BD94" s="568"/>
      <c r="BE94" s="569"/>
      <c r="BF94" s="568"/>
      <c r="BH94" s="141">
        <v>46090</v>
      </c>
      <c r="BI94" s="11"/>
      <c r="BJ94" s="11"/>
      <c r="BK94" s="11"/>
      <c r="BL94" s="11"/>
      <c r="BM94" s="11"/>
      <c r="BN94" s="11"/>
      <c r="BO94" s="11"/>
      <c r="BP94" s="11"/>
      <c r="BQ94" s="38"/>
      <c r="BR94" s="531"/>
      <c r="BS94" s="72"/>
      <c r="BT94" s="9"/>
      <c r="BU94" s="9"/>
    </row>
    <row r="95" spans="13:73" ht="15" customHeight="1">
      <c r="AR95" s="141">
        <v>46091</v>
      </c>
      <c r="AS95" s="15">
        <v>0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565" t="s">
        <v>312</v>
      </c>
      <c r="BB95" s="565" t="s">
        <v>843</v>
      </c>
      <c r="BC95" s="571">
        <v>265252089</v>
      </c>
      <c r="BD95" s="568"/>
      <c r="BE95" s="569"/>
      <c r="BF95" s="568"/>
      <c r="BH95" s="141">
        <v>46091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38" t="s">
        <v>844</v>
      </c>
      <c r="BR95" s="72">
        <v>284927082</v>
      </c>
      <c r="BS95" s="72"/>
      <c r="BT95" s="9"/>
      <c r="BU95" s="9"/>
    </row>
    <row r="96" spans="13:73" ht="15" customHeight="1">
      <c r="AR96" s="141">
        <v>46092</v>
      </c>
      <c r="AS96" s="142"/>
      <c r="AT96" s="142"/>
      <c r="AU96" s="142"/>
      <c r="AV96" s="142"/>
      <c r="AW96" s="142"/>
      <c r="AX96" s="142"/>
      <c r="AY96" s="142"/>
      <c r="AZ96" s="142"/>
      <c r="BA96" s="143"/>
      <c r="BB96" s="143"/>
      <c r="BC96" s="146"/>
      <c r="BD96" s="158"/>
      <c r="BE96" s="381"/>
      <c r="BF96" s="158"/>
      <c r="BH96" s="141">
        <v>46092</v>
      </c>
      <c r="BI96" s="11"/>
      <c r="BJ96" s="11"/>
      <c r="BK96" s="11"/>
      <c r="BL96" s="11"/>
      <c r="BM96" s="11"/>
      <c r="BN96" s="11"/>
      <c r="BO96" s="11"/>
      <c r="BP96" s="11"/>
      <c r="BQ96" s="38"/>
      <c r="BR96" s="531"/>
      <c r="BS96" s="72"/>
      <c r="BT96" s="9"/>
      <c r="BU96" s="9"/>
    </row>
    <row r="97" spans="44:73" ht="15" customHeight="1">
      <c r="AR97" s="141">
        <v>46093</v>
      </c>
      <c r="AS97" s="142"/>
      <c r="AT97" s="142"/>
      <c r="AU97" s="142"/>
      <c r="AV97" s="142"/>
      <c r="AW97" s="142"/>
      <c r="AX97" s="142"/>
      <c r="AY97" s="142"/>
      <c r="AZ97" s="142"/>
      <c r="BA97" s="143"/>
      <c r="BB97" s="143"/>
      <c r="BC97" s="146"/>
      <c r="BD97" s="547"/>
      <c r="BE97" s="381"/>
      <c r="BF97" s="158"/>
      <c r="BH97" s="141">
        <v>46093</v>
      </c>
      <c r="BI97" s="11"/>
      <c r="BJ97" s="11"/>
      <c r="BK97" s="11"/>
      <c r="BL97" s="11"/>
      <c r="BM97" s="11"/>
      <c r="BN97" s="11"/>
      <c r="BO97" s="11"/>
      <c r="BP97" s="11"/>
      <c r="BQ97" s="38"/>
      <c r="BR97" s="531"/>
      <c r="BS97" s="72"/>
      <c r="BT97" s="378"/>
      <c r="BU97" s="9"/>
    </row>
    <row r="98" spans="44:73" ht="15" customHeight="1">
      <c r="AR98" s="141">
        <v>46094</v>
      </c>
      <c r="AS98" s="15"/>
      <c r="AT98" s="15"/>
      <c r="AU98" s="15"/>
      <c r="AV98" s="15"/>
      <c r="AW98" s="15"/>
      <c r="AX98" s="15"/>
      <c r="AY98" s="15"/>
      <c r="AZ98" s="15"/>
      <c r="BA98" s="565"/>
      <c r="BB98" s="565"/>
      <c r="BC98" s="571"/>
      <c r="BD98" s="568"/>
      <c r="BE98" s="569"/>
      <c r="BF98" s="568"/>
      <c r="BH98" s="141">
        <v>46094</v>
      </c>
      <c r="BI98" s="11"/>
      <c r="BJ98" s="11"/>
      <c r="BK98" s="11"/>
      <c r="BL98" s="11"/>
      <c r="BM98" s="11"/>
      <c r="BN98" s="11"/>
      <c r="BO98" s="11"/>
      <c r="BP98" s="11"/>
      <c r="BQ98" s="38"/>
      <c r="BR98" s="531"/>
      <c r="BS98" s="72"/>
      <c r="BT98" s="9"/>
      <c r="BU98" s="9"/>
    </row>
    <row r="99" spans="44:73" ht="15" customHeight="1">
      <c r="AR99" s="141">
        <v>46095</v>
      </c>
      <c r="AS99" s="15"/>
      <c r="AT99" s="15"/>
      <c r="AU99" s="15"/>
      <c r="AV99" s="15"/>
      <c r="AW99" s="15"/>
      <c r="AX99" s="15"/>
      <c r="AY99" s="15"/>
      <c r="AZ99" s="15"/>
      <c r="BA99" s="565"/>
      <c r="BB99" s="565"/>
      <c r="BC99" s="571"/>
      <c r="BD99" s="568"/>
      <c r="BE99" s="569"/>
      <c r="BF99" s="568"/>
      <c r="BH99" s="141">
        <v>46095</v>
      </c>
      <c r="BI99" s="142"/>
      <c r="BJ99" s="142"/>
      <c r="BK99" s="142"/>
      <c r="BL99" s="142"/>
      <c r="BM99" s="142"/>
      <c r="BN99" s="142"/>
      <c r="BO99" s="142"/>
      <c r="BP99" s="142"/>
      <c r="BQ99" s="143"/>
      <c r="BR99" s="143"/>
      <c r="BS99" s="146"/>
      <c r="BT99" s="158"/>
      <c r="BU99" s="158"/>
    </row>
    <row r="100" spans="44:73" ht="15" customHeight="1">
      <c r="AR100" s="141">
        <v>46096</v>
      </c>
      <c r="AS100" s="15"/>
      <c r="AT100" s="15"/>
      <c r="AU100" s="15"/>
      <c r="AV100" s="15"/>
      <c r="AW100" s="15"/>
      <c r="AX100" s="15"/>
      <c r="AY100" s="15"/>
      <c r="AZ100" s="15"/>
      <c r="BA100" s="565"/>
      <c r="BB100" s="565"/>
      <c r="BC100" s="571"/>
      <c r="BD100" s="568"/>
      <c r="BE100" s="569"/>
      <c r="BF100" s="568"/>
      <c r="BH100" s="141">
        <v>46096</v>
      </c>
      <c r="BI100" s="142"/>
      <c r="BJ100" s="142"/>
      <c r="BK100" s="142"/>
      <c r="BL100" s="142"/>
      <c r="BM100" s="142"/>
      <c r="BN100" s="142"/>
      <c r="BO100" s="142"/>
      <c r="BP100" s="142"/>
      <c r="BQ100" s="143"/>
      <c r="BR100" s="143"/>
      <c r="BS100" s="146"/>
      <c r="BT100" s="158"/>
      <c r="BU100" s="158"/>
    </row>
    <row r="101" spans="44:73" ht="15" customHeight="1">
      <c r="AR101" s="141">
        <v>46097</v>
      </c>
      <c r="AS101" s="15"/>
      <c r="AT101" s="15"/>
      <c r="AU101" s="15"/>
      <c r="AV101" s="15"/>
      <c r="AW101" s="15"/>
      <c r="AX101" s="15"/>
      <c r="AY101" s="15"/>
      <c r="AZ101" s="15"/>
      <c r="BA101" s="565"/>
      <c r="BB101" s="565"/>
      <c r="BC101" s="571"/>
      <c r="BD101" s="568"/>
      <c r="BE101" s="569"/>
      <c r="BF101" s="568"/>
      <c r="BH101" s="141">
        <v>46097</v>
      </c>
      <c r="BI101" s="11"/>
      <c r="BJ101" s="11"/>
      <c r="BK101" s="11"/>
      <c r="BL101" s="11"/>
      <c r="BM101" s="11"/>
      <c r="BN101" s="11"/>
      <c r="BO101" s="11"/>
      <c r="BP101" s="11"/>
      <c r="BQ101" s="38"/>
      <c r="BR101" s="38"/>
      <c r="BS101" s="72"/>
      <c r="BT101" s="9"/>
      <c r="BU101" s="9"/>
    </row>
    <row r="102" spans="44:73" ht="15" customHeight="1">
      <c r="AR102" s="141">
        <v>46098</v>
      </c>
      <c r="AS102" s="11"/>
      <c r="AT102" s="11"/>
      <c r="AU102" s="11"/>
      <c r="AV102" s="11"/>
      <c r="AW102" s="11"/>
      <c r="AX102" s="11"/>
      <c r="AY102" s="11"/>
      <c r="AZ102" s="11"/>
      <c r="BA102" s="38"/>
      <c r="BB102" s="38"/>
      <c r="BC102" s="72"/>
      <c r="BD102" s="9"/>
      <c r="BE102" s="216"/>
      <c r="BF102" s="9"/>
      <c r="BH102" s="141">
        <v>46098</v>
      </c>
      <c r="BI102" s="11">
        <v>0</v>
      </c>
      <c r="BJ102" s="11">
        <v>0</v>
      </c>
      <c r="BK102" s="11">
        <v>106680</v>
      </c>
      <c r="BL102" s="11">
        <v>0</v>
      </c>
      <c r="BM102" s="11">
        <v>0</v>
      </c>
      <c r="BN102" s="11">
        <v>0</v>
      </c>
      <c r="BO102" s="11">
        <v>16680</v>
      </c>
      <c r="BP102" s="11">
        <v>106608</v>
      </c>
      <c r="BQ102" s="38" t="s">
        <v>845</v>
      </c>
      <c r="BR102" s="72">
        <v>285033762</v>
      </c>
      <c r="BS102" s="72"/>
      <c r="BT102" s="9"/>
      <c r="BU102" s="9"/>
    </row>
    <row r="103" spans="44:73" ht="15" customHeight="1">
      <c r="AR103" s="141">
        <v>46099</v>
      </c>
      <c r="AS103" s="11"/>
      <c r="AT103" s="11"/>
      <c r="AU103" s="11"/>
      <c r="AV103" s="11"/>
      <c r="AW103" s="11"/>
      <c r="AX103" s="11"/>
      <c r="AY103" s="11"/>
      <c r="AZ103" s="11"/>
      <c r="BA103" s="38"/>
      <c r="BB103" s="38"/>
      <c r="BC103" s="72"/>
      <c r="BD103" s="9"/>
      <c r="BE103" s="216"/>
      <c r="BF103" s="9"/>
      <c r="BH103" s="141">
        <v>46099</v>
      </c>
      <c r="BI103" s="11"/>
      <c r="BJ103" s="11"/>
      <c r="BK103" s="11"/>
      <c r="BL103" s="11"/>
      <c r="BM103" s="11"/>
      <c r="BN103" s="11"/>
      <c r="BO103" s="11"/>
      <c r="BP103" s="11"/>
      <c r="BQ103" s="38"/>
      <c r="BR103" s="38"/>
      <c r="BS103" s="72"/>
      <c r="BT103" s="9"/>
      <c r="BU103" s="9"/>
    </row>
    <row r="104" spans="44:73" ht="15" customHeight="1">
      <c r="AR104" s="141">
        <v>46100</v>
      </c>
      <c r="AS104" s="11"/>
      <c r="AT104" s="11"/>
      <c r="AU104" s="11"/>
      <c r="AV104" s="11"/>
      <c r="AW104" s="11"/>
      <c r="AX104" s="11"/>
      <c r="AY104" s="11"/>
      <c r="AZ104" s="11"/>
      <c r="BA104" s="38"/>
      <c r="BB104" s="38"/>
      <c r="BC104" s="72"/>
      <c r="BD104" s="9"/>
      <c r="BE104" s="216"/>
      <c r="BF104" s="9"/>
      <c r="BH104" s="141">
        <v>46100</v>
      </c>
      <c r="BI104" s="11"/>
      <c r="BJ104" s="11"/>
      <c r="BK104" s="11"/>
      <c r="BL104" s="11"/>
      <c r="BM104" s="11"/>
      <c r="BN104" s="11"/>
      <c r="BO104" s="11"/>
      <c r="BP104" s="11"/>
      <c r="BQ104" s="38"/>
      <c r="BR104" s="38"/>
      <c r="BS104" s="72"/>
      <c r="BT104" s="9"/>
      <c r="BU104" s="9"/>
    </row>
    <row r="105" spans="44:73" ht="15" customHeight="1">
      <c r="AR105" s="141">
        <v>46101</v>
      </c>
      <c r="AS105" s="11">
        <v>76220</v>
      </c>
      <c r="AT105" s="11">
        <v>712</v>
      </c>
      <c r="AU105" s="11">
        <v>53508</v>
      </c>
      <c r="AV105" s="11"/>
      <c r="AW105" s="11">
        <v>2680</v>
      </c>
      <c r="AX105" s="11">
        <v>8160</v>
      </c>
      <c r="AY105" s="11">
        <v>48740</v>
      </c>
      <c r="AZ105" s="11">
        <v>48740</v>
      </c>
      <c r="BA105" s="38"/>
      <c r="BB105" s="38" t="s">
        <v>846</v>
      </c>
      <c r="BC105" s="72">
        <v>265308989</v>
      </c>
      <c r="BD105" s="9"/>
      <c r="BE105" s="216"/>
      <c r="BF105" s="9"/>
      <c r="BH105" s="141">
        <v>46101</v>
      </c>
      <c r="BI105" s="11"/>
      <c r="BJ105" s="11"/>
      <c r="BK105" s="11"/>
      <c r="BL105" s="11"/>
      <c r="BM105" s="11"/>
      <c r="BN105" s="11"/>
      <c r="BO105" s="11"/>
      <c r="BP105" s="11"/>
      <c r="BQ105" s="38"/>
      <c r="BR105" s="38"/>
      <c r="BS105" s="72"/>
      <c r="BT105" s="9"/>
      <c r="BU105" s="9"/>
    </row>
    <row r="106" spans="44:73" ht="15" customHeight="1">
      <c r="AR106" s="141">
        <v>46102</v>
      </c>
      <c r="AS106" s="142"/>
      <c r="AT106" s="142"/>
      <c r="AU106" s="142"/>
      <c r="AV106" s="142"/>
      <c r="AW106" s="142"/>
      <c r="AX106" s="142"/>
      <c r="AY106" s="142"/>
      <c r="AZ106" s="142"/>
      <c r="BA106" s="143"/>
      <c r="BB106" s="143"/>
      <c r="BC106" s="146"/>
      <c r="BD106" s="158"/>
      <c r="BE106" s="381"/>
      <c r="BF106" s="158"/>
      <c r="BH106" s="141">
        <v>46102</v>
      </c>
      <c r="BI106" s="142"/>
      <c r="BJ106" s="142"/>
      <c r="BK106" s="142"/>
      <c r="BL106" s="142"/>
      <c r="BM106" s="142"/>
      <c r="BN106" s="142"/>
      <c r="BO106" s="142"/>
      <c r="BP106" s="142"/>
      <c r="BQ106" s="143"/>
      <c r="BR106" s="143"/>
      <c r="BS106" s="146"/>
      <c r="BT106" s="158"/>
      <c r="BU106" s="158"/>
    </row>
    <row r="107" spans="44:73" ht="15" customHeight="1">
      <c r="AR107" s="141">
        <v>46103</v>
      </c>
      <c r="AS107" s="142"/>
      <c r="AT107" s="142"/>
      <c r="AU107" s="142"/>
      <c r="AV107" s="142"/>
      <c r="AW107" s="142"/>
      <c r="AX107" s="142"/>
      <c r="AY107" s="142"/>
      <c r="AZ107" s="142"/>
      <c r="BA107" s="143"/>
      <c r="BB107" s="143"/>
      <c r="BC107" s="146"/>
      <c r="BD107" s="158"/>
      <c r="BE107" s="381"/>
      <c r="BF107" s="158"/>
      <c r="BH107" s="141">
        <v>46103</v>
      </c>
      <c r="BI107" s="142"/>
      <c r="BJ107" s="142"/>
      <c r="BK107" s="142"/>
      <c r="BL107" s="142"/>
      <c r="BM107" s="142"/>
      <c r="BN107" s="142"/>
      <c r="BO107" s="142"/>
      <c r="BP107" s="142"/>
      <c r="BQ107" s="143"/>
      <c r="BR107" s="143"/>
      <c r="BS107" s="146"/>
      <c r="BT107" s="158"/>
      <c r="BU107" s="158"/>
    </row>
    <row r="108" spans="44:73" ht="15" customHeight="1">
      <c r="AR108" s="141">
        <v>46104</v>
      </c>
      <c r="AS108" s="11">
        <v>88870</v>
      </c>
      <c r="AT108" s="11"/>
      <c r="AU108" s="11">
        <v>55170</v>
      </c>
      <c r="AV108" s="11"/>
      <c r="AW108" s="11">
        <v>12360</v>
      </c>
      <c r="AX108" s="11"/>
      <c r="AY108" s="11">
        <v>67530</v>
      </c>
      <c r="AZ108" s="11">
        <v>67530</v>
      </c>
      <c r="BA108" s="38"/>
      <c r="BB108" s="38" t="s">
        <v>847</v>
      </c>
      <c r="BC108" s="72">
        <v>265376519</v>
      </c>
      <c r="BD108" s="9"/>
      <c r="BE108" s="216"/>
      <c r="BF108" s="9"/>
      <c r="BH108" s="141">
        <v>46104</v>
      </c>
      <c r="BI108" s="11"/>
      <c r="BJ108" s="11"/>
      <c r="BK108" s="11"/>
      <c r="BL108" s="11"/>
      <c r="BM108" s="11"/>
      <c r="BN108" s="11"/>
      <c r="BO108" s="11"/>
      <c r="BP108" s="11"/>
      <c r="BQ108" s="38"/>
      <c r="BR108" s="38"/>
      <c r="BS108" s="72"/>
      <c r="BT108" s="9"/>
      <c r="BU108" s="9"/>
    </row>
    <row r="109" spans="44:73" ht="15" customHeight="1">
      <c r="AR109" s="141">
        <v>46105</v>
      </c>
      <c r="AS109" s="11">
        <v>116270</v>
      </c>
      <c r="AT109" s="11">
        <v>700</v>
      </c>
      <c r="AU109" s="11">
        <v>104273</v>
      </c>
      <c r="AV109" s="11"/>
      <c r="AW109" s="11">
        <v>7276</v>
      </c>
      <c r="AX109" s="11">
        <v>7690</v>
      </c>
      <c r="AY109" s="11">
        <v>104559</v>
      </c>
      <c r="AZ109" s="11">
        <v>104559</v>
      </c>
      <c r="BA109" s="38"/>
      <c r="BB109" s="38" t="s">
        <v>848</v>
      </c>
      <c r="BC109" s="72">
        <v>265488768</v>
      </c>
      <c r="BD109" s="9"/>
      <c r="BE109" s="216"/>
      <c r="BF109" s="9"/>
      <c r="BH109" s="141">
        <v>46105</v>
      </c>
      <c r="BI109" s="11"/>
      <c r="BJ109" s="11"/>
      <c r="BK109" s="11"/>
      <c r="BL109" s="11"/>
      <c r="BM109" s="11"/>
      <c r="BN109" s="11"/>
      <c r="BO109" s="11"/>
      <c r="BP109" s="11"/>
      <c r="BQ109" s="38"/>
      <c r="BR109" s="38"/>
      <c r="BS109" s="72"/>
      <c r="BT109" s="9"/>
      <c r="BU109" s="9"/>
    </row>
    <row r="110" spans="44:73" ht="15" customHeight="1">
      <c r="AR110" s="141">
        <v>46106</v>
      </c>
      <c r="AS110" s="11">
        <v>102125</v>
      </c>
      <c r="AT110" s="11">
        <v>450</v>
      </c>
      <c r="AU110" s="11">
        <v>62173</v>
      </c>
      <c r="AV110" s="11"/>
      <c r="AW110" s="11">
        <v>14177</v>
      </c>
      <c r="AX110" s="11">
        <v>5370</v>
      </c>
      <c r="AY110" s="11">
        <v>71430</v>
      </c>
      <c r="AZ110" s="11">
        <v>71430</v>
      </c>
      <c r="BA110" s="38"/>
      <c r="BB110" s="38" t="s">
        <v>849</v>
      </c>
      <c r="BC110" s="72">
        <v>265565568</v>
      </c>
      <c r="BD110" s="9"/>
      <c r="BE110" s="216"/>
      <c r="BF110" s="9"/>
      <c r="BH110" s="141">
        <v>46106</v>
      </c>
      <c r="BI110" s="11"/>
      <c r="BJ110" s="11"/>
      <c r="BK110" s="11"/>
      <c r="BL110" s="11"/>
      <c r="BM110" s="11"/>
      <c r="BN110" s="11"/>
      <c r="BO110" s="11"/>
      <c r="BP110" s="11"/>
      <c r="BQ110" s="38"/>
      <c r="BR110" s="38"/>
      <c r="BS110" s="72"/>
      <c r="BT110" s="9"/>
      <c r="BU110" s="9"/>
    </row>
    <row r="111" spans="44:73" ht="15" customHeight="1">
      <c r="AR111" s="141">
        <v>46107</v>
      </c>
      <c r="AS111" s="11">
        <v>56500</v>
      </c>
      <c r="AT111" s="11">
        <v>350</v>
      </c>
      <c r="AU111" s="11">
        <v>30350</v>
      </c>
      <c r="AV111" s="11"/>
      <c r="AW111" s="11">
        <v>9426</v>
      </c>
      <c r="AX111" s="11">
        <v>3270</v>
      </c>
      <c r="AY111" s="11">
        <v>36856</v>
      </c>
      <c r="AZ111" s="11">
        <v>36856</v>
      </c>
      <c r="BA111" s="38"/>
      <c r="BB111" s="38" t="s">
        <v>850</v>
      </c>
      <c r="BC111" s="72">
        <v>265605694</v>
      </c>
      <c r="BD111" s="9"/>
      <c r="BE111" s="216"/>
      <c r="BF111" s="9"/>
      <c r="BH111" s="141">
        <v>46107</v>
      </c>
      <c r="BI111" s="11"/>
      <c r="BJ111" s="11"/>
      <c r="BK111" s="11"/>
      <c r="BL111" s="11"/>
      <c r="BM111" s="11"/>
      <c r="BN111" s="11"/>
      <c r="BO111" s="11"/>
      <c r="BP111" s="11"/>
      <c r="BQ111" s="38"/>
      <c r="BR111" s="38"/>
      <c r="BS111" s="72"/>
      <c r="BT111" s="9"/>
      <c r="BU111" s="9"/>
    </row>
    <row r="112" spans="44:73" ht="15" customHeight="1">
      <c r="AR112" s="141">
        <v>46108</v>
      </c>
      <c r="AS112" s="11">
        <v>51550</v>
      </c>
      <c r="AT112" s="11">
        <v>50</v>
      </c>
      <c r="AU112" s="11">
        <v>20690</v>
      </c>
      <c r="AV112" s="11"/>
      <c r="AW112" s="11">
        <v>350</v>
      </c>
      <c r="AX112" s="11"/>
      <c r="AY112" s="608">
        <v>18000</v>
      </c>
      <c r="AZ112" s="608">
        <v>24280</v>
      </c>
      <c r="BA112" s="38"/>
      <c r="BB112" s="38" t="s">
        <v>851</v>
      </c>
      <c r="BC112" s="72">
        <v>265626784</v>
      </c>
      <c r="BD112" s="9"/>
      <c r="BE112" s="216"/>
      <c r="BF112" s="9"/>
      <c r="BH112" s="141">
        <v>46108</v>
      </c>
      <c r="BI112" s="11"/>
      <c r="BJ112" s="11"/>
      <c r="BK112" s="11"/>
      <c r="BL112" s="11"/>
      <c r="BM112" s="11"/>
      <c r="BN112" s="11"/>
      <c r="BO112" s="11"/>
      <c r="BP112" s="11"/>
      <c r="BQ112" s="38"/>
      <c r="BR112" s="38"/>
      <c r="BS112" s="72"/>
      <c r="BT112" s="9"/>
      <c r="BU112" s="9"/>
    </row>
    <row r="113" spans="44:73" ht="15" customHeight="1">
      <c r="AR113" s="141">
        <v>46109</v>
      </c>
      <c r="AS113" s="142"/>
      <c r="AT113" s="142"/>
      <c r="AU113" s="142"/>
      <c r="AV113" s="142"/>
      <c r="AW113" s="142"/>
      <c r="AX113" s="142"/>
      <c r="AY113" s="142"/>
      <c r="AZ113" s="142"/>
      <c r="BA113" s="143"/>
      <c r="BB113" s="143"/>
      <c r="BC113" s="146"/>
      <c r="BD113" s="158"/>
      <c r="BE113" s="381"/>
      <c r="BF113" s="158"/>
      <c r="BH113" s="141">
        <v>46109</v>
      </c>
      <c r="BI113" s="142"/>
      <c r="BJ113" s="142"/>
      <c r="BK113" s="142"/>
      <c r="BL113" s="142"/>
      <c r="BM113" s="142"/>
      <c r="BN113" s="142"/>
      <c r="BO113" s="142"/>
      <c r="BP113" s="142"/>
      <c r="BQ113" s="143"/>
      <c r="BR113" s="143"/>
      <c r="BS113" s="146"/>
      <c r="BT113" s="158"/>
      <c r="BU113" s="158"/>
    </row>
    <row r="114" spans="44:73" ht="15" customHeight="1">
      <c r="AR114" s="141">
        <v>46110</v>
      </c>
      <c r="AS114" s="142"/>
      <c r="AT114" s="142"/>
      <c r="AU114" s="142"/>
      <c r="AV114" s="142"/>
      <c r="AW114" s="142"/>
      <c r="AX114" s="142"/>
      <c r="AY114" s="142"/>
      <c r="AZ114" s="142"/>
      <c r="BA114" s="143"/>
      <c r="BB114" s="143"/>
      <c r="BC114" s="146"/>
      <c r="BD114" s="158"/>
      <c r="BE114" s="381"/>
      <c r="BF114" s="158"/>
      <c r="BH114" s="141">
        <v>46110</v>
      </c>
      <c r="BI114" s="142"/>
      <c r="BJ114" s="142"/>
      <c r="BK114" s="142"/>
      <c r="BL114" s="142"/>
      <c r="BM114" s="142"/>
      <c r="BN114" s="142"/>
      <c r="BO114" s="142"/>
      <c r="BP114" s="142"/>
      <c r="BQ114" s="143"/>
      <c r="BR114" s="143"/>
      <c r="BS114" s="146"/>
      <c r="BT114" s="158"/>
      <c r="BU114" s="158"/>
    </row>
    <row r="115" spans="44:73" ht="15" customHeight="1">
      <c r="AR115" s="141">
        <v>46111</v>
      </c>
      <c r="AS115" s="11">
        <v>102730</v>
      </c>
      <c r="AT115" s="11"/>
      <c r="AU115" s="11">
        <v>66980</v>
      </c>
      <c r="AV115" s="11"/>
      <c r="AW115" s="11">
        <v>13290</v>
      </c>
      <c r="AX115" s="11">
        <v>4990</v>
      </c>
      <c r="AY115" s="11">
        <v>75280</v>
      </c>
      <c r="AZ115" s="11">
        <v>75280</v>
      </c>
      <c r="BA115" s="38"/>
      <c r="BB115" s="38" t="s">
        <v>852</v>
      </c>
      <c r="BC115" s="72">
        <v>265707054</v>
      </c>
      <c r="BD115" s="9"/>
      <c r="BE115" s="216"/>
      <c r="BF115" s="9"/>
      <c r="BH115" s="141">
        <v>46111</v>
      </c>
      <c r="BI115" s="11"/>
      <c r="BJ115" s="11"/>
      <c r="BK115" s="11"/>
      <c r="BL115" s="11"/>
      <c r="BM115" s="11"/>
      <c r="BN115" s="11"/>
      <c r="BO115" s="11"/>
      <c r="BP115" s="11"/>
      <c r="BQ115" s="38"/>
      <c r="BR115" s="38"/>
      <c r="BS115" s="72"/>
      <c r="BT115" s="9"/>
      <c r="BU115" s="9"/>
    </row>
    <row r="116" spans="44:73" ht="15" customHeight="1">
      <c r="AR116" s="141">
        <v>46112</v>
      </c>
      <c r="AS116" s="11">
        <v>99010</v>
      </c>
      <c r="AT116" s="11">
        <v>600</v>
      </c>
      <c r="AU116" s="11">
        <v>81700</v>
      </c>
      <c r="AV116" s="11"/>
      <c r="AW116" s="11">
        <v>10338</v>
      </c>
      <c r="AX116" s="11">
        <v>6420</v>
      </c>
      <c r="AY116" s="11">
        <v>86218</v>
      </c>
      <c r="AZ116" s="11">
        <v>86218</v>
      </c>
      <c r="BA116" s="38"/>
      <c r="BB116" s="38" t="s">
        <v>853</v>
      </c>
      <c r="BC116" s="72">
        <v>265799692</v>
      </c>
      <c r="BD116" s="9"/>
      <c r="BE116" s="216"/>
      <c r="BF116" s="9"/>
      <c r="BH116" s="141">
        <v>46112</v>
      </c>
      <c r="BI116" s="11"/>
      <c r="BJ116" s="11"/>
      <c r="BK116" s="11"/>
      <c r="BL116" s="11"/>
      <c r="BM116" s="11"/>
      <c r="BN116" s="11"/>
      <c r="BO116" s="11"/>
      <c r="BP116" s="11"/>
      <c r="BQ116" s="38"/>
      <c r="BR116" s="38"/>
      <c r="BS116" s="72"/>
      <c r="BT116" s="9"/>
      <c r="BU116" s="9"/>
    </row>
    <row r="117" spans="44:73" ht="15" customHeight="1">
      <c r="AR117" s="141"/>
      <c r="AS117" s="11"/>
      <c r="AT117" s="11"/>
      <c r="AU117" s="11"/>
      <c r="AV117" s="11"/>
      <c r="AW117" s="11"/>
      <c r="AX117" s="11"/>
      <c r="AY117" s="11"/>
      <c r="AZ117" s="11"/>
      <c r="BA117" s="205"/>
      <c r="BB117" s="205"/>
      <c r="BC117" s="206"/>
      <c r="BD117" s="380"/>
      <c r="BE117" s="382"/>
      <c r="BF117" s="9"/>
      <c r="BH117" s="141"/>
      <c r="BI117" s="11"/>
      <c r="BJ117" s="11"/>
      <c r="BK117" s="11"/>
      <c r="BL117" s="11"/>
      <c r="BM117" s="11"/>
      <c r="BN117" s="11"/>
      <c r="BO117" s="11"/>
      <c r="BP117" s="11"/>
      <c r="BQ117" s="205"/>
      <c r="BR117" s="205"/>
      <c r="BS117" s="206"/>
      <c r="BT117" s="380"/>
      <c r="BU117" s="184"/>
    </row>
    <row r="118" spans="44:73" ht="15" customHeight="1">
      <c r="AR118" s="18" t="s">
        <v>64</v>
      </c>
      <c r="AS118" s="362"/>
      <c r="AT118" s="19">
        <f>SUM(AT86:AT117)</f>
        <v>2862</v>
      </c>
      <c r="AU118" s="19">
        <f>SUM(AU86:AU117)</f>
        <v>474844</v>
      </c>
      <c r="AV118" s="19">
        <f>SUM(AV86:AV117)</f>
        <v>0</v>
      </c>
      <c r="AW118" s="19">
        <f>SUM(AW86:AW117)</f>
        <v>69897</v>
      </c>
      <c r="AX118" s="20">
        <f>SUM(AX86:AX117)</f>
        <v>35900</v>
      </c>
      <c r="AY118" s="20">
        <f>SUM(AY86:AY117)</f>
        <v>508613</v>
      </c>
      <c r="AZ118" s="39">
        <f>SUM(AZ86:AZ117)</f>
        <v>514893</v>
      </c>
      <c r="BA118" s="32"/>
      <c r="BB118" s="373"/>
      <c r="BC118" s="586">
        <v>265799692</v>
      </c>
      <c r="BD118" s="242">
        <v>547603</v>
      </c>
      <c r="BE118" s="382"/>
      <c r="BF118" s="9"/>
      <c r="BH118" s="18" t="s">
        <v>64</v>
      </c>
      <c r="BI118" s="362"/>
      <c r="BJ118" s="19">
        <f>SUM(BJ86:BJ117)</f>
        <v>1850</v>
      </c>
      <c r="BK118" s="19">
        <f>SUM(BK86:BK117)</f>
        <v>214875</v>
      </c>
      <c r="BL118" s="19">
        <f>SUM(BL86:BL117)</f>
        <v>0</v>
      </c>
      <c r="BM118" s="19">
        <f>SUM(BM86:BM117)</f>
        <v>17475</v>
      </c>
      <c r="BN118" s="20">
        <f>SUM(BN86:BN117)</f>
        <v>8850</v>
      </c>
      <c r="BO118" s="20">
        <f>SUM(BO86:BO117)</f>
        <v>135350</v>
      </c>
      <c r="BP118" s="39">
        <f>SUM(BP86:BP117)</f>
        <v>225278</v>
      </c>
      <c r="BQ118" s="32"/>
      <c r="BR118" s="12">
        <v>285033762</v>
      </c>
      <c r="BS118" s="12">
        <v>234200</v>
      </c>
      <c r="BT118" s="9"/>
      <c r="BU118" s="184"/>
    </row>
    <row r="119" spans="44:73" ht="15" customHeight="1">
      <c r="AR119" s="5"/>
      <c r="AS119" s="11"/>
      <c r="AT119" s="29">
        <f>AT118+AU118+AV118+AW118</f>
        <v>547603</v>
      </c>
      <c r="AU119" s="10"/>
      <c r="AV119" s="10"/>
      <c r="AW119" s="10"/>
      <c r="AX119" s="47">
        <f>AX118+AY118</f>
        <v>544513</v>
      </c>
      <c r="AY119" s="10"/>
      <c r="AZ119" s="10"/>
      <c r="BA119" s="33"/>
      <c r="BB119" s="33"/>
      <c r="BC119" s="414"/>
      <c r="BD119" s="9"/>
      <c r="BE119" s="382"/>
      <c r="BF119" s="9"/>
      <c r="BH119" s="5"/>
      <c r="BI119" s="11"/>
      <c r="BJ119" s="29">
        <f>BJ118+BK118+BL118+BM118</f>
        <v>234200</v>
      </c>
      <c r="BK119" s="10"/>
      <c r="BL119" s="10"/>
      <c r="BM119" s="10"/>
      <c r="BN119" s="47">
        <f>BN118+BO118</f>
        <v>144200</v>
      </c>
      <c r="BO119" s="10"/>
      <c r="BP119" s="10"/>
      <c r="BQ119" s="33"/>
      <c r="BR119" s="33"/>
      <c r="BS119" s="414"/>
      <c r="BT119" s="9"/>
      <c r="BU119" s="382"/>
    </row>
    <row r="120" spans="44:73" ht="15" customHeight="1">
      <c r="AR120" s="67"/>
      <c r="AS120" s="356"/>
      <c r="AT120"/>
      <c r="AU120"/>
      <c r="AV120"/>
      <c r="AW120"/>
      <c r="AX120"/>
      <c r="AY120"/>
      <c r="AZ120"/>
      <c r="BA120"/>
      <c r="BC120" s="261"/>
      <c r="BD120" s="261"/>
      <c r="BE120" s="136"/>
      <c r="BH120" s="67"/>
      <c r="BI120" s="356"/>
      <c r="BJ120"/>
      <c r="BK120"/>
      <c r="BL120"/>
      <c r="BM120"/>
      <c r="BN120"/>
      <c r="BO120"/>
      <c r="BS120" s="261"/>
      <c r="BT120" s="261"/>
      <c r="BU120" s="136"/>
    </row>
    <row r="121" spans="44:73" ht="15" customHeight="1">
      <c r="AR121" s="403" t="s">
        <v>177</v>
      </c>
      <c r="AS121" s="404"/>
      <c r="AT121" s="405"/>
      <c r="AU121" s="405"/>
      <c r="AV121" s="405"/>
      <c r="AW121" s="406"/>
      <c r="AX121" s="406"/>
      <c r="AY121" s="406"/>
      <c r="AZ121" s="406"/>
      <c r="BA121" s="407"/>
      <c r="BB121" s="408"/>
      <c r="BC121" s="261"/>
      <c r="BD121" s="261"/>
      <c r="BE121" s="136"/>
      <c r="BH121" s="403" t="s">
        <v>177</v>
      </c>
      <c r="BI121" s="404"/>
      <c r="BJ121" s="405"/>
      <c r="BK121" s="405"/>
      <c r="BL121" s="405"/>
      <c r="BM121" s="406"/>
      <c r="BN121" s="406"/>
      <c r="BO121" s="406"/>
      <c r="BP121" s="406"/>
      <c r="BQ121" s="407"/>
      <c r="BR121" s="408"/>
      <c r="BS121" s="261"/>
      <c r="BT121" s="261"/>
      <c r="BU121" s="136"/>
    </row>
    <row r="122" spans="44:73" ht="15" customHeight="1">
      <c r="AR122" s="409"/>
      <c r="AS122" s="402"/>
      <c r="AT122" s="402"/>
      <c r="AU122" s="402"/>
      <c r="AV122" s="402"/>
      <c r="AW122" s="402"/>
      <c r="AX122" s="396"/>
      <c r="AY122" s="396"/>
      <c r="AZ122" s="396"/>
      <c r="BA122" s="396"/>
      <c r="BB122" s="410"/>
      <c r="BC122" s="261"/>
      <c r="BD122" s="261"/>
      <c r="BE122" s="136"/>
      <c r="BH122" s="409"/>
      <c r="BI122" s="402"/>
      <c r="BJ122" s="402"/>
      <c r="BK122" s="402"/>
      <c r="BL122" s="402"/>
      <c r="BM122" s="402"/>
      <c r="BN122" s="396"/>
      <c r="BO122" s="396"/>
      <c r="BP122" s="396"/>
      <c r="BQ122" s="396"/>
      <c r="BR122" s="410"/>
      <c r="BS122" s="261"/>
      <c r="BT122" s="261"/>
      <c r="BU122" s="136"/>
    </row>
    <row r="123" spans="44:73" ht="15" customHeight="1">
      <c r="AR123" s="628"/>
      <c r="AS123" s="629"/>
      <c r="AT123" s="629"/>
      <c r="AU123" s="629"/>
      <c r="AV123" s="629"/>
      <c r="AW123" s="629"/>
      <c r="AX123" s="411"/>
      <c r="AY123" s="411"/>
      <c r="AZ123" s="411"/>
      <c r="BA123" s="411"/>
      <c r="BB123" s="412"/>
      <c r="BC123" s="261"/>
      <c r="BD123" s="261"/>
      <c r="BE123" s="136"/>
      <c r="BH123" s="628"/>
      <c r="BI123" s="629"/>
      <c r="BJ123" s="629"/>
      <c r="BK123" s="629"/>
      <c r="BL123" s="629"/>
      <c r="BM123" s="629"/>
      <c r="BN123" s="411"/>
      <c r="BO123" s="411"/>
      <c r="BP123" s="411"/>
      <c r="BQ123" s="411"/>
      <c r="BR123" s="412"/>
      <c r="BS123" s="261"/>
      <c r="BT123" s="261"/>
      <c r="BU123" s="136"/>
    </row>
    <row r="126" spans="44:73" ht="15" customHeight="1">
      <c r="AR126" s="66" t="s">
        <v>559</v>
      </c>
      <c r="AS126" s="351"/>
      <c r="AT126" s="26"/>
      <c r="AU126" s="26"/>
      <c r="AV126" s="26"/>
      <c r="AW126" s="26"/>
      <c r="AX126" s="26"/>
      <c r="AY126" s="26"/>
      <c r="AZ126" s="26"/>
      <c r="BA126" s="34"/>
      <c r="BB126" s="349"/>
      <c r="BC126" s="255"/>
      <c r="BD126" s="157"/>
      <c r="BE126" s="385"/>
      <c r="BF126" s="386"/>
      <c r="BH126" s="66" t="s">
        <v>559</v>
      </c>
      <c r="BI126" s="351"/>
      <c r="BJ126" s="26"/>
      <c r="BK126" s="26"/>
      <c r="BL126" s="26"/>
      <c r="BM126" s="26"/>
      <c r="BN126" s="26"/>
      <c r="BO126" s="26"/>
      <c r="BP126" s="26"/>
      <c r="BQ126" s="34"/>
      <c r="BR126" s="349"/>
      <c r="BS126" s="255"/>
      <c r="BT126" s="157"/>
      <c r="BU126" s="157"/>
    </row>
    <row r="127" spans="44:73" ht="15" customHeight="1">
      <c r="AR127" s="141">
        <v>46113</v>
      </c>
      <c r="AS127" s="15">
        <v>125385</v>
      </c>
      <c r="AT127" s="15">
        <v>650</v>
      </c>
      <c r="AU127" s="15">
        <v>106380</v>
      </c>
      <c r="AV127" s="15"/>
      <c r="AW127" s="15">
        <v>13825</v>
      </c>
      <c r="AX127" s="15">
        <v>7270</v>
      </c>
      <c r="AY127" s="15">
        <v>113585</v>
      </c>
      <c r="AZ127" s="15">
        <v>113585</v>
      </c>
      <c r="BA127" s="565"/>
      <c r="BB127" s="609">
        <v>1690</v>
      </c>
      <c r="BC127" s="610">
        <v>265920547</v>
      </c>
      <c r="BD127" s="568"/>
      <c r="BE127" s="569"/>
      <c r="BF127" s="568"/>
      <c r="BH127" s="141">
        <v>46113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565" t="s">
        <v>94</v>
      </c>
      <c r="BR127" s="571">
        <v>285033762</v>
      </c>
      <c r="BS127" s="567"/>
      <c r="BT127" s="568"/>
      <c r="BU127" s="568"/>
    </row>
    <row r="128" spans="44:73" ht="15" customHeight="1">
      <c r="AR128" s="141">
        <v>46114</v>
      </c>
      <c r="AS128" s="15">
        <v>77140</v>
      </c>
      <c r="AT128" s="15">
        <v>500</v>
      </c>
      <c r="AU128" s="15">
        <v>55960</v>
      </c>
      <c r="AV128" s="15"/>
      <c r="AW128" s="15">
        <v>7894</v>
      </c>
      <c r="AX128" s="15">
        <v>4940</v>
      </c>
      <c r="AY128" s="15">
        <v>59414</v>
      </c>
      <c r="AZ128" s="15">
        <v>59414</v>
      </c>
      <c r="BA128" s="565"/>
      <c r="BB128" s="565" t="s">
        <v>854</v>
      </c>
      <c r="BC128" s="571">
        <v>265984901</v>
      </c>
      <c r="BD128" s="568"/>
      <c r="BE128" s="569"/>
      <c r="BF128" s="568"/>
      <c r="BH128" s="141">
        <v>46114</v>
      </c>
      <c r="BI128" s="15"/>
      <c r="BJ128" s="15"/>
      <c r="BK128" s="15"/>
      <c r="BL128" s="15"/>
      <c r="BM128" s="15"/>
      <c r="BN128" s="15"/>
      <c r="BO128" s="15"/>
      <c r="BP128" s="15"/>
      <c r="BQ128" s="565"/>
      <c r="BR128" s="571"/>
      <c r="BS128" s="571"/>
      <c r="BT128" s="568"/>
      <c r="BU128" s="568"/>
    </row>
    <row r="129" spans="44:73" ht="15" customHeight="1">
      <c r="AR129" s="141">
        <v>46115</v>
      </c>
      <c r="AS129" s="142"/>
      <c r="AT129" s="142"/>
      <c r="AU129" s="142"/>
      <c r="AV129" s="142"/>
      <c r="AW129" s="142"/>
      <c r="AX129" s="142"/>
      <c r="AY129" s="142"/>
      <c r="AZ129" s="142"/>
      <c r="BA129" s="143"/>
      <c r="BB129" s="143"/>
      <c r="BC129" s="146"/>
      <c r="BD129" s="158"/>
      <c r="BE129" s="381"/>
      <c r="BF129" s="158"/>
      <c r="BH129" s="141">
        <v>46115</v>
      </c>
      <c r="BI129" s="142"/>
      <c r="BJ129" s="142"/>
      <c r="BK129" s="142"/>
      <c r="BL129" s="142"/>
      <c r="BM129" s="142"/>
      <c r="BN129" s="142"/>
      <c r="BO129" s="142"/>
      <c r="BP129" s="142"/>
      <c r="BQ129" s="143"/>
      <c r="BR129" s="146"/>
      <c r="BS129" s="146"/>
      <c r="BT129" s="158"/>
      <c r="BU129" s="158"/>
    </row>
    <row r="130" spans="44:73" ht="15" customHeight="1">
      <c r="AR130" s="141">
        <v>46116</v>
      </c>
      <c r="AS130" s="142"/>
      <c r="AT130" s="142"/>
      <c r="AU130" s="142"/>
      <c r="AV130" s="142"/>
      <c r="AW130" s="142"/>
      <c r="AX130" s="142"/>
      <c r="AY130" s="142"/>
      <c r="AZ130" s="142"/>
      <c r="BA130" s="143"/>
      <c r="BB130" s="143"/>
      <c r="BC130" s="146"/>
      <c r="BD130" s="158"/>
      <c r="BE130" s="381"/>
      <c r="BF130" s="158"/>
      <c r="BH130" s="141">
        <v>46116</v>
      </c>
      <c r="BI130" s="142"/>
      <c r="BJ130" s="142"/>
      <c r="BK130" s="142"/>
      <c r="BL130" s="142"/>
      <c r="BM130" s="142"/>
      <c r="BN130" s="142"/>
      <c r="BO130" s="142"/>
      <c r="BP130" s="142"/>
      <c r="BQ130" s="143"/>
      <c r="BR130" s="532"/>
      <c r="BS130" s="146"/>
      <c r="BT130" s="158"/>
      <c r="BU130" s="158"/>
    </row>
    <row r="131" spans="44:73" ht="15" customHeight="1">
      <c r="AR131" s="141">
        <v>46117</v>
      </c>
      <c r="AS131" s="142"/>
      <c r="AT131" s="142"/>
      <c r="AU131" s="142"/>
      <c r="AV131" s="142"/>
      <c r="AW131" s="142"/>
      <c r="AX131" s="142"/>
      <c r="AY131" s="142"/>
      <c r="AZ131" s="142"/>
      <c r="BA131" s="143"/>
      <c r="BB131" s="143"/>
      <c r="BC131" s="146"/>
      <c r="BD131" s="158"/>
      <c r="BE131" s="381"/>
      <c r="BF131" s="158"/>
      <c r="BH131" s="141">
        <v>46117</v>
      </c>
      <c r="BI131" s="142"/>
      <c r="BJ131" s="142"/>
      <c r="BK131" s="142"/>
      <c r="BL131" s="142"/>
      <c r="BM131" s="142"/>
      <c r="BN131" s="142"/>
      <c r="BO131" s="142"/>
      <c r="BP131" s="142"/>
      <c r="BQ131" s="143"/>
      <c r="BR131" s="532"/>
      <c r="BS131" s="146"/>
      <c r="BT131" s="158"/>
      <c r="BU131" s="158"/>
    </row>
    <row r="132" spans="44:73" ht="15" customHeight="1">
      <c r="AR132" s="141">
        <v>46118</v>
      </c>
      <c r="AS132" s="142"/>
      <c r="AT132" s="142"/>
      <c r="AU132" s="142"/>
      <c r="AV132" s="142"/>
      <c r="AW132" s="142"/>
      <c r="AX132" s="142"/>
      <c r="AY132" s="142"/>
      <c r="AZ132" s="142"/>
      <c r="BA132" s="143"/>
      <c r="BB132" s="143"/>
      <c r="BC132" s="146"/>
      <c r="BD132" s="158"/>
      <c r="BE132" s="381"/>
      <c r="BF132" s="158"/>
      <c r="BH132" s="141">
        <v>46118</v>
      </c>
      <c r="BI132" s="142"/>
      <c r="BJ132" s="142"/>
      <c r="BK132" s="142"/>
      <c r="BL132" s="142"/>
      <c r="BM132" s="142"/>
      <c r="BN132" s="142"/>
      <c r="BO132" s="142"/>
      <c r="BP132" s="142"/>
      <c r="BQ132" s="143"/>
      <c r="BR132" s="532"/>
      <c r="BS132" s="146"/>
      <c r="BT132" s="158"/>
      <c r="BU132" s="158"/>
    </row>
    <row r="133" spans="44:73" ht="15" customHeight="1">
      <c r="AR133" s="141">
        <v>46119</v>
      </c>
      <c r="AS133" s="15"/>
      <c r="AT133" s="15"/>
      <c r="AU133" s="15"/>
      <c r="AV133" s="15"/>
      <c r="AW133" s="15"/>
      <c r="AX133" s="15"/>
      <c r="AY133" s="15"/>
      <c r="AZ133" s="15"/>
      <c r="BA133" s="565"/>
      <c r="BB133" s="565"/>
      <c r="BC133" s="572"/>
      <c r="BD133" s="568"/>
      <c r="BE133" s="569"/>
      <c r="BF133" s="568"/>
      <c r="BH133" s="141">
        <v>46119</v>
      </c>
      <c r="BI133" s="15"/>
      <c r="BJ133" s="15"/>
      <c r="BK133" s="15"/>
      <c r="BL133" s="15"/>
      <c r="BM133" s="15"/>
      <c r="BN133" s="15"/>
      <c r="BO133" s="15"/>
      <c r="BP133" s="15"/>
      <c r="BQ133" s="565"/>
      <c r="BR133" s="585"/>
      <c r="BS133" s="572"/>
      <c r="BT133" s="568"/>
      <c r="BU133" s="568"/>
    </row>
    <row r="134" spans="44:73" ht="15" customHeight="1">
      <c r="AR134" s="141">
        <v>46120</v>
      </c>
      <c r="AS134" s="15"/>
      <c r="AT134" s="15"/>
      <c r="AU134" s="15"/>
      <c r="AV134" s="15"/>
      <c r="AW134" s="15"/>
      <c r="AX134" s="15"/>
      <c r="AY134" s="15"/>
      <c r="AZ134" s="15"/>
      <c r="BA134" s="565"/>
      <c r="BB134" s="565"/>
      <c r="BC134" s="572"/>
      <c r="BD134" s="568"/>
      <c r="BE134" s="569"/>
      <c r="BF134" s="568"/>
      <c r="BH134" s="141">
        <v>46120</v>
      </c>
      <c r="BI134" s="15"/>
      <c r="BJ134" s="15"/>
      <c r="BK134" s="15"/>
      <c r="BL134" s="15"/>
      <c r="BM134" s="15"/>
      <c r="BN134" s="15"/>
      <c r="BO134" s="15"/>
      <c r="BP134" s="15"/>
      <c r="BQ134" s="565"/>
      <c r="BR134" s="585"/>
      <c r="BS134" s="572"/>
      <c r="BT134" s="568"/>
      <c r="BU134" s="568"/>
    </row>
    <row r="135" spans="44:73" ht="15" customHeight="1">
      <c r="AR135" s="141">
        <v>46121</v>
      </c>
      <c r="AS135" s="15"/>
      <c r="AT135" s="15"/>
      <c r="AU135" s="15"/>
      <c r="AV135" s="15"/>
      <c r="AW135" s="15"/>
      <c r="AX135" s="15"/>
      <c r="AY135" s="15"/>
      <c r="AZ135" s="15"/>
      <c r="BA135" s="565"/>
      <c r="BB135" s="565"/>
      <c r="BC135" s="571"/>
      <c r="BD135" s="568"/>
      <c r="BE135" s="569"/>
      <c r="BF135" s="568"/>
      <c r="BH135" s="141">
        <v>46121</v>
      </c>
      <c r="BI135" s="15"/>
      <c r="BJ135" s="15"/>
      <c r="BK135" s="15"/>
      <c r="BL135" s="15"/>
      <c r="BM135" s="15"/>
      <c r="BN135" s="15"/>
      <c r="BO135" s="15"/>
      <c r="BP135" s="15"/>
      <c r="BQ135" s="565"/>
      <c r="BR135" s="585"/>
      <c r="BS135" s="571"/>
      <c r="BT135" s="568"/>
      <c r="BU135" s="568"/>
    </row>
    <row r="136" spans="44:73" ht="15" customHeight="1">
      <c r="AR136" s="141">
        <v>46122</v>
      </c>
      <c r="AS136" s="15"/>
      <c r="AT136" s="15"/>
      <c r="AU136" s="15"/>
      <c r="AV136" s="15"/>
      <c r="AW136" s="15"/>
      <c r="AX136" s="15"/>
      <c r="AY136" s="15"/>
      <c r="AZ136" s="15"/>
      <c r="BA136" s="565"/>
      <c r="BB136" s="565"/>
      <c r="BC136" s="571"/>
      <c r="BD136" s="568"/>
      <c r="BE136" s="569"/>
      <c r="BF136" s="568"/>
      <c r="BH136" s="141">
        <v>46122</v>
      </c>
      <c r="BI136" s="15"/>
      <c r="BJ136" s="15"/>
      <c r="BK136" s="15"/>
      <c r="BL136" s="15"/>
      <c r="BM136" s="15"/>
      <c r="BN136" s="15"/>
      <c r="BO136" s="15"/>
      <c r="BP136" s="15"/>
      <c r="BQ136" s="565"/>
      <c r="BR136" s="585"/>
      <c r="BS136" s="571"/>
      <c r="BT136" s="568"/>
      <c r="BU136" s="568"/>
    </row>
    <row r="137" spans="44:73" ht="15" customHeight="1">
      <c r="AR137" s="141">
        <v>46123</v>
      </c>
      <c r="AS137" s="142"/>
      <c r="AT137" s="142"/>
      <c r="AU137" s="142"/>
      <c r="AV137" s="142"/>
      <c r="AW137" s="142"/>
      <c r="AX137" s="142"/>
      <c r="AY137" s="142"/>
      <c r="AZ137" s="142"/>
      <c r="BA137" s="143"/>
      <c r="BB137" s="143"/>
      <c r="BC137" s="146"/>
      <c r="BD137" s="158"/>
      <c r="BE137" s="381"/>
      <c r="BF137" s="158"/>
      <c r="BH137" s="141">
        <v>46123</v>
      </c>
      <c r="BI137" s="142"/>
      <c r="BJ137" s="142"/>
      <c r="BK137" s="142"/>
      <c r="BL137" s="142"/>
      <c r="BM137" s="142"/>
      <c r="BN137" s="142"/>
      <c r="BO137" s="142"/>
      <c r="BP137" s="142"/>
      <c r="BQ137" s="143"/>
      <c r="BR137" s="532"/>
      <c r="BS137" s="146"/>
      <c r="BT137" s="158"/>
      <c r="BU137" s="158"/>
    </row>
    <row r="138" spans="44:73" ht="15" customHeight="1">
      <c r="AR138" s="141">
        <v>46124</v>
      </c>
      <c r="AS138" s="142"/>
      <c r="AT138" s="142"/>
      <c r="AU138" s="142"/>
      <c r="AV138" s="142"/>
      <c r="AW138" s="142"/>
      <c r="AX138" s="142"/>
      <c r="AY138" s="142"/>
      <c r="AZ138" s="142"/>
      <c r="BA138" s="143"/>
      <c r="BB138" s="143"/>
      <c r="BC138" s="146"/>
      <c r="BD138" s="547"/>
      <c r="BE138" s="381"/>
      <c r="BF138" s="158"/>
      <c r="BH138" s="141">
        <v>46124</v>
      </c>
      <c r="BI138" s="142"/>
      <c r="BJ138" s="142"/>
      <c r="BK138" s="142"/>
      <c r="BL138" s="142"/>
      <c r="BM138" s="142"/>
      <c r="BN138" s="142"/>
      <c r="BO138" s="142"/>
      <c r="BP138" s="142"/>
      <c r="BQ138" s="143"/>
      <c r="BR138" s="532"/>
      <c r="BS138" s="146"/>
      <c r="BT138" s="547"/>
      <c r="BU138" s="158"/>
    </row>
    <row r="139" spans="44:73" ht="15" customHeight="1">
      <c r="AR139" s="141">
        <v>46125</v>
      </c>
      <c r="AS139" s="15"/>
      <c r="AT139" s="15"/>
      <c r="AU139" s="15"/>
      <c r="AV139" s="15"/>
      <c r="AW139" s="15"/>
      <c r="AX139" s="15"/>
      <c r="AY139" s="15"/>
      <c r="AZ139" s="15"/>
      <c r="BA139" s="565"/>
      <c r="BB139" s="565"/>
      <c r="BC139" s="571"/>
      <c r="BD139" s="568"/>
      <c r="BE139" s="569"/>
      <c r="BF139" s="568"/>
      <c r="BH139" s="141">
        <v>46125</v>
      </c>
      <c r="BI139" s="15"/>
      <c r="BJ139" s="15"/>
      <c r="BK139" s="15"/>
      <c r="BL139" s="15"/>
      <c r="BM139" s="15"/>
      <c r="BN139" s="15"/>
      <c r="BO139" s="15"/>
      <c r="BP139" s="15"/>
      <c r="BQ139" s="565"/>
      <c r="BR139" s="585"/>
      <c r="BS139" s="571"/>
      <c r="BT139" s="568"/>
      <c r="BU139" s="568"/>
    </row>
    <row r="140" spans="44:73" ht="15" customHeight="1">
      <c r="AR140" s="141">
        <v>46126</v>
      </c>
      <c r="AS140" s="15"/>
      <c r="AT140" s="15"/>
      <c r="AU140" s="15"/>
      <c r="AV140" s="15"/>
      <c r="AW140" s="15"/>
      <c r="AX140" s="15"/>
      <c r="AY140" s="15"/>
      <c r="AZ140" s="15"/>
      <c r="BA140" s="565"/>
      <c r="BB140" s="565"/>
      <c r="BC140" s="571"/>
      <c r="BD140" s="568"/>
      <c r="BE140" s="569"/>
      <c r="BF140" s="568"/>
      <c r="BH140" s="141">
        <v>46126</v>
      </c>
      <c r="BI140" s="15"/>
      <c r="BJ140" s="15"/>
      <c r="BK140" s="15"/>
      <c r="BL140" s="15"/>
      <c r="BM140" s="15"/>
      <c r="BN140" s="15"/>
      <c r="BO140" s="15"/>
      <c r="BP140" s="15"/>
      <c r="BQ140" s="565"/>
      <c r="BR140" s="565"/>
      <c r="BS140" s="571"/>
      <c r="BT140" s="568"/>
      <c r="BU140" s="568"/>
    </row>
    <row r="141" spans="44:73" ht="15" customHeight="1">
      <c r="AR141" s="141">
        <v>46127</v>
      </c>
      <c r="AS141" s="15"/>
      <c r="AT141" s="15"/>
      <c r="AU141" s="15"/>
      <c r="AV141" s="15"/>
      <c r="AW141" s="15"/>
      <c r="AX141" s="15"/>
      <c r="AY141" s="15"/>
      <c r="AZ141" s="15"/>
      <c r="BA141" s="565"/>
      <c r="BB141" s="565"/>
      <c r="BC141" s="571"/>
      <c r="BD141" s="568"/>
      <c r="BE141" s="569"/>
      <c r="BF141" s="568"/>
      <c r="BH141" s="141">
        <v>46127</v>
      </c>
      <c r="BI141" s="15"/>
      <c r="BJ141" s="15"/>
      <c r="BK141" s="15"/>
      <c r="BL141" s="15"/>
      <c r="BM141" s="15"/>
      <c r="BN141" s="15"/>
      <c r="BO141" s="15"/>
      <c r="BP141" s="15"/>
      <c r="BQ141" s="565"/>
      <c r="BR141" s="565"/>
      <c r="BS141" s="571"/>
      <c r="BT141" s="568"/>
      <c r="BU141" s="568"/>
    </row>
    <row r="142" spans="44:73" ht="15" customHeight="1">
      <c r="AR142" s="141">
        <v>46128</v>
      </c>
      <c r="AS142" s="15"/>
      <c r="AT142" s="15"/>
      <c r="AU142" s="15"/>
      <c r="AV142" s="15"/>
      <c r="AW142" s="15"/>
      <c r="AX142" s="15"/>
      <c r="AY142" s="15"/>
      <c r="AZ142" s="15"/>
      <c r="BA142" s="565"/>
      <c r="BB142" s="565"/>
      <c r="BC142" s="571"/>
      <c r="BD142" s="568"/>
      <c r="BE142" s="569"/>
      <c r="BF142" s="568"/>
      <c r="BH142" s="141">
        <v>46128</v>
      </c>
      <c r="BI142" s="15"/>
      <c r="BJ142" s="15"/>
      <c r="BK142" s="15"/>
      <c r="BL142" s="15"/>
      <c r="BM142" s="15"/>
      <c r="BN142" s="15"/>
      <c r="BO142" s="15"/>
      <c r="BP142" s="15"/>
      <c r="BQ142" s="565"/>
      <c r="BR142" s="565"/>
      <c r="BS142" s="571"/>
      <c r="BT142" s="568"/>
      <c r="BU142" s="568"/>
    </row>
    <row r="143" spans="44:73" ht="15" customHeight="1">
      <c r="AR143" s="141">
        <v>46129</v>
      </c>
      <c r="AS143" s="15"/>
      <c r="AT143" s="15"/>
      <c r="AU143" s="15"/>
      <c r="AV143" s="15"/>
      <c r="AW143" s="15"/>
      <c r="AX143" s="15"/>
      <c r="AY143" s="15"/>
      <c r="AZ143" s="15"/>
      <c r="BA143" s="565"/>
      <c r="BB143" s="565"/>
      <c r="BC143" s="571"/>
      <c r="BD143" s="568"/>
      <c r="BE143" s="569"/>
      <c r="BF143" s="568"/>
      <c r="BH143" s="141">
        <v>46129</v>
      </c>
      <c r="BI143" s="15"/>
      <c r="BJ143" s="15"/>
      <c r="BK143" s="15"/>
      <c r="BL143" s="15"/>
      <c r="BM143" s="15"/>
      <c r="BN143" s="15"/>
      <c r="BO143" s="15"/>
      <c r="BP143" s="15"/>
      <c r="BQ143" s="565"/>
      <c r="BR143" s="565"/>
      <c r="BS143" s="571"/>
      <c r="BT143" s="568"/>
      <c r="BU143" s="568"/>
    </row>
    <row r="144" spans="44:73" ht="15" customHeight="1">
      <c r="AR144" s="141">
        <v>46130</v>
      </c>
      <c r="AS144" s="142"/>
      <c r="AT144" s="142"/>
      <c r="AU144" s="142"/>
      <c r="AV144" s="142"/>
      <c r="AW144" s="142"/>
      <c r="AX144" s="142"/>
      <c r="AY144" s="142"/>
      <c r="AZ144" s="142"/>
      <c r="BA144" s="143"/>
      <c r="BB144" s="143"/>
      <c r="BC144" s="146"/>
      <c r="BD144" s="158"/>
      <c r="BE144" s="381"/>
      <c r="BF144" s="158"/>
      <c r="BH144" s="141">
        <v>46130</v>
      </c>
      <c r="BI144" s="142"/>
      <c r="BJ144" s="142"/>
      <c r="BK144" s="142"/>
      <c r="BL144" s="142"/>
      <c r="BM144" s="142"/>
      <c r="BN144" s="142"/>
      <c r="BO144" s="142"/>
      <c r="BP144" s="142"/>
      <c r="BQ144" s="143"/>
      <c r="BR144" s="143"/>
      <c r="BS144" s="146"/>
      <c r="BT144" s="158"/>
      <c r="BU144" s="158"/>
    </row>
    <row r="145" spans="44:73" ht="15" customHeight="1">
      <c r="AR145" s="141">
        <v>46131</v>
      </c>
      <c r="AS145" s="142"/>
      <c r="AT145" s="142"/>
      <c r="AU145" s="142"/>
      <c r="AV145" s="142"/>
      <c r="AW145" s="142"/>
      <c r="AX145" s="142"/>
      <c r="AY145" s="142"/>
      <c r="AZ145" s="142"/>
      <c r="BA145" s="143"/>
      <c r="BB145" s="143"/>
      <c r="BC145" s="146"/>
      <c r="BD145" s="158"/>
      <c r="BE145" s="381"/>
      <c r="BF145" s="158"/>
      <c r="BH145" s="141">
        <v>46131</v>
      </c>
      <c r="BI145" s="142"/>
      <c r="BJ145" s="142"/>
      <c r="BK145" s="142"/>
      <c r="BL145" s="142"/>
      <c r="BM145" s="142"/>
      <c r="BN145" s="142"/>
      <c r="BO145" s="142"/>
      <c r="BP145" s="142"/>
      <c r="BQ145" s="143"/>
      <c r="BR145" s="143"/>
      <c r="BS145" s="146"/>
      <c r="BT145" s="158"/>
      <c r="BU145" s="158"/>
    </row>
    <row r="146" spans="44:73" ht="15" customHeight="1">
      <c r="AR146" s="141">
        <v>46132</v>
      </c>
      <c r="AS146" s="15"/>
      <c r="AT146" s="15"/>
      <c r="AU146" s="15"/>
      <c r="AV146" s="15"/>
      <c r="AW146" s="15"/>
      <c r="AX146" s="15"/>
      <c r="AY146" s="15"/>
      <c r="AZ146" s="15"/>
      <c r="BA146" s="565"/>
      <c r="BB146" s="565"/>
      <c r="BC146" s="571"/>
      <c r="BD146" s="568"/>
      <c r="BE146" s="569"/>
      <c r="BF146" s="568"/>
      <c r="BH146" s="141">
        <v>46132</v>
      </c>
      <c r="BI146" s="15"/>
      <c r="BJ146" s="15"/>
      <c r="BK146" s="15"/>
      <c r="BL146" s="15"/>
      <c r="BM146" s="15"/>
      <c r="BN146" s="15"/>
      <c r="BO146" s="15"/>
      <c r="BP146" s="15"/>
      <c r="BQ146" s="565"/>
      <c r="BR146" s="565"/>
      <c r="BS146" s="571"/>
      <c r="BT146" s="568"/>
      <c r="BU146" s="568"/>
    </row>
    <row r="147" spans="44:73" ht="15" customHeight="1">
      <c r="AR147" s="141">
        <v>46133</v>
      </c>
      <c r="AS147" s="15"/>
      <c r="AT147" s="15"/>
      <c r="AU147" s="15"/>
      <c r="AV147" s="15"/>
      <c r="AW147" s="15"/>
      <c r="AX147" s="15"/>
      <c r="AY147" s="15"/>
      <c r="AZ147" s="15"/>
      <c r="BA147" s="565"/>
      <c r="BB147" s="565"/>
      <c r="BC147" s="571"/>
      <c r="BD147" s="568"/>
      <c r="BE147" s="569"/>
      <c r="BF147" s="568"/>
      <c r="BH147" s="141">
        <v>46133</v>
      </c>
      <c r="BI147" s="15"/>
      <c r="BJ147" s="15"/>
      <c r="BK147" s="15"/>
      <c r="BL147" s="15"/>
      <c r="BM147" s="15"/>
      <c r="BN147" s="15"/>
      <c r="BO147" s="15"/>
      <c r="BP147" s="15"/>
      <c r="BQ147" s="565"/>
      <c r="BR147" s="565"/>
      <c r="BS147" s="571"/>
      <c r="BT147" s="568"/>
      <c r="BU147" s="568"/>
    </row>
    <row r="148" spans="44:73" ht="15" customHeight="1">
      <c r="AR148" s="141">
        <v>46134</v>
      </c>
      <c r="AS148" s="15"/>
      <c r="AT148" s="15"/>
      <c r="AU148" s="15"/>
      <c r="AV148" s="15"/>
      <c r="AW148" s="15"/>
      <c r="AX148" s="15"/>
      <c r="AY148" s="15"/>
      <c r="AZ148" s="15"/>
      <c r="BA148" s="565"/>
      <c r="BB148" s="565"/>
      <c r="BC148" s="571"/>
      <c r="BD148" s="568"/>
      <c r="BE148" s="569"/>
      <c r="BF148" s="568"/>
      <c r="BH148" s="141">
        <v>46134</v>
      </c>
      <c r="BI148" s="15"/>
      <c r="BJ148" s="15"/>
      <c r="BK148" s="15"/>
      <c r="BL148" s="15"/>
      <c r="BM148" s="15"/>
      <c r="BN148" s="15"/>
      <c r="BO148" s="15"/>
      <c r="BP148" s="15"/>
      <c r="BQ148" s="565"/>
      <c r="BR148" s="565"/>
      <c r="BS148" s="571"/>
      <c r="BT148" s="568"/>
      <c r="BU148" s="568"/>
    </row>
    <row r="149" spans="44:73" ht="15" customHeight="1">
      <c r="AR149" s="141">
        <v>46135</v>
      </c>
      <c r="AS149" s="15"/>
      <c r="AT149" s="15"/>
      <c r="AU149" s="15"/>
      <c r="AV149" s="15"/>
      <c r="AW149" s="15"/>
      <c r="AX149" s="15"/>
      <c r="AY149" s="15"/>
      <c r="AZ149" s="15"/>
      <c r="BA149" s="565"/>
      <c r="BB149" s="565"/>
      <c r="BC149" s="571"/>
      <c r="BD149" s="568"/>
      <c r="BE149" s="569"/>
      <c r="BF149" s="568"/>
      <c r="BH149" s="141">
        <v>46135</v>
      </c>
      <c r="BI149" s="15"/>
      <c r="BJ149" s="15"/>
      <c r="BK149" s="15"/>
      <c r="BL149" s="15"/>
      <c r="BM149" s="15"/>
      <c r="BN149" s="15"/>
      <c r="BO149" s="15"/>
      <c r="BP149" s="15"/>
      <c r="BQ149" s="565"/>
      <c r="BR149" s="565"/>
      <c r="BS149" s="571"/>
      <c r="BT149" s="568"/>
      <c r="BU149" s="568"/>
    </row>
    <row r="150" spans="44:73" ht="15" customHeight="1">
      <c r="AR150" s="141">
        <v>46136</v>
      </c>
      <c r="AS150" s="15"/>
      <c r="AT150" s="15"/>
      <c r="AU150" s="15"/>
      <c r="AV150" s="15"/>
      <c r="AW150" s="15"/>
      <c r="AX150" s="15"/>
      <c r="AY150" s="15"/>
      <c r="AZ150" s="15"/>
      <c r="BA150" s="565"/>
      <c r="BB150" s="565"/>
      <c r="BC150" s="571"/>
      <c r="BD150" s="568"/>
      <c r="BE150" s="569"/>
      <c r="BF150" s="568"/>
      <c r="BH150" s="141">
        <v>46136</v>
      </c>
      <c r="BI150" s="15"/>
      <c r="BJ150" s="15"/>
      <c r="BK150" s="15"/>
      <c r="BL150" s="15"/>
      <c r="BM150" s="15"/>
      <c r="BN150" s="15"/>
      <c r="BO150" s="15"/>
      <c r="BP150" s="15"/>
      <c r="BQ150" s="565"/>
      <c r="BR150" s="565"/>
      <c r="BS150" s="571"/>
      <c r="BT150" s="568"/>
      <c r="BU150" s="568"/>
    </row>
    <row r="151" spans="44:73" ht="15" customHeight="1">
      <c r="AR151" s="141">
        <v>46137</v>
      </c>
      <c r="AS151" s="142"/>
      <c r="AT151" s="142"/>
      <c r="AU151" s="142"/>
      <c r="AV151" s="142"/>
      <c r="AW151" s="142"/>
      <c r="AX151" s="142"/>
      <c r="AY151" s="142"/>
      <c r="AZ151" s="142"/>
      <c r="BA151" s="143"/>
      <c r="BB151" s="143"/>
      <c r="BC151" s="146"/>
      <c r="BD151" s="158"/>
      <c r="BE151" s="381"/>
      <c r="BF151" s="158"/>
      <c r="BH151" s="141">
        <v>46137</v>
      </c>
      <c r="BI151" s="142"/>
      <c r="BJ151" s="142"/>
      <c r="BK151" s="142"/>
      <c r="BL151" s="142"/>
      <c r="BM151" s="142"/>
      <c r="BN151" s="142"/>
      <c r="BO151" s="142"/>
      <c r="BP151" s="142"/>
      <c r="BQ151" s="143"/>
      <c r="BR151" s="143"/>
      <c r="BS151" s="146"/>
      <c r="BT151" s="158"/>
      <c r="BU151" s="158"/>
    </row>
    <row r="152" spans="44:73" ht="15" customHeight="1">
      <c r="AR152" s="141">
        <v>46138</v>
      </c>
      <c r="AS152" s="142"/>
      <c r="AT152" s="142"/>
      <c r="AU152" s="142"/>
      <c r="AV152" s="142"/>
      <c r="AW152" s="142"/>
      <c r="AX152" s="142"/>
      <c r="AY152" s="142"/>
      <c r="AZ152" s="142"/>
      <c r="BA152" s="143"/>
      <c r="BB152" s="143"/>
      <c r="BC152" s="146"/>
      <c r="BD152" s="158"/>
      <c r="BE152" s="381"/>
      <c r="BF152" s="158"/>
      <c r="BH152" s="141">
        <v>46138</v>
      </c>
      <c r="BI152" s="142"/>
      <c r="BJ152" s="142"/>
      <c r="BK152" s="142"/>
      <c r="BL152" s="142"/>
      <c r="BM152" s="142"/>
      <c r="BN152" s="142"/>
      <c r="BO152" s="142"/>
      <c r="BP152" s="142"/>
      <c r="BQ152" s="143"/>
      <c r="BR152" s="143"/>
      <c r="BS152" s="146"/>
      <c r="BT152" s="158"/>
      <c r="BU152" s="158"/>
    </row>
    <row r="153" spans="44:73" ht="15" customHeight="1">
      <c r="AR153" s="141">
        <v>46139</v>
      </c>
      <c r="AS153" s="15"/>
      <c r="AT153" s="15"/>
      <c r="AU153" s="15"/>
      <c r="AV153" s="15"/>
      <c r="AW153" s="15"/>
      <c r="AX153" s="15"/>
      <c r="AY153" s="15"/>
      <c r="AZ153" s="15"/>
      <c r="BA153" s="565"/>
      <c r="BB153" s="565"/>
      <c r="BC153" s="571"/>
      <c r="BD153" s="568"/>
      <c r="BE153" s="569"/>
      <c r="BF153" s="568"/>
      <c r="BH153" s="141">
        <v>46139</v>
      </c>
      <c r="BI153" s="15"/>
      <c r="BJ153" s="15"/>
      <c r="BK153" s="15"/>
      <c r="BL153" s="15"/>
      <c r="BM153" s="15"/>
      <c r="BN153" s="15"/>
      <c r="BO153" s="15"/>
      <c r="BP153" s="15"/>
      <c r="BQ153" s="565"/>
      <c r="BR153" s="565"/>
      <c r="BS153" s="571"/>
      <c r="BT153" s="568"/>
      <c r="BU153" s="568"/>
    </row>
    <row r="154" spans="44:73" ht="15" customHeight="1">
      <c r="AR154" s="141">
        <v>46140</v>
      </c>
      <c r="AS154" s="15"/>
      <c r="AT154" s="15"/>
      <c r="AU154" s="15"/>
      <c r="AV154" s="15"/>
      <c r="AW154" s="15"/>
      <c r="AX154" s="15"/>
      <c r="AY154" s="15"/>
      <c r="AZ154" s="15"/>
      <c r="BA154" s="565"/>
      <c r="BB154" s="565"/>
      <c r="BC154" s="571"/>
      <c r="BD154" s="568"/>
      <c r="BE154" s="569"/>
      <c r="BF154" s="568"/>
      <c r="BH154" s="141">
        <v>46140</v>
      </c>
      <c r="BI154" s="15"/>
      <c r="BJ154" s="15"/>
      <c r="BK154" s="15"/>
      <c r="BL154" s="15"/>
      <c r="BM154" s="15"/>
      <c r="BN154" s="15"/>
      <c r="BO154" s="15"/>
      <c r="BP154" s="15"/>
      <c r="BQ154" s="565"/>
      <c r="BR154" s="565"/>
      <c r="BS154" s="571"/>
      <c r="BT154" s="568"/>
      <c r="BU154" s="568"/>
    </row>
    <row r="155" spans="44:73" ht="15" customHeight="1">
      <c r="AR155" s="141">
        <v>46141</v>
      </c>
      <c r="AS155" s="15"/>
      <c r="AT155" s="15"/>
      <c r="AU155" s="15"/>
      <c r="AV155" s="15"/>
      <c r="AW155" s="15"/>
      <c r="AX155" s="15"/>
      <c r="AY155" s="15"/>
      <c r="AZ155" s="15"/>
      <c r="BA155" s="565"/>
      <c r="BB155" s="565"/>
      <c r="BC155" s="571"/>
      <c r="BD155" s="568"/>
      <c r="BE155" s="569"/>
      <c r="BF155" s="568"/>
      <c r="BH155" s="141">
        <v>46141</v>
      </c>
      <c r="BI155" s="15"/>
      <c r="BJ155" s="15"/>
      <c r="BK155" s="15"/>
      <c r="BL155" s="15"/>
      <c r="BM155" s="15"/>
      <c r="BN155" s="15"/>
      <c r="BO155" s="15"/>
      <c r="BP155" s="15"/>
      <c r="BQ155" s="565"/>
      <c r="BR155" s="565"/>
      <c r="BS155" s="571"/>
      <c r="BT155" s="568"/>
      <c r="BU155" s="568"/>
    </row>
    <row r="156" spans="44:73" ht="15" customHeight="1">
      <c r="AR156" s="141">
        <v>46142</v>
      </c>
      <c r="AS156" s="15"/>
      <c r="AT156" s="15"/>
      <c r="AU156" s="15"/>
      <c r="AV156" s="15"/>
      <c r="AW156" s="15"/>
      <c r="AX156" s="15"/>
      <c r="AY156" s="15"/>
      <c r="AZ156" s="15"/>
      <c r="BA156" s="565"/>
      <c r="BB156" s="565"/>
      <c r="BC156" s="571"/>
      <c r="BD156" s="568"/>
      <c r="BE156" s="569"/>
      <c r="BF156" s="568"/>
      <c r="BH156" s="141">
        <v>46142</v>
      </c>
      <c r="BI156" s="15"/>
      <c r="BJ156" s="15"/>
      <c r="BK156" s="15"/>
      <c r="BL156" s="15"/>
      <c r="BM156" s="15"/>
      <c r="BN156" s="15"/>
      <c r="BO156" s="15"/>
      <c r="BP156" s="15"/>
      <c r="BQ156" s="565"/>
      <c r="BR156" s="565"/>
      <c r="BS156" s="571"/>
      <c r="BT156" s="568"/>
      <c r="BU156" s="568"/>
    </row>
    <row r="157" spans="44:73" ht="15" customHeight="1">
      <c r="AR157" s="141"/>
      <c r="AS157" s="15"/>
      <c r="AT157" s="15"/>
      <c r="AU157" s="15"/>
      <c r="AV157" s="15"/>
      <c r="AW157" s="15"/>
      <c r="AX157" s="15"/>
      <c r="AY157" s="15"/>
      <c r="AZ157" s="15"/>
      <c r="BA157" s="565"/>
      <c r="BB157" s="565"/>
      <c r="BC157" s="571"/>
      <c r="BD157" s="568"/>
      <c r="BE157" s="569"/>
      <c r="BF157" s="568"/>
      <c r="BH157" s="141"/>
      <c r="BI157" s="15"/>
      <c r="BJ157" s="15"/>
      <c r="BK157" s="15"/>
      <c r="BL157" s="15"/>
      <c r="BM157" s="15"/>
      <c r="BN157" s="15"/>
      <c r="BO157" s="15"/>
      <c r="BP157" s="15"/>
      <c r="BQ157" s="565"/>
      <c r="BR157" s="565"/>
      <c r="BS157" s="571"/>
      <c r="BT157" s="568"/>
      <c r="BU157" s="568"/>
    </row>
    <row r="158" spans="44:73" ht="15" customHeight="1">
      <c r="AR158" s="141"/>
      <c r="AS158" s="11"/>
      <c r="AT158" s="11"/>
      <c r="AU158" s="11"/>
      <c r="AV158" s="11"/>
      <c r="AW158" s="11"/>
      <c r="AX158" s="11"/>
      <c r="AY158" s="11"/>
      <c r="AZ158" s="11"/>
      <c r="BA158" s="205"/>
      <c r="BB158" s="205"/>
      <c r="BC158" s="206"/>
      <c r="BD158" s="380"/>
      <c r="BE158" s="382"/>
      <c r="BF158" s="9"/>
      <c r="BH158" s="141"/>
      <c r="BI158" s="11"/>
      <c r="BJ158" s="11"/>
      <c r="BK158" s="11"/>
      <c r="BL158" s="11"/>
      <c r="BM158" s="11"/>
      <c r="BN158" s="11"/>
      <c r="BO158" s="11"/>
      <c r="BP158" s="11"/>
      <c r="BQ158" s="205"/>
      <c r="BR158" s="205"/>
      <c r="BS158" s="206"/>
      <c r="BT158" s="380"/>
      <c r="BU158" s="184"/>
    </row>
    <row r="159" spans="44:73" ht="15" customHeight="1">
      <c r="AR159" s="18" t="s">
        <v>64</v>
      </c>
      <c r="AS159" s="362"/>
      <c r="AT159" s="19">
        <f>SUM(AT127:AT158)</f>
        <v>1150</v>
      </c>
      <c r="AU159" s="19">
        <f>SUM(AU127:AU158)</f>
        <v>162340</v>
      </c>
      <c r="AV159" s="19">
        <f>SUM(AV127:AV158)</f>
        <v>0</v>
      </c>
      <c r="AW159" s="19">
        <f>SUM(AW127:AW158)</f>
        <v>21719</v>
      </c>
      <c r="AX159" s="20">
        <f>SUM(AX127:AX158)</f>
        <v>12210</v>
      </c>
      <c r="AY159" s="20">
        <f>SUM(AY127:AY158)</f>
        <v>172999</v>
      </c>
      <c r="AZ159" s="39">
        <f>SUM(AZ127:AZ158)</f>
        <v>172999</v>
      </c>
      <c r="BA159" s="32"/>
      <c r="BB159" s="373"/>
      <c r="BC159" s="252"/>
      <c r="BD159" s="9"/>
      <c r="BE159" s="382"/>
      <c r="BF159" s="9"/>
      <c r="BH159" s="18" t="s">
        <v>64</v>
      </c>
      <c r="BI159" s="362"/>
      <c r="BJ159" s="19"/>
      <c r="BK159" s="19"/>
      <c r="BL159" s="19"/>
      <c r="BM159" s="19"/>
      <c r="BN159" s="20"/>
      <c r="BO159" s="20"/>
      <c r="BP159" s="39"/>
      <c r="BQ159" s="32"/>
      <c r="BR159" s="373"/>
      <c r="BS159" s="252"/>
      <c r="BT159" s="9"/>
      <c r="BU159" s="184"/>
    </row>
    <row r="160" spans="44:73" ht="15" customHeight="1">
      <c r="AR160" s="5"/>
      <c r="AS160" s="11"/>
      <c r="AT160" s="29">
        <f>AT159+AU159+AV159+AW159</f>
        <v>185209</v>
      </c>
      <c r="AU160" s="10"/>
      <c r="AV160" s="10"/>
      <c r="AW160" s="10"/>
      <c r="AX160" s="47">
        <f>AX159+AY159</f>
        <v>185209</v>
      </c>
      <c r="AY160" s="10"/>
      <c r="AZ160" s="10"/>
      <c r="BA160" s="33"/>
      <c r="BB160" s="33"/>
      <c r="BC160" s="414"/>
      <c r="BD160" s="9"/>
      <c r="BE160" s="382"/>
      <c r="BF160" s="9"/>
      <c r="BH160" s="5"/>
      <c r="BI160" s="11"/>
      <c r="BJ160" s="29">
        <f>BJ159+BK159+BL159+BM159</f>
        <v>0</v>
      </c>
      <c r="BK160" s="10"/>
      <c r="BL160" s="10"/>
      <c r="BM160" s="10"/>
      <c r="BN160" s="47">
        <f>BN159+BO159</f>
        <v>0</v>
      </c>
      <c r="BO160" s="10"/>
      <c r="BP160" s="10"/>
      <c r="BQ160" s="33"/>
      <c r="BR160" s="33"/>
      <c r="BS160" s="414"/>
      <c r="BT160" s="9"/>
      <c r="BU160" s="382"/>
    </row>
    <row r="161" spans="44:73" ht="15" customHeight="1">
      <c r="AR161" s="67"/>
      <c r="AS161" s="356"/>
      <c r="AT161"/>
      <c r="AU161"/>
      <c r="AV161"/>
      <c r="AW161"/>
      <c r="AX161"/>
      <c r="AY161"/>
      <c r="AZ161"/>
      <c r="BA161"/>
      <c r="BC161" s="261"/>
      <c r="BD161" s="261"/>
      <c r="BE161" s="136"/>
      <c r="BH161" s="67"/>
      <c r="BI161" s="356"/>
      <c r="BJ161"/>
      <c r="BK161"/>
      <c r="BL161"/>
      <c r="BM161"/>
      <c r="BN161"/>
      <c r="BO161"/>
      <c r="BS161" s="261"/>
      <c r="BT161" s="261"/>
      <c r="BU161" s="136"/>
    </row>
    <row r="162" spans="44:73" ht="15" customHeight="1">
      <c r="AR162" s="403" t="s">
        <v>177</v>
      </c>
      <c r="AS162" s="404"/>
      <c r="AT162" s="405"/>
      <c r="AU162" s="405"/>
      <c r="AV162" s="405"/>
      <c r="AW162" s="406"/>
      <c r="AX162" s="406"/>
      <c r="AY162" s="406"/>
      <c r="AZ162" s="406"/>
      <c r="BA162" s="407"/>
      <c r="BB162" s="408"/>
      <c r="BC162" s="261"/>
      <c r="BD162" s="261"/>
      <c r="BE162" s="136"/>
      <c r="BH162" s="403" t="s">
        <v>177</v>
      </c>
      <c r="BI162" s="404"/>
      <c r="BJ162" s="405"/>
      <c r="BK162" s="405"/>
      <c r="BL162" s="405"/>
      <c r="BM162" s="406"/>
      <c r="BN162" s="406"/>
      <c r="BO162" s="406"/>
      <c r="BP162" s="406"/>
      <c r="BQ162" s="407"/>
      <c r="BR162" s="408"/>
      <c r="BS162" s="261"/>
      <c r="BT162" s="261"/>
      <c r="BU162" s="136"/>
    </row>
    <row r="163" spans="44:73" ht="15" customHeight="1">
      <c r="AR163" s="409"/>
      <c r="AS163" s="402"/>
      <c r="AT163" s="402"/>
      <c r="AU163" s="402"/>
      <c r="AV163" s="402"/>
      <c r="AW163" s="402"/>
      <c r="AX163" s="396"/>
      <c r="AY163" s="396"/>
      <c r="AZ163" s="396"/>
      <c r="BA163" s="396"/>
      <c r="BB163" s="410"/>
      <c r="BC163" s="261"/>
      <c r="BD163" s="261"/>
      <c r="BE163" s="136"/>
      <c r="BH163" s="409"/>
      <c r="BI163" s="402"/>
      <c r="BJ163" s="402"/>
      <c r="BK163" s="402"/>
      <c r="BL163" s="402"/>
      <c r="BM163" s="402"/>
      <c r="BN163" s="396"/>
      <c r="BO163" s="396"/>
      <c r="BP163" s="396"/>
      <c r="BQ163" s="396"/>
      <c r="BR163" s="410"/>
      <c r="BS163" s="261"/>
      <c r="BT163" s="261"/>
      <c r="BU163" s="136"/>
    </row>
    <row r="164" spans="44:73" ht="15" customHeight="1">
      <c r="AR164" s="628"/>
      <c r="AS164" s="629"/>
      <c r="AT164" s="629"/>
      <c r="AU164" s="629"/>
      <c r="AV164" s="629"/>
      <c r="AW164" s="629"/>
      <c r="AX164" s="411"/>
      <c r="AY164" s="411"/>
      <c r="AZ164" s="411"/>
      <c r="BA164" s="411"/>
      <c r="BB164" s="412"/>
      <c r="BC164" s="261"/>
      <c r="BD164" s="261"/>
      <c r="BE164" s="136"/>
      <c r="BH164" s="628"/>
      <c r="BI164" s="629"/>
      <c r="BJ164" s="629"/>
      <c r="BK164" s="629"/>
      <c r="BL164" s="629"/>
      <c r="BM164" s="629"/>
      <c r="BN164" s="411"/>
      <c r="BO164" s="411"/>
      <c r="BP164" s="411"/>
      <c r="BQ164" s="411"/>
      <c r="BR164" s="412"/>
      <c r="BS164" s="261"/>
      <c r="BT164" s="261"/>
      <c r="BU164" s="136"/>
    </row>
  </sheetData>
  <sheetProtection formatCells="0" formatColumns="0" formatRows="0"/>
  <protectedRanges>
    <protectedRange sqref="BW1:IU1 A1:J1 AQ1 L1:X1 AB1:AM1 AT1:BD1" name="Range2"/>
    <protectedRange sqref="A2:L2 BD2 Y2 AN2 AB2 AQ2 BG2" name="Range1_2_1"/>
    <protectedRange sqref="BP1" name="Range2_1"/>
    <protectedRange sqref="Z2:AA2 AO2:AP2 BE2:BF2 BT2:BU2" name="Range1_2_1_1"/>
    <protectedRange sqref="AS1" name="Range1_1_1"/>
    <protectedRange sqref="BI1" name="Range1_1_1_1"/>
    <protectedRange sqref="AR120 BE120:BE123 AT120:BD120 BC121:BD123 AR161 BE161:BE164 AT161:BD161 BC162:BD164" name="Range1_2"/>
    <protectedRange sqref="AS120 AS161" name="Range1_1_1_2"/>
    <protectedRange sqref="BH120 BU120:BU123 BJ120:BT120 BS121:BT123 BH161 BU161:BU164 BJ161:BT161 BS162:BT164" name="Range1_2_2"/>
    <protectedRange sqref="BI120 BI161" name="Range1_1_1_3"/>
  </protectedRanges>
  <mergeCells count="9">
    <mergeCell ref="AR43:AX43"/>
    <mergeCell ref="AR83:AX83"/>
    <mergeCell ref="BH84:BN84"/>
    <mergeCell ref="AR164:AW164"/>
    <mergeCell ref="BH164:BM164"/>
    <mergeCell ref="AR123:AW123"/>
    <mergeCell ref="BH123:BM123"/>
    <mergeCell ref="M83:S83"/>
    <mergeCell ref="AC83:AH83"/>
  </mergeCells>
  <conditionalFormatting sqref="M2:X2 AU45:BF77 AR3:BD36 X55:AA55 O55:V55 O46:X53 P56:AA57 P58:U58 W58:AA58 O55:O77 N46:N54 O45 P59:AA79 BA78:BF79 BQ79:BU80 BH45:BI80 BJ74:BU78 BK72:BU73 BJ45:BU71">
    <cfRule type="containsText" dxfId="200" priority="233" stopIfTrue="1" operator="containsText" text="ELTÉRÉS!">
      <formula>NOT(ISERROR(SEARCH("ELTÉRÉS!",M2)))</formula>
    </cfRule>
    <cfRule type="containsText" dxfId="199" priority="234" stopIfTrue="1" operator="containsText" text="STIMMEL!">
      <formula>NOT(ISERROR(SEARCH("STIMMEL!",M2)))</formula>
    </cfRule>
  </conditionalFormatting>
  <conditionalFormatting sqref="M2:X2 AU45:BF77 AR3:BD36 X55:AA55 O55:V55 O46:X53 P56:AA57 P58:U58 W58:AA58 O45 O55:O77 N46:N54 P59:AA79 BA78:BF79 BQ79:BU80 BH45:BI80 BJ74:BU78 BK72:BU73 BJ45:BU71">
    <cfRule type="cellIs" dxfId="198" priority="232" operator="equal">
      <formula>0.01</formula>
    </cfRule>
  </conditionalFormatting>
  <conditionalFormatting sqref="AC2:AM2">
    <cfRule type="containsText" dxfId="197" priority="230" stopIfTrue="1" operator="containsText" text="ELTÉRÉS!">
      <formula>NOT(ISERROR(SEARCH("ELTÉRÉS!",AC2)))</formula>
    </cfRule>
    <cfRule type="containsText" dxfId="196" priority="231" stopIfTrue="1" operator="containsText" text="STIMMEL!">
      <formula>NOT(ISERROR(SEARCH("STIMMEL!",AC2)))</formula>
    </cfRule>
  </conditionalFormatting>
  <conditionalFormatting sqref="AC2:AM2">
    <cfRule type="cellIs" dxfId="195" priority="229" operator="equal">
      <formula>0.01</formula>
    </cfRule>
  </conditionalFormatting>
  <conditionalFormatting sqref="AR2:BC2">
    <cfRule type="containsText" dxfId="194" priority="227" stopIfTrue="1" operator="containsText" text="ELTÉRÉS!">
      <formula>NOT(ISERROR(SEARCH("ELTÉRÉS!",AR2)))</formula>
    </cfRule>
    <cfRule type="containsText" dxfId="193" priority="228" stopIfTrue="1" operator="containsText" text="STIMMEL!">
      <formula>NOT(ISERROR(SEARCH("STIMMEL!",AR2)))</formula>
    </cfRule>
  </conditionalFormatting>
  <conditionalFormatting sqref="AR2:BC2">
    <cfRule type="cellIs" dxfId="192" priority="226" operator="equal">
      <formula>0.01</formula>
    </cfRule>
  </conditionalFormatting>
  <conditionalFormatting sqref="M3:Y35">
    <cfRule type="containsText" dxfId="191" priority="224" stopIfTrue="1" operator="containsText" text="ELTÉRÉS!">
      <formula>NOT(ISERROR(SEARCH("ELTÉRÉS!",M3)))</formula>
    </cfRule>
    <cfRule type="containsText" dxfId="190" priority="225" stopIfTrue="1" operator="containsText" text="STIMMEL!">
      <formula>NOT(ISERROR(SEARCH("STIMMEL!",M3)))</formula>
    </cfRule>
  </conditionalFormatting>
  <conditionalFormatting sqref="M3:Y35">
    <cfRule type="cellIs" dxfId="189" priority="223" operator="equal">
      <formula>0.01</formula>
    </cfRule>
  </conditionalFormatting>
  <conditionalFormatting sqref="AC3:AN35">
    <cfRule type="containsText" dxfId="188" priority="221" stopIfTrue="1" operator="containsText" text="ELTÉRÉS!">
      <formula>NOT(ISERROR(SEARCH("ELTÉRÉS!",AC3)))</formula>
    </cfRule>
    <cfRule type="containsText" dxfId="187" priority="222" stopIfTrue="1" operator="containsText" text="STIMMEL!">
      <formula>NOT(ISERROR(SEARCH("STIMMEL!",AC3)))</formula>
    </cfRule>
  </conditionalFormatting>
  <conditionalFormatting sqref="AC3:AN35">
    <cfRule type="cellIs" dxfId="186" priority="220" operator="equal">
      <formula>0.01</formula>
    </cfRule>
  </conditionalFormatting>
  <conditionalFormatting sqref="BH2:BS2 BV2:BV35">
    <cfRule type="containsText" dxfId="185" priority="215" stopIfTrue="1" operator="containsText" text="ELTÉRÉS!">
      <formula>NOT(ISERROR(SEARCH("ELTÉRÉS!",BH2)))</formula>
    </cfRule>
    <cfRule type="containsText" dxfId="184" priority="216" stopIfTrue="1" operator="containsText" text="STIMMEL!">
      <formula>NOT(ISERROR(SEARCH("STIMMEL!",BH2)))</formula>
    </cfRule>
  </conditionalFormatting>
  <conditionalFormatting sqref="BH2:BS2 BV2:BV35">
    <cfRule type="cellIs" dxfId="183" priority="214" operator="equal">
      <formula>0.01</formula>
    </cfRule>
  </conditionalFormatting>
  <conditionalFormatting sqref="BH3:BS17 BH18:BI18 BH19:BS35">
    <cfRule type="containsText" dxfId="182" priority="209" stopIfTrue="1" operator="containsText" text="ELTÉRÉS!">
      <formula>NOT(ISERROR(SEARCH("ELTÉRÉS!",BH3)))</formula>
    </cfRule>
    <cfRule type="containsText" dxfId="181" priority="210" stopIfTrue="1" operator="containsText" text="STIMMEL!">
      <formula>NOT(ISERROR(SEARCH("STIMMEL!",BH3)))</formula>
    </cfRule>
  </conditionalFormatting>
  <conditionalFormatting sqref="BH3:BS17 BH18:BI18 BH19:BS35">
    <cfRule type="cellIs" dxfId="180" priority="208" operator="equal">
      <formula>0.01</formula>
    </cfRule>
  </conditionalFormatting>
  <conditionalFormatting sqref="M41:N41 Q42:X43 R41:X41">
    <cfRule type="containsText" dxfId="179" priority="203" stopIfTrue="1" operator="containsText" text="ELTÉRÉS!">
      <formula>NOT(ISERROR(SEARCH("ELTÉRÉS!",M41)))</formula>
    </cfRule>
    <cfRule type="containsText" dxfId="178" priority="204" stopIfTrue="1" operator="containsText" text="STIMMEL!">
      <formula>NOT(ISERROR(SEARCH("STIMMEL!",M41)))</formula>
    </cfRule>
  </conditionalFormatting>
  <conditionalFormatting sqref="M41:N41 Q42:X43 R41:X41">
    <cfRule type="cellIs" dxfId="177" priority="202" operator="equal">
      <formula>0.01</formula>
    </cfRule>
  </conditionalFormatting>
  <conditionalFormatting sqref="AC41 AF42:AM43 AG41:AM41">
    <cfRule type="containsText" dxfId="176" priority="200" stopIfTrue="1" operator="containsText" text="ELTÉRÉS!">
      <formula>NOT(ISERROR(SEARCH("ELTÉRÉS!",AC41)))</formula>
    </cfRule>
    <cfRule type="containsText" dxfId="175" priority="201" stopIfTrue="1" operator="containsText" text="STIMMEL!">
      <formula>NOT(ISERROR(SEARCH("STIMMEL!",AC41)))</formula>
    </cfRule>
  </conditionalFormatting>
  <conditionalFormatting sqref="AC41 AF42:AM43 AG41:AM41">
    <cfRule type="cellIs" dxfId="174" priority="199" operator="equal">
      <formula>0.01</formula>
    </cfRule>
  </conditionalFormatting>
  <conditionalFormatting sqref="AV44:BC44">
    <cfRule type="containsText" dxfId="173" priority="197" stopIfTrue="1" operator="containsText" text="ELTÉRÉS!">
      <formula>NOT(ISERROR(SEARCH("ELTÉRÉS!",AV44)))</formula>
    </cfRule>
    <cfRule type="containsText" dxfId="172" priority="198" stopIfTrue="1" operator="containsText" text="STIMMEL!">
      <formula>NOT(ISERROR(SEARCH("STIMMEL!",AV44)))</formula>
    </cfRule>
  </conditionalFormatting>
  <conditionalFormatting sqref="AV44:BC44">
    <cfRule type="cellIs" dxfId="171" priority="196" operator="equal">
      <formula>0.01</formula>
    </cfRule>
  </conditionalFormatting>
  <conditionalFormatting sqref="BH41:BI41 BL42:BS43 BM41:BS41">
    <cfRule type="containsText" dxfId="170" priority="194" stopIfTrue="1" operator="containsText" text="ELTÉRÉS!">
      <formula>NOT(ISERROR(SEARCH("ELTÉRÉS!",BH41)))</formula>
    </cfRule>
    <cfRule type="containsText" dxfId="169" priority="195" stopIfTrue="1" operator="containsText" text="STIMMEL!">
      <formula>NOT(ISERROR(SEARCH("STIMMEL!",BH41)))</formula>
    </cfRule>
  </conditionalFormatting>
  <conditionalFormatting sqref="BH41:BI41 BL42:BS43 BM41:BS41">
    <cfRule type="cellIs" dxfId="168" priority="193" operator="equal">
      <formula>0.01</formula>
    </cfRule>
  </conditionalFormatting>
  <conditionalFormatting sqref="BK18:BQ18 BS18">
    <cfRule type="containsText" dxfId="167" priority="188" stopIfTrue="1" operator="containsText" text="ELTÉRÉS!">
      <formula>NOT(ISERROR(SEARCH("ELTÉRÉS!",BK18)))</formula>
    </cfRule>
    <cfRule type="containsText" dxfId="166" priority="189" stopIfTrue="1" operator="containsText" text="STIMMEL!">
      <formula>NOT(ISERROR(SEARCH("STIMMEL!",BK18)))</formula>
    </cfRule>
  </conditionalFormatting>
  <conditionalFormatting sqref="BK18:BQ18 BS18">
    <cfRule type="cellIs" dxfId="165" priority="187" operator="equal">
      <formula>0.01</formula>
    </cfRule>
  </conditionalFormatting>
  <conditionalFormatting sqref="BR18">
    <cfRule type="containsText" dxfId="164" priority="185" stopIfTrue="1" operator="containsText" text="ELTÉRÉS!">
      <formula>NOT(ISERROR(SEARCH("ELTÉRÉS!",BR18)))</formula>
    </cfRule>
    <cfRule type="containsText" dxfId="163" priority="186" stopIfTrue="1" operator="containsText" text="STIMMEL!">
      <formula>NOT(ISERROR(SEARCH("STIMMEL!",BR18)))</formula>
    </cfRule>
  </conditionalFormatting>
  <conditionalFormatting sqref="BR18">
    <cfRule type="cellIs" dxfId="162" priority="184" operator="equal">
      <formula>0.01</formula>
    </cfRule>
  </conditionalFormatting>
  <conditionalFormatting sqref="BJ18">
    <cfRule type="containsText" dxfId="161" priority="182" stopIfTrue="1" operator="containsText" text="ELTÉRÉS!">
      <formula>NOT(ISERROR(SEARCH("ELTÉRÉS!",BJ18)))</formula>
    </cfRule>
    <cfRule type="containsText" dxfId="160" priority="183" stopIfTrue="1" operator="containsText" text="STIMMEL!">
      <formula>NOT(ISERROR(SEARCH("STIMMEL!",BJ18)))</formula>
    </cfRule>
  </conditionalFormatting>
  <conditionalFormatting sqref="BJ18">
    <cfRule type="cellIs" dxfId="159" priority="181" operator="equal">
      <formula>0.01</formula>
    </cfRule>
  </conditionalFormatting>
  <conditionalFormatting sqref="P45:AA45 Y46:AA54 M45:N79">
    <cfRule type="containsText" dxfId="158" priority="179" stopIfTrue="1" operator="containsText" text="ELTÉRÉS!">
      <formula>NOT(ISERROR(SEARCH("ELTÉRÉS!",M45)))</formula>
    </cfRule>
    <cfRule type="containsText" dxfId="157" priority="180" stopIfTrue="1" operator="containsText" text="STIMMEL!">
      <formula>NOT(ISERROR(SEARCH("STIMMEL!",M45)))</formula>
    </cfRule>
  </conditionalFormatting>
  <conditionalFormatting sqref="P45:AA45 Y46:AA54 M45:N79">
    <cfRule type="cellIs" dxfId="156" priority="178" operator="equal">
      <formula>0.01</formula>
    </cfRule>
  </conditionalFormatting>
  <conditionalFormatting sqref="AE45:AP77 AC45:AC79 AE79:AP79 AE78:AI78 AK78:AP78">
    <cfRule type="containsText" dxfId="155" priority="173" stopIfTrue="1" operator="containsText" text="ELTÉRÉS!">
      <formula>NOT(ISERROR(SEARCH("ELTÉRÉS!",AC45)))</formula>
    </cfRule>
    <cfRule type="containsText" dxfId="154" priority="174" stopIfTrue="1" operator="containsText" text="STIMMEL!">
      <formula>NOT(ISERROR(SEARCH("STIMMEL!",AC45)))</formula>
    </cfRule>
  </conditionalFormatting>
  <conditionalFormatting sqref="AE45:AP77 AC45:AC79 AE79:AP79 AE78:AI78 AK78:AP78">
    <cfRule type="cellIs" dxfId="153" priority="172" operator="equal">
      <formula>0.01</formula>
    </cfRule>
  </conditionalFormatting>
  <conditionalFormatting sqref="AD45:AD77">
    <cfRule type="containsText" dxfId="152" priority="170" stopIfTrue="1" operator="containsText" text="ELTÉRÉS!">
      <formula>NOT(ISERROR(SEARCH("ELTÉRÉS!",AD45)))</formula>
    </cfRule>
    <cfRule type="containsText" dxfId="151" priority="171" stopIfTrue="1" operator="containsText" text="STIMMEL!">
      <formula>NOT(ISERROR(SEARCH("STIMMEL!",AD45)))</formula>
    </cfRule>
  </conditionalFormatting>
  <conditionalFormatting sqref="AD45:AD77">
    <cfRule type="cellIs" dxfId="150" priority="169" operator="equal">
      <formula>0.01</formula>
    </cfRule>
  </conditionalFormatting>
  <conditionalFormatting sqref="AR45:AS79">
    <cfRule type="containsText" dxfId="149" priority="167" stopIfTrue="1" operator="containsText" text="ELTÉRÉS!">
      <formula>NOT(ISERROR(SEARCH("ELTÉRÉS!",AR45)))</formula>
    </cfRule>
    <cfRule type="containsText" dxfId="148" priority="168" stopIfTrue="1" operator="containsText" text="STIMMEL!">
      <formula>NOT(ISERROR(SEARCH("STIMMEL!",AR45)))</formula>
    </cfRule>
  </conditionalFormatting>
  <conditionalFormatting sqref="AR45:AS79">
    <cfRule type="cellIs" dxfId="147" priority="166" operator="equal">
      <formula>0.01</formula>
    </cfRule>
  </conditionalFormatting>
  <conditionalFormatting sqref="AT45:AT77">
    <cfRule type="containsText" dxfId="146" priority="164" stopIfTrue="1" operator="containsText" text="ELTÉRÉS!">
      <formula>NOT(ISERROR(SEARCH("ELTÉRÉS!",AT45)))</formula>
    </cfRule>
    <cfRule type="containsText" dxfId="145" priority="165" stopIfTrue="1" operator="containsText" text="STIMMEL!">
      <formula>NOT(ISERROR(SEARCH("STIMMEL!",AT45)))</formula>
    </cfRule>
  </conditionalFormatting>
  <conditionalFormatting sqref="AT45:AT77">
    <cfRule type="cellIs" dxfId="144" priority="163" operator="equal">
      <formula>0.01</formula>
    </cfRule>
  </conditionalFormatting>
  <conditionalFormatting sqref="S81:X81">
    <cfRule type="containsText" dxfId="143" priority="155" stopIfTrue="1" operator="containsText" text="ELTÉRÉS!">
      <formula>NOT(ISERROR(SEARCH("ELTÉRÉS!",S81)))</formula>
    </cfRule>
    <cfRule type="containsText" dxfId="142" priority="156" stopIfTrue="1" operator="containsText" text="STIMMEL!">
      <formula>NOT(ISERROR(SEARCH("STIMMEL!",S81)))</formula>
    </cfRule>
  </conditionalFormatting>
  <conditionalFormatting sqref="S81:X81">
    <cfRule type="cellIs" dxfId="141" priority="154" operator="equal">
      <formula>0.01</formula>
    </cfRule>
  </conditionalFormatting>
  <conditionalFormatting sqref="M81:N81">
    <cfRule type="containsText" dxfId="140" priority="152" stopIfTrue="1" operator="containsText" text="ELTÉRÉS!">
      <formula>NOT(ISERROR(SEARCH("ELTÉRÉS!",M81)))</formula>
    </cfRule>
    <cfRule type="containsText" dxfId="139" priority="153" stopIfTrue="1" operator="containsText" text="STIMMEL!">
      <formula>NOT(ISERROR(SEARCH("STIMMEL!",M81)))</formula>
    </cfRule>
  </conditionalFormatting>
  <conditionalFormatting sqref="M81:N81">
    <cfRule type="cellIs" dxfId="138" priority="151" operator="equal">
      <formula>0.01</formula>
    </cfRule>
  </conditionalFormatting>
  <conditionalFormatting sqref="O81">
    <cfRule type="containsText" dxfId="137" priority="149" stopIfTrue="1" operator="containsText" text="ELTÉRÉS!">
      <formula>NOT(ISERROR(SEARCH("ELTÉRÉS!",O81)))</formula>
    </cfRule>
    <cfRule type="containsText" dxfId="136" priority="150" stopIfTrue="1" operator="containsText" text="STIMMEL!">
      <formula>NOT(ISERROR(SEARCH("STIMMEL!",O81)))</formula>
    </cfRule>
  </conditionalFormatting>
  <conditionalFormatting sqref="O81">
    <cfRule type="cellIs" dxfId="135" priority="148" operator="equal">
      <formula>0.01</formula>
    </cfRule>
  </conditionalFormatting>
  <conditionalFormatting sqref="AH81:AM81">
    <cfRule type="containsText" dxfId="134" priority="146" stopIfTrue="1" operator="containsText" text="ELTÉRÉS!">
      <formula>NOT(ISERROR(SEARCH("ELTÉRÉS!",AH81)))</formula>
    </cfRule>
    <cfRule type="containsText" dxfId="133" priority="147" stopIfTrue="1" operator="containsText" text="STIMMEL!">
      <formula>NOT(ISERROR(SEARCH("STIMMEL!",AH81)))</formula>
    </cfRule>
  </conditionalFormatting>
  <conditionalFormatting sqref="AH81:AM81">
    <cfRule type="cellIs" dxfId="132" priority="145" operator="equal">
      <formula>0.01</formula>
    </cfRule>
  </conditionalFormatting>
  <conditionalFormatting sqref="AC81">
    <cfRule type="containsText" dxfId="131" priority="143" stopIfTrue="1" operator="containsText" text="ELTÉRÉS!">
      <formula>NOT(ISERROR(SEARCH("ELTÉRÉS!",AC81)))</formula>
    </cfRule>
    <cfRule type="containsText" dxfId="130" priority="144" stopIfTrue="1" operator="containsText" text="STIMMEL!">
      <formula>NOT(ISERROR(SEARCH("STIMMEL!",AC81)))</formula>
    </cfRule>
  </conditionalFormatting>
  <conditionalFormatting sqref="AC81">
    <cfRule type="cellIs" dxfId="129" priority="142" operator="equal">
      <formula>0.01</formula>
    </cfRule>
  </conditionalFormatting>
  <conditionalFormatting sqref="AD81">
    <cfRule type="containsText" dxfId="128" priority="140" stopIfTrue="1" operator="containsText" text="ELTÉRÉS!">
      <formula>NOT(ISERROR(SEARCH("ELTÉRÉS!",AD81)))</formula>
    </cfRule>
    <cfRule type="containsText" dxfId="127" priority="141" stopIfTrue="1" operator="containsText" text="STIMMEL!">
      <formula>NOT(ISERROR(SEARCH("STIMMEL!",AD81)))</formula>
    </cfRule>
  </conditionalFormatting>
  <conditionalFormatting sqref="AD81">
    <cfRule type="cellIs" dxfId="126" priority="139" operator="equal">
      <formula>0.01</formula>
    </cfRule>
  </conditionalFormatting>
  <conditionalFormatting sqref="AX41:BC41">
    <cfRule type="containsText" dxfId="125" priority="137" stopIfTrue="1" operator="containsText" text="ELTÉRÉS!">
      <formula>NOT(ISERROR(SEARCH("ELTÉRÉS!",AX41)))</formula>
    </cfRule>
    <cfRule type="containsText" dxfId="124" priority="138" stopIfTrue="1" operator="containsText" text="STIMMEL!">
      <formula>NOT(ISERROR(SEARCH("STIMMEL!",AX41)))</formula>
    </cfRule>
  </conditionalFormatting>
  <conditionalFormatting sqref="AX41:BC41">
    <cfRule type="cellIs" dxfId="123" priority="136" operator="equal">
      <formula>0.01</formula>
    </cfRule>
  </conditionalFormatting>
  <conditionalFormatting sqref="AR41:AS41">
    <cfRule type="containsText" dxfId="122" priority="134" stopIfTrue="1" operator="containsText" text="ELTÉRÉS!">
      <formula>NOT(ISERROR(SEARCH("ELTÉRÉS!",AR41)))</formula>
    </cfRule>
    <cfRule type="containsText" dxfId="121" priority="135" stopIfTrue="1" operator="containsText" text="STIMMEL!">
      <formula>NOT(ISERROR(SEARCH("STIMMEL!",AR41)))</formula>
    </cfRule>
  </conditionalFormatting>
  <conditionalFormatting sqref="AR41:AS41">
    <cfRule type="cellIs" dxfId="120" priority="133" operator="equal">
      <formula>0.01</formula>
    </cfRule>
  </conditionalFormatting>
  <conditionalFormatting sqref="AT41">
    <cfRule type="containsText" dxfId="119" priority="131" stopIfTrue="1" operator="containsText" text="ELTÉRÉS!">
      <formula>NOT(ISERROR(SEARCH("ELTÉRÉS!",AT41)))</formula>
    </cfRule>
    <cfRule type="containsText" dxfId="118" priority="132" stopIfTrue="1" operator="containsText" text="STIMMEL!">
      <formula>NOT(ISERROR(SEARCH("STIMMEL!",AT41)))</formula>
    </cfRule>
  </conditionalFormatting>
  <conditionalFormatting sqref="AT41">
    <cfRule type="cellIs" dxfId="117" priority="130" operator="equal">
      <formula>0.01</formula>
    </cfRule>
  </conditionalFormatting>
  <conditionalFormatting sqref="AX81:BC81">
    <cfRule type="containsText" dxfId="116" priority="128" stopIfTrue="1" operator="containsText" text="ELTÉRÉS!">
      <formula>NOT(ISERROR(SEARCH("ELTÉRÉS!",AX81)))</formula>
    </cfRule>
    <cfRule type="containsText" dxfId="115" priority="129" stopIfTrue="1" operator="containsText" text="STIMMEL!">
      <formula>NOT(ISERROR(SEARCH("STIMMEL!",AX81)))</formula>
    </cfRule>
  </conditionalFormatting>
  <conditionalFormatting sqref="AX81:BC81">
    <cfRule type="cellIs" dxfId="114" priority="127" operator="equal">
      <formula>0.01</formula>
    </cfRule>
  </conditionalFormatting>
  <conditionalFormatting sqref="AR81:AS81">
    <cfRule type="containsText" dxfId="113" priority="125" stopIfTrue="1" operator="containsText" text="ELTÉRÉS!">
      <formula>NOT(ISERROR(SEARCH("ELTÉRÉS!",AR81)))</formula>
    </cfRule>
    <cfRule type="containsText" dxfId="112" priority="126" stopIfTrue="1" operator="containsText" text="STIMMEL!">
      <formula>NOT(ISERROR(SEARCH("STIMMEL!",AR81)))</formula>
    </cfRule>
  </conditionalFormatting>
  <conditionalFormatting sqref="AR81:AS81">
    <cfRule type="cellIs" dxfId="111" priority="124" operator="equal">
      <formula>0.01</formula>
    </cfRule>
  </conditionalFormatting>
  <conditionalFormatting sqref="AT81">
    <cfRule type="containsText" dxfId="110" priority="122" stopIfTrue="1" operator="containsText" text="ELTÉRÉS!">
      <formula>NOT(ISERROR(SEARCH("ELTÉRÉS!",AT81)))</formula>
    </cfRule>
    <cfRule type="containsText" dxfId="109" priority="123" stopIfTrue="1" operator="containsText" text="STIMMEL!">
      <formula>NOT(ISERROR(SEARCH("STIMMEL!",AT81)))</formula>
    </cfRule>
  </conditionalFormatting>
  <conditionalFormatting sqref="AT81">
    <cfRule type="cellIs" dxfId="108" priority="121" operator="equal">
      <formula>0.01</formula>
    </cfRule>
  </conditionalFormatting>
  <conditionalFormatting sqref="BN82:BS82">
    <cfRule type="containsText" dxfId="107" priority="119" stopIfTrue="1" operator="containsText" text="ELTÉRÉS!">
      <formula>NOT(ISERROR(SEARCH("ELTÉRÉS!",BN82)))</formula>
    </cfRule>
    <cfRule type="containsText" dxfId="106" priority="120" stopIfTrue="1" operator="containsText" text="STIMMEL!">
      <formula>NOT(ISERROR(SEARCH("STIMMEL!",BN82)))</formula>
    </cfRule>
  </conditionalFormatting>
  <conditionalFormatting sqref="BN82:BS82">
    <cfRule type="cellIs" dxfId="105" priority="118" operator="equal">
      <formula>0.01</formula>
    </cfRule>
  </conditionalFormatting>
  <conditionalFormatting sqref="BH82:BI82">
    <cfRule type="containsText" dxfId="104" priority="116" stopIfTrue="1" operator="containsText" text="ELTÉRÉS!">
      <formula>NOT(ISERROR(SEARCH("ELTÉRÉS!",BH82)))</formula>
    </cfRule>
    <cfRule type="containsText" dxfId="103" priority="117" stopIfTrue="1" operator="containsText" text="STIMMEL!">
      <formula>NOT(ISERROR(SEARCH("STIMMEL!",BH82)))</formula>
    </cfRule>
  </conditionalFormatting>
  <conditionalFormatting sqref="BH82:BI82">
    <cfRule type="cellIs" dxfId="102" priority="115" operator="equal">
      <formula>0.01</formula>
    </cfRule>
  </conditionalFormatting>
  <conditionalFormatting sqref="BJ82">
    <cfRule type="containsText" dxfId="101" priority="113" stopIfTrue="1" operator="containsText" text="ELTÉRÉS!">
      <formula>NOT(ISERROR(SEARCH("ELTÉRÉS!",BJ82)))</formula>
    </cfRule>
    <cfRule type="containsText" dxfId="100" priority="114" stopIfTrue="1" operator="containsText" text="STIMMEL!">
      <formula>NOT(ISERROR(SEARCH("STIMMEL!",BJ82)))</formula>
    </cfRule>
  </conditionalFormatting>
  <conditionalFormatting sqref="BJ82">
    <cfRule type="cellIs" dxfId="99" priority="112" operator="equal">
      <formula>0.01</formula>
    </cfRule>
  </conditionalFormatting>
  <conditionalFormatting sqref="O54:U54 W54:X54">
    <cfRule type="containsText" dxfId="98" priority="110" stopIfTrue="1" operator="containsText" text="ELTÉRÉS!">
      <formula>NOT(ISERROR(SEARCH("ELTÉRÉS!",O54)))</formula>
    </cfRule>
    <cfRule type="containsText" dxfId="97" priority="111" stopIfTrue="1" operator="containsText" text="STIMMEL!">
      <formula>NOT(ISERROR(SEARCH("STIMMEL!",O54)))</formula>
    </cfRule>
  </conditionalFormatting>
  <conditionalFormatting sqref="O54:U54 W54:X54">
    <cfRule type="cellIs" dxfId="96" priority="109" operator="equal">
      <formula>0.01</formula>
    </cfRule>
  </conditionalFormatting>
  <conditionalFormatting sqref="N46:N53">
    <cfRule type="containsText" dxfId="95" priority="104" stopIfTrue="1" operator="containsText" text="ELTÉRÉS!">
      <formula>NOT(ISERROR(SEARCH("ELTÉRÉS!",N46)))</formula>
    </cfRule>
    <cfRule type="containsText" dxfId="94" priority="105" stopIfTrue="1" operator="containsText" text="STIMMEL!">
      <formula>NOT(ISERROR(SEARCH("STIMMEL!",N46)))</formula>
    </cfRule>
  </conditionalFormatting>
  <conditionalFormatting sqref="N46:N53">
    <cfRule type="cellIs" dxfId="93" priority="103" operator="equal">
      <formula>0.01</formula>
    </cfRule>
  </conditionalFormatting>
  <conditionalFormatting sqref="N54">
    <cfRule type="containsText" dxfId="92" priority="101" stopIfTrue="1" operator="containsText" text="ELTÉRÉS!">
      <formula>NOT(ISERROR(SEARCH("ELTÉRÉS!",N54)))</formula>
    </cfRule>
    <cfRule type="containsText" dxfId="91" priority="102" stopIfTrue="1" operator="containsText" text="STIMMEL!">
      <formula>NOT(ISERROR(SEARCH("STIMMEL!",N54)))</formula>
    </cfRule>
  </conditionalFormatting>
  <conditionalFormatting sqref="N54">
    <cfRule type="cellIs" dxfId="90" priority="100" operator="equal">
      <formula>0.01</formula>
    </cfRule>
  </conditionalFormatting>
  <conditionalFormatting sqref="AJ36">
    <cfRule type="containsText" dxfId="89" priority="92" stopIfTrue="1" operator="containsText" text="ELTÉRÉS!">
      <formula>NOT(ISERROR(SEARCH("ELTÉRÉS!",AJ36)))</formula>
    </cfRule>
    <cfRule type="containsText" dxfId="88" priority="93" stopIfTrue="1" operator="containsText" text="STIMMEL!">
      <formula>NOT(ISERROR(SEARCH("STIMMEL!",AJ36)))</formula>
    </cfRule>
  </conditionalFormatting>
  <conditionalFormatting sqref="AJ36">
    <cfRule type="cellIs" dxfId="87" priority="91" operator="equal">
      <formula>0.01</formula>
    </cfRule>
  </conditionalFormatting>
  <conditionalFormatting sqref="U36">
    <cfRule type="containsText" dxfId="86" priority="89" stopIfTrue="1" operator="containsText" text="ELTÉRÉS!">
      <formula>NOT(ISERROR(SEARCH("ELTÉRÉS!",U36)))</formula>
    </cfRule>
    <cfRule type="containsText" dxfId="85" priority="90" stopIfTrue="1" operator="containsText" text="STIMMEL!">
      <formula>NOT(ISERROR(SEARCH("STIMMEL!",U36)))</formula>
    </cfRule>
  </conditionalFormatting>
  <conditionalFormatting sqref="U36">
    <cfRule type="cellIs" dxfId="84" priority="88" operator="equal">
      <formula>0.01</formula>
    </cfRule>
  </conditionalFormatting>
  <conditionalFormatting sqref="AJ78">
    <cfRule type="containsText" dxfId="83" priority="86" stopIfTrue="1" operator="containsText" text="ELTÉRÉS!">
      <formula>NOT(ISERROR(SEARCH("ELTÉRÉS!",AJ78)))</formula>
    </cfRule>
    <cfRule type="containsText" dxfId="82" priority="87" stopIfTrue="1" operator="containsText" text="STIMMEL!">
      <formula>NOT(ISERROR(SEARCH("STIMMEL!",AJ78)))</formula>
    </cfRule>
  </conditionalFormatting>
  <conditionalFormatting sqref="AJ78">
    <cfRule type="cellIs" dxfId="81" priority="85" operator="equal">
      <formula>0.01</formula>
    </cfRule>
  </conditionalFormatting>
  <conditionalFormatting sqref="H36">
    <cfRule type="containsText" dxfId="80" priority="83" stopIfTrue="1" operator="containsText" text="ELTÉRÉS!">
      <formula>NOT(ISERROR(SEARCH("ELTÉRÉS!",H36)))</formula>
    </cfRule>
    <cfRule type="containsText" dxfId="79" priority="84" stopIfTrue="1" operator="containsText" text="STIMMEL!">
      <formula>NOT(ISERROR(SEARCH("STIMMEL!",H36)))</formula>
    </cfRule>
  </conditionalFormatting>
  <conditionalFormatting sqref="H36">
    <cfRule type="cellIs" dxfId="78" priority="82" operator="equal">
      <formula>0.01</formula>
    </cfRule>
  </conditionalFormatting>
  <conditionalFormatting sqref="AT37:AZ38">
    <cfRule type="containsText" dxfId="77" priority="80" stopIfTrue="1" operator="containsText" text="ELTÉRÉS!">
      <formula>NOT(ISERROR(SEARCH("ELTÉRÉS!",AT37)))</formula>
    </cfRule>
    <cfRule type="containsText" dxfId="76" priority="81" stopIfTrue="1" operator="containsText" text="STIMMEL!">
      <formula>NOT(ISERROR(SEARCH("STIMMEL!",AT37)))</formula>
    </cfRule>
  </conditionalFormatting>
  <conditionalFormatting sqref="AT37:AZ38">
    <cfRule type="cellIs" dxfId="75" priority="79" operator="equal">
      <formula>0.01</formula>
    </cfRule>
  </conditionalFormatting>
  <conditionalFormatting sqref="AT78:AZ79">
    <cfRule type="containsText" dxfId="74" priority="74" stopIfTrue="1" operator="containsText" text="ELTÉRÉS!">
      <formula>NOT(ISERROR(SEARCH("ELTÉRÉS!",AT78)))</formula>
    </cfRule>
    <cfRule type="containsText" dxfId="73" priority="75" stopIfTrue="1" operator="containsText" text="STIMMEL!">
      <formula>NOT(ISERROR(SEARCH("STIMMEL!",AT78)))</formula>
    </cfRule>
  </conditionalFormatting>
  <conditionalFormatting sqref="AT78:AZ79">
    <cfRule type="cellIs" dxfId="72" priority="73" operator="equal">
      <formula>0.01</formula>
    </cfRule>
  </conditionalFormatting>
  <conditionalFormatting sqref="BJ36:BP37">
    <cfRule type="containsText" dxfId="71" priority="71" stopIfTrue="1" operator="containsText" text="ELTÉRÉS!">
      <formula>NOT(ISERROR(SEARCH("ELTÉRÉS!",BJ36)))</formula>
    </cfRule>
    <cfRule type="containsText" dxfId="70" priority="72" stopIfTrue="1" operator="containsText" text="STIMMEL!">
      <formula>NOT(ISERROR(SEARCH("STIMMEL!",BJ36)))</formula>
    </cfRule>
  </conditionalFormatting>
  <conditionalFormatting sqref="BJ36:BP37">
    <cfRule type="cellIs" dxfId="69" priority="70" operator="equal">
      <formula>0.01</formula>
    </cfRule>
  </conditionalFormatting>
  <conditionalFormatting sqref="BJ79:BP80">
    <cfRule type="containsText" dxfId="68" priority="68" stopIfTrue="1" operator="containsText" text="ELTÉRÉS!">
      <formula>NOT(ISERROR(SEARCH("ELTÉRÉS!",BJ79)))</formula>
    </cfRule>
    <cfRule type="containsText" dxfId="67" priority="69" stopIfTrue="1" operator="containsText" text="STIMMEL!">
      <formula>NOT(ISERROR(SEARCH("STIMMEL!",BJ79)))</formula>
    </cfRule>
  </conditionalFormatting>
  <conditionalFormatting sqref="BJ79:BP80">
    <cfRule type="cellIs" dxfId="66" priority="67" operator="equal">
      <formula>0.01</formula>
    </cfRule>
  </conditionalFormatting>
  <conditionalFormatting sqref="AR85:AR119 AT119:BE119 AS85:BD87 AT102:BD118 AS102:AS117">
    <cfRule type="containsText" dxfId="65" priority="65" stopIfTrue="1" operator="containsText" text="ELTÉRÉS!">
      <formula>NOT(ISERROR(SEARCH("ELTÉRÉS!",AR85)))</formula>
    </cfRule>
    <cfRule type="containsText" dxfId="64" priority="66" stopIfTrue="1" operator="containsText" text="STIMMEL!">
      <formula>NOT(ISERROR(SEARCH("STIMMEL!",AR85)))</formula>
    </cfRule>
  </conditionalFormatting>
  <conditionalFormatting sqref="AR85:AR119 AT119:BE119 AS85:BD87 AT102:BD118 AS102:AS117">
    <cfRule type="cellIs" dxfId="63" priority="64" operator="equal">
      <formula>0.01</formula>
    </cfRule>
  </conditionalFormatting>
  <conditionalFormatting sqref="AW121:BB121">
    <cfRule type="containsText" dxfId="62" priority="62" stopIfTrue="1" operator="containsText" text="ELTÉRÉS!">
      <formula>NOT(ISERROR(SEARCH("ELTÉRÉS!",AW121)))</formula>
    </cfRule>
    <cfRule type="containsText" dxfId="61" priority="63" stopIfTrue="1" operator="containsText" text="STIMMEL!">
      <formula>NOT(ISERROR(SEARCH("STIMMEL!",AW121)))</formula>
    </cfRule>
  </conditionalFormatting>
  <conditionalFormatting sqref="AW121:BB121">
    <cfRule type="cellIs" dxfId="60" priority="61" operator="equal">
      <formula>0.01</formula>
    </cfRule>
  </conditionalFormatting>
  <conditionalFormatting sqref="AR121">
    <cfRule type="containsText" dxfId="59" priority="59" stopIfTrue="1" operator="containsText" text="ELTÉRÉS!">
      <formula>NOT(ISERROR(SEARCH("ELTÉRÉS!",AR121)))</formula>
    </cfRule>
    <cfRule type="containsText" dxfId="58" priority="60" stopIfTrue="1" operator="containsText" text="STIMMEL!">
      <formula>NOT(ISERROR(SEARCH("STIMMEL!",AR121)))</formula>
    </cfRule>
  </conditionalFormatting>
  <conditionalFormatting sqref="AR121">
    <cfRule type="cellIs" dxfId="57" priority="58" operator="equal">
      <formula>0.01</formula>
    </cfRule>
  </conditionalFormatting>
  <conditionalFormatting sqref="AS121">
    <cfRule type="containsText" dxfId="56" priority="56" stopIfTrue="1" operator="containsText" text="ELTÉRÉS!">
      <formula>NOT(ISERROR(SEARCH("ELTÉRÉS!",AS121)))</formula>
    </cfRule>
    <cfRule type="containsText" dxfId="55" priority="57" stopIfTrue="1" operator="containsText" text="STIMMEL!">
      <formula>NOT(ISERROR(SEARCH("STIMMEL!",AS121)))</formula>
    </cfRule>
  </conditionalFormatting>
  <conditionalFormatting sqref="AS121">
    <cfRule type="cellIs" dxfId="54" priority="55" operator="equal">
      <formula>0.01</formula>
    </cfRule>
  </conditionalFormatting>
  <conditionalFormatting sqref="BE85:BE87 BE102:BE118">
    <cfRule type="containsText" dxfId="53" priority="53" stopIfTrue="1" operator="containsText" text="ELTÉRÉS!">
      <formula>NOT(ISERROR(SEARCH("ELTÉRÉS!",BE85)))</formula>
    </cfRule>
    <cfRule type="containsText" dxfId="52" priority="54" stopIfTrue="1" operator="containsText" text="STIMMEL!">
      <formula>NOT(ISERROR(SEARCH("STIMMEL!",BE85)))</formula>
    </cfRule>
  </conditionalFormatting>
  <conditionalFormatting sqref="BE85:BE87 BE102:BE118">
    <cfRule type="cellIs" dxfId="51" priority="52" operator="equal">
      <formula>0.01</formula>
    </cfRule>
  </conditionalFormatting>
  <conditionalFormatting sqref="BI85:BI117 BH85:BH119 BJ119:BU119 BJ85:BT118">
    <cfRule type="containsText" dxfId="50" priority="50" stopIfTrue="1" operator="containsText" text="ELTÉRÉS!">
      <formula>NOT(ISERROR(SEARCH("ELTÉRÉS!",BH85)))</formula>
    </cfRule>
    <cfRule type="containsText" dxfId="49" priority="51" stopIfTrue="1" operator="containsText" text="STIMMEL!">
      <formula>NOT(ISERROR(SEARCH("STIMMEL!",BH85)))</formula>
    </cfRule>
  </conditionalFormatting>
  <conditionalFormatting sqref="BI85:BI117 BH85:BH119 BJ119:BU119 BJ85:BT118">
    <cfRule type="cellIs" dxfId="48" priority="49" operator="equal">
      <formula>0.01</formula>
    </cfRule>
  </conditionalFormatting>
  <conditionalFormatting sqref="BM121:BR121">
    <cfRule type="containsText" dxfId="47" priority="47" stopIfTrue="1" operator="containsText" text="ELTÉRÉS!">
      <formula>NOT(ISERROR(SEARCH("ELTÉRÉS!",BM121)))</formula>
    </cfRule>
    <cfRule type="containsText" dxfId="46" priority="48" stopIfTrue="1" operator="containsText" text="STIMMEL!">
      <formula>NOT(ISERROR(SEARCH("STIMMEL!",BM121)))</formula>
    </cfRule>
  </conditionalFormatting>
  <conditionalFormatting sqref="BM121:BR121">
    <cfRule type="cellIs" dxfId="45" priority="46" operator="equal">
      <formula>0.01</formula>
    </cfRule>
  </conditionalFormatting>
  <conditionalFormatting sqref="BH121">
    <cfRule type="containsText" dxfId="44" priority="44" stopIfTrue="1" operator="containsText" text="ELTÉRÉS!">
      <formula>NOT(ISERROR(SEARCH("ELTÉRÉS!",BH121)))</formula>
    </cfRule>
    <cfRule type="containsText" dxfId="43" priority="45" stopIfTrue="1" operator="containsText" text="STIMMEL!">
      <formula>NOT(ISERROR(SEARCH("STIMMEL!",BH121)))</formula>
    </cfRule>
  </conditionalFormatting>
  <conditionalFormatting sqref="BH121">
    <cfRule type="cellIs" dxfId="42" priority="43" operator="equal">
      <formula>0.01</formula>
    </cfRule>
  </conditionalFormatting>
  <conditionalFormatting sqref="BI121">
    <cfRule type="containsText" dxfId="41" priority="41" stopIfTrue="1" operator="containsText" text="ELTÉRÉS!">
      <formula>NOT(ISERROR(SEARCH("ELTÉRÉS!",BI121)))</formula>
    </cfRule>
    <cfRule type="containsText" dxfId="40" priority="42" stopIfTrue="1" operator="containsText" text="STIMMEL!">
      <formula>NOT(ISERROR(SEARCH("STIMMEL!",BI121)))</formula>
    </cfRule>
  </conditionalFormatting>
  <conditionalFormatting sqref="BI121">
    <cfRule type="cellIs" dxfId="39" priority="40" operator="equal">
      <formula>0.01</formula>
    </cfRule>
  </conditionalFormatting>
  <conditionalFormatting sqref="BU85:BU118">
    <cfRule type="containsText" dxfId="38" priority="38" stopIfTrue="1" operator="containsText" text="ELTÉRÉS!">
      <formula>NOT(ISERROR(SEARCH("ELTÉRÉS!",BU85)))</formula>
    </cfRule>
    <cfRule type="containsText" dxfId="37" priority="39" stopIfTrue="1" operator="containsText" text="STIMMEL!">
      <formula>NOT(ISERROR(SEARCH("STIMMEL!",BU85)))</formula>
    </cfRule>
  </conditionalFormatting>
  <conditionalFormatting sqref="BU85:BU118">
    <cfRule type="cellIs" dxfId="36" priority="37" operator="equal">
      <formula>0.01</formula>
    </cfRule>
  </conditionalFormatting>
  <conditionalFormatting sqref="AS126:AS158 AT160:BE160 AT126:BD159 AR126:AR160">
    <cfRule type="containsText" dxfId="35" priority="35" stopIfTrue="1" operator="containsText" text="ELTÉRÉS!">
      <formula>NOT(ISERROR(SEARCH("ELTÉRÉS!",AR126)))</formula>
    </cfRule>
    <cfRule type="containsText" dxfId="34" priority="36" stopIfTrue="1" operator="containsText" text="STIMMEL!">
      <formula>NOT(ISERROR(SEARCH("STIMMEL!",AR126)))</formula>
    </cfRule>
  </conditionalFormatting>
  <conditionalFormatting sqref="AS126:AS158 AT160:BE160 AT126:BD159 AR126:AR160">
    <cfRule type="cellIs" dxfId="33" priority="34" operator="equal">
      <formula>0.01</formula>
    </cfRule>
  </conditionalFormatting>
  <conditionalFormatting sqref="AW162:BB162">
    <cfRule type="containsText" dxfId="32" priority="32" stopIfTrue="1" operator="containsText" text="ELTÉRÉS!">
      <formula>NOT(ISERROR(SEARCH("ELTÉRÉS!",AW162)))</formula>
    </cfRule>
    <cfRule type="containsText" dxfId="31" priority="33" stopIfTrue="1" operator="containsText" text="STIMMEL!">
      <formula>NOT(ISERROR(SEARCH("STIMMEL!",AW162)))</formula>
    </cfRule>
  </conditionalFormatting>
  <conditionalFormatting sqref="AW162:BB162">
    <cfRule type="cellIs" dxfId="30" priority="31" operator="equal">
      <formula>0.01</formula>
    </cfRule>
  </conditionalFormatting>
  <conditionalFormatting sqref="AR162">
    <cfRule type="containsText" dxfId="29" priority="29" stopIfTrue="1" operator="containsText" text="ELTÉRÉS!">
      <formula>NOT(ISERROR(SEARCH("ELTÉRÉS!",AR162)))</formula>
    </cfRule>
    <cfRule type="containsText" dxfId="28" priority="30" stopIfTrue="1" operator="containsText" text="STIMMEL!">
      <formula>NOT(ISERROR(SEARCH("STIMMEL!",AR162)))</formula>
    </cfRule>
  </conditionalFormatting>
  <conditionalFormatting sqref="AR162">
    <cfRule type="cellIs" dxfId="27" priority="28" operator="equal">
      <formula>0.01</formula>
    </cfRule>
  </conditionalFormatting>
  <conditionalFormatting sqref="AS162">
    <cfRule type="containsText" dxfId="26" priority="26" stopIfTrue="1" operator="containsText" text="ELTÉRÉS!">
      <formula>NOT(ISERROR(SEARCH("ELTÉRÉS!",AS162)))</formula>
    </cfRule>
    <cfRule type="containsText" dxfId="25" priority="27" stopIfTrue="1" operator="containsText" text="STIMMEL!">
      <formula>NOT(ISERROR(SEARCH("STIMMEL!",AS162)))</formula>
    </cfRule>
  </conditionalFormatting>
  <conditionalFormatting sqref="AS162">
    <cfRule type="cellIs" dxfId="24" priority="25" operator="equal">
      <formula>0.01</formula>
    </cfRule>
  </conditionalFormatting>
  <conditionalFormatting sqref="BE126:BE159">
    <cfRule type="containsText" dxfId="23" priority="23" stopIfTrue="1" operator="containsText" text="ELTÉRÉS!">
      <formula>NOT(ISERROR(SEARCH("ELTÉRÉS!",BE126)))</formula>
    </cfRule>
    <cfRule type="containsText" dxfId="22" priority="24" stopIfTrue="1" operator="containsText" text="STIMMEL!">
      <formula>NOT(ISERROR(SEARCH("STIMMEL!",BE126)))</formula>
    </cfRule>
  </conditionalFormatting>
  <conditionalFormatting sqref="BE126:BE159">
    <cfRule type="cellIs" dxfId="21" priority="22" operator="equal">
      <formula>0.01</formula>
    </cfRule>
  </conditionalFormatting>
  <conditionalFormatting sqref="BI126:BI158 BJ160:BU160 BJ126:BT159 BH126:BH160">
    <cfRule type="containsText" dxfId="20" priority="20" stopIfTrue="1" operator="containsText" text="ELTÉRÉS!">
      <formula>NOT(ISERROR(SEARCH("ELTÉRÉS!",BH126)))</formula>
    </cfRule>
    <cfRule type="containsText" dxfId="19" priority="21" stopIfTrue="1" operator="containsText" text="STIMMEL!">
      <formula>NOT(ISERROR(SEARCH("STIMMEL!",BH126)))</formula>
    </cfRule>
  </conditionalFormatting>
  <conditionalFormatting sqref="BI126:BI158 BJ160:BU160 BJ126:BT159 BH126:BH160">
    <cfRule type="cellIs" dxfId="18" priority="19" operator="equal">
      <formula>0.01</formula>
    </cfRule>
  </conditionalFormatting>
  <conditionalFormatting sqref="BM162:BR162">
    <cfRule type="containsText" dxfId="17" priority="17" stopIfTrue="1" operator="containsText" text="ELTÉRÉS!">
      <formula>NOT(ISERROR(SEARCH("ELTÉRÉS!",BM162)))</formula>
    </cfRule>
    <cfRule type="containsText" dxfId="16" priority="18" stopIfTrue="1" operator="containsText" text="STIMMEL!">
      <formula>NOT(ISERROR(SEARCH("STIMMEL!",BM162)))</formula>
    </cfRule>
  </conditionalFormatting>
  <conditionalFormatting sqref="BM162:BR162">
    <cfRule type="cellIs" dxfId="15" priority="16" operator="equal">
      <formula>0.01</formula>
    </cfRule>
  </conditionalFormatting>
  <conditionalFormatting sqref="BH162">
    <cfRule type="containsText" dxfId="14" priority="14" stopIfTrue="1" operator="containsText" text="ELTÉRÉS!">
      <formula>NOT(ISERROR(SEARCH("ELTÉRÉS!",BH162)))</formula>
    </cfRule>
    <cfRule type="containsText" dxfId="13" priority="15" stopIfTrue="1" operator="containsText" text="STIMMEL!">
      <formula>NOT(ISERROR(SEARCH("STIMMEL!",BH162)))</formula>
    </cfRule>
  </conditionalFormatting>
  <conditionalFormatting sqref="BH162">
    <cfRule type="cellIs" dxfId="12" priority="13" operator="equal">
      <formula>0.01</formula>
    </cfRule>
  </conditionalFormatting>
  <conditionalFormatting sqref="BI162">
    <cfRule type="containsText" dxfId="11" priority="11" stopIfTrue="1" operator="containsText" text="ELTÉRÉS!">
      <formula>NOT(ISERROR(SEARCH("ELTÉRÉS!",BI162)))</formula>
    </cfRule>
    <cfRule type="containsText" dxfId="10" priority="12" stopIfTrue="1" operator="containsText" text="STIMMEL!">
      <formula>NOT(ISERROR(SEARCH("STIMMEL!",BI162)))</formula>
    </cfRule>
  </conditionalFormatting>
  <conditionalFormatting sqref="BI162">
    <cfRule type="cellIs" dxfId="9" priority="10" operator="equal">
      <formula>0.01</formula>
    </cfRule>
  </conditionalFormatting>
  <conditionalFormatting sqref="BU126:BU159">
    <cfRule type="containsText" dxfId="8" priority="8" stopIfTrue="1" operator="containsText" text="ELTÉRÉS!">
      <formula>NOT(ISERROR(SEARCH("ELTÉRÉS!",BU126)))</formula>
    </cfRule>
    <cfRule type="containsText" dxfId="7" priority="9" stopIfTrue="1" operator="containsText" text="STIMMEL!">
      <formula>NOT(ISERROR(SEARCH("STIMMEL!",BU126)))</formula>
    </cfRule>
  </conditionalFormatting>
  <conditionalFormatting sqref="BU126:BU159">
    <cfRule type="cellIs" dxfId="6" priority="7" operator="equal">
      <formula>0.01</formula>
    </cfRule>
  </conditionalFormatting>
  <conditionalFormatting sqref="AS88:BD101">
    <cfRule type="containsText" dxfId="5" priority="5" stopIfTrue="1" operator="containsText" text="ELTÉRÉS!">
      <formula>NOT(ISERROR(SEARCH("ELTÉRÉS!",AS88)))</formula>
    </cfRule>
    <cfRule type="containsText" dxfId="4" priority="6" stopIfTrue="1" operator="containsText" text="STIMMEL!">
      <formula>NOT(ISERROR(SEARCH("STIMMEL!",AS88)))</formula>
    </cfRule>
  </conditionalFormatting>
  <conditionalFormatting sqref="AS88:BD101">
    <cfRule type="cellIs" dxfId="3" priority="4" operator="equal">
      <formula>0.01</formula>
    </cfRule>
  </conditionalFormatting>
  <conditionalFormatting sqref="BE88:BE101">
    <cfRule type="containsText" dxfId="2" priority="2" stopIfTrue="1" operator="containsText" text="ELTÉRÉS!">
      <formula>NOT(ISERROR(SEARCH("ELTÉRÉS!",BE88)))</formula>
    </cfRule>
    <cfRule type="containsText" dxfId="1" priority="3" stopIfTrue="1" operator="containsText" text="STIMMEL!">
      <formula>NOT(ISERROR(SEARCH("STIMMEL!",BE88)))</formula>
    </cfRule>
  </conditionalFormatting>
  <conditionalFormatting sqref="BE88:BE101">
    <cfRule type="cellIs" dxfId="0" priority="1" operator="equal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2024-08-01T19:15:08Z</dcterms:created>
  <dcterms:modified xsi:type="dcterms:W3CDTF">2026-04-06T22:34:17Z</dcterms:modified>
  <cp:category/>
  <cp:contentStatus/>
</cp:coreProperties>
</file>