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updateLinks="always"/>
  <mc:AlternateContent xmlns:mc="http://schemas.openxmlformats.org/markup-compatibility/2006">
    <mc:Choice Requires="x15">
      <x15ac:absPath xmlns:x15ac="http://schemas.microsoft.com/office/spreadsheetml/2010/11/ac" url="https://mediazen-my.sharepoint.com/personal/info_pepperhouse_hu/Documents/Egységek/"/>
    </mc:Choice>
  </mc:AlternateContent>
  <xr:revisionPtr revIDLastSave="0" documentId="8_{93BF45DE-509D-445E-AA27-F7C537C57D07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2026 éves" sheetId="15" r:id="rId1"/>
    <sheet name="202602" sheetId="16" r:id="rId2"/>
    <sheet name="202601" sheetId="11" r:id="rId3"/>
    <sheet name="MÁK" sheetId="1" r:id="rId4"/>
    <sheet name="Knorr105" sheetId="2" r:id="rId5"/>
    <sheet name="KTI" sheetId="9" r:id="rId6"/>
    <sheet name="Szentkiralyi" sheetId="6" r:id="rId7"/>
    <sheet name="Knorr69" sheetId="4" r:id="rId8"/>
    <sheet name="Knorr86" sheetId="3" r:id="rId9"/>
    <sheet name="RSR" sheetId="5" r:id="rId10"/>
    <sheet name="Egyéb pénztárgépek" sheetId="7" r:id="rId11"/>
    <sheet name="ne használd" sheetId="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5" i="7" l="1"/>
  <c r="AS35" i="7"/>
  <c r="AT35" i="7"/>
  <c r="AU35" i="7"/>
  <c r="AV35" i="7"/>
  <c r="AW35" i="7"/>
  <c r="AT36" i="7"/>
  <c r="AS75" i="7"/>
  <c r="AT75" i="7"/>
  <c r="AU75" i="7"/>
  <c r="AV75" i="7"/>
  <c r="AW75" i="7"/>
  <c r="AX75" i="7"/>
  <c r="AS76" i="7"/>
  <c r="AW76" i="7"/>
  <c r="I35" i="1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75" i="5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P66" i="4"/>
  <c r="P65" i="4"/>
  <c r="P64" i="4"/>
  <c r="P63" i="4"/>
  <c r="P50" i="4"/>
  <c r="P45" i="4"/>
  <c r="P46" i="4"/>
  <c r="P47" i="4"/>
  <c r="P48" i="4"/>
  <c r="P49" i="4"/>
  <c r="P51" i="4"/>
  <c r="P52" i="4"/>
  <c r="P53" i="4"/>
  <c r="P54" i="4"/>
  <c r="P55" i="4"/>
  <c r="P56" i="4"/>
  <c r="P57" i="4"/>
  <c r="P58" i="4"/>
  <c r="P59" i="4"/>
  <c r="P60" i="4"/>
  <c r="P61" i="4"/>
  <c r="P62" i="4"/>
  <c r="P67" i="4"/>
  <c r="P68" i="4"/>
  <c r="P69" i="4"/>
  <c r="P70" i="4"/>
  <c r="P71" i="4"/>
  <c r="P72" i="4"/>
  <c r="P73" i="4"/>
  <c r="P74" i="4"/>
  <c r="P44" i="4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44" i="6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44" i="9"/>
  <c r="P45" i="9"/>
  <c r="BY46" i="2"/>
  <c r="BY48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45" i="2"/>
  <c r="BY78" i="2"/>
  <c r="BY4" i="2"/>
  <c r="BY5" i="2"/>
  <c r="BY6" i="2"/>
  <c r="BY7" i="2"/>
  <c r="BY8" i="2"/>
  <c r="BY9" i="2"/>
  <c r="BY10" i="2"/>
  <c r="BY11" i="2"/>
  <c r="BY12" i="2"/>
  <c r="BY13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1" i="2"/>
  <c r="BY33" i="2"/>
  <c r="BY34" i="2"/>
  <c r="BY35" i="2"/>
  <c r="BY36" i="2"/>
  <c r="BY3" i="2"/>
  <c r="BY2" i="2"/>
  <c r="BY1" i="2"/>
  <c r="BY44" i="2"/>
  <c r="CT35" i="2"/>
  <c r="CS35" i="2"/>
  <c r="CR35" i="2"/>
  <c r="CQ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A35" i="2"/>
  <c r="BZ35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A34" i="2"/>
  <c r="BZ34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A33" i="2"/>
  <c r="BZ33" i="2"/>
  <c r="CT32" i="2"/>
  <c r="CS32" i="2"/>
  <c r="CR32" i="2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A32" i="2"/>
  <c r="BZ32" i="2"/>
  <c r="CT31" i="2"/>
  <c r="CS31" i="2"/>
  <c r="CR31" i="2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A31" i="2"/>
  <c r="BZ31" i="2"/>
  <c r="CT30" i="2"/>
  <c r="CS30" i="2"/>
  <c r="CR30" i="2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A30" i="2"/>
  <c r="BZ30" i="2"/>
  <c r="CT29" i="2"/>
  <c r="CS29" i="2"/>
  <c r="CR29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A29" i="2"/>
  <c r="BZ29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A28" i="2"/>
  <c r="BZ28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A27" i="2"/>
  <c r="BZ27" i="2"/>
  <c r="CT26" i="2"/>
  <c r="CS26" i="2"/>
  <c r="CR26" i="2"/>
  <c r="CQ26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A26" i="2"/>
  <c r="BZ26" i="2"/>
  <c r="CT25" i="2"/>
  <c r="CS25" i="2"/>
  <c r="CR25" i="2"/>
  <c r="CQ25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A25" i="2"/>
  <c r="BZ25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A24" i="2"/>
  <c r="BZ24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A23" i="2"/>
  <c r="BZ23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A22" i="2"/>
  <c r="BZ22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A21" i="2"/>
  <c r="BZ21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A20" i="2"/>
  <c r="BZ20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A19" i="2"/>
  <c r="BZ19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A18" i="2"/>
  <c r="BZ18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A17" i="2"/>
  <c r="BZ17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A16" i="2"/>
  <c r="BZ16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A15" i="2"/>
  <c r="BZ15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A13" i="2"/>
  <c r="BZ13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A12" i="2"/>
  <c r="BZ12" i="2"/>
  <c r="CT11" i="2"/>
  <c r="CS11" i="2"/>
  <c r="CR11" i="2"/>
  <c r="CQ11" i="2"/>
  <c r="CP11" i="2"/>
  <c r="CO11" i="2"/>
  <c r="CN11" i="2"/>
  <c r="CM11" i="2"/>
  <c r="CL11" i="2"/>
  <c r="CK11" i="2"/>
  <c r="CJ11" i="2"/>
  <c r="CI11" i="2"/>
  <c r="CH11" i="2"/>
  <c r="CG11" i="2"/>
  <c r="CF11" i="2"/>
  <c r="CE11" i="2"/>
  <c r="CA11" i="2"/>
  <c r="BZ11" i="2"/>
  <c r="CT10" i="2"/>
  <c r="CS10" i="2"/>
  <c r="CR10" i="2"/>
  <c r="CQ10" i="2"/>
  <c r="CP10" i="2"/>
  <c r="CO10" i="2"/>
  <c r="CN10" i="2"/>
  <c r="CM10" i="2"/>
  <c r="CL10" i="2"/>
  <c r="CK10" i="2"/>
  <c r="CJ10" i="2"/>
  <c r="CI10" i="2"/>
  <c r="CH10" i="2"/>
  <c r="CG10" i="2"/>
  <c r="CF10" i="2"/>
  <c r="CE10" i="2"/>
  <c r="CA10" i="2"/>
  <c r="BZ10" i="2"/>
  <c r="CT9" i="2"/>
  <c r="CS9" i="2"/>
  <c r="CR9" i="2"/>
  <c r="CQ9" i="2"/>
  <c r="CP9" i="2"/>
  <c r="CO9" i="2"/>
  <c r="CN9" i="2"/>
  <c r="CM9" i="2"/>
  <c r="CL9" i="2"/>
  <c r="CK9" i="2"/>
  <c r="CJ9" i="2"/>
  <c r="CI9" i="2"/>
  <c r="CH9" i="2"/>
  <c r="CG9" i="2"/>
  <c r="CF9" i="2"/>
  <c r="CE9" i="2"/>
  <c r="CA9" i="2"/>
  <c r="BZ9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A8" i="2"/>
  <c r="BZ8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A7" i="2"/>
  <c r="BZ7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A6" i="2"/>
  <c r="BZ6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A5" i="2"/>
  <c r="BZ5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A4" i="2"/>
  <c r="BZ4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A3" i="2"/>
  <c r="BZ3" i="2"/>
  <c r="CP2" i="2"/>
  <c r="CO2" i="2"/>
  <c r="CN2" i="2"/>
  <c r="CM2" i="2"/>
  <c r="CL2" i="2"/>
  <c r="CK2" i="2"/>
  <c r="CJ2" i="2"/>
  <c r="CI2" i="2"/>
  <c r="CH2" i="2"/>
  <c r="CG2" i="2"/>
  <c r="CF2" i="2"/>
  <c r="CE2" i="2"/>
  <c r="CA2" i="2"/>
  <c r="BZ2" i="2"/>
  <c r="AG2" i="5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2" i="4"/>
  <c r="P3" i="4"/>
  <c r="P4" i="4"/>
  <c r="P5" i="4"/>
  <c r="P6" i="4"/>
  <c r="P7" i="4"/>
  <c r="P8" i="4"/>
  <c r="P10" i="4"/>
  <c r="P11" i="4"/>
  <c r="P12" i="4"/>
  <c r="P13" i="4"/>
  <c r="P14" i="4"/>
  <c r="P15" i="4"/>
  <c r="P16" i="4"/>
  <c r="P17" i="4"/>
  <c r="P18" i="4"/>
  <c r="P19" i="4"/>
  <c r="P20" i="4"/>
  <c r="P21" i="4"/>
  <c r="P26" i="4"/>
  <c r="P27" i="4"/>
  <c r="P28" i="4"/>
  <c r="P32" i="4"/>
  <c r="P33" i="4"/>
  <c r="BH75" i="7"/>
  <c r="BI75" i="7"/>
  <c r="BJ75" i="7"/>
  <c r="BK75" i="7"/>
  <c r="BL75" i="7"/>
  <c r="BM75" i="7"/>
  <c r="BH76" i="7"/>
  <c r="BL76" i="7"/>
  <c r="AD75" i="7"/>
  <c r="AE75" i="7"/>
  <c r="AF75" i="7"/>
  <c r="AG75" i="7"/>
  <c r="AH75" i="7"/>
  <c r="AI75" i="7"/>
  <c r="AD76" i="7"/>
  <c r="AH76" i="7"/>
  <c r="O75" i="7"/>
  <c r="P75" i="7"/>
  <c r="Q75" i="7"/>
  <c r="R75" i="7"/>
  <c r="S75" i="7"/>
  <c r="T75" i="7"/>
  <c r="O76" i="7"/>
  <c r="S76" i="7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" i="3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" i="9"/>
  <c r="S75" i="5"/>
  <c r="T75" i="5"/>
  <c r="U75" i="5"/>
  <c r="V75" i="5"/>
  <c r="W75" i="5"/>
  <c r="X75" i="5"/>
  <c r="S76" i="5"/>
  <c r="W76" i="5"/>
  <c r="C75" i="5"/>
  <c r="D75" i="5"/>
  <c r="E75" i="5"/>
  <c r="F75" i="5"/>
  <c r="G75" i="5"/>
  <c r="H75" i="5"/>
  <c r="C76" i="5"/>
  <c r="G76" i="5"/>
  <c r="C75" i="3"/>
  <c r="D75" i="3"/>
  <c r="E75" i="3"/>
  <c r="F75" i="3"/>
  <c r="G75" i="3"/>
  <c r="H75" i="3"/>
  <c r="C76" i="3"/>
  <c r="G76" i="3"/>
  <c r="C75" i="4"/>
  <c r="D75" i="4"/>
  <c r="E75" i="4"/>
  <c r="F75" i="4"/>
  <c r="G75" i="4"/>
  <c r="H75" i="4"/>
  <c r="C76" i="4"/>
  <c r="G76" i="4"/>
  <c r="C75" i="6"/>
  <c r="D75" i="6"/>
  <c r="E75" i="6"/>
  <c r="F75" i="6"/>
  <c r="G75" i="6"/>
  <c r="H75" i="6"/>
  <c r="C76" i="6"/>
  <c r="G76" i="6"/>
  <c r="C75" i="9"/>
  <c r="D75" i="9"/>
  <c r="E75" i="9"/>
  <c r="F75" i="9"/>
  <c r="G75" i="9"/>
  <c r="H75" i="9"/>
  <c r="C76" i="9"/>
  <c r="G76" i="9"/>
  <c r="BK76" i="2"/>
  <c r="BL76" i="2"/>
  <c r="BM76" i="2"/>
  <c r="BN76" i="2"/>
  <c r="BO76" i="2"/>
  <c r="BP76" i="2"/>
  <c r="BK77" i="2"/>
  <c r="BO77" i="2"/>
  <c r="AI76" i="2"/>
  <c r="AJ76" i="2"/>
  <c r="AK76" i="2"/>
  <c r="AL76" i="2"/>
  <c r="AM76" i="2"/>
  <c r="AN76" i="2"/>
  <c r="AI77" i="2"/>
  <c r="AM77" i="2"/>
  <c r="S76" i="2"/>
  <c r="T76" i="2"/>
  <c r="U76" i="2"/>
  <c r="V76" i="2"/>
  <c r="W76" i="2"/>
  <c r="X76" i="2"/>
  <c r="S77" i="2"/>
  <c r="W77" i="2"/>
  <c r="C76" i="2"/>
  <c r="D76" i="2"/>
  <c r="E76" i="2"/>
  <c r="F76" i="2"/>
  <c r="G76" i="2"/>
  <c r="H76" i="2"/>
  <c r="C77" i="2"/>
  <c r="G77" i="2"/>
  <c r="Q45" i="1"/>
  <c r="R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P47" i="1"/>
  <c r="Q46" i="1"/>
  <c r="R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P48" i="1"/>
  <c r="Q47" i="1"/>
  <c r="R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P49" i="1"/>
  <c r="Q48" i="1"/>
  <c r="R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P50" i="1"/>
  <c r="Q49" i="1"/>
  <c r="R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P51" i="1"/>
  <c r="Q50" i="1"/>
  <c r="R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P52" i="1"/>
  <c r="Q51" i="1"/>
  <c r="R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P53" i="1"/>
  <c r="Q52" i="1"/>
  <c r="R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P54" i="1"/>
  <c r="Q53" i="1"/>
  <c r="R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P55" i="1"/>
  <c r="Q54" i="1"/>
  <c r="R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P56" i="1"/>
  <c r="Q55" i="1"/>
  <c r="R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P57" i="1"/>
  <c r="Q56" i="1"/>
  <c r="R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P58" i="1"/>
  <c r="Q57" i="1"/>
  <c r="R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P59" i="1"/>
  <c r="Q58" i="1"/>
  <c r="R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P60" i="1"/>
  <c r="Q59" i="1"/>
  <c r="R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P61" i="1"/>
  <c r="Q60" i="1"/>
  <c r="R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P62" i="1"/>
  <c r="Q61" i="1"/>
  <c r="R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P63" i="1"/>
  <c r="Q62" i="1"/>
  <c r="R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P64" i="1"/>
  <c r="Q63" i="1"/>
  <c r="R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P65" i="1"/>
  <c r="Q64" i="1"/>
  <c r="R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P66" i="1"/>
  <c r="Q65" i="1"/>
  <c r="R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P67" i="1"/>
  <c r="Q66" i="1"/>
  <c r="R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P68" i="1"/>
  <c r="Q67" i="1"/>
  <c r="R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P69" i="1"/>
  <c r="Q68" i="1"/>
  <c r="R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P70" i="1"/>
  <c r="Q69" i="1"/>
  <c r="R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P71" i="1"/>
  <c r="Q70" i="1"/>
  <c r="R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P72" i="1"/>
  <c r="Q71" i="1"/>
  <c r="R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P73" i="1"/>
  <c r="Q72" i="1"/>
  <c r="R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P74" i="1"/>
  <c r="Q73" i="1"/>
  <c r="R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P75" i="1"/>
  <c r="Q74" i="1"/>
  <c r="R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P76" i="1"/>
  <c r="Q75" i="1"/>
  <c r="R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P77" i="1"/>
  <c r="Q76" i="1"/>
  <c r="R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P46" i="1"/>
  <c r="H76" i="1"/>
  <c r="G76" i="1"/>
  <c r="G77" i="1" s="1"/>
  <c r="F76" i="1"/>
  <c r="E76" i="1"/>
  <c r="D76" i="1"/>
  <c r="C76" i="1"/>
  <c r="C77" i="1" s="1"/>
  <c r="S45" i="1"/>
  <c r="AG44" i="1"/>
  <c r="AF44" i="1"/>
  <c r="AE44" i="1"/>
  <c r="AD44" i="1"/>
  <c r="AC44" i="1"/>
  <c r="AB44" i="1"/>
  <c r="AA44" i="1"/>
  <c r="Z44" i="1"/>
  <c r="Y44" i="1"/>
  <c r="X44" i="1"/>
  <c r="W44" i="1"/>
  <c r="V44" i="1"/>
  <c r="R44" i="1"/>
  <c r="Q44" i="1"/>
  <c r="P44" i="1"/>
  <c r="AG3" i="1"/>
  <c r="AG4" i="1"/>
  <c r="AG5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F4" i="1"/>
  <c r="AF5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" i="1"/>
  <c r="AE4" i="1"/>
  <c r="AE5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" i="1"/>
  <c r="P4" i="1"/>
  <c r="P5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" i="1"/>
  <c r="C22" i="16"/>
  <c r="C21" i="16"/>
  <c r="J19" i="16"/>
  <c r="I19" i="16"/>
  <c r="H19" i="16"/>
  <c r="G19" i="16"/>
  <c r="F19" i="16"/>
  <c r="L19" i="16" s="1"/>
  <c r="J18" i="16"/>
  <c r="O18" i="16" s="1"/>
  <c r="I18" i="16"/>
  <c r="H18" i="16"/>
  <c r="G18" i="16"/>
  <c r="F18" i="16"/>
  <c r="L18" i="16" s="1"/>
  <c r="P18" i="16" s="1"/>
  <c r="J14" i="16"/>
  <c r="O14" i="16" s="1"/>
  <c r="I14" i="16"/>
  <c r="H14" i="16"/>
  <c r="G14" i="16"/>
  <c r="F14" i="16"/>
  <c r="L14" i="16" s="1"/>
  <c r="P14" i="16" s="1"/>
  <c r="C14" i="16"/>
  <c r="J12" i="16"/>
  <c r="O12" i="16" s="1"/>
  <c r="I12" i="16"/>
  <c r="H12" i="16"/>
  <c r="G12" i="16"/>
  <c r="F12" i="16"/>
  <c r="L12" i="16" s="1"/>
  <c r="P12" i="16" s="1"/>
  <c r="C12" i="16"/>
  <c r="C10" i="16"/>
  <c r="C7" i="16"/>
  <c r="C6" i="16"/>
  <c r="C5" i="16"/>
  <c r="C3" i="16"/>
  <c r="I34" i="3"/>
  <c r="C35" i="2"/>
  <c r="F5" i="16" s="1"/>
  <c r="D35" i="2"/>
  <c r="G5" i="16" s="1"/>
  <c r="E35" i="2"/>
  <c r="H5" i="16" s="1"/>
  <c r="F35" i="2"/>
  <c r="I5" i="16" s="1"/>
  <c r="BQ35" i="2"/>
  <c r="S35" i="2"/>
  <c r="F6" i="16" s="1"/>
  <c r="Q35" i="1"/>
  <c r="R35" i="1"/>
  <c r="V35" i="1"/>
  <c r="W35" i="1"/>
  <c r="X35" i="1"/>
  <c r="Y35" i="1"/>
  <c r="Z35" i="1"/>
  <c r="AA35" i="1"/>
  <c r="AB35" i="1"/>
  <c r="AC35" i="1"/>
  <c r="AD35" i="1"/>
  <c r="AH35" i="1"/>
  <c r="AI35" i="1"/>
  <c r="AJ35" i="1"/>
  <c r="AK35" i="1"/>
  <c r="P2" i="1"/>
  <c r="Q2" i="1"/>
  <c r="R2" i="1"/>
  <c r="V2" i="1"/>
  <c r="W2" i="1"/>
  <c r="X2" i="1"/>
  <c r="Y2" i="1"/>
  <c r="Z2" i="1"/>
  <c r="AA2" i="1"/>
  <c r="AB2" i="1"/>
  <c r="AC2" i="1"/>
  <c r="AD2" i="1"/>
  <c r="AE2" i="1"/>
  <c r="AF2" i="1"/>
  <c r="AG2" i="1"/>
  <c r="Q3" i="1"/>
  <c r="R3" i="1"/>
  <c r="V3" i="1"/>
  <c r="W3" i="1"/>
  <c r="X3" i="1"/>
  <c r="Y3" i="1"/>
  <c r="Z3" i="1"/>
  <c r="AA3" i="1"/>
  <c r="AB3" i="1"/>
  <c r="AC3" i="1"/>
  <c r="AD3" i="1"/>
  <c r="AH3" i="1"/>
  <c r="AI3" i="1"/>
  <c r="AJ3" i="1"/>
  <c r="AK3" i="1"/>
  <c r="Q4" i="1"/>
  <c r="R4" i="1"/>
  <c r="V4" i="1"/>
  <c r="W4" i="1"/>
  <c r="X4" i="1"/>
  <c r="Y4" i="1"/>
  <c r="Z4" i="1"/>
  <c r="AA4" i="1"/>
  <c r="AB4" i="1"/>
  <c r="AC4" i="1"/>
  <c r="AD4" i="1"/>
  <c r="AH4" i="1"/>
  <c r="AI4" i="1"/>
  <c r="AJ4" i="1"/>
  <c r="AK4" i="1"/>
  <c r="Q5" i="1"/>
  <c r="R5" i="1"/>
  <c r="V5" i="1"/>
  <c r="W5" i="1"/>
  <c r="X5" i="1"/>
  <c r="Y5" i="1"/>
  <c r="Z5" i="1"/>
  <c r="AA5" i="1"/>
  <c r="AB5" i="1"/>
  <c r="AC5" i="1"/>
  <c r="AD5" i="1"/>
  <c r="AH5" i="1"/>
  <c r="AI5" i="1"/>
  <c r="AJ5" i="1"/>
  <c r="AK5" i="1"/>
  <c r="Q7" i="1"/>
  <c r="R7" i="1"/>
  <c r="V7" i="1"/>
  <c r="W7" i="1"/>
  <c r="X7" i="1"/>
  <c r="Y7" i="1"/>
  <c r="Z7" i="1"/>
  <c r="AA7" i="1"/>
  <c r="AB7" i="1"/>
  <c r="AC7" i="1"/>
  <c r="AD7" i="1"/>
  <c r="AH7" i="1"/>
  <c r="AI7" i="1"/>
  <c r="AJ7" i="1"/>
  <c r="AK7" i="1"/>
  <c r="Q8" i="1"/>
  <c r="R8" i="1"/>
  <c r="V8" i="1"/>
  <c r="W8" i="1"/>
  <c r="X8" i="1"/>
  <c r="Y8" i="1"/>
  <c r="Z8" i="1"/>
  <c r="AA8" i="1"/>
  <c r="AB8" i="1"/>
  <c r="AC8" i="1"/>
  <c r="AD8" i="1"/>
  <c r="AH8" i="1"/>
  <c r="AI8" i="1"/>
  <c r="AJ8" i="1"/>
  <c r="AK8" i="1"/>
  <c r="Q9" i="1"/>
  <c r="R9" i="1"/>
  <c r="V9" i="1"/>
  <c r="W9" i="1"/>
  <c r="X9" i="1"/>
  <c r="Y9" i="1"/>
  <c r="Z9" i="1"/>
  <c r="AA9" i="1"/>
  <c r="AB9" i="1"/>
  <c r="AC9" i="1"/>
  <c r="AD9" i="1"/>
  <c r="AH9" i="1"/>
  <c r="AI9" i="1"/>
  <c r="AJ9" i="1"/>
  <c r="AK9" i="1"/>
  <c r="Q10" i="1"/>
  <c r="R10" i="1"/>
  <c r="V10" i="1"/>
  <c r="W10" i="1"/>
  <c r="X10" i="1"/>
  <c r="Y10" i="1"/>
  <c r="Z10" i="1"/>
  <c r="AA10" i="1"/>
  <c r="AB10" i="1"/>
  <c r="AC10" i="1"/>
  <c r="AD10" i="1"/>
  <c r="AH10" i="1"/>
  <c r="AI10" i="1"/>
  <c r="AJ10" i="1"/>
  <c r="AK10" i="1"/>
  <c r="Q11" i="1"/>
  <c r="R11" i="1"/>
  <c r="V11" i="1"/>
  <c r="W11" i="1"/>
  <c r="X11" i="1"/>
  <c r="Y11" i="1"/>
  <c r="Z11" i="1"/>
  <c r="AA11" i="1"/>
  <c r="AB11" i="1"/>
  <c r="AC11" i="1"/>
  <c r="AD11" i="1"/>
  <c r="AH11" i="1"/>
  <c r="AI11" i="1"/>
  <c r="AJ11" i="1"/>
  <c r="AK11" i="1"/>
  <c r="Q12" i="1"/>
  <c r="R12" i="1"/>
  <c r="V12" i="1"/>
  <c r="W12" i="1"/>
  <c r="X12" i="1"/>
  <c r="Y12" i="1"/>
  <c r="Z12" i="1"/>
  <c r="AA12" i="1"/>
  <c r="AB12" i="1"/>
  <c r="AC12" i="1"/>
  <c r="AD12" i="1"/>
  <c r="AH12" i="1"/>
  <c r="AI12" i="1"/>
  <c r="AJ12" i="1"/>
  <c r="AK12" i="1"/>
  <c r="Q13" i="1"/>
  <c r="R13" i="1"/>
  <c r="V13" i="1"/>
  <c r="W13" i="1"/>
  <c r="X13" i="1"/>
  <c r="Y13" i="1"/>
  <c r="Z13" i="1"/>
  <c r="AA13" i="1"/>
  <c r="AB13" i="1"/>
  <c r="AC13" i="1"/>
  <c r="AD13" i="1"/>
  <c r="AH13" i="1"/>
  <c r="AI13" i="1"/>
  <c r="AJ13" i="1"/>
  <c r="AK13" i="1"/>
  <c r="Q14" i="1"/>
  <c r="R14" i="1"/>
  <c r="V14" i="1"/>
  <c r="W14" i="1"/>
  <c r="X14" i="1"/>
  <c r="Y14" i="1"/>
  <c r="Z14" i="1"/>
  <c r="AA14" i="1"/>
  <c r="AB14" i="1"/>
  <c r="AC14" i="1"/>
  <c r="AD14" i="1"/>
  <c r="AH14" i="1"/>
  <c r="AI14" i="1"/>
  <c r="AJ14" i="1"/>
  <c r="AK14" i="1"/>
  <c r="Q15" i="1"/>
  <c r="R15" i="1"/>
  <c r="V15" i="1"/>
  <c r="W15" i="1"/>
  <c r="X15" i="1"/>
  <c r="Y15" i="1"/>
  <c r="Z15" i="1"/>
  <c r="AA15" i="1"/>
  <c r="AB15" i="1"/>
  <c r="AC15" i="1"/>
  <c r="AD15" i="1"/>
  <c r="AH15" i="1"/>
  <c r="AI15" i="1"/>
  <c r="AJ15" i="1"/>
  <c r="AK15" i="1"/>
  <c r="Q16" i="1"/>
  <c r="R16" i="1"/>
  <c r="V16" i="1"/>
  <c r="W16" i="1"/>
  <c r="X16" i="1"/>
  <c r="Y16" i="1"/>
  <c r="Z16" i="1"/>
  <c r="AA16" i="1"/>
  <c r="AB16" i="1"/>
  <c r="AC16" i="1"/>
  <c r="AD16" i="1"/>
  <c r="AH16" i="1"/>
  <c r="AI16" i="1"/>
  <c r="AJ16" i="1"/>
  <c r="AK16" i="1"/>
  <c r="Q17" i="1"/>
  <c r="R17" i="1"/>
  <c r="V17" i="1"/>
  <c r="W17" i="1"/>
  <c r="X17" i="1"/>
  <c r="Y17" i="1"/>
  <c r="Z17" i="1"/>
  <c r="AA17" i="1"/>
  <c r="AB17" i="1"/>
  <c r="AC17" i="1"/>
  <c r="AD17" i="1"/>
  <c r="AH17" i="1"/>
  <c r="AI17" i="1"/>
  <c r="AJ17" i="1"/>
  <c r="AK17" i="1"/>
  <c r="Q18" i="1"/>
  <c r="R18" i="1"/>
  <c r="V18" i="1"/>
  <c r="W18" i="1"/>
  <c r="X18" i="1"/>
  <c r="Y18" i="1"/>
  <c r="Z18" i="1"/>
  <c r="AA18" i="1"/>
  <c r="AB18" i="1"/>
  <c r="AC18" i="1"/>
  <c r="AD18" i="1"/>
  <c r="AH18" i="1"/>
  <c r="AI18" i="1"/>
  <c r="AJ18" i="1"/>
  <c r="AK18" i="1"/>
  <c r="Q19" i="1"/>
  <c r="R19" i="1"/>
  <c r="V19" i="1"/>
  <c r="W19" i="1"/>
  <c r="X19" i="1"/>
  <c r="Y19" i="1"/>
  <c r="Z19" i="1"/>
  <c r="AA19" i="1"/>
  <c r="AB19" i="1"/>
  <c r="AC19" i="1"/>
  <c r="AD19" i="1"/>
  <c r="AH19" i="1"/>
  <c r="AI19" i="1"/>
  <c r="AJ19" i="1"/>
  <c r="AK19" i="1"/>
  <c r="Q20" i="1"/>
  <c r="R20" i="1"/>
  <c r="V20" i="1"/>
  <c r="W20" i="1"/>
  <c r="X20" i="1"/>
  <c r="Y20" i="1"/>
  <c r="Z20" i="1"/>
  <c r="AA20" i="1"/>
  <c r="AB20" i="1"/>
  <c r="AC20" i="1"/>
  <c r="AD20" i="1"/>
  <c r="AH20" i="1"/>
  <c r="AI20" i="1"/>
  <c r="AJ20" i="1"/>
  <c r="AK20" i="1"/>
  <c r="Q21" i="1"/>
  <c r="R21" i="1"/>
  <c r="V21" i="1"/>
  <c r="W21" i="1"/>
  <c r="X21" i="1"/>
  <c r="Y21" i="1"/>
  <c r="Z21" i="1"/>
  <c r="AA21" i="1"/>
  <c r="AB21" i="1"/>
  <c r="AC21" i="1"/>
  <c r="AD21" i="1"/>
  <c r="AH21" i="1"/>
  <c r="AI21" i="1"/>
  <c r="AJ21" i="1"/>
  <c r="AK21" i="1"/>
  <c r="Q22" i="1"/>
  <c r="R22" i="1"/>
  <c r="V22" i="1"/>
  <c r="W22" i="1"/>
  <c r="X22" i="1"/>
  <c r="Y22" i="1"/>
  <c r="Z22" i="1"/>
  <c r="AA22" i="1"/>
  <c r="AB22" i="1"/>
  <c r="AC22" i="1"/>
  <c r="AD22" i="1"/>
  <c r="AH22" i="1"/>
  <c r="AI22" i="1"/>
  <c r="AJ22" i="1"/>
  <c r="AK22" i="1"/>
  <c r="Q23" i="1"/>
  <c r="R23" i="1"/>
  <c r="V23" i="1"/>
  <c r="W23" i="1"/>
  <c r="X23" i="1"/>
  <c r="Y23" i="1"/>
  <c r="Z23" i="1"/>
  <c r="AA23" i="1"/>
  <c r="AB23" i="1"/>
  <c r="AC23" i="1"/>
  <c r="AD23" i="1"/>
  <c r="AH23" i="1"/>
  <c r="AI23" i="1"/>
  <c r="AJ23" i="1"/>
  <c r="AK23" i="1"/>
  <c r="Q24" i="1"/>
  <c r="R24" i="1"/>
  <c r="V24" i="1"/>
  <c r="W24" i="1"/>
  <c r="X24" i="1"/>
  <c r="Y24" i="1"/>
  <c r="Z24" i="1"/>
  <c r="AA24" i="1"/>
  <c r="AB24" i="1"/>
  <c r="AC24" i="1"/>
  <c r="AD24" i="1"/>
  <c r="AH24" i="1"/>
  <c r="AI24" i="1"/>
  <c r="AJ24" i="1"/>
  <c r="AK24" i="1"/>
  <c r="Q25" i="1"/>
  <c r="R25" i="1"/>
  <c r="V25" i="1"/>
  <c r="W25" i="1"/>
  <c r="X25" i="1"/>
  <c r="Y25" i="1"/>
  <c r="Z25" i="1"/>
  <c r="AA25" i="1"/>
  <c r="AB25" i="1"/>
  <c r="AC25" i="1"/>
  <c r="AD25" i="1"/>
  <c r="AH25" i="1"/>
  <c r="AI25" i="1"/>
  <c r="AJ25" i="1"/>
  <c r="AK25" i="1"/>
  <c r="Q26" i="1"/>
  <c r="R26" i="1"/>
  <c r="V26" i="1"/>
  <c r="W26" i="1"/>
  <c r="X26" i="1"/>
  <c r="Y26" i="1"/>
  <c r="Z26" i="1"/>
  <c r="AA26" i="1"/>
  <c r="AB26" i="1"/>
  <c r="AC26" i="1"/>
  <c r="AD26" i="1"/>
  <c r="AH26" i="1"/>
  <c r="AI26" i="1"/>
  <c r="AJ26" i="1"/>
  <c r="AK26" i="1"/>
  <c r="Q27" i="1"/>
  <c r="R27" i="1"/>
  <c r="V27" i="1"/>
  <c r="W27" i="1"/>
  <c r="X27" i="1"/>
  <c r="Y27" i="1"/>
  <c r="Z27" i="1"/>
  <c r="AA27" i="1"/>
  <c r="AB27" i="1"/>
  <c r="AC27" i="1"/>
  <c r="AD27" i="1"/>
  <c r="AH27" i="1"/>
  <c r="AI27" i="1"/>
  <c r="AJ27" i="1"/>
  <c r="AK27" i="1"/>
  <c r="Q28" i="1"/>
  <c r="R28" i="1"/>
  <c r="V28" i="1"/>
  <c r="W28" i="1"/>
  <c r="X28" i="1"/>
  <c r="Y28" i="1"/>
  <c r="Z28" i="1"/>
  <c r="AA28" i="1"/>
  <c r="AB28" i="1"/>
  <c r="AC28" i="1"/>
  <c r="AD28" i="1"/>
  <c r="AH28" i="1"/>
  <c r="AI28" i="1"/>
  <c r="AJ28" i="1"/>
  <c r="AK28" i="1"/>
  <c r="Q29" i="1"/>
  <c r="R29" i="1"/>
  <c r="V29" i="1"/>
  <c r="W29" i="1"/>
  <c r="X29" i="1"/>
  <c r="Y29" i="1"/>
  <c r="Z29" i="1"/>
  <c r="AA29" i="1"/>
  <c r="AB29" i="1"/>
  <c r="AC29" i="1"/>
  <c r="AD29" i="1"/>
  <c r="AH29" i="1"/>
  <c r="AI29" i="1"/>
  <c r="AJ29" i="1"/>
  <c r="AK29" i="1"/>
  <c r="Q30" i="1"/>
  <c r="R30" i="1"/>
  <c r="V30" i="1"/>
  <c r="W30" i="1"/>
  <c r="X30" i="1"/>
  <c r="Y30" i="1"/>
  <c r="Z30" i="1"/>
  <c r="AA30" i="1"/>
  <c r="AB30" i="1"/>
  <c r="AC30" i="1"/>
  <c r="AD30" i="1"/>
  <c r="AH30" i="1"/>
  <c r="AI30" i="1"/>
  <c r="AJ30" i="1"/>
  <c r="AK30" i="1"/>
  <c r="Q31" i="1"/>
  <c r="R31" i="1"/>
  <c r="V31" i="1"/>
  <c r="W31" i="1"/>
  <c r="X31" i="1"/>
  <c r="Y31" i="1"/>
  <c r="Z31" i="1"/>
  <c r="AA31" i="1"/>
  <c r="AB31" i="1"/>
  <c r="AC31" i="1"/>
  <c r="AD31" i="1"/>
  <c r="AH31" i="1"/>
  <c r="AI31" i="1"/>
  <c r="AJ31" i="1"/>
  <c r="AK31" i="1"/>
  <c r="Q32" i="1"/>
  <c r="R32" i="1"/>
  <c r="V32" i="1"/>
  <c r="W32" i="1"/>
  <c r="X32" i="1"/>
  <c r="Y32" i="1"/>
  <c r="Z32" i="1"/>
  <c r="AA32" i="1"/>
  <c r="AB32" i="1"/>
  <c r="AC32" i="1"/>
  <c r="AD32" i="1"/>
  <c r="AH32" i="1"/>
  <c r="AI32" i="1"/>
  <c r="AJ32" i="1"/>
  <c r="AK32" i="1"/>
  <c r="Q33" i="1"/>
  <c r="R33" i="1"/>
  <c r="V33" i="1"/>
  <c r="W33" i="1"/>
  <c r="X33" i="1"/>
  <c r="Y33" i="1"/>
  <c r="Z33" i="1"/>
  <c r="AA33" i="1"/>
  <c r="AB33" i="1"/>
  <c r="AC33" i="1"/>
  <c r="AD33" i="1"/>
  <c r="AH33" i="1"/>
  <c r="AI33" i="1"/>
  <c r="AJ33" i="1"/>
  <c r="AK33" i="1"/>
  <c r="Q34" i="1"/>
  <c r="R34" i="1"/>
  <c r="V34" i="1"/>
  <c r="W34" i="1"/>
  <c r="X34" i="1"/>
  <c r="Y34" i="1"/>
  <c r="Z34" i="1"/>
  <c r="AA34" i="1"/>
  <c r="AB34" i="1"/>
  <c r="AC34" i="1"/>
  <c r="AD34" i="1"/>
  <c r="AH34" i="1"/>
  <c r="AI34" i="1"/>
  <c r="AJ34" i="1"/>
  <c r="AK34" i="1"/>
  <c r="P2" i="3"/>
  <c r="Q2" i="3"/>
  <c r="U2" i="3"/>
  <c r="V2" i="3"/>
  <c r="W2" i="3"/>
  <c r="X2" i="3"/>
  <c r="Y2" i="3"/>
  <c r="Z2" i="3"/>
  <c r="AA2" i="3"/>
  <c r="AB2" i="3"/>
  <c r="AC2" i="3"/>
  <c r="AD2" i="3"/>
  <c r="AE2" i="3"/>
  <c r="AF2" i="3"/>
  <c r="P3" i="3"/>
  <c r="Q3" i="3"/>
  <c r="U3" i="3"/>
  <c r="V3" i="3"/>
  <c r="W3" i="3"/>
  <c r="X3" i="3"/>
  <c r="Y3" i="3"/>
  <c r="Z3" i="3"/>
  <c r="AA3" i="3"/>
  <c r="AB3" i="3"/>
  <c r="AC3" i="3"/>
  <c r="AD3" i="3"/>
  <c r="AE3" i="3"/>
  <c r="AF3" i="3"/>
  <c r="AI3" i="3"/>
  <c r="AJ3" i="3"/>
  <c r="AK3" i="3"/>
  <c r="P4" i="3"/>
  <c r="Q4" i="3"/>
  <c r="U4" i="3"/>
  <c r="V4" i="3"/>
  <c r="W4" i="3"/>
  <c r="X4" i="3"/>
  <c r="Y4" i="3"/>
  <c r="Z4" i="3"/>
  <c r="AA4" i="3"/>
  <c r="AB4" i="3"/>
  <c r="AC4" i="3"/>
  <c r="AD4" i="3"/>
  <c r="AE4" i="3"/>
  <c r="AF4" i="3"/>
  <c r="AI4" i="3"/>
  <c r="AJ4" i="3"/>
  <c r="AK4" i="3"/>
  <c r="P5" i="3"/>
  <c r="Q5" i="3"/>
  <c r="U5" i="3"/>
  <c r="V5" i="3"/>
  <c r="W5" i="3"/>
  <c r="X5" i="3"/>
  <c r="Y5" i="3"/>
  <c r="Z5" i="3"/>
  <c r="AA5" i="3"/>
  <c r="AB5" i="3"/>
  <c r="AC5" i="3"/>
  <c r="AD5" i="3"/>
  <c r="AE5" i="3"/>
  <c r="AF5" i="3"/>
  <c r="AI5" i="3"/>
  <c r="AJ5" i="3"/>
  <c r="AK5" i="3"/>
  <c r="P6" i="3"/>
  <c r="Q6" i="3"/>
  <c r="U6" i="3"/>
  <c r="V6" i="3"/>
  <c r="W6" i="3"/>
  <c r="X6" i="3"/>
  <c r="Y6" i="3"/>
  <c r="Z6" i="3"/>
  <c r="AA6" i="3"/>
  <c r="AB6" i="3"/>
  <c r="AC6" i="3"/>
  <c r="AD6" i="3"/>
  <c r="AE6" i="3"/>
  <c r="AF6" i="3"/>
  <c r="AI6" i="3"/>
  <c r="AJ6" i="3"/>
  <c r="AK6" i="3"/>
  <c r="P7" i="3"/>
  <c r="Q7" i="3"/>
  <c r="U7" i="3"/>
  <c r="V7" i="3"/>
  <c r="W7" i="3"/>
  <c r="X7" i="3"/>
  <c r="Y7" i="3"/>
  <c r="Z7" i="3"/>
  <c r="AA7" i="3"/>
  <c r="AB7" i="3"/>
  <c r="AC7" i="3"/>
  <c r="AD7" i="3"/>
  <c r="AE7" i="3"/>
  <c r="AF7" i="3"/>
  <c r="AI7" i="3"/>
  <c r="AJ7" i="3"/>
  <c r="AK7" i="3"/>
  <c r="P8" i="3"/>
  <c r="Q8" i="3"/>
  <c r="U8" i="3"/>
  <c r="V8" i="3"/>
  <c r="W8" i="3"/>
  <c r="X8" i="3"/>
  <c r="Y8" i="3"/>
  <c r="Z8" i="3"/>
  <c r="AA8" i="3"/>
  <c r="AB8" i="3"/>
  <c r="AC8" i="3"/>
  <c r="AD8" i="3"/>
  <c r="AE8" i="3"/>
  <c r="AF8" i="3"/>
  <c r="AI8" i="3"/>
  <c r="AJ8" i="3"/>
  <c r="AK8" i="3"/>
  <c r="P9" i="3"/>
  <c r="Q9" i="3"/>
  <c r="U9" i="3"/>
  <c r="V9" i="3"/>
  <c r="W9" i="3"/>
  <c r="X9" i="3"/>
  <c r="Y9" i="3"/>
  <c r="Z9" i="3"/>
  <c r="AA9" i="3"/>
  <c r="AB9" i="3"/>
  <c r="AC9" i="3"/>
  <c r="AD9" i="3"/>
  <c r="AE9" i="3"/>
  <c r="AF9" i="3"/>
  <c r="AI9" i="3"/>
  <c r="AJ9" i="3"/>
  <c r="AK9" i="3"/>
  <c r="P10" i="3"/>
  <c r="Q10" i="3"/>
  <c r="U10" i="3"/>
  <c r="V10" i="3"/>
  <c r="W10" i="3"/>
  <c r="X10" i="3"/>
  <c r="Y10" i="3"/>
  <c r="Z10" i="3"/>
  <c r="AA10" i="3"/>
  <c r="AB10" i="3"/>
  <c r="AC10" i="3"/>
  <c r="AD10" i="3"/>
  <c r="AE10" i="3"/>
  <c r="AF10" i="3"/>
  <c r="AI10" i="3"/>
  <c r="AJ10" i="3"/>
  <c r="AK10" i="3"/>
  <c r="P11" i="3"/>
  <c r="Q11" i="3"/>
  <c r="U11" i="3"/>
  <c r="V11" i="3"/>
  <c r="W11" i="3"/>
  <c r="X11" i="3"/>
  <c r="Y11" i="3"/>
  <c r="Z11" i="3"/>
  <c r="AA11" i="3"/>
  <c r="AB11" i="3"/>
  <c r="AC11" i="3"/>
  <c r="AD11" i="3"/>
  <c r="AE11" i="3"/>
  <c r="AF11" i="3"/>
  <c r="AI11" i="3"/>
  <c r="AJ11" i="3"/>
  <c r="AK11" i="3"/>
  <c r="P12" i="3"/>
  <c r="Q12" i="3"/>
  <c r="U12" i="3"/>
  <c r="V12" i="3"/>
  <c r="W12" i="3"/>
  <c r="X12" i="3"/>
  <c r="Y12" i="3"/>
  <c r="Z12" i="3"/>
  <c r="AA12" i="3"/>
  <c r="AB12" i="3"/>
  <c r="AC12" i="3"/>
  <c r="AD12" i="3"/>
  <c r="AE12" i="3"/>
  <c r="AF12" i="3"/>
  <c r="AI12" i="3"/>
  <c r="AJ12" i="3"/>
  <c r="AK12" i="3"/>
  <c r="P13" i="3"/>
  <c r="Q13" i="3"/>
  <c r="U13" i="3"/>
  <c r="V13" i="3"/>
  <c r="W13" i="3"/>
  <c r="X13" i="3"/>
  <c r="Y13" i="3"/>
  <c r="Z13" i="3"/>
  <c r="AA13" i="3"/>
  <c r="AB13" i="3"/>
  <c r="AC13" i="3"/>
  <c r="AD13" i="3"/>
  <c r="AE13" i="3"/>
  <c r="AF13" i="3"/>
  <c r="AI13" i="3"/>
  <c r="AJ13" i="3"/>
  <c r="AK13" i="3"/>
  <c r="P14" i="3"/>
  <c r="Q14" i="3"/>
  <c r="U14" i="3"/>
  <c r="V14" i="3"/>
  <c r="W14" i="3"/>
  <c r="X14" i="3"/>
  <c r="Y14" i="3"/>
  <c r="Z14" i="3"/>
  <c r="AA14" i="3"/>
  <c r="AB14" i="3"/>
  <c r="AC14" i="3"/>
  <c r="AD14" i="3"/>
  <c r="AE14" i="3"/>
  <c r="AF14" i="3"/>
  <c r="AI14" i="3"/>
  <c r="AJ14" i="3"/>
  <c r="AK14" i="3"/>
  <c r="P15" i="3"/>
  <c r="Q15" i="3"/>
  <c r="U15" i="3"/>
  <c r="V15" i="3"/>
  <c r="W15" i="3"/>
  <c r="X15" i="3"/>
  <c r="Y15" i="3"/>
  <c r="Z15" i="3"/>
  <c r="AA15" i="3"/>
  <c r="AB15" i="3"/>
  <c r="AC15" i="3"/>
  <c r="AD15" i="3"/>
  <c r="AE15" i="3"/>
  <c r="AF15" i="3"/>
  <c r="AI15" i="3"/>
  <c r="AJ15" i="3"/>
  <c r="AK15" i="3"/>
  <c r="P16" i="3"/>
  <c r="Q16" i="3"/>
  <c r="U16" i="3"/>
  <c r="V16" i="3"/>
  <c r="W16" i="3"/>
  <c r="X16" i="3"/>
  <c r="Y16" i="3"/>
  <c r="Z16" i="3"/>
  <c r="AA16" i="3"/>
  <c r="AB16" i="3"/>
  <c r="AC16" i="3"/>
  <c r="AD16" i="3"/>
  <c r="AE16" i="3"/>
  <c r="AF16" i="3"/>
  <c r="AI16" i="3"/>
  <c r="AJ16" i="3"/>
  <c r="AK16" i="3"/>
  <c r="P17" i="3"/>
  <c r="Q17" i="3"/>
  <c r="U17" i="3"/>
  <c r="V17" i="3"/>
  <c r="W17" i="3"/>
  <c r="X17" i="3"/>
  <c r="Y17" i="3"/>
  <c r="Z17" i="3"/>
  <c r="AA17" i="3"/>
  <c r="AB17" i="3"/>
  <c r="AC17" i="3"/>
  <c r="AD17" i="3"/>
  <c r="AE17" i="3"/>
  <c r="AF17" i="3"/>
  <c r="AI17" i="3"/>
  <c r="AJ17" i="3"/>
  <c r="AK17" i="3"/>
  <c r="P18" i="3"/>
  <c r="Q18" i="3"/>
  <c r="U18" i="3"/>
  <c r="V18" i="3"/>
  <c r="W18" i="3"/>
  <c r="X18" i="3"/>
  <c r="Y18" i="3"/>
  <c r="Z18" i="3"/>
  <c r="AA18" i="3"/>
  <c r="AB18" i="3"/>
  <c r="AC18" i="3"/>
  <c r="AD18" i="3"/>
  <c r="AE18" i="3"/>
  <c r="AF18" i="3"/>
  <c r="AI18" i="3"/>
  <c r="AJ18" i="3"/>
  <c r="AK18" i="3"/>
  <c r="P19" i="3"/>
  <c r="Q19" i="3"/>
  <c r="U19" i="3"/>
  <c r="V19" i="3"/>
  <c r="W19" i="3"/>
  <c r="X19" i="3"/>
  <c r="Y19" i="3"/>
  <c r="Z19" i="3"/>
  <c r="AA19" i="3"/>
  <c r="AB19" i="3"/>
  <c r="AC19" i="3"/>
  <c r="AD19" i="3"/>
  <c r="AE19" i="3"/>
  <c r="AF19" i="3"/>
  <c r="AI19" i="3"/>
  <c r="AJ19" i="3"/>
  <c r="AK19" i="3"/>
  <c r="P20" i="3"/>
  <c r="Q20" i="3"/>
  <c r="U20" i="3"/>
  <c r="V20" i="3"/>
  <c r="W20" i="3"/>
  <c r="X20" i="3"/>
  <c r="Y20" i="3"/>
  <c r="Z20" i="3"/>
  <c r="AA20" i="3"/>
  <c r="AB20" i="3"/>
  <c r="AC20" i="3"/>
  <c r="AD20" i="3"/>
  <c r="AE20" i="3"/>
  <c r="AF20" i="3"/>
  <c r="AI20" i="3"/>
  <c r="AJ20" i="3"/>
  <c r="AK20" i="3"/>
  <c r="P21" i="3"/>
  <c r="Q21" i="3"/>
  <c r="U21" i="3"/>
  <c r="V21" i="3"/>
  <c r="W21" i="3"/>
  <c r="X21" i="3"/>
  <c r="Y21" i="3"/>
  <c r="Z21" i="3"/>
  <c r="AA21" i="3"/>
  <c r="AB21" i="3"/>
  <c r="AC21" i="3"/>
  <c r="AD21" i="3"/>
  <c r="AE21" i="3"/>
  <c r="AF21" i="3"/>
  <c r="AI21" i="3"/>
  <c r="AJ21" i="3"/>
  <c r="AK21" i="3"/>
  <c r="P22" i="3"/>
  <c r="Q22" i="3"/>
  <c r="U22" i="3"/>
  <c r="V22" i="3"/>
  <c r="W22" i="3"/>
  <c r="X22" i="3"/>
  <c r="Y22" i="3"/>
  <c r="Z22" i="3"/>
  <c r="AA22" i="3"/>
  <c r="AB22" i="3"/>
  <c r="AC22" i="3"/>
  <c r="AD22" i="3"/>
  <c r="AE22" i="3"/>
  <c r="AF22" i="3"/>
  <c r="AI22" i="3"/>
  <c r="AJ22" i="3"/>
  <c r="AK22" i="3"/>
  <c r="P23" i="3"/>
  <c r="Q23" i="3"/>
  <c r="U23" i="3"/>
  <c r="V23" i="3"/>
  <c r="W23" i="3"/>
  <c r="X23" i="3"/>
  <c r="Y23" i="3"/>
  <c r="Z23" i="3"/>
  <c r="AA23" i="3"/>
  <c r="AB23" i="3"/>
  <c r="AC23" i="3"/>
  <c r="AD23" i="3"/>
  <c r="AE23" i="3"/>
  <c r="AF23" i="3"/>
  <c r="AI23" i="3"/>
  <c r="AJ23" i="3"/>
  <c r="AK23" i="3"/>
  <c r="P24" i="3"/>
  <c r="Q24" i="3"/>
  <c r="U24" i="3"/>
  <c r="V24" i="3"/>
  <c r="W24" i="3"/>
  <c r="X24" i="3"/>
  <c r="Y24" i="3"/>
  <c r="Z24" i="3"/>
  <c r="AA24" i="3"/>
  <c r="AB24" i="3"/>
  <c r="AC24" i="3"/>
  <c r="AD24" i="3"/>
  <c r="AE24" i="3"/>
  <c r="AF24" i="3"/>
  <c r="AI24" i="3"/>
  <c r="AJ24" i="3"/>
  <c r="AK24" i="3"/>
  <c r="P25" i="3"/>
  <c r="Q25" i="3"/>
  <c r="U25" i="3"/>
  <c r="V25" i="3"/>
  <c r="W25" i="3"/>
  <c r="X25" i="3"/>
  <c r="Y25" i="3"/>
  <c r="Z25" i="3"/>
  <c r="AA25" i="3"/>
  <c r="AB25" i="3"/>
  <c r="AC25" i="3"/>
  <c r="AD25" i="3"/>
  <c r="AE25" i="3"/>
  <c r="AF25" i="3"/>
  <c r="AI25" i="3"/>
  <c r="AJ25" i="3"/>
  <c r="AK25" i="3"/>
  <c r="P26" i="3"/>
  <c r="Q26" i="3"/>
  <c r="U26" i="3"/>
  <c r="V26" i="3"/>
  <c r="W26" i="3"/>
  <c r="X26" i="3"/>
  <c r="Y26" i="3"/>
  <c r="Z26" i="3"/>
  <c r="AA26" i="3"/>
  <c r="AB26" i="3"/>
  <c r="AC26" i="3"/>
  <c r="AD26" i="3"/>
  <c r="AE26" i="3"/>
  <c r="AF26" i="3"/>
  <c r="AI26" i="3"/>
  <c r="AJ26" i="3"/>
  <c r="AK26" i="3"/>
  <c r="P27" i="3"/>
  <c r="Q27" i="3"/>
  <c r="U27" i="3"/>
  <c r="V27" i="3"/>
  <c r="W27" i="3"/>
  <c r="X27" i="3"/>
  <c r="Y27" i="3"/>
  <c r="Z27" i="3"/>
  <c r="AA27" i="3"/>
  <c r="AB27" i="3"/>
  <c r="AC27" i="3"/>
  <c r="AD27" i="3"/>
  <c r="AE27" i="3"/>
  <c r="AF27" i="3"/>
  <c r="AI27" i="3"/>
  <c r="AJ27" i="3"/>
  <c r="AK27" i="3"/>
  <c r="P28" i="3"/>
  <c r="Q28" i="3"/>
  <c r="U28" i="3"/>
  <c r="V28" i="3"/>
  <c r="W28" i="3"/>
  <c r="X28" i="3"/>
  <c r="Y28" i="3"/>
  <c r="Z28" i="3"/>
  <c r="AA28" i="3"/>
  <c r="AB28" i="3"/>
  <c r="AC28" i="3"/>
  <c r="AD28" i="3"/>
  <c r="AE28" i="3"/>
  <c r="AF28" i="3"/>
  <c r="AI28" i="3"/>
  <c r="AJ28" i="3"/>
  <c r="AK28" i="3"/>
  <c r="P29" i="3"/>
  <c r="Q29" i="3"/>
  <c r="U29" i="3"/>
  <c r="V29" i="3"/>
  <c r="W29" i="3"/>
  <c r="X29" i="3"/>
  <c r="Y29" i="3"/>
  <c r="Z29" i="3"/>
  <c r="AA29" i="3"/>
  <c r="AB29" i="3"/>
  <c r="AC29" i="3"/>
  <c r="AD29" i="3"/>
  <c r="AE29" i="3"/>
  <c r="AF29" i="3"/>
  <c r="AI29" i="3"/>
  <c r="AJ29" i="3"/>
  <c r="AK29" i="3"/>
  <c r="P30" i="3"/>
  <c r="Q30" i="3"/>
  <c r="U30" i="3"/>
  <c r="V30" i="3"/>
  <c r="W30" i="3"/>
  <c r="X30" i="3"/>
  <c r="Y30" i="3"/>
  <c r="Z30" i="3"/>
  <c r="AA30" i="3"/>
  <c r="AB30" i="3"/>
  <c r="AC30" i="3"/>
  <c r="AD30" i="3"/>
  <c r="AE30" i="3"/>
  <c r="AF30" i="3"/>
  <c r="AI30" i="3"/>
  <c r="AJ30" i="3"/>
  <c r="AK30" i="3"/>
  <c r="P31" i="3"/>
  <c r="Q31" i="3"/>
  <c r="U31" i="3"/>
  <c r="V31" i="3"/>
  <c r="W31" i="3"/>
  <c r="X31" i="3"/>
  <c r="Y31" i="3"/>
  <c r="Z31" i="3"/>
  <c r="AA31" i="3"/>
  <c r="AB31" i="3"/>
  <c r="AC31" i="3"/>
  <c r="AD31" i="3"/>
  <c r="AE31" i="3"/>
  <c r="AF31" i="3"/>
  <c r="AI31" i="3"/>
  <c r="AJ31" i="3"/>
  <c r="AK31" i="3"/>
  <c r="P32" i="3"/>
  <c r="Q32" i="3"/>
  <c r="U32" i="3"/>
  <c r="V32" i="3"/>
  <c r="W32" i="3"/>
  <c r="X32" i="3"/>
  <c r="Y32" i="3"/>
  <c r="Z32" i="3"/>
  <c r="AA32" i="3"/>
  <c r="AB32" i="3"/>
  <c r="AC32" i="3"/>
  <c r="AD32" i="3"/>
  <c r="AE32" i="3"/>
  <c r="AF32" i="3"/>
  <c r="AI32" i="3"/>
  <c r="AJ32" i="3"/>
  <c r="AK32" i="3"/>
  <c r="P33" i="3"/>
  <c r="Q33" i="3"/>
  <c r="U33" i="3"/>
  <c r="V33" i="3"/>
  <c r="W33" i="3"/>
  <c r="X33" i="3"/>
  <c r="Y33" i="3"/>
  <c r="Z33" i="3"/>
  <c r="AA33" i="3"/>
  <c r="AB33" i="3"/>
  <c r="AC33" i="3"/>
  <c r="AD33" i="3"/>
  <c r="AE33" i="3"/>
  <c r="AF33" i="3"/>
  <c r="AI33" i="3"/>
  <c r="AJ33" i="3"/>
  <c r="AK33" i="3"/>
  <c r="P34" i="3"/>
  <c r="Q34" i="3"/>
  <c r="U34" i="3"/>
  <c r="V34" i="3"/>
  <c r="W34" i="3"/>
  <c r="X34" i="3"/>
  <c r="Y34" i="3"/>
  <c r="Z34" i="3"/>
  <c r="AA34" i="3"/>
  <c r="AB34" i="3"/>
  <c r="AC34" i="3"/>
  <c r="AD34" i="3"/>
  <c r="AE34" i="3"/>
  <c r="AF34" i="3"/>
  <c r="AI34" i="3"/>
  <c r="AJ34" i="3"/>
  <c r="AK34" i="3"/>
  <c r="S3" i="1"/>
  <c r="R3" i="3"/>
  <c r="CB3" i="2"/>
  <c r="Q2" i="9"/>
  <c r="R2" i="9"/>
  <c r="V2" i="9"/>
  <c r="W2" i="9"/>
  <c r="X2" i="9"/>
  <c r="Y2" i="9"/>
  <c r="Z2" i="9"/>
  <c r="AA2" i="9"/>
  <c r="AB2" i="9"/>
  <c r="AC2" i="9"/>
  <c r="AD2" i="9"/>
  <c r="AE2" i="9"/>
  <c r="AF2" i="9"/>
  <c r="AG2" i="9"/>
  <c r="Q3" i="9"/>
  <c r="R3" i="9"/>
  <c r="S3" i="9"/>
  <c r="V3" i="9"/>
  <c r="W3" i="9"/>
  <c r="X3" i="9"/>
  <c r="Y3" i="9"/>
  <c r="Z3" i="9"/>
  <c r="AA3" i="9"/>
  <c r="AB3" i="9"/>
  <c r="AC3" i="9"/>
  <c r="AD3" i="9"/>
  <c r="AE3" i="9"/>
  <c r="AF3" i="9"/>
  <c r="AG3" i="9"/>
  <c r="AI3" i="9"/>
  <c r="AJ3" i="9"/>
  <c r="AK3" i="9"/>
  <c r="Q4" i="9"/>
  <c r="R4" i="9"/>
  <c r="V4" i="9"/>
  <c r="W4" i="9"/>
  <c r="X4" i="9"/>
  <c r="Y4" i="9"/>
  <c r="Z4" i="9"/>
  <c r="AA4" i="9"/>
  <c r="AB4" i="9"/>
  <c r="AC4" i="9"/>
  <c r="AD4" i="9"/>
  <c r="AE4" i="9"/>
  <c r="AF4" i="9"/>
  <c r="AG4" i="9"/>
  <c r="AI4" i="9"/>
  <c r="AJ4" i="9"/>
  <c r="AK4" i="9"/>
  <c r="Q5" i="9"/>
  <c r="R5" i="9"/>
  <c r="V5" i="9"/>
  <c r="W5" i="9"/>
  <c r="X5" i="9"/>
  <c r="Y5" i="9"/>
  <c r="Z5" i="9"/>
  <c r="AA5" i="9"/>
  <c r="AB5" i="9"/>
  <c r="AC5" i="9"/>
  <c r="AD5" i="9"/>
  <c r="AE5" i="9"/>
  <c r="AF5" i="9"/>
  <c r="AG5" i="9"/>
  <c r="AI5" i="9"/>
  <c r="AJ5" i="9"/>
  <c r="AK5" i="9"/>
  <c r="Q6" i="9"/>
  <c r="R6" i="9"/>
  <c r="V6" i="9"/>
  <c r="W6" i="9"/>
  <c r="X6" i="9"/>
  <c r="Y6" i="9"/>
  <c r="Z6" i="9"/>
  <c r="AA6" i="9"/>
  <c r="AB6" i="9"/>
  <c r="AC6" i="9"/>
  <c r="AD6" i="9"/>
  <c r="AE6" i="9"/>
  <c r="AF6" i="9"/>
  <c r="AG6" i="9"/>
  <c r="AI6" i="9"/>
  <c r="AJ6" i="9"/>
  <c r="AK6" i="9"/>
  <c r="Q7" i="9"/>
  <c r="R7" i="9"/>
  <c r="V7" i="9"/>
  <c r="W7" i="9"/>
  <c r="X7" i="9"/>
  <c r="Y7" i="9"/>
  <c r="Z7" i="9"/>
  <c r="AA7" i="9"/>
  <c r="AB7" i="9"/>
  <c r="AC7" i="9"/>
  <c r="AD7" i="9"/>
  <c r="AE7" i="9"/>
  <c r="AF7" i="9"/>
  <c r="AG7" i="9"/>
  <c r="AI7" i="9"/>
  <c r="AJ7" i="9"/>
  <c r="AK7" i="9"/>
  <c r="Q8" i="9"/>
  <c r="R8" i="9"/>
  <c r="V8" i="9"/>
  <c r="W8" i="9"/>
  <c r="X8" i="9"/>
  <c r="Y8" i="9"/>
  <c r="Z8" i="9"/>
  <c r="AA8" i="9"/>
  <c r="AB8" i="9"/>
  <c r="AC8" i="9"/>
  <c r="AD8" i="9"/>
  <c r="AE8" i="9"/>
  <c r="AF8" i="9"/>
  <c r="AG8" i="9"/>
  <c r="AI8" i="9"/>
  <c r="AJ8" i="9"/>
  <c r="AK8" i="9"/>
  <c r="Q9" i="9"/>
  <c r="R9" i="9"/>
  <c r="V9" i="9"/>
  <c r="W9" i="9"/>
  <c r="X9" i="9"/>
  <c r="Y9" i="9"/>
  <c r="Z9" i="9"/>
  <c r="AA9" i="9"/>
  <c r="AB9" i="9"/>
  <c r="AC9" i="9"/>
  <c r="AD9" i="9"/>
  <c r="AE9" i="9"/>
  <c r="AF9" i="9"/>
  <c r="AG9" i="9"/>
  <c r="AI9" i="9"/>
  <c r="AJ9" i="9"/>
  <c r="AK9" i="9"/>
  <c r="Q10" i="9"/>
  <c r="R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I10" i="9"/>
  <c r="AJ10" i="9"/>
  <c r="AK10" i="9"/>
  <c r="Q11" i="9"/>
  <c r="R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I11" i="9"/>
  <c r="AJ11" i="9"/>
  <c r="AK11" i="9"/>
  <c r="Q12" i="9"/>
  <c r="R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I12" i="9"/>
  <c r="AJ12" i="9"/>
  <c r="AK12" i="9"/>
  <c r="Q13" i="9"/>
  <c r="R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I13" i="9"/>
  <c r="AJ13" i="9"/>
  <c r="AK13" i="9"/>
  <c r="Q14" i="9"/>
  <c r="R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I14" i="9"/>
  <c r="AJ14" i="9"/>
  <c r="AK14" i="9"/>
  <c r="Q15" i="9"/>
  <c r="R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I15" i="9"/>
  <c r="AJ15" i="9"/>
  <c r="AK15" i="9"/>
  <c r="Q16" i="9"/>
  <c r="R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I16" i="9"/>
  <c r="AJ16" i="9"/>
  <c r="AK16" i="9"/>
  <c r="Q17" i="9"/>
  <c r="R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I17" i="9"/>
  <c r="AJ17" i="9"/>
  <c r="AK17" i="9"/>
  <c r="Q18" i="9"/>
  <c r="R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I18" i="9"/>
  <c r="AJ18" i="9"/>
  <c r="AK18" i="9"/>
  <c r="Q19" i="9"/>
  <c r="R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I19" i="9"/>
  <c r="AJ19" i="9"/>
  <c r="AK19" i="9"/>
  <c r="Q20" i="9"/>
  <c r="R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I20" i="9"/>
  <c r="AJ20" i="9"/>
  <c r="AK20" i="9"/>
  <c r="Q21" i="9"/>
  <c r="R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I21" i="9"/>
  <c r="AJ21" i="9"/>
  <c r="AK21" i="9"/>
  <c r="Q22" i="9"/>
  <c r="R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I22" i="9"/>
  <c r="AJ22" i="9"/>
  <c r="AK22" i="9"/>
  <c r="Q23" i="9"/>
  <c r="R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I23" i="9"/>
  <c r="AJ23" i="9"/>
  <c r="AK23" i="9"/>
  <c r="Q24" i="9"/>
  <c r="R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I24" i="9"/>
  <c r="AJ24" i="9"/>
  <c r="AK24" i="9"/>
  <c r="Q25" i="9"/>
  <c r="R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I25" i="9"/>
  <c r="AJ25" i="9"/>
  <c r="AK25" i="9"/>
  <c r="Q26" i="9"/>
  <c r="R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I26" i="9"/>
  <c r="AJ26" i="9"/>
  <c r="AK26" i="9"/>
  <c r="Q27" i="9"/>
  <c r="R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I27" i="9"/>
  <c r="AJ27" i="9"/>
  <c r="AK27" i="9"/>
  <c r="Q28" i="9"/>
  <c r="R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I28" i="9"/>
  <c r="AJ28" i="9"/>
  <c r="AK28" i="9"/>
  <c r="Q29" i="9"/>
  <c r="R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I29" i="9"/>
  <c r="AJ29" i="9"/>
  <c r="AK29" i="9"/>
  <c r="Q30" i="9"/>
  <c r="R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I30" i="9"/>
  <c r="AJ30" i="9"/>
  <c r="AK30" i="9"/>
  <c r="Q31" i="9"/>
  <c r="R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I31" i="9"/>
  <c r="AJ31" i="9"/>
  <c r="AK31" i="9"/>
  <c r="Q32" i="9"/>
  <c r="R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I32" i="9"/>
  <c r="AJ32" i="9"/>
  <c r="AK32" i="9"/>
  <c r="Q33" i="9"/>
  <c r="R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I33" i="9"/>
  <c r="AJ33" i="9"/>
  <c r="AK33" i="9"/>
  <c r="Q34" i="9"/>
  <c r="R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I34" i="9"/>
  <c r="AJ34" i="9"/>
  <c r="AK34" i="9"/>
  <c r="Q7" i="4"/>
  <c r="R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Q8" i="4"/>
  <c r="R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Q9" i="4"/>
  <c r="R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Q10" i="4"/>
  <c r="R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Q11" i="4"/>
  <c r="R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Q12" i="4"/>
  <c r="R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Q13" i="4"/>
  <c r="R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Q14" i="4"/>
  <c r="R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Q15" i="4"/>
  <c r="R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Q16" i="4"/>
  <c r="R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Q17" i="4"/>
  <c r="R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Q18" i="4"/>
  <c r="R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Q19" i="4"/>
  <c r="R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Q20" i="4"/>
  <c r="R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Q21" i="4"/>
  <c r="R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Q22" i="4"/>
  <c r="R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Q23" i="4"/>
  <c r="R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Q24" i="4"/>
  <c r="R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Q25" i="4"/>
  <c r="R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Q26" i="4"/>
  <c r="R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Q27" i="4"/>
  <c r="R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Q28" i="4"/>
  <c r="R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Q29" i="4"/>
  <c r="R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Q30" i="4"/>
  <c r="R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Q31" i="4"/>
  <c r="R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Q32" i="4"/>
  <c r="R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Q33" i="4"/>
  <c r="R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Q2" i="4"/>
  <c r="R2" i="4"/>
  <c r="V2" i="4"/>
  <c r="W2" i="4"/>
  <c r="X2" i="4"/>
  <c r="Y2" i="4"/>
  <c r="Z2" i="4"/>
  <c r="AA2" i="4"/>
  <c r="AB2" i="4"/>
  <c r="AC2" i="4"/>
  <c r="AD2" i="4"/>
  <c r="AE2" i="4"/>
  <c r="AF2" i="4"/>
  <c r="AG2" i="4"/>
  <c r="Q3" i="4"/>
  <c r="R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Q4" i="4"/>
  <c r="R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Q5" i="4"/>
  <c r="R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Q6" i="4"/>
  <c r="R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S3" i="4"/>
  <c r="C22" i="11"/>
  <c r="CA34" i="7"/>
  <c r="BZ34" i="7"/>
  <c r="BX35" i="7" s="1"/>
  <c r="BY34" i="7"/>
  <c r="BX34" i="7"/>
  <c r="BW34" i="7"/>
  <c r="BV34" i="7"/>
  <c r="BL34" i="7"/>
  <c r="BK34" i="7"/>
  <c r="BI35" i="7" s="1"/>
  <c r="BJ34" i="7"/>
  <c r="BI34" i="7"/>
  <c r="BH34" i="7"/>
  <c r="BG34" i="7"/>
  <c r="BE35" i="7" s="1"/>
  <c r="C35" i="1"/>
  <c r="F3" i="16" s="1"/>
  <c r="D35" i="1"/>
  <c r="G3" i="16" s="1"/>
  <c r="E35" i="1"/>
  <c r="H3" i="16" s="1"/>
  <c r="F35" i="1"/>
  <c r="I3" i="16" s="1"/>
  <c r="G35" i="1"/>
  <c r="J3" i="16" s="1"/>
  <c r="O3" i="16" s="1"/>
  <c r="H35" i="1"/>
  <c r="C36" i="1"/>
  <c r="G36" i="1"/>
  <c r="C14" i="11"/>
  <c r="BP35" i="2"/>
  <c r="BO35" i="2"/>
  <c r="BN35" i="2"/>
  <c r="BM35" i="2"/>
  <c r="BL35" i="2"/>
  <c r="BK35" i="2"/>
  <c r="BK36" i="2" s="1"/>
  <c r="AP35" i="7"/>
  <c r="AH34" i="7"/>
  <c r="AG34" i="7"/>
  <c r="AF34" i="7"/>
  <c r="I22" i="16" s="1"/>
  <c r="AE34" i="7"/>
  <c r="H22" i="16" s="1"/>
  <c r="AD34" i="7"/>
  <c r="G22" i="16" s="1"/>
  <c r="AC34" i="7"/>
  <c r="X34" i="5"/>
  <c r="W34" i="5"/>
  <c r="W35" i="5" s="1"/>
  <c r="V34" i="5"/>
  <c r="U34" i="5"/>
  <c r="T34" i="5"/>
  <c r="S34" i="5"/>
  <c r="S35" i="5" s="1"/>
  <c r="H34" i="4"/>
  <c r="G34" i="4"/>
  <c r="G35" i="4" s="1"/>
  <c r="F34" i="4"/>
  <c r="E34" i="4"/>
  <c r="D34" i="4"/>
  <c r="C34" i="4"/>
  <c r="C35" i="4" s="1"/>
  <c r="H34" i="6"/>
  <c r="G34" i="6"/>
  <c r="G35" i="6" s="1"/>
  <c r="F34" i="6"/>
  <c r="E34" i="6"/>
  <c r="D34" i="6"/>
  <c r="C34" i="6"/>
  <c r="C35" i="6" s="1"/>
  <c r="H34" i="9"/>
  <c r="G34" i="9"/>
  <c r="G35" i="9" s="1"/>
  <c r="F34" i="9"/>
  <c r="E34" i="9"/>
  <c r="D34" i="9"/>
  <c r="C34" i="9"/>
  <c r="C35" i="9" s="1"/>
  <c r="C34" i="3"/>
  <c r="F10" i="16" s="1"/>
  <c r="D34" i="3"/>
  <c r="G10" i="16" s="1"/>
  <c r="E34" i="3"/>
  <c r="H10" i="16" s="1"/>
  <c r="F34" i="3"/>
  <c r="I10" i="16" s="1"/>
  <c r="G34" i="3"/>
  <c r="J10" i="16" s="1"/>
  <c r="O10" i="16" s="1"/>
  <c r="H34" i="3"/>
  <c r="C17" i="15"/>
  <c r="C34" i="5"/>
  <c r="D34" i="5"/>
  <c r="E34" i="5"/>
  <c r="F34" i="5"/>
  <c r="G34" i="5"/>
  <c r="H34" i="5"/>
  <c r="C35" i="5"/>
  <c r="G35" i="5"/>
  <c r="G25" i="15"/>
  <c r="H25" i="15"/>
  <c r="G22" i="15"/>
  <c r="H22" i="15"/>
  <c r="C15" i="15"/>
  <c r="C6" i="15"/>
  <c r="C4" i="15"/>
  <c r="C21" i="11"/>
  <c r="C3" i="11"/>
  <c r="I22" i="11"/>
  <c r="H22" i="11"/>
  <c r="G22" i="11"/>
  <c r="S34" i="7"/>
  <c r="R34" i="7"/>
  <c r="J21" i="16" s="1"/>
  <c r="Q34" i="7"/>
  <c r="P34" i="7"/>
  <c r="O34" i="7"/>
  <c r="N34" i="7"/>
  <c r="F21" i="16" s="1"/>
  <c r="G34" i="7"/>
  <c r="F34" i="7"/>
  <c r="E34" i="7"/>
  <c r="D34" i="7"/>
  <c r="C34" i="7"/>
  <c r="B34" i="7"/>
  <c r="I14" i="11"/>
  <c r="H14" i="11"/>
  <c r="G14" i="11"/>
  <c r="G145" i="8"/>
  <c r="F145" i="8"/>
  <c r="F146" i="8" s="1"/>
  <c r="E145" i="8"/>
  <c r="D145" i="8"/>
  <c r="C145" i="8"/>
  <c r="B145" i="8"/>
  <c r="B146" i="8" s="1"/>
  <c r="G108" i="8"/>
  <c r="F108" i="8"/>
  <c r="F109" i="8" s="1"/>
  <c r="E108" i="8"/>
  <c r="D108" i="8"/>
  <c r="C108" i="8"/>
  <c r="B108" i="8"/>
  <c r="B109" i="8" s="1"/>
  <c r="G71" i="8"/>
  <c r="F71" i="8"/>
  <c r="F72" i="8" s="1"/>
  <c r="E71" i="8"/>
  <c r="D71" i="8"/>
  <c r="C71" i="8"/>
  <c r="B71" i="8"/>
  <c r="B72" i="8" s="1"/>
  <c r="A1" i="8"/>
  <c r="B1" i="8"/>
  <c r="C1" i="8"/>
  <c r="D1" i="8"/>
  <c r="E1" i="8"/>
  <c r="F1" i="8"/>
  <c r="G1" i="8"/>
  <c r="I1" i="8"/>
  <c r="J1" i="8"/>
  <c r="B2" i="8"/>
  <c r="C2" i="8"/>
  <c r="D2" i="8"/>
  <c r="E2" i="8"/>
  <c r="F2" i="8"/>
  <c r="G2" i="8"/>
  <c r="I2" i="8"/>
  <c r="J2" i="8"/>
  <c r="B3" i="8"/>
  <c r="C3" i="8"/>
  <c r="D3" i="8"/>
  <c r="E3" i="8"/>
  <c r="F3" i="8"/>
  <c r="G3" i="8"/>
  <c r="I3" i="8"/>
  <c r="J3" i="8"/>
  <c r="B4" i="8"/>
  <c r="C4" i="8"/>
  <c r="D4" i="8"/>
  <c r="E4" i="8"/>
  <c r="F4" i="8"/>
  <c r="G4" i="8"/>
  <c r="B5" i="8"/>
  <c r="C5" i="8"/>
  <c r="D5" i="8"/>
  <c r="E5" i="8"/>
  <c r="F5" i="8"/>
  <c r="G5" i="8"/>
  <c r="I5" i="8"/>
  <c r="J5" i="8"/>
  <c r="B6" i="8"/>
  <c r="D6" i="8"/>
  <c r="E6" i="8"/>
  <c r="G6" i="8"/>
  <c r="B7" i="8"/>
  <c r="C7" i="8"/>
  <c r="D7" i="8"/>
  <c r="B8" i="8"/>
  <c r="C8" i="8"/>
  <c r="D8" i="8"/>
  <c r="E8" i="8"/>
  <c r="F8" i="8"/>
  <c r="G8" i="8"/>
  <c r="I8" i="8"/>
  <c r="J8" i="8"/>
  <c r="B9" i="8"/>
  <c r="C9" i="8"/>
  <c r="D9" i="8"/>
  <c r="E9" i="8"/>
  <c r="F9" i="8"/>
  <c r="G9" i="8"/>
  <c r="I9" i="8"/>
  <c r="J9" i="8"/>
  <c r="B10" i="8"/>
  <c r="C10" i="8"/>
  <c r="D10" i="8"/>
  <c r="E10" i="8"/>
  <c r="F10" i="8"/>
  <c r="G10" i="8"/>
  <c r="I10" i="8"/>
  <c r="J10" i="8"/>
  <c r="B11" i="8"/>
  <c r="C11" i="8"/>
  <c r="D11" i="8"/>
  <c r="E11" i="8"/>
  <c r="F11" i="8"/>
  <c r="G11" i="8"/>
  <c r="I11" i="8"/>
  <c r="J11" i="8"/>
  <c r="B12" i="8"/>
  <c r="C12" i="8"/>
  <c r="D12" i="8"/>
  <c r="E12" i="8"/>
  <c r="F12" i="8"/>
  <c r="G12" i="8"/>
  <c r="I12" i="8"/>
  <c r="J12" i="8"/>
  <c r="B13" i="8"/>
  <c r="C13" i="8"/>
  <c r="D13" i="8"/>
  <c r="E13" i="8"/>
  <c r="F13" i="8"/>
  <c r="G13" i="8"/>
  <c r="I13" i="8"/>
  <c r="J13" i="8"/>
  <c r="B14" i="8"/>
  <c r="C14" i="8"/>
  <c r="D14" i="8"/>
  <c r="E14" i="8"/>
  <c r="F14" i="8"/>
  <c r="G14" i="8"/>
  <c r="I14" i="8"/>
  <c r="J14" i="8"/>
  <c r="B15" i="8"/>
  <c r="C15" i="8"/>
  <c r="D15" i="8"/>
  <c r="E15" i="8"/>
  <c r="F15" i="8"/>
  <c r="G15" i="8"/>
  <c r="I15" i="8"/>
  <c r="J15" i="8"/>
  <c r="B16" i="8"/>
  <c r="C16" i="8"/>
  <c r="D16" i="8"/>
  <c r="E16" i="8"/>
  <c r="F16" i="8"/>
  <c r="G16" i="8"/>
  <c r="I16" i="8"/>
  <c r="J16" i="8"/>
  <c r="B17" i="8"/>
  <c r="C17" i="8"/>
  <c r="D17" i="8"/>
  <c r="E17" i="8"/>
  <c r="F17" i="8"/>
  <c r="G17" i="8"/>
  <c r="I17" i="8"/>
  <c r="J17" i="8"/>
  <c r="B18" i="8"/>
  <c r="C18" i="8"/>
  <c r="D18" i="8"/>
  <c r="E18" i="8"/>
  <c r="F18" i="8"/>
  <c r="G18" i="8"/>
  <c r="I18" i="8"/>
  <c r="J18" i="8"/>
  <c r="B19" i="8"/>
  <c r="C19" i="8"/>
  <c r="D19" i="8"/>
  <c r="E19" i="8"/>
  <c r="F19" i="8"/>
  <c r="G19" i="8"/>
  <c r="I19" i="8"/>
  <c r="J19" i="8"/>
  <c r="B20" i="8"/>
  <c r="C20" i="8"/>
  <c r="D20" i="8"/>
  <c r="E20" i="8"/>
  <c r="F20" i="8"/>
  <c r="G20" i="8"/>
  <c r="I20" i="8"/>
  <c r="J20" i="8"/>
  <c r="B21" i="8"/>
  <c r="C21" i="8"/>
  <c r="D21" i="8"/>
  <c r="E21" i="8"/>
  <c r="F21" i="8"/>
  <c r="G21" i="8"/>
  <c r="I21" i="8"/>
  <c r="J21" i="8"/>
  <c r="B22" i="8"/>
  <c r="C22" i="8"/>
  <c r="D22" i="8"/>
  <c r="E22" i="8"/>
  <c r="F22" i="8"/>
  <c r="G22" i="8"/>
  <c r="I22" i="8"/>
  <c r="J22" i="8"/>
  <c r="B23" i="8"/>
  <c r="C23" i="8"/>
  <c r="D23" i="8"/>
  <c r="E23" i="8"/>
  <c r="F23" i="8"/>
  <c r="G23" i="8"/>
  <c r="I23" i="8"/>
  <c r="J23" i="8"/>
  <c r="B24" i="8"/>
  <c r="C24" i="8"/>
  <c r="D24" i="8"/>
  <c r="E24" i="8"/>
  <c r="F24" i="8"/>
  <c r="G24" i="8"/>
  <c r="I24" i="8"/>
  <c r="J24" i="8"/>
  <c r="B25" i="8"/>
  <c r="C25" i="8"/>
  <c r="D25" i="8"/>
  <c r="E25" i="8"/>
  <c r="F25" i="8"/>
  <c r="G25" i="8"/>
  <c r="I25" i="8"/>
  <c r="J25" i="8"/>
  <c r="B26" i="8"/>
  <c r="C26" i="8"/>
  <c r="D26" i="8"/>
  <c r="E26" i="8"/>
  <c r="F26" i="8"/>
  <c r="G26" i="8"/>
  <c r="I26" i="8"/>
  <c r="J26" i="8"/>
  <c r="B27" i="8"/>
  <c r="C27" i="8"/>
  <c r="D27" i="8"/>
  <c r="E27" i="8"/>
  <c r="F27" i="8"/>
  <c r="G27" i="8"/>
  <c r="I27" i="8"/>
  <c r="J27" i="8"/>
  <c r="B28" i="8"/>
  <c r="C28" i="8"/>
  <c r="D28" i="8"/>
  <c r="E28" i="8"/>
  <c r="F28" i="8"/>
  <c r="G28" i="8"/>
  <c r="I28" i="8"/>
  <c r="J28" i="8"/>
  <c r="B29" i="8"/>
  <c r="C29" i="8"/>
  <c r="D29" i="8"/>
  <c r="E29" i="8"/>
  <c r="F29" i="8"/>
  <c r="G29" i="8"/>
  <c r="I29" i="8"/>
  <c r="J29" i="8"/>
  <c r="B30" i="8"/>
  <c r="C30" i="8"/>
  <c r="D30" i="8"/>
  <c r="E30" i="8"/>
  <c r="F30" i="8"/>
  <c r="G30" i="8"/>
  <c r="I30" i="8"/>
  <c r="J30" i="8"/>
  <c r="B31" i="8"/>
  <c r="C31" i="8"/>
  <c r="D31" i="8"/>
  <c r="E31" i="8"/>
  <c r="F31" i="8"/>
  <c r="G31" i="8"/>
  <c r="I31" i="8"/>
  <c r="J31" i="8"/>
  <c r="B32" i="8"/>
  <c r="C32" i="8"/>
  <c r="D32" i="8"/>
  <c r="E32" i="8"/>
  <c r="F32" i="8"/>
  <c r="G32" i="8"/>
  <c r="I32" i="8"/>
  <c r="J32" i="8"/>
  <c r="F3" i="11"/>
  <c r="G3" i="11"/>
  <c r="H3" i="11"/>
  <c r="I3" i="11"/>
  <c r="J3" i="11"/>
  <c r="H4" i="15" s="1"/>
  <c r="F18" i="11"/>
  <c r="G18" i="11"/>
  <c r="H18" i="11"/>
  <c r="I18" i="11"/>
  <c r="F19" i="11"/>
  <c r="G19" i="11"/>
  <c r="H19" i="11"/>
  <c r="I19" i="11"/>
  <c r="F12" i="11"/>
  <c r="G12" i="11"/>
  <c r="H12" i="11"/>
  <c r="I12" i="11"/>
  <c r="F10" i="11"/>
  <c r="G10" i="11"/>
  <c r="H10" i="11"/>
  <c r="I10" i="11"/>
  <c r="L10" i="16" l="1"/>
  <c r="P10" i="16" s="1"/>
  <c r="G21" i="11"/>
  <c r="G21" i="16"/>
  <c r="H21" i="11"/>
  <c r="H21" i="16"/>
  <c r="I21" i="11"/>
  <c r="I21" i="16"/>
  <c r="AA35" i="7"/>
  <c r="F22" i="16"/>
  <c r="L22" i="16" s="1"/>
  <c r="AE35" i="7"/>
  <c r="J22" i="16"/>
  <c r="L5" i="16"/>
  <c r="L3" i="16"/>
  <c r="BP36" i="2"/>
  <c r="C11" i="15"/>
  <c r="G35" i="3"/>
  <c r="J10" i="11"/>
  <c r="C13" i="15"/>
  <c r="C8" i="15"/>
  <c r="C7" i="15"/>
  <c r="F14" i="11"/>
  <c r="J14" i="11"/>
  <c r="J12" i="11"/>
  <c r="J18" i="11"/>
  <c r="H19" i="15" s="1"/>
  <c r="J19" i="11"/>
  <c r="H20" i="15" s="1"/>
  <c r="B35" i="7"/>
  <c r="F35" i="7"/>
  <c r="N35" i="7"/>
  <c r="F21" i="11"/>
  <c r="R35" i="7"/>
  <c r="J21" i="11"/>
  <c r="H23" i="15" s="1"/>
  <c r="F22" i="11"/>
  <c r="J22" i="11"/>
  <c r="H24" i="15" s="1"/>
  <c r="C7" i="11"/>
  <c r="C6" i="11"/>
  <c r="C5" i="11"/>
  <c r="C12" i="11"/>
  <c r="C35" i="3"/>
  <c r="L14" i="11"/>
  <c r="L12" i="11"/>
  <c r="L10" i="11"/>
  <c r="L21" i="11"/>
  <c r="G23" i="15" s="1"/>
  <c r="L18" i="11"/>
  <c r="G19" i="15" s="1"/>
  <c r="L19" i="11"/>
  <c r="G20" i="15" s="1"/>
  <c r="C10" i="11"/>
  <c r="L3" i="11"/>
  <c r="G4" i="15" s="1"/>
  <c r="L22" i="11"/>
  <c r="G24" i="15" s="1"/>
  <c r="G33" i="8"/>
  <c r="F33" i="8"/>
  <c r="F34" i="8" s="1"/>
  <c r="E33" i="8"/>
  <c r="D33" i="8"/>
  <c r="C33" i="8"/>
  <c r="B33" i="8"/>
  <c r="B34" i="8" s="1"/>
  <c r="AN35" i="2"/>
  <c r="AM35" i="2"/>
  <c r="J7" i="16" s="1"/>
  <c r="H35" i="2"/>
  <c r="G35" i="2"/>
  <c r="J5" i="16" s="1"/>
  <c r="AL35" i="2"/>
  <c r="AK35" i="2"/>
  <c r="AJ35" i="2"/>
  <c r="AI35" i="2"/>
  <c r="F7" i="16" s="1"/>
  <c r="I5" i="11"/>
  <c r="H5" i="11"/>
  <c r="G5" i="11"/>
  <c r="L21" i="16" l="1"/>
  <c r="F27" i="16"/>
  <c r="G7" i="11"/>
  <c r="G7" i="16"/>
  <c r="H7" i="11"/>
  <c r="H7" i="16"/>
  <c r="I7" i="11"/>
  <c r="I7" i="16"/>
  <c r="P3" i="16"/>
  <c r="AD26" i="15"/>
  <c r="AC26" i="15"/>
  <c r="AB26" i="15"/>
  <c r="AA26" i="15"/>
  <c r="Z26" i="15"/>
  <c r="Y26" i="15"/>
  <c r="V26" i="15"/>
  <c r="G15" i="15"/>
  <c r="O14" i="11"/>
  <c r="P14" i="11" s="1"/>
  <c r="H15" i="15"/>
  <c r="G11" i="15"/>
  <c r="O10" i="11"/>
  <c r="P10" i="11" s="1"/>
  <c r="H11" i="15"/>
  <c r="T26" i="15"/>
  <c r="R26" i="15"/>
  <c r="N26" i="15"/>
  <c r="P26" i="15"/>
  <c r="G13" i="15"/>
  <c r="O12" i="11"/>
  <c r="P12" i="11" s="1"/>
  <c r="H13" i="15"/>
  <c r="J26" i="15"/>
  <c r="L26" i="15"/>
  <c r="M26" i="15"/>
  <c r="O18" i="11"/>
  <c r="G36" i="2"/>
  <c r="J5" i="11"/>
  <c r="H6" i="15" s="1"/>
  <c r="AM36" i="2"/>
  <c r="J7" i="11"/>
  <c r="H8" i="15" s="1"/>
  <c r="P18" i="11"/>
  <c r="C36" i="2"/>
  <c r="F5" i="11"/>
  <c r="L5" i="11" s="1"/>
  <c r="G6" i="15" s="1"/>
  <c r="AI36" i="2"/>
  <c r="F7" i="11"/>
  <c r="L7" i="11" s="1"/>
  <c r="G8" i="15" s="1"/>
  <c r="L7" i="16" l="1"/>
  <c r="U26" i="15"/>
  <c r="S26" i="15"/>
  <c r="Q26" i="15"/>
  <c r="I26" i="15"/>
  <c r="O26" i="15"/>
  <c r="O3" i="11"/>
  <c r="P3" i="11" s="1"/>
  <c r="K26" i="15" l="1"/>
  <c r="W26" i="15" l="1"/>
  <c r="X26" i="15"/>
  <c r="F6" i="11"/>
  <c r="F27" i="11" s="1"/>
  <c r="H27" i="16"/>
  <c r="H6" i="16"/>
  <c r="I27" i="16"/>
  <c r="I6" i="16"/>
  <c r="G27" i="16"/>
  <c r="P5" i="16"/>
  <c r="G6" i="16"/>
  <c r="L6" i="16"/>
  <c r="L27" i="16"/>
  <c r="O5" i="16"/>
  <c r="J6" i="16"/>
  <c r="H26" i="15"/>
  <c r="H7" i="15"/>
  <c r="W36" i="2"/>
  <c r="W35" i="2"/>
  <c r="J6" i="11"/>
  <c r="O5" i="11"/>
  <c r="G26" i="15"/>
  <c r="G7" i="15"/>
  <c r="S36" i="2"/>
  <c r="P5" i="11"/>
  <c r="L6" i="11"/>
  <c r="L27" i="11"/>
  <c r="T35" i="2"/>
  <c r="G6" i="11"/>
  <c r="G27" i="11"/>
  <c r="X35" i="2"/>
  <c r="V35" i="2"/>
  <c r="I6" i="11"/>
  <c r="I27" i="11"/>
  <c r="U35" i="2"/>
  <c r="H6" i="11"/>
  <c r="H27" i="1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<sst xmlns="http://schemas.openxmlformats.org/spreadsheetml/2006/main" count="711" uniqueCount="337">
  <si>
    <t>SIM kártya</t>
  </si>
  <si>
    <t>Éves Felülvizsgálat</t>
  </si>
  <si>
    <t>Szolgáltató</t>
  </si>
  <si>
    <t>Január</t>
  </si>
  <si>
    <t>Február</t>
  </si>
  <si>
    <t>Március</t>
  </si>
  <si>
    <t>Április</t>
  </si>
  <si>
    <t>Május</t>
  </si>
  <si>
    <t>Június</t>
  </si>
  <si>
    <t>Július</t>
  </si>
  <si>
    <t>Augusztus</t>
  </si>
  <si>
    <t>Szeptember</t>
  </si>
  <si>
    <t>Október</t>
  </si>
  <si>
    <t>November</t>
  </si>
  <si>
    <t>December</t>
  </si>
  <si>
    <t>összesen</t>
  </si>
  <si>
    <t>kp</t>
  </si>
  <si>
    <t>Államkincstár</t>
  </si>
  <si>
    <t>Knorr105</t>
  </si>
  <si>
    <t>861075025184672</t>
  </si>
  <si>
    <t>Mobil Adat</t>
  </si>
  <si>
    <t>AP A09110892</t>
  </si>
  <si>
    <t>89430301901300660519</t>
  </si>
  <si>
    <t>Telekom</t>
  </si>
  <si>
    <t>Knorr86</t>
  </si>
  <si>
    <t>861075020676789</t>
  </si>
  <si>
    <t>Knorr69</t>
  </si>
  <si>
    <t>KTI</t>
  </si>
  <si>
    <t>861075020652764</t>
  </si>
  <si>
    <t>Szentkirályi</t>
  </si>
  <si>
    <t>RSR</t>
  </si>
  <si>
    <t>AP A09111370</t>
  </si>
  <si>
    <t>AP A13610439</t>
  </si>
  <si>
    <t>861075024542649</t>
  </si>
  <si>
    <t>Egyéb</t>
  </si>
  <si>
    <t>AP A13609679</t>
  </si>
  <si>
    <t>864403042171471</t>
  </si>
  <si>
    <t>AP A09109974</t>
  </si>
  <si>
    <t>AP A13608072</t>
  </si>
  <si>
    <t>861075020660809</t>
  </si>
  <si>
    <t>AP A13607772</t>
  </si>
  <si>
    <t>861075020660411</t>
  </si>
  <si>
    <t xml:space="preserve">Telekom </t>
  </si>
  <si>
    <t>Összesen:</t>
  </si>
  <si>
    <t>SELEJT PÉNZTÁRGÉPEK</t>
  </si>
  <si>
    <t xml:space="preserve">A24004860 </t>
  </si>
  <si>
    <t>-</t>
  </si>
  <si>
    <t>89430301902006414060</t>
  </si>
  <si>
    <t>2024.12.19. selejtezve</t>
  </si>
  <si>
    <t>szüneteltetve: 2025,05,14</t>
  </si>
  <si>
    <t>A24004855</t>
  </si>
  <si>
    <t>AEE csere nincs bele</t>
  </si>
  <si>
    <t>89430301902006411884</t>
  </si>
  <si>
    <t>A19503259</t>
  </si>
  <si>
    <t xml:space="preserve">hiányzik a fogaskerék </t>
  </si>
  <si>
    <t>861311007446874</t>
  </si>
  <si>
    <t>selejtezve</t>
  </si>
  <si>
    <t>A24004856</t>
  </si>
  <si>
    <t>nem kommunikál a Navval</t>
  </si>
  <si>
    <t>89430301902006410613</t>
  </si>
  <si>
    <t>A13607768</t>
  </si>
  <si>
    <t>861075020653549</t>
  </si>
  <si>
    <t xml:space="preserve">Mobil Adat </t>
  </si>
  <si>
    <t>2025.11.hóban selejtezve</t>
  </si>
  <si>
    <t>AP kód</t>
  </si>
  <si>
    <t>Nyitó zárás</t>
  </si>
  <si>
    <t>Záró zárás</t>
  </si>
  <si>
    <t>bankkártya</t>
  </si>
  <si>
    <t>Időszak összes</t>
  </si>
  <si>
    <t>Göngy. forgalom</t>
  </si>
  <si>
    <t>bk</t>
  </si>
  <si>
    <t>AP A13611447</t>
  </si>
  <si>
    <t>Egyéb (RSR)</t>
  </si>
  <si>
    <t>0041</t>
  </si>
  <si>
    <t>0573</t>
  </si>
  <si>
    <t>0364</t>
  </si>
  <si>
    <t>AP A13610440</t>
  </si>
  <si>
    <t>Novohost</t>
  </si>
  <si>
    <t>készpénz</t>
  </si>
  <si>
    <t>kártya</t>
  </si>
  <si>
    <t>terminál sz. bankkártya</t>
  </si>
  <si>
    <t>zárás sorszám</t>
  </si>
  <si>
    <t>göngyölt e.</t>
  </si>
  <si>
    <t>időszaki össz:</t>
  </si>
  <si>
    <t>EUR</t>
  </si>
  <si>
    <t>jegyzőkönyv</t>
  </si>
  <si>
    <t>Eredmény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</si>
  <si>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</si>
  <si>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</si>
  <si>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</si>
  <si>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</si>
  <si>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</si>
  <si>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</si>
  <si>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</si>
  <si>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</si>
  <si>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</si>
  <si>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</si>
  <si>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</si>
  <si>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</si>
  <si>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</si>
  <si>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</si>
  <si>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</si>
  <si>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</si>
  <si>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</si>
  <si>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</si>
  <si>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</si>
  <si>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</si>
  <si>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</si>
  <si>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ÜZENŐFAL</t>
  </si>
  <si>
    <t>1030</t>
  </si>
  <si>
    <t>1031</t>
  </si>
  <si>
    <t>1032</t>
  </si>
  <si>
    <t>1033</t>
  </si>
  <si>
    <t>1034</t>
  </si>
  <si>
    <t>AP A09111376</t>
  </si>
  <si>
    <t>Borravaló</t>
  </si>
  <si>
    <t>zárás ssz</t>
  </si>
  <si>
    <t xml:space="preserve">jegyzőkönyv </t>
  </si>
  <si>
    <t xml:space="preserve">AP A24010154 </t>
  </si>
  <si>
    <t>AP A13609805</t>
  </si>
  <si>
    <t>AP A24004860</t>
  </si>
  <si>
    <t>zárás sz.</t>
  </si>
  <si>
    <t>göngyölt</t>
  </si>
  <si>
    <t>428</t>
  </si>
  <si>
    <t>384</t>
  </si>
  <si>
    <t>1239</t>
  </si>
  <si>
    <t>990</t>
  </si>
  <si>
    <t>429</t>
  </si>
  <si>
    <t>385</t>
  </si>
  <si>
    <t>1240</t>
  </si>
  <si>
    <t>991</t>
  </si>
  <si>
    <t>430</t>
  </si>
  <si>
    <t>386</t>
  </si>
  <si>
    <t>1241</t>
  </si>
  <si>
    <t>992</t>
  </si>
  <si>
    <t>431</t>
  </si>
  <si>
    <t>387</t>
  </si>
  <si>
    <t>1242</t>
  </si>
  <si>
    <t>993</t>
  </si>
  <si>
    <t>432</t>
  </si>
  <si>
    <t>388</t>
  </si>
  <si>
    <t>1243</t>
  </si>
  <si>
    <t>994</t>
  </si>
  <si>
    <t>433</t>
  </si>
  <si>
    <t>389</t>
  </si>
  <si>
    <t>1244</t>
  </si>
  <si>
    <t>995</t>
  </si>
  <si>
    <t>390</t>
  </si>
  <si>
    <t>434</t>
  </si>
  <si>
    <t>391</t>
  </si>
  <si>
    <t>1245</t>
  </si>
  <si>
    <t>996</t>
  </si>
  <si>
    <t>435</t>
  </si>
  <si>
    <t>392</t>
  </si>
  <si>
    <t>1246</t>
  </si>
  <si>
    <t>997</t>
  </si>
  <si>
    <t>436</t>
  </si>
  <si>
    <t>393</t>
  </si>
  <si>
    <t>1247</t>
  </si>
  <si>
    <t>998</t>
  </si>
  <si>
    <t>437</t>
  </si>
  <si>
    <t>394</t>
  </si>
  <si>
    <t>1248</t>
  </si>
  <si>
    <t>999</t>
  </si>
  <si>
    <t>438</t>
  </si>
  <si>
    <t>395</t>
  </si>
  <si>
    <t>1249</t>
  </si>
  <si>
    <t>1000</t>
  </si>
  <si>
    <t>439</t>
  </si>
  <si>
    <t>396</t>
  </si>
  <si>
    <t>1250</t>
  </si>
  <si>
    <t>1001</t>
  </si>
  <si>
    <t>440</t>
  </si>
  <si>
    <t>397</t>
  </si>
  <si>
    <t>1251</t>
  </si>
  <si>
    <t>1002</t>
  </si>
  <si>
    <t>441</t>
  </si>
  <si>
    <t>398</t>
  </si>
  <si>
    <t>1252</t>
  </si>
  <si>
    <t>1003</t>
  </si>
  <si>
    <t>442</t>
  </si>
  <si>
    <t>399</t>
  </si>
  <si>
    <t>1253</t>
  </si>
  <si>
    <t>1004</t>
  </si>
  <si>
    <t>443</t>
  </si>
  <si>
    <t>400</t>
  </si>
  <si>
    <t>1254</t>
  </si>
  <si>
    <t>1005</t>
  </si>
  <si>
    <t>444</t>
  </si>
  <si>
    <t>401</t>
  </si>
  <si>
    <t>1255</t>
  </si>
  <si>
    <t>1006</t>
  </si>
  <si>
    <t>445</t>
  </si>
  <si>
    <t>402</t>
  </si>
  <si>
    <t>1256</t>
  </si>
  <si>
    <t>1007</t>
  </si>
  <si>
    <t>446</t>
  </si>
  <si>
    <t>403</t>
  </si>
  <si>
    <t>1257</t>
  </si>
  <si>
    <t>1008</t>
  </si>
  <si>
    <t>447</t>
  </si>
  <si>
    <t>404</t>
  </si>
  <si>
    <t>1258</t>
  </si>
  <si>
    <t>448</t>
  </si>
  <si>
    <t>405</t>
  </si>
  <si>
    <t>1259</t>
  </si>
  <si>
    <t xml:space="preserve">Kérlek ez a 3 sor legyen minden táblázatnál kihagyva </t>
  </si>
  <si>
    <t>Sziasztok</t>
  </si>
  <si>
    <t>Kérlek az elütésekről tudnátok írni jegyzőkönyvet? Sajnos a bk terminál, NAV gépes elütésekről is kell</t>
  </si>
  <si>
    <t>1595</t>
  </si>
  <si>
    <t>-517</t>
  </si>
  <si>
    <t>0</t>
  </si>
  <si>
    <t>475</t>
  </si>
  <si>
    <t>2310</t>
  </si>
  <si>
    <t>-994</t>
  </si>
  <si>
    <t>-930</t>
  </si>
  <si>
    <t>1500</t>
  </si>
  <si>
    <t>-8</t>
  </si>
  <si>
    <t>3716</t>
  </si>
  <si>
    <t>910</t>
  </si>
  <si>
    <t>-1107</t>
  </si>
  <si>
    <t>452</t>
  </si>
  <si>
    <t>-1542</t>
  </si>
  <si>
    <t>409</t>
  </si>
  <si>
    <t>-49</t>
  </si>
  <si>
    <t>-1530</t>
  </si>
  <si>
    <t>3260</t>
  </si>
  <si>
    <t>453</t>
  </si>
  <si>
    <t>-506</t>
  </si>
  <si>
    <t>410</t>
  </si>
  <si>
    <t>-2110</t>
  </si>
  <si>
    <t>1264</t>
  </si>
  <si>
    <t>580</t>
  </si>
  <si>
    <t>AP A13607773</t>
  </si>
  <si>
    <t>Tartalék kiadás</t>
  </si>
  <si>
    <t>Kivét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</si>
  <si>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</si>
  <si>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</si>
  <si>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</si>
  <si>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</si>
  <si>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</si>
  <si>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</si>
  <si>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</si>
  <si>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</si>
  <si>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</si>
  <si>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</si>
  <si>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</si>
  <si>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</si>
  <si>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1790</t>
  </si>
  <si>
    <t>1761</t>
  </si>
  <si>
    <t>1762</t>
  </si>
  <si>
    <t>1763</t>
  </si>
  <si>
    <t>1764</t>
  </si>
  <si>
    <t>1765</t>
  </si>
  <si>
    <t>1766</t>
  </si>
  <si>
    <t>900</t>
  </si>
  <si>
    <t>1767</t>
  </si>
  <si>
    <t>1768</t>
  </si>
  <si>
    <t>1769</t>
  </si>
  <si>
    <t>1770</t>
  </si>
  <si>
    <t>1771</t>
  </si>
  <si>
    <t>1772</t>
  </si>
  <si>
    <t>Novo</t>
  </si>
  <si>
    <t>0042</t>
  </si>
  <si>
    <t>0043</t>
  </si>
  <si>
    <t>0044</t>
  </si>
  <si>
    <t>0045</t>
  </si>
  <si>
    <t>0046</t>
  </si>
  <si>
    <t>0047</t>
  </si>
  <si>
    <t>0048</t>
  </si>
  <si>
    <t>0049</t>
  </si>
  <si>
    <t>Szia,</t>
  </si>
  <si>
    <t>Kérlek az elütésről tudnál írni jegyzőkönyvet? Sajnos a bk terminál, NAV gépes elütésekről is kell</t>
  </si>
  <si>
    <t>AP A09111377</t>
  </si>
  <si>
    <t xml:space="preserve"> </t>
  </si>
  <si>
    <t>539</t>
  </si>
  <si>
    <t>540</t>
  </si>
  <si>
    <t>541</t>
  </si>
  <si>
    <t>igen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</si>
  <si>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</si>
  <si>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</si>
  <si>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</si>
  <si>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</si>
  <si>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</si>
  <si>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</si>
  <si>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</si>
  <si>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</si>
  <si>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</si>
  <si>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</si>
  <si>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</si>
  <si>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AP A13607465</t>
  </si>
  <si>
    <t>2295</t>
  </si>
  <si>
    <t>2296</t>
  </si>
  <si>
    <t>2297</t>
  </si>
  <si>
    <t>2298</t>
  </si>
  <si>
    <t>2299</t>
  </si>
  <si>
    <t>0574</t>
  </si>
  <si>
    <t>0575</t>
  </si>
  <si>
    <t>0576</t>
  </si>
  <si>
    <t>0577</t>
  </si>
  <si>
    <t>0365</t>
  </si>
  <si>
    <t>göngyölt e</t>
  </si>
  <si>
    <t xml:space="preserve">EUR 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</si>
  <si>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</si>
  <si>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</si>
  <si>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</si>
  <si>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</si>
  <si>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</si>
  <si>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</si>
  <si>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</si>
  <si>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</si>
  <si>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</si>
  <si>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</si>
  <si>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</si>
  <si>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738</t>
  </si>
  <si>
    <t>739</t>
  </si>
  <si>
    <t>0727</t>
  </si>
  <si>
    <t>0728</t>
  </si>
  <si>
    <t>0729</t>
  </si>
  <si>
    <t>0730</t>
  </si>
  <si>
    <t>0731</t>
  </si>
  <si>
    <t>0733</t>
  </si>
  <si>
    <t>0735</t>
  </si>
  <si>
    <t>0736</t>
  </si>
  <si>
    <t>0737</t>
  </si>
  <si>
    <t>0740</t>
  </si>
  <si>
    <t>0741</t>
  </si>
  <si>
    <t>0742</t>
  </si>
  <si>
    <t>0744</t>
  </si>
  <si>
    <t>0745</t>
  </si>
  <si>
    <t>0746</t>
  </si>
  <si>
    <t>0747</t>
  </si>
  <si>
    <t>0748</t>
  </si>
  <si>
    <t>0750</t>
  </si>
  <si>
    <t>0751</t>
  </si>
  <si>
    <t>0752</t>
  </si>
  <si>
    <t>0753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</si>
</sst>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&quot;Ft&quot;"/>
    <numFmt numFmtId="165" formatCode="_-* #,##0_-;\-* #,##0_-;_-* &quot;-&quot;??_-;_-@_-"/>
    <numFmt numFmtId="166" formatCode="#,##0.00\ [$€-1]"/>
    <numFmt numFmtId="167" formatCode="_-* #,##0\ [$€-1]_-;\-* #,##0\ [$€-1]_-;_-* &quot;-&quot;??\ [$€-1]_-;_-@_-"/>
    <numFmt numFmtId="168" formatCode="_-* #,##0.00\ [$Ft-40E]_-;\-* #,##0.00\ [$Ft-40E]_-;_-* &quot;-&quot;??\ [$Ft-40E]_-;_-@_-"/>
    <numFmt numFmtId="169" formatCode="#,##0.0000\ &quot;Ft&quot;"/>
    <numFmt numFmtId="170" formatCode="_-* #,##0\ [$Ft-40E]_-;\-* #,##0\ [$Ft-40E]_-;_-* &quot;-&quot;??\ [$Ft-40E]_-;_-@_-"/>
    <numFmt numFmtId="171" formatCode="#,##0\ &quot;Ft&quot;;[Red]#,##0\ &quot;Ft&quot;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Display"/>
      <scheme val="major"/>
    </font>
    <font>
      <sz val="11"/>
      <color theme="1"/>
      <name val="Aptos Display"/>
      <scheme val="major"/>
    </font>
    <font>
      <b/>
      <sz val="16"/>
      <color theme="1"/>
      <name val="Aptos Display"/>
      <scheme val="major"/>
    </font>
    <font>
      <sz val="16"/>
      <color theme="1"/>
      <name val="Aptos Display"/>
      <scheme val="major"/>
    </font>
    <font>
      <b/>
      <sz val="16"/>
      <color rgb="FF000000"/>
      <name val="Aptos Display"/>
      <scheme val="major"/>
    </font>
    <font>
      <b/>
      <sz val="11"/>
      <color rgb="FFFF0000"/>
      <name val="Aptos Display"/>
      <scheme val="major"/>
    </font>
    <font>
      <b/>
      <sz val="14"/>
      <color theme="4" tint="-0.249977111117893"/>
      <name val="Aptos Display"/>
      <scheme val="major"/>
    </font>
    <font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81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5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2" fillId="5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/>
    </xf>
    <xf numFmtId="0" fontId="0" fillId="0" borderId="7" xfId="0" applyBorder="1"/>
    <xf numFmtId="0" fontId="4" fillId="6" borderId="0" xfId="0" applyFont="1" applyFill="1" applyAlignment="1">
      <alignment horizontal="center"/>
    </xf>
    <xf numFmtId="0" fontId="4" fillId="6" borderId="0" xfId="0" applyFont="1" applyFill="1"/>
    <xf numFmtId="0" fontId="5" fillId="6" borderId="0" xfId="0" applyFont="1" applyFill="1"/>
    <xf numFmtId="164" fontId="0" fillId="4" borderId="1" xfId="0" applyNumberForma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4" fillId="6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1" fillId="2" borderId="5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4" fillId="6" borderId="0" xfId="0" applyNumberFormat="1" applyFont="1" applyFill="1"/>
    <xf numFmtId="49" fontId="0" fillId="0" borderId="6" xfId="0" applyNumberFormat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49" fontId="0" fillId="8" borderId="4" xfId="0" applyNumberForma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9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" fillId="0" borderId="0" xfId="0" applyFont="1"/>
    <xf numFmtId="164" fontId="2" fillId="5" borderId="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164" fontId="1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indent="1"/>
    </xf>
    <xf numFmtId="0" fontId="1" fillId="2" borderId="1" xfId="0" applyFont="1" applyFill="1" applyBorder="1" applyAlignment="1">
      <alignment horizontal="center" vertical="center" indent="1"/>
    </xf>
    <xf numFmtId="1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5" fillId="6" borderId="0" xfId="0" applyNumberFormat="1" applyFont="1" applyFill="1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/>
    <xf numFmtId="164" fontId="2" fillId="0" borderId="6" xfId="0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8" fillId="4" borderId="1" xfId="0" applyNumberFormat="1" applyFont="1" applyFill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164" fontId="9" fillId="9" borderId="1" xfId="0" applyNumberFormat="1" applyFont="1" applyFill="1" applyBorder="1" applyAlignment="1">
      <alignment horizontal="center"/>
    </xf>
    <xf numFmtId="164" fontId="9" fillId="6" borderId="1" xfId="0" applyNumberFormat="1" applyFont="1" applyFill="1" applyBorder="1" applyAlignment="1">
      <alignment horizontal="center"/>
    </xf>
    <xf numFmtId="0" fontId="7" fillId="0" borderId="6" xfId="0" applyFont="1" applyBorder="1"/>
    <xf numFmtId="0" fontId="1" fillId="4" borderId="1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10" borderId="0" xfId="0" applyFill="1"/>
    <xf numFmtId="0" fontId="1" fillId="4" borderId="6" xfId="0" applyFont="1" applyFill="1" applyBorder="1" applyAlignment="1">
      <alignment horizontal="center"/>
    </xf>
    <xf numFmtId="164" fontId="1" fillId="10" borderId="17" xfId="0" applyNumberFormat="1" applyFont="1" applyFill="1" applyBorder="1" applyAlignment="1">
      <alignment horizontal="center" vertical="center"/>
    </xf>
    <xf numFmtId="164" fontId="1" fillId="10" borderId="0" xfId="0" applyNumberFormat="1" applyFont="1" applyFill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164" fontId="10" fillId="0" borderId="15" xfId="0" applyNumberFormat="1" applyFont="1" applyBorder="1" applyAlignment="1">
      <alignment horizontal="center" vertical="center"/>
    </xf>
    <xf numFmtId="164" fontId="1" fillId="6" borderId="0" xfId="0" applyNumberFormat="1" applyFont="1" applyFill="1" applyAlignment="1">
      <alignment horizontal="center" vertical="center"/>
    </xf>
    <xf numFmtId="164" fontId="1" fillId="6" borderId="16" xfId="0" applyNumberFormat="1" applyFont="1" applyFill="1" applyBorder="1" applyAlignment="1">
      <alignment horizontal="center" vertical="center"/>
    </xf>
    <xf numFmtId="14" fontId="1" fillId="4" borderId="6" xfId="0" applyNumberFormat="1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1" fillId="4" borderId="6" xfId="0" applyNumberFormat="1" applyFont="1" applyFill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0" fillId="10" borderId="6" xfId="0" applyNumberForma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10" borderId="1" xfId="0" applyNumberForma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10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/>
    </xf>
    <xf numFmtId="166" fontId="4" fillId="6" borderId="0" xfId="0" applyNumberFormat="1" applyFont="1" applyFill="1"/>
    <xf numFmtId="166" fontId="0" fillId="0" borderId="0" xfId="0" applyNumberFormat="1"/>
    <xf numFmtId="166" fontId="1" fillId="0" borderId="0" xfId="0" applyNumberFormat="1" applyFont="1"/>
    <xf numFmtId="167" fontId="0" fillId="0" borderId="0" xfId="0" applyNumberFormat="1" applyAlignment="1">
      <alignment horizontal="center"/>
    </xf>
    <xf numFmtId="164" fontId="1" fillId="11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1" fillId="0" borderId="6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49" fontId="0" fillId="9" borderId="6" xfId="0" applyNumberFormat="1" applyFill="1" applyBorder="1" applyAlignment="1">
      <alignment horizontal="center"/>
    </xf>
    <xf numFmtId="164" fontId="2" fillId="9" borderId="6" xfId="0" applyNumberFormat="1" applyFont="1" applyFill="1" applyBorder="1" applyAlignment="1">
      <alignment horizontal="center"/>
    </xf>
    <xf numFmtId="164" fontId="2" fillId="9" borderId="1" xfId="0" applyNumberFormat="1" applyFont="1" applyFill="1" applyBorder="1"/>
    <xf numFmtId="164" fontId="0" fillId="9" borderId="6" xfId="0" applyNumberFormat="1" applyFill="1" applyBorder="1" applyAlignment="1">
      <alignment horizontal="center"/>
    </xf>
    <xf numFmtId="164" fontId="0" fillId="9" borderId="1" xfId="0" applyNumberFormat="1" applyFill="1" applyBorder="1"/>
    <xf numFmtId="167" fontId="0" fillId="0" borderId="1" xfId="0" applyNumberForma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164" fontId="2" fillId="9" borderId="6" xfId="0" applyNumberFormat="1" applyFont="1" applyFill="1" applyBorder="1"/>
    <xf numFmtId="164" fontId="0" fillId="9" borderId="6" xfId="0" applyNumberFormat="1" applyFill="1" applyBorder="1"/>
    <xf numFmtId="164" fontId="0" fillId="0" borderId="6" xfId="0" applyNumberFormat="1" applyBorder="1"/>
    <xf numFmtId="167" fontId="0" fillId="9" borderId="1" xfId="0" applyNumberForma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0" fillId="9" borderId="1" xfId="0" applyFill="1" applyBorder="1"/>
    <xf numFmtId="0" fontId="4" fillId="0" borderId="0" xfId="0" applyFont="1"/>
    <xf numFmtId="14" fontId="5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vertical="center"/>
    </xf>
    <xf numFmtId="9" fontId="1" fillId="2" borderId="10" xfId="0" applyNumberFormat="1" applyFont="1" applyFill="1" applyBorder="1" applyAlignment="1">
      <alignment horizontal="center" vertical="center"/>
    </xf>
    <xf numFmtId="164" fontId="2" fillId="0" borderId="0" xfId="0" applyNumberFormat="1" applyFont="1"/>
    <xf numFmtId="164" fontId="0" fillId="0" borderId="0" xfId="0" applyNumberFormat="1"/>
    <xf numFmtId="0" fontId="1" fillId="3" borderId="10" xfId="0" applyFont="1" applyFill="1" applyBorder="1" applyAlignment="1">
      <alignment horizontal="center" vertical="center"/>
    </xf>
    <xf numFmtId="164" fontId="0" fillId="9" borderId="10" xfId="0" applyNumberForma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0" fillId="0" borderId="13" xfId="0" applyBorder="1"/>
    <xf numFmtId="0" fontId="0" fillId="0" borderId="27" xfId="0" applyBorder="1" applyAlignment="1">
      <alignment horizontal="center"/>
    </xf>
    <xf numFmtId="49" fontId="0" fillId="0" borderId="27" xfId="0" applyNumberFormat="1" applyBorder="1" applyAlignment="1">
      <alignment horizontal="center"/>
    </xf>
    <xf numFmtId="0" fontId="0" fillId="0" borderId="27" xfId="0" applyBorder="1"/>
    <xf numFmtId="0" fontId="0" fillId="0" borderId="26" xfId="0" applyBorder="1"/>
    <xf numFmtId="14" fontId="0" fillId="0" borderId="8" xfId="0" applyNumberFormat="1" applyBorder="1"/>
    <xf numFmtId="14" fontId="0" fillId="0" borderId="11" xfId="0" applyNumberFormat="1" applyBorder="1"/>
    <xf numFmtId="14" fontId="0" fillId="0" borderId="27" xfId="0" applyNumberFormat="1" applyBorder="1"/>
    <xf numFmtId="0" fontId="1" fillId="4" borderId="10" xfId="0" applyFont="1" applyFill="1" applyBorder="1" applyAlignment="1">
      <alignment horizontal="center"/>
    </xf>
    <xf numFmtId="14" fontId="8" fillId="4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1" fillId="4" borderId="0" xfId="0" applyFont="1" applyFill="1" applyAlignment="1">
      <alignment horizontal="center" vertical="center"/>
    </xf>
    <xf numFmtId="0" fontId="4" fillId="6" borderId="9" xfId="0" applyFont="1" applyFill="1" applyBorder="1"/>
    <xf numFmtId="0" fontId="0" fillId="0" borderId="10" xfId="0" applyBorder="1"/>
    <xf numFmtId="49" fontId="0" fillId="9" borderId="5" xfId="0" applyNumberFormat="1" applyFill="1" applyBorder="1" applyAlignment="1">
      <alignment horizontal="center"/>
    </xf>
    <xf numFmtId="164" fontId="0" fillId="9" borderId="5" xfId="0" applyNumberFormat="1" applyFill="1" applyBorder="1" applyAlignment="1">
      <alignment horizontal="center"/>
    </xf>
    <xf numFmtId="164" fontId="0" fillId="9" borderId="5" xfId="0" applyNumberFormat="1" applyFill="1" applyBorder="1"/>
    <xf numFmtId="0" fontId="0" fillId="9" borderId="2" xfId="0" applyFill="1" applyBorder="1"/>
    <xf numFmtId="0" fontId="1" fillId="2" borderId="6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5" borderId="5" xfId="0" applyNumberFormat="1" applyFont="1" applyFill="1" applyBorder="1" applyAlignment="1">
      <alignment horizontal="center" vertical="center"/>
    </xf>
    <xf numFmtId="164" fontId="0" fillId="9" borderId="2" xfId="0" applyNumberFormat="1" applyFill="1" applyBorder="1" applyAlignment="1">
      <alignment horizontal="center"/>
    </xf>
    <xf numFmtId="164" fontId="0" fillId="9" borderId="2" xfId="0" applyNumberFormat="1" applyFill="1" applyBorder="1"/>
    <xf numFmtId="14" fontId="0" fillId="0" borderId="2" xfId="0" applyNumberFormat="1" applyBorder="1" applyAlignment="1">
      <alignment horizontal="center"/>
    </xf>
    <xf numFmtId="0" fontId="0" fillId="0" borderId="3" xfId="0" applyBorder="1"/>
    <xf numFmtId="14" fontId="0" fillId="9" borderId="2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167" fontId="0" fillId="9" borderId="2" xfId="0" applyNumberFormat="1" applyFill="1" applyBorder="1" applyAlignment="1">
      <alignment horizontal="center"/>
    </xf>
    <xf numFmtId="164" fontId="2" fillId="5" borderId="6" xfId="0" applyNumberFormat="1" applyFont="1" applyFill="1" applyBorder="1" applyAlignment="1">
      <alignment vertical="center"/>
    </xf>
    <xf numFmtId="164" fontId="1" fillId="7" borderId="10" xfId="0" applyNumberFormat="1" applyFont="1" applyFill="1" applyBorder="1" applyAlignment="1">
      <alignment horizontal="center" vertical="center"/>
    </xf>
    <xf numFmtId="164" fontId="2" fillId="5" borderId="6" xfId="0" applyNumberFormat="1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5" xfId="0" applyNumberFormat="1" applyBorder="1"/>
    <xf numFmtId="167" fontId="0" fillId="0" borderId="2" xfId="0" applyNumberFormat="1" applyBorder="1" applyAlignment="1">
      <alignment horizontal="center"/>
    </xf>
    <xf numFmtId="164" fontId="1" fillId="4" borderId="5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1" fillId="4" borderId="5" xfId="0" applyNumberFormat="1" applyFont="1" applyFill="1" applyBorder="1" applyAlignment="1">
      <alignment horizontal="center" vertical="center"/>
    </xf>
    <xf numFmtId="167" fontId="4" fillId="6" borderId="0" xfId="0" applyNumberFormat="1" applyFont="1" applyFill="1" applyAlignment="1">
      <alignment horizontal="center"/>
    </xf>
    <xf numFmtId="166" fontId="1" fillId="4" borderId="2" xfId="0" applyNumberFormat="1" applyFont="1" applyFill="1" applyBorder="1" applyAlignment="1">
      <alignment horizontal="center" vertical="center"/>
    </xf>
    <xf numFmtId="166" fontId="0" fillId="0" borderId="1" xfId="0" applyNumberFormat="1" applyBorder="1"/>
    <xf numFmtId="166" fontId="1" fillId="0" borderId="1" xfId="0" applyNumberFormat="1" applyFont="1" applyBorder="1"/>
    <xf numFmtId="0" fontId="0" fillId="0" borderId="6" xfId="0" applyBorder="1"/>
    <xf numFmtId="166" fontId="0" fillId="9" borderId="1" xfId="0" applyNumberFormat="1" applyFill="1" applyBorder="1"/>
    <xf numFmtId="168" fontId="0" fillId="0" borderId="0" xfId="0" applyNumberFormat="1"/>
    <xf numFmtId="16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wrapText="1"/>
    </xf>
    <xf numFmtId="164" fontId="1" fillId="4" borderId="1" xfId="0" applyNumberFormat="1" applyFont="1" applyFill="1" applyBorder="1" applyAlignment="1">
      <alignment horizontal="center" vertical="center"/>
    </xf>
    <xf numFmtId="164" fontId="0" fillId="0" borderId="13" xfId="0" applyNumberFormat="1" applyBorder="1" applyAlignment="1">
      <alignment horizontal="center"/>
    </xf>
    <xf numFmtId="164" fontId="2" fillId="9" borderId="11" xfId="0" applyNumberFormat="1" applyFont="1" applyFill="1" applyBorder="1"/>
    <xf numFmtId="167" fontId="0" fillId="9" borderId="3" xfId="0" applyNumberFormat="1" applyFill="1" applyBorder="1" applyAlignment="1">
      <alignment horizontal="center"/>
    </xf>
    <xf numFmtId="165" fontId="1" fillId="2" borderId="6" xfId="0" applyNumberFormat="1" applyFont="1" applyFill="1" applyBorder="1" applyAlignment="1">
      <alignment horizontal="center" vertical="center"/>
    </xf>
    <xf numFmtId="164" fontId="2" fillId="9" borderId="11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 vertical="center"/>
    </xf>
    <xf numFmtId="164" fontId="2" fillId="9" borderId="3" xfId="0" applyNumberFormat="1" applyFont="1" applyFill="1" applyBorder="1"/>
    <xf numFmtId="164" fontId="0" fillId="9" borderId="11" xfId="0" applyNumberFormat="1" applyFill="1" applyBorder="1" applyAlignment="1">
      <alignment horizontal="center"/>
    </xf>
    <xf numFmtId="164" fontId="0" fillId="9" borderId="3" xfId="0" applyNumberFormat="1" applyFill="1" applyBorder="1"/>
    <xf numFmtId="14" fontId="0" fillId="9" borderId="3" xfId="0" applyNumberFormat="1" applyFill="1" applyBorder="1" applyAlignment="1">
      <alignment horizontal="center"/>
    </xf>
    <xf numFmtId="164" fontId="0" fillId="9" borderId="3" xfId="0" applyNumberFormat="1" applyFill="1" applyBorder="1" applyAlignment="1">
      <alignment horizontal="center"/>
    </xf>
    <xf numFmtId="49" fontId="0" fillId="9" borderId="11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5" xfId="0" applyNumberFormat="1" applyBorder="1"/>
    <xf numFmtId="14" fontId="0" fillId="0" borderId="7" xfId="0" applyNumberFormat="1" applyBorder="1"/>
    <xf numFmtId="14" fontId="1" fillId="4" borderId="12" xfId="0" applyNumberFormat="1" applyFont="1" applyFill="1" applyBorder="1" applyAlignment="1">
      <alignment horizontal="center"/>
    </xf>
    <xf numFmtId="0" fontId="7" fillId="0" borderId="5" xfId="0" applyFont="1" applyBorder="1"/>
    <xf numFmtId="164" fontId="8" fillId="0" borderId="1" xfId="0" applyNumberFormat="1" applyFont="1" applyBorder="1" applyAlignment="1">
      <alignment horizontal="center"/>
    </xf>
    <xf numFmtId="0" fontId="0" fillId="9" borderId="12" xfId="0" applyFill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9" fontId="1" fillId="2" borderId="1" xfId="0" applyNumberFormat="1" applyFont="1" applyFill="1" applyBorder="1" applyAlignment="1">
      <alignment horizontal="center" vertical="center"/>
    </xf>
    <xf numFmtId="169" fontId="4" fillId="6" borderId="0" xfId="0" applyNumberFormat="1" applyFont="1" applyFill="1" applyAlignment="1">
      <alignment horizontal="center"/>
    </xf>
    <xf numFmtId="169" fontId="2" fillId="9" borderId="6" xfId="0" applyNumberFormat="1" applyFont="1" applyFill="1" applyBorder="1" applyAlignment="1">
      <alignment horizontal="center"/>
    </xf>
    <xf numFmtId="169" fontId="0" fillId="9" borderId="6" xfId="0" applyNumberFormat="1" applyFill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9" fontId="0" fillId="9" borderId="5" xfId="0" applyNumberFormat="1" applyFill="1" applyBorder="1" applyAlignment="1">
      <alignment horizontal="center"/>
    </xf>
    <xf numFmtId="169" fontId="3" fillId="0" borderId="1" xfId="0" applyNumberFormat="1" applyFont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169" fontId="1" fillId="2" borderId="0" xfId="0" applyNumberFormat="1" applyFont="1" applyFill="1" applyAlignment="1">
      <alignment horizontal="center" vertical="center" indent="1"/>
    </xf>
    <xf numFmtId="169" fontId="4" fillId="6" borderId="0" xfId="0" applyNumberFormat="1" applyFont="1" applyFill="1"/>
    <xf numFmtId="169" fontId="2" fillId="9" borderId="6" xfId="0" applyNumberFormat="1" applyFont="1" applyFill="1" applyBorder="1"/>
    <xf numFmtId="169" fontId="0" fillId="9" borderId="6" xfId="0" applyNumberFormat="1" applyFill="1" applyBorder="1"/>
    <xf numFmtId="169" fontId="0" fillId="0" borderId="6" xfId="0" applyNumberFormat="1" applyBorder="1"/>
    <xf numFmtId="169" fontId="0" fillId="9" borderId="5" xfId="0" applyNumberFormat="1" applyFill="1" applyBorder="1"/>
    <xf numFmtId="169" fontId="0" fillId="0" borderId="1" xfId="0" applyNumberFormat="1" applyBorder="1"/>
    <xf numFmtId="169" fontId="0" fillId="0" borderId="0" xfId="0" applyNumberFormat="1"/>
    <xf numFmtId="169" fontId="1" fillId="2" borderId="6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 indent="1"/>
    </xf>
    <xf numFmtId="169" fontId="2" fillId="9" borderId="5" xfId="0" applyNumberFormat="1" applyFont="1" applyFill="1" applyBorder="1" applyAlignment="1">
      <alignment horizontal="center"/>
    </xf>
    <xf numFmtId="169" fontId="2" fillId="9" borderId="1" xfId="0" applyNumberFormat="1" applyFont="1" applyFill="1" applyBorder="1"/>
    <xf numFmtId="169" fontId="0" fillId="9" borderId="1" xfId="0" applyNumberFormat="1" applyFill="1" applyBorder="1"/>
    <xf numFmtId="164" fontId="0" fillId="0" borderId="1" xfId="0" applyNumberForma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164" fontId="0" fillId="0" borderId="5" xfId="0" applyNumberFormat="1" applyBorder="1" applyAlignment="1">
      <alignment horizontal="center" wrapText="1"/>
    </xf>
    <xf numFmtId="164" fontId="2" fillId="0" borderId="6" xfId="0" applyNumberFormat="1" applyFont="1" applyBorder="1" applyAlignment="1">
      <alignment horizontal="center" wrapText="1"/>
    </xf>
    <xf numFmtId="0" fontId="1" fillId="1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49" fontId="5" fillId="6" borderId="1" xfId="0" applyNumberFormat="1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9" fontId="12" fillId="2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indent="1"/>
    </xf>
    <xf numFmtId="167" fontId="12" fillId="4" borderId="1" xfId="0" applyNumberFormat="1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9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indent="1"/>
    </xf>
    <xf numFmtId="0" fontId="13" fillId="4" borderId="0" xfId="0" applyFont="1" applyFill="1"/>
    <xf numFmtId="0" fontId="13" fillId="0" borderId="0" xfId="0" applyFont="1"/>
    <xf numFmtId="0" fontId="12" fillId="2" borderId="6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indent="1"/>
    </xf>
    <xf numFmtId="14" fontId="14" fillId="6" borderId="0" xfId="0" applyNumberFormat="1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49" fontId="15" fillId="6" borderId="0" xfId="0" applyNumberFormat="1" applyFont="1" applyFill="1" applyAlignment="1">
      <alignment horizontal="center"/>
    </xf>
    <xf numFmtId="0" fontId="15" fillId="6" borderId="0" xfId="0" applyFont="1" applyFill="1"/>
    <xf numFmtId="0" fontId="16" fillId="6" borderId="0" xfId="0" applyFont="1" applyFill="1"/>
    <xf numFmtId="14" fontId="13" fillId="9" borderId="1" xfId="0" applyNumberFormat="1" applyFont="1" applyFill="1" applyBorder="1" applyAlignment="1">
      <alignment horizontal="center"/>
    </xf>
    <xf numFmtId="164" fontId="13" fillId="9" borderId="1" xfId="0" applyNumberFormat="1" applyFont="1" applyFill="1" applyBorder="1" applyAlignment="1">
      <alignment horizontal="center"/>
    </xf>
    <xf numFmtId="49" fontId="13" fillId="9" borderId="6" xfId="0" applyNumberFormat="1" applyFont="1" applyFill="1" applyBorder="1" applyAlignment="1">
      <alignment horizontal="center"/>
    </xf>
    <xf numFmtId="164" fontId="17" fillId="9" borderId="6" xfId="0" applyNumberFormat="1" applyFont="1" applyFill="1" applyBorder="1" applyAlignment="1">
      <alignment horizontal="center"/>
    </xf>
    <xf numFmtId="164" fontId="17" fillId="9" borderId="6" xfId="0" applyNumberFormat="1" applyFont="1" applyFill="1" applyBorder="1"/>
    <xf numFmtId="167" fontId="13" fillId="9" borderId="1" xfId="0" applyNumberFormat="1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3" fillId="9" borderId="1" xfId="0" applyFont="1" applyFill="1" applyBorder="1"/>
    <xf numFmtId="167" fontId="13" fillId="9" borderId="6" xfId="0" applyNumberFormat="1" applyFont="1" applyFill="1" applyBorder="1" applyAlignment="1">
      <alignment horizontal="center"/>
    </xf>
    <xf numFmtId="164" fontId="13" fillId="9" borderId="6" xfId="0" applyNumberFormat="1" applyFont="1" applyFill="1" applyBorder="1" applyAlignment="1">
      <alignment horizontal="center"/>
    </xf>
    <xf numFmtId="164" fontId="13" fillId="9" borderId="6" xfId="0" applyNumberFormat="1" applyFont="1" applyFill="1" applyBorder="1"/>
    <xf numFmtId="164" fontId="12" fillId="6" borderId="1" xfId="0" applyNumberFormat="1" applyFont="1" applyFill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164" fontId="13" fillId="0" borderId="6" xfId="0" applyNumberFormat="1" applyFont="1" applyBorder="1" applyAlignment="1">
      <alignment horizontal="center"/>
    </xf>
    <xf numFmtId="164" fontId="13" fillId="0" borderId="6" xfId="0" applyNumberFormat="1" applyFont="1" applyBorder="1"/>
    <xf numFmtId="167" fontId="13" fillId="0" borderId="1" xfId="0" applyNumberFormat="1" applyFont="1" applyBorder="1" applyAlignment="1">
      <alignment horizontal="center"/>
    </xf>
    <xf numFmtId="167" fontId="13" fillId="0" borderId="6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67" fontId="12" fillId="0" borderId="6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49" fontId="13" fillId="0" borderId="5" xfId="0" applyNumberFormat="1" applyFont="1" applyBorder="1" applyAlignment="1">
      <alignment horizontal="center"/>
    </xf>
    <xf numFmtId="164" fontId="13" fillId="0" borderId="5" xfId="0" applyNumberFormat="1" applyFont="1" applyBorder="1" applyAlignment="1">
      <alignment horizontal="center"/>
    </xf>
    <xf numFmtId="164" fontId="13" fillId="0" borderId="5" xfId="0" applyNumberFormat="1" applyFont="1" applyBorder="1"/>
    <xf numFmtId="49" fontId="13" fillId="0" borderId="1" xfId="0" applyNumberFormat="1" applyFont="1" applyBorder="1" applyAlignment="1">
      <alignment horizontal="center"/>
    </xf>
    <xf numFmtId="167" fontId="13" fillId="0" borderId="5" xfId="0" applyNumberFormat="1" applyFont="1" applyBorder="1" applyAlignment="1">
      <alignment horizontal="center"/>
    </xf>
    <xf numFmtId="49" fontId="13" fillId="9" borderId="1" xfId="0" applyNumberFormat="1" applyFont="1" applyFill="1" applyBorder="1" applyAlignment="1">
      <alignment horizontal="center"/>
    </xf>
    <xf numFmtId="164" fontId="13" fillId="9" borderId="1" xfId="0" applyNumberFormat="1" applyFont="1" applyFill="1" applyBorder="1"/>
    <xf numFmtId="0" fontId="12" fillId="0" borderId="2" xfId="0" applyFont="1" applyBorder="1" applyAlignment="1">
      <alignment horizontal="center" vertical="center"/>
    </xf>
    <xf numFmtId="164" fontId="12" fillId="4" borderId="2" xfId="0" applyNumberFormat="1" applyFont="1" applyFill="1" applyBorder="1" applyAlignment="1">
      <alignment horizontal="center" vertical="center"/>
    </xf>
    <xf numFmtId="164" fontId="12" fillId="4" borderId="5" xfId="0" applyNumberFormat="1" applyFont="1" applyFill="1" applyBorder="1" applyAlignment="1">
      <alignment horizontal="center" vertical="center"/>
    </xf>
    <xf numFmtId="164" fontId="12" fillId="5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3" fillId="0" borderId="6" xfId="0" applyFont="1" applyBorder="1"/>
    <xf numFmtId="14" fontId="12" fillId="0" borderId="1" xfId="0" applyNumberFormat="1" applyFont="1" applyBorder="1" applyAlignment="1">
      <alignment horizontal="center" vertical="center"/>
    </xf>
    <xf numFmtId="164" fontId="12" fillId="5" borderId="5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164" fontId="17" fillId="5" borderId="1" xfId="0" applyNumberFormat="1" applyFont="1" applyFill="1" applyBorder="1" applyAlignment="1">
      <alignment horizontal="center" vertical="center"/>
    </xf>
    <xf numFmtId="14" fontId="13" fillId="0" borderId="1" xfId="0" applyNumberFormat="1" applyFont="1" applyBorder="1"/>
    <xf numFmtId="164" fontId="17" fillId="5" borderId="6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4" fillId="6" borderId="0" xfId="0" applyNumberFormat="1" applyFont="1" applyFill="1" applyAlignment="1">
      <alignment horizontal="center"/>
    </xf>
    <xf numFmtId="170" fontId="6" fillId="13" borderId="1" xfId="0" applyNumberFormat="1" applyFont="1" applyFill="1" applyBorder="1" applyAlignment="1">
      <alignment horizontal="center" vertical="center" wrapText="1"/>
    </xf>
    <xf numFmtId="170" fontId="5" fillId="6" borderId="0" xfId="0" applyNumberFormat="1" applyFont="1" applyFill="1" applyAlignment="1">
      <alignment horizontal="center"/>
    </xf>
    <xf numFmtId="170" fontId="0" fillId="9" borderId="1" xfId="0" applyNumberFormat="1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1" fillId="0" borderId="2" xfId="0" applyNumberFormat="1" applyFont="1" applyBorder="1" applyAlignment="1">
      <alignment horizontal="center" vertical="center"/>
    </xf>
    <xf numFmtId="170" fontId="0" fillId="0" borderId="1" xfId="0" applyNumberFormat="1" applyBorder="1"/>
    <xf numFmtId="170" fontId="0" fillId="0" borderId="0" xfId="0" applyNumberFormat="1" applyAlignment="1">
      <alignment horizontal="center"/>
    </xf>
    <xf numFmtId="170" fontId="0" fillId="0" borderId="7" xfId="0" applyNumberFormat="1" applyBorder="1"/>
    <xf numFmtId="170" fontId="0" fillId="0" borderId="0" xfId="0" applyNumberFormat="1"/>
    <xf numFmtId="170" fontId="0" fillId="0" borderId="27" xfId="0" applyNumberFormat="1" applyBorder="1"/>
    <xf numFmtId="170" fontId="0" fillId="0" borderId="7" xfId="0" applyNumberFormat="1" applyBorder="1" applyAlignment="1">
      <alignment horizontal="center"/>
    </xf>
    <xf numFmtId="170" fontId="0" fillId="0" borderId="27" xfId="0" applyNumberForma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0" fillId="9" borderId="0" xfId="0" applyNumberFormat="1" applyFill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" fontId="0" fillId="9" borderId="1" xfId="0" applyNumberFormat="1" applyFill="1" applyBorder="1" applyAlignment="1">
      <alignment horizontal="center"/>
    </xf>
    <xf numFmtId="164" fontId="1" fillId="12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9" borderId="6" xfId="0" applyNumberFormat="1" applyFill="1" applyBorder="1"/>
    <xf numFmtId="49" fontId="0" fillId="0" borderId="6" xfId="0" applyNumberFormat="1" applyBorder="1"/>
    <xf numFmtId="49" fontId="0" fillId="0" borderId="5" xfId="0" applyNumberFormat="1" applyBorder="1"/>
    <xf numFmtId="49" fontId="0" fillId="9" borderId="1" xfId="0" applyNumberFormat="1" applyFill="1" applyBorder="1"/>
    <xf numFmtId="49" fontId="3" fillId="0" borderId="1" xfId="0" applyNumberFormat="1" applyFont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71" fontId="0" fillId="0" borderId="6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9" fontId="2" fillId="0" borderId="6" xfId="0" applyNumberFormat="1" applyFont="1" applyBorder="1"/>
    <xf numFmtId="0" fontId="1" fillId="0" borderId="1" xfId="0" applyFont="1" applyBorder="1" applyAlignment="1">
      <alignment horizontal="center"/>
    </xf>
    <xf numFmtId="169" fontId="0" fillId="0" borderId="5" xfId="0" applyNumberFormat="1" applyBorder="1"/>
    <xf numFmtId="0" fontId="0" fillId="0" borderId="2" xfId="0" applyBorder="1"/>
    <xf numFmtId="0" fontId="0" fillId="9" borderId="6" xfId="0" applyFill="1" applyBorder="1"/>
    <xf numFmtId="0" fontId="0" fillId="0" borderId="12" xfId="0" applyBorder="1"/>
    <xf numFmtId="0" fontId="4" fillId="6" borderId="2" xfId="0" applyFont="1" applyFill="1" applyBorder="1"/>
    <xf numFmtId="166" fontId="0" fillId="6" borderId="1" xfId="0" applyNumberFormat="1" applyFill="1" applyBorder="1"/>
    <xf numFmtId="0" fontId="4" fillId="6" borderId="6" xfId="0" applyFont="1" applyFill="1" applyBorder="1"/>
    <xf numFmtId="0" fontId="0" fillId="6" borderId="1" xfId="0" applyFill="1" applyBorder="1"/>
    <xf numFmtId="0" fontId="0" fillId="9" borderId="3" xfId="0" applyFill="1" applyBorder="1"/>
    <xf numFmtId="0" fontId="0" fillId="0" borderId="5" xfId="0" applyBorder="1"/>
    <xf numFmtId="14" fontId="19" fillId="0" borderId="28" xfId="0" applyNumberFormat="1" applyFont="1" applyBorder="1"/>
    <xf numFmtId="170" fontId="19" fillId="0" borderId="29" xfId="0" applyNumberFormat="1" applyFont="1" applyBorder="1" applyAlignment="1">
      <alignment horizontal="center"/>
    </xf>
    <xf numFmtId="14" fontId="19" fillId="0" borderId="29" xfId="0" applyNumberFormat="1" applyFont="1" applyBorder="1"/>
    <xf numFmtId="0" fontId="19" fillId="0" borderId="29" xfId="0" applyFont="1" applyBorder="1" applyAlignment="1">
      <alignment horizontal="center"/>
    </xf>
    <xf numFmtId="49" fontId="19" fillId="0" borderId="29" xfId="0" applyNumberFormat="1" applyFont="1" applyBorder="1" applyAlignment="1">
      <alignment horizontal="center"/>
    </xf>
    <xf numFmtId="164" fontId="19" fillId="0" borderId="30" xfId="0" applyNumberFormat="1" applyFont="1" applyBorder="1" applyAlignment="1">
      <alignment horizontal="center"/>
    </xf>
    <xf numFmtId="14" fontId="19" fillId="0" borderId="31" xfId="0" applyNumberFormat="1" applyFont="1" applyBorder="1"/>
    <xf numFmtId="14" fontId="19" fillId="0" borderId="0" xfId="0" applyNumberFormat="1" applyFont="1"/>
    <xf numFmtId="14" fontId="19" fillId="0" borderId="32" xfId="0" applyNumberFormat="1" applyFont="1" applyBorder="1"/>
    <xf numFmtId="14" fontId="19" fillId="0" borderId="33" xfId="0" applyNumberFormat="1" applyFont="1" applyBorder="1"/>
    <xf numFmtId="14" fontId="19" fillId="0" borderId="34" xfId="0" applyNumberFormat="1" applyFont="1" applyBorder="1"/>
    <xf numFmtId="14" fontId="19" fillId="0" borderId="35" xfId="0" applyNumberFormat="1" applyFont="1" applyBorder="1"/>
    <xf numFmtId="164" fontId="1" fillId="6" borderId="6" xfId="0" applyNumberFormat="1" applyFont="1" applyFill="1" applyBorder="1" applyAlignment="1">
      <alignment horizontal="center"/>
    </xf>
    <xf numFmtId="14" fontId="11" fillId="0" borderId="0" xfId="0" applyNumberFormat="1" applyFont="1"/>
    <xf numFmtId="14" fontId="8" fillId="2" borderId="18" xfId="0" applyNumberFormat="1" applyFont="1" applyFill="1" applyBorder="1"/>
    <xf numFmtId="170" fontId="19" fillId="0" borderId="36" xfId="0" applyNumberFormat="1" applyFont="1" applyBorder="1" applyAlignment="1">
      <alignment horizontal="center"/>
    </xf>
    <xf numFmtId="14" fontId="19" fillId="0" borderId="36" xfId="0" applyNumberFormat="1" applyFont="1" applyBorder="1"/>
    <xf numFmtId="0" fontId="19" fillId="0" borderId="36" xfId="0" applyFont="1" applyBorder="1" applyAlignment="1">
      <alignment horizontal="center"/>
    </xf>
    <xf numFmtId="49" fontId="19" fillId="0" borderId="36" xfId="0" applyNumberFormat="1" applyFont="1" applyBorder="1" applyAlignment="1">
      <alignment horizontal="center"/>
    </xf>
    <xf numFmtId="164" fontId="19" fillId="0" borderId="19" xfId="0" applyNumberFormat="1" applyFont="1" applyBorder="1" applyAlignment="1">
      <alignment horizontal="center"/>
    </xf>
    <xf numFmtId="14" fontId="11" fillId="0" borderId="14" xfId="0" applyNumberFormat="1" applyFont="1" applyBorder="1"/>
    <xf numFmtId="14" fontId="19" fillId="0" borderId="15" xfId="0" applyNumberFormat="1" applyFont="1" applyBorder="1"/>
    <xf numFmtId="14" fontId="19" fillId="0" borderId="37" xfId="0" applyNumberFormat="1" applyFont="1" applyBorder="1"/>
    <xf numFmtId="14" fontId="19" fillId="0" borderId="17" xfId="0" applyNumberFormat="1" applyFont="1" applyBorder="1"/>
    <xf numFmtId="164" fontId="2" fillId="0" borderId="6" xfId="0" applyNumberFormat="1" applyFont="1" applyBorder="1"/>
    <xf numFmtId="49" fontId="2" fillId="0" borderId="6" xfId="0" applyNumberFormat="1" applyFont="1" applyBorder="1" applyAlignment="1">
      <alignment horizontal="center"/>
    </xf>
    <xf numFmtId="169" fontId="0" fillId="0" borderId="5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49" fontId="19" fillId="0" borderId="19" xfId="0" applyNumberFormat="1" applyFont="1" applyBorder="1" applyAlignment="1">
      <alignment horizontal="center"/>
    </xf>
    <xf numFmtId="49" fontId="19" fillId="0" borderId="15" xfId="0" applyNumberFormat="1" applyFont="1" applyBorder="1"/>
    <xf numFmtId="164" fontId="8" fillId="6" borderId="1" xfId="0" applyNumberFormat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49" fontId="0" fillId="14" borderId="6" xfId="0" applyNumberFormat="1" applyFill="1" applyBorder="1" applyAlignment="1">
      <alignment horizontal="center"/>
    </xf>
    <xf numFmtId="164" fontId="0" fillId="14" borderId="6" xfId="0" applyNumberFormat="1" applyFill="1" applyBorder="1" applyAlignment="1">
      <alignment horizontal="center"/>
    </xf>
    <xf numFmtId="169" fontId="0" fillId="14" borderId="6" xfId="0" applyNumberFormat="1" applyFill="1" applyBorder="1"/>
    <xf numFmtId="0" fontId="0" fillId="14" borderId="1" xfId="0" applyFill="1" applyBorder="1"/>
    <xf numFmtId="164" fontId="1" fillId="6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6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11" fillId="0" borderId="16" xfId="0" applyNumberFormat="1" applyFont="1" applyBorder="1" applyAlignment="1">
      <alignment horizontal="center"/>
    </xf>
    <xf numFmtId="14" fontId="11" fillId="0" borderId="37" xfId="0" applyNumberFormat="1" applyFon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</cellXfs>
  <cellStyles count="1">
    <cellStyle name="Normal" xfId="0" builtinId="0"/>
  </cellStyles>
  <dxfs count="534"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9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Medium9"/>
  <colors>
    <mruColors>
      <color rgb="FFF94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Allamkincstar%20Pepper/Online%20t&#225;bl&#225;k/Forgalom%20M&#193;K%20-%202026.xlsx" TargetMode="External"/><Relationship Id="rId1" Type="http://schemas.openxmlformats.org/officeDocument/2006/relationships/externalLinkPath" Target="Allamkincstar%20Pepper/Online%20t&#225;bl&#225;k/Forgalom%20M&#193;K%20-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norr105%20Pepper/Online%20t&#225;bl&#225;k/Forgalom%20Knorr%20105%20-%202026.xlsx" TargetMode="External"/><Relationship Id="rId1" Type="http://schemas.openxmlformats.org/officeDocument/2006/relationships/externalLinkPath" Target="Knorr105%20Pepper/Online%20t&#225;bl&#225;k/Forgalom%20Knorr%20105%20-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TI/Online%20t&#225;bl&#225;k/Forgalom%20KTI%20-%202026.xlsx" TargetMode="External"/><Relationship Id="rId1" Type="http://schemas.openxmlformats.org/officeDocument/2006/relationships/externalLinkPath" Target="KTI/Online%20t&#225;bl&#225;k/Forgalom%20KTI%20-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Szentkiralyi%20Pepper/Online%20t&#225;bl&#225;k/Forgalom%20szentkir&#225;lyi%20-%202026.xlsx" TargetMode="External"/><Relationship Id="rId1" Type="http://schemas.openxmlformats.org/officeDocument/2006/relationships/externalLinkPath" Target="Szentkiralyi%20Pepper/Online%20t&#225;bl&#225;k/Forgalom%20szentkir&#225;lyi%20-%20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norr69%20Pepper/Online%20t&#225;bl&#225;k/Forgalom%20Knorr%2069%20-%202026.xlsx" TargetMode="External"/><Relationship Id="rId1" Type="http://schemas.openxmlformats.org/officeDocument/2006/relationships/externalLinkPath" Target="Knorr69%20Pepper/Online%20t&#225;bl&#225;k/Forgalom%20Knorr%2069%20-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norr86%20Pepper/Online%20t&#225;bl&#225;k/Forgalom%20Knorr%2086%20-%202026.xlsx" TargetMode="External"/><Relationship Id="rId1" Type="http://schemas.openxmlformats.org/officeDocument/2006/relationships/externalLinkPath" Target="Knorr86%20Pepper/Online%20t&#225;bl&#225;k/Forgalom%20Knorr%2086%20-%20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RSR%20Pepper/Online%20t&#225;bl&#225;k/Forgalom%20RSR%20-%202026.xlsx" TargetMode="External"/><Relationship Id="rId1" Type="http://schemas.openxmlformats.org/officeDocument/2006/relationships/externalLinkPath" Target="RSR%20Pepper/Online%20t&#225;bl&#225;k/Forgalom%20RSR%20-%20202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diazen-my.sharepoint.com/personal/info_pepperhouse_hu/Documents/Egys&#233;gek/Koltai%20Pepper/Online%20t&#225;bl&#225;k/Forgalom%20Koltai.xlsx" TargetMode="External"/><Relationship Id="rId1" Type="http://schemas.openxmlformats.org/officeDocument/2006/relationships/externalLinkPath" Target="Koltai%20Pepper/Online%20t&#225;bl&#225;k/Forgalom%20Kolt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NMTHFQYJSPF5DIPTPLG4H2XE6J">
      <xxl21:absoluteUrl r:id="rId2"/>
    </xxl21:alternateUrls>
    <sheetNames>
      <sheetName val="2026 január"/>
      <sheetName val="2026 február"/>
      <sheetName val="minta"/>
    </sheetNames>
    <sheetDataSet>
      <sheetData sheetId="0">
        <row r="1">
          <cell r="B1" t="str">
            <v>Novohost</v>
          </cell>
          <cell r="G1" t="str">
            <v>Tartalék kiadás</v>
          </cell>
          <cell r="S1" t="str">
            <v>Pénztár nyitó</v>
          </cell>
          <cell r="T1" t="str">
            <v>novo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</row>
        <row r="2">
          <cell r="B2"/>
          <cell r="G2"/>
          <cell r="S2"/>
          <cell r="T2">
            <v>0</v>
          </cell>
          <cell r="U2"/>
          <cell r="V2"/>
          <cell r="W2"/>
          <cell r="X2"/>
          <cell r="Y2">
            <v>0</v>
          </cell>
          <cell r="Z2"/>
          <cell r="AC2"/>
          <cell r="AD2"/>
          <cell r="AE2"/>
          <cell r="AF2"/>
          <cell r="AG2"/>
          <cell r="AH2"/>
        </row>
        <row r="3">
          <cell r="B3"/>
          <cell r="G3"/>
          <cell r="S3">
            <v>0</v>
          </cell>
          <cell r="T3">
            <v>0</v>
          </cell>
          <cell r="U3"/>
          <cell r="V3"/>
          <cell r="W3"/>
          <cell r="X3"/>
          <cell r="Y3">
            <v>0</v>
          </cell>
          <cell r="Z3"/>
          <cell r="AC3"/>
          <cell r="AD3"/>
          <cell r="AE3"/>
          <cell r="AF3"/>
          <cell r="AG3"/>
          <cell r="AH3"/>
        </row>
        <row r="4">
          <cell r="B4"/>
          <cell r="G4"/>
          <cell r="S4">
            <v>0</v>
          </cell>
          <cell r="T4">
            <v>0</v>
          </cell>
          <cell r="U4"/>
          <cell r="V4"/>
          <cell r="W4"/>
          <cell r="X4"/>
          <cell r="Y4">
            <v>0</v>
          </cell>
          <cell r="Z4"/>
          <cell r="AC4"/>
          <cell r="AD4"/>
          <cell r="AE4"/>
          <cell r="AF4"/>
          <cell r="AG4"/>
          <cell r="AH4"/>
        </row>
        <row r="5">
          <cell r="B5"/>
          <cell r="G5"/>
          <cell r="S5">
            <v>0</v>
          </cell>
          <cell r="T5">
            <v>0</v>
          </cell>
          <cell r="U5"/>
          <cell r="V5"/>
          <cell r="W5"/>
          <cell r="X5"/>
          <cell r="Y5">
            <v>0</v>
          </cell>
          <cell r="Z5"/>
          <cell r="AC5"/>
          <cell r="AD5"/>
          <cell r="AE5"/>
          <cell r="AF5"/>
          <cell r="AG5"/>
          <cell r="AH5"/>
        </row>
        <row r="6">
          <cell r="B6">
            <v>348080</v>
          </cell>
          <cell r="G6"/>
          <cell r="S6">
            <v>119577</v>
          </cell>
          <cell r="T6">
            <v>33775</v>
          </cell>
          <cell r="U6"/>
          <cell r="V6"/>
          <cell r="W6"/>
          <cell r="X6"/>
          <cell r="Y6">
            <v>153352</v>
          </cell>
          <cell r="Z6"/>
          <cell r="AC6"/>
          <cell r="AD6"/>
          <cell r="AE6"/>
          <cell r="AF6"/>
          <cell r="AG6"/>
          <cell r="AH6"/>
        </row>
        <row r="7">
          <cell r="B7">
            <v>402810</v>
          </cell>
          <cell r="G7"/>
          <cell r="S7">
            <v>153352</v>
          </cell>
          <cell r="T7">
            <v>-23280</v>
          </cell>
          <cell r="U7">
            <v>44985</v>
          </cell>
          <cell r="V7">
            <v>3600</v>
          </cell>
          <cell r="W7"/>
          <cell r="X7"/>
          <cell r="Y7">
            <v>171457</v>
          </cell>
          <cell r="Z7"/>
          <cell r="AA7" t="str">
            <v>Vásárlás</v>
          </cell>
          <cell r="AB7" t="str">
            <v>Vip töltés</v>
          </cell>
          <cell r="AC7"/>
          <cell r="AD7"/>
          <cell r="AE7"/>
          <cell r="AF7"/>
          <cell r="AG7"/>
          <cell r="AH7"/>
        </row>
        <row r="8">
          <cell r="B8">
            <v>410725</v>
          </cell>
          <cell r="G8"/>
          <cell r="S8">
            <v>171457</v>
          </cell>
          <cell r="T8">
            <v>20510</v>
          </cell>
          <cell r="U8"/>
          <cell r="V8"/>
          <cell r="W8">
            <v>7190</v>
          </cell>
          <cell r="X8"/>
          <cell r="Y8">
            <v>184777</v>
          </cell>
          <cell r="Z8"/>
          <cell r="AA8" t="str">
            <v>Matrica</v>
          </cell>
          <cell r="AC8"/>
          <cell r="AD8"/>
          <cell r="AE8"/>
          <cell r="AF8"/>
          <cell r="AG8"/>
          <cell r="AH8"/>
        </row>
        <row r="9">
          <cell r="B9">
            <v>443260</v>
          </cell>
          <cell r="G9"/>
          <cell r="S9">
            <v>184777</v>
          </cell>
          <cell r="T9">
            <v>-1175</v>
          </cell>
          <cell r="U9"/>
          <cell r="V9">
            <v>22997</v>
          </cell>
          <cell r="W9"/>
          <cell r="X9"/>
          <cell r="Y9">
            <v>160605</v>
          </cell>
          <cell r="Z9"/>
          <cell r="AA9" t="str">
            <v>Media Markt</v>
          </cell>
          <cell r="AC9"/>
          <cell r="AD9"/>
          <cell r="AE9"/>
          <cell r="AF9"/>
          <cell r="AG9"/>
          <cell r="AH9"/>
        </row>
        <row r="10">
          <cell r="B10">
            <v>361225</v>
          </cell>
          <cell r="G10"/>
          <cell r="S10">
            <v>160605</v>
          </cell>
          <cell r="T10">
            <v>-37735</v>
          </cell>
          <cell r="U10">
            <v>104000</v>
          </cell>
          <cell r="V10">
            <v>79850</v>
          </cell>
          <cell r="W10"/>
          <cell r="X10"/>
          <cell r="Y10">
            <v>147020</v>
          </cell>
          <cell r="Z10"/>
          <cell r="AA10" t="str">
            <v>Vásárlás, Vip töltés, Melinda, Parkolás</v>
          </cell>
          <cell r="AC10"/>
          <cell r="AD10"/>
          <cell r="AE10"/>
          <cell r="AF10"/>
          <cell r="AG10"/>
          <cell r="AH10"/>
        </row>
        <row r="11">
          <cell r="B11"/>
          <cell r="G11"/>
          <cell r="S11">
            <v>147020</v>
          </cell>
          <cell r="T11">
            <v>0</v>
          </cell>
          <cell r="U11"/>
          <cell r="V11"/>
          <cell r="W11"/>
          <cell r="X11"/>
          <cell r="Y11">
            <v>147020</v>
          </cell>
          <cell r="Z11"/>
          <cell r="AC11"/>
          <cell r="AD11"/>
          <cell r="AE11"/>
          <cell r="AF11"/>
          <cell r="AG11"/>
          <cell r="AH11"/>
        </row>
        <row r="12">
          <cell r="B12"/>
          <cell r="G12"/>
          <cell r="S12">
            <v>147020</v>
          </cell>
          <cell r="T12">
            <v>0</v>
          </cell>
          <cell r="U12"/>
          <cell r="V12"/>
          <cell r="W12"/>
          <cell r="X12"/>
          <cell r="Y12">
            <v>147020</v>
          </cell>
          <cell r="Z12"/>
          <cell r="AC12"/>
          <cell r="AD12"/>
          <cell r="AE12"/>
          <cell r="AF12"/>
          <cell r="AG12"/>
          <cell r="AH12"/>
        </row>
        <row r="13">
          <cell r="B13">
            <v>351355</v>
          </cell>
          <cell r="G13"/>
          <cell r="S13">
            <v>147020</v>
          </cell>
          <cell r="T13">
            <v>18725</v>
          </cell>
          <cell r="U13"/>
          <cell r="V13"/>
          <cell r="W13"/>
          <cell r="X13"/>
          <cell r="Y13">
            <v>165745</v>
          </cell>
          <cell r="Z13"/>
          <cell r="AC13"/>
          <cell r="AD13"/>
          <cell r="AE13"/>
          <cell r="AF13"/>
          <cell r="AG13"/>
          <cell r="AH13"/>
        </row>
        <row r="14">
          <cell r="B14">
            <v>466255</v>
          </cell>
          <cell r="G14"/>
          <cell r="S14">
            <v>165745</v>
          </cell>
          <cell r="T14">
            <v>23625</v>
          </cell>
          <cell r="U14"/>
          <cell r="V14"/>
          <cell r="W14"/>
          <cell r="X14"/>
          <cell r="Y14">
            <v>189370</v>
          </cell>
          <cell r="Z14"/>
          <cell r="AC14"/>
          <cell r="AD14"/>
          <cell r="AE14"/>
          <cell r="AF14"/>
          <cell r="AG14"/>
          <cell r="AH14"/>
        </row>
        <row r="15">
          <cell r="B15">
            <v>350790</v>
          </cell>
          <cell r="G15"/>
          <cell r="S15">
            <v>189370</v>
          </cell>
          <cell r="T15">
            <v>-20955</v>
          </cell>
          <cell r="U15">
            <v>41000</v>
          </cell>
          <cell r="V15">
            <v>63000</v>
          </cell>
          <cell r="W15"/>
          <cell r="X15"/>
          <cell r="Y15">
            <v>146415</v>
          </cell>
          <cell r="Z15"/>
          <cell r="AA15" t="str">
            <v>Márk, Vip töltés</v>
          </cell>
          <cell r="AC15"/>
          <cell r="AD15"/>
          <cell r="AE15"/>
          <cell r="AF15"/>
          <cell r="AG15"/>
          <cell r="AH15"/>
        </row>
        <row r="16">
          <cell r="B16">
            <v>323750</v>
          </cell>
          <cell r="G16"/>
          <cell r="S16">
            <v>146415</v>
          </cell>
          <cell r="T16">
            <v>-2060</v>
          </cell>
          <cell r="U16">
            <v>30000</v>
          </cell>
          <cell r="V16"/>
          <cell r="W16"/>
          <cell r="X16"/>
          <cell r="Y16">
            <v>174355</v>
          </cell>
          <cell r="Z16"/>
          <cell r="AA16" t="str">
            <v>Vip töltés</v>
          </cell>
          <cell r="AC16"/>
          <cell r="AD16"/>
          <cell r="AE16"/>
          <cell r="AF16"/>
          <cell r="AG16"/>
          <cell r="AH16"/>
        </row>
        <row r="17">
          <cell r="B17">
            <v>280775</v>
          </cell>
          <cell r="G17"/>
          <cell r="S17">
            <v>174355</v>
          </cell>
          <cell r="T17">
            <v>24505</v>
          </cell>
          <cell r="U17"/>
          <cell r="V17">
            <v>99015</v>
          </cell>
          <cell r="W17"/>
          <cell r="X17"/>
          <cell r="Y17">
            <v>99845</v>
          </cell>
          <cell r="Z17"/>
          <cell r="AA17" t="str">
            <v>Melinda</v>
          </cell>
          <cell r="AC17"/>
          <cell r="AD17"/>
          <cell r="AE17"/>
          <cell r="AF17"/>
          <cell r="AG17"/>
          <cell r="AH17"/>
        </row>
        <row r="18">
          <cell r="B18"/>
          <cell r="G18"/>
          <cell r="S18">
            <v>99845</v>
          </cell>
          <cell r="T18">
            <v>0</v>
          </cell>
          <cell r="U18"/>
          <cell r="V18"/>
          <cell r="W18"/>
          <cell r="X18"/>
          <cell r="Y18">
            <v>99845</v>
          </cell>
          <cell r="Z18"/>
          <cell r="AC18"/>
          <cell r="AD18"/>
          <cell r="AE18"/>
          <cell r="AF18"/>
          <cell r="AG18"/>
          <cell r="AH18"/>
        </row>
        <row r="19">
          <cell r="B19"/>
          <cell r="G19"/>
          <cell r="S19">
            <v>99845</v>
          </cell>
          <cell r="T19">
            <v>0</v>
          </cell>
          <cell r="U19"/>
          <cell r="V19"/>
          <cell r="W19"/>
          <cell r="X19"/>
          <cell r="Y19">
            <v>99845</v>
          </cell>
          <cell r="Z19"/>
          <cell r="AC19"/>
          <cell r="AD19"/>
          <cell r="AE19"/>
          <cell r="AF19"/>
          <cell r="AG19"/>
          <cell r="AH19"/>
        </row>
        <row r="20">
          <cell r="B20">
            <v>295070</v>
          </cell>
          <cell r="G20"/>
          <cell r="S20">
            <v>99845</v>
          </cell>
          <cell r="T20">
            <v>24775</v>
          </cell>
          <cell r="U20"/>
          <cell r="V20"/>
          <cell r="W20"/>
          <cell r="X20"/>
          <cell r="Y20">
            <v>124620</v>
          </cell>
          <cell r="Z20"/>
          <cell r="AC20"/>
          <cell r="AD20"/>
          <cell r="AE20"/>
          <cell r="AF20"/>
          <cell r="AG20"/>
          <cell r="AH20"/>
        </row>
        <row r="21">
          <cell r="B21">
            <v>385175</v>
          </cell>
          <cell r="G21"/>
          <cell r="S21">
            <v>124620</v>
          </cell>
          <cell r="T21">
            <v>28320</v>
          </cell>
          <cell r="U21"/>
          <cell r="V21"/>
          <cell r="W21"/>
          <cell r="X21"/>
          <cell r="Y21">
            <v>152940</v>
          </cell>
          <cell r="Z21"/>
          <cell r="AC21"/>
          <cell r="AD21"/>
          <cell r="AE21"/>
          <cell r="AF21"/>
          <cell r="AG21"/>
          <cell r="AH21"/>
        </row>
        <row r="22">
          <cell r="B22">
            <v>293265</v>
          </cell>
          <cell r="G22"/>
          <cell r="S22">
            <v>152940</v>
          </cell>
          <cell r="T22">
            <v>25800</v>
          </cell>
          <cell r="U22"/>
          <cell r="V22"/>
          <cell r="W22"/>
          <cell r="X22"/>
          <cell r="Y22">
            <v>178740</v>
          </cell>
          <cell r="Z22"/>
          <cell r="AC22"/>
          <cell r="AD22"/>
          <cell r="AE22"/>
          <cell r="AF22"/>
          <cell r="AG22"/>
          <cell r="AH22"/>
        </row>
        <row r="23">
          <cell r="B23">
            <v>361175</v>
          </cell>
          <cell r="G23"/>
          <cell r="S23">
            <v>178740</v>
          </cell>
          <cell r="T23">
            <v>26950</v>
          </cell>
          <cell r="U23"/>
          <cell r="V23"/>
          <cell r="W23"/>
          <cell r="X23"/>
          <cell r="Y23">
            <v>205690</v>
          </cell>
          <cell r="Z23"/>
          <cell r="AC23"/>
          <cell r="AD23"/>
          <cell r="AE23"/>
          <cell r="AF23"/>
          <cell r="AG23"/>
          <cell r="AH23"/>
        </row>
        <row r="24">
          <cell r="B24">
            <v>292520</v>
          </cell>
          <cell r="G24"/>
          <cell r="S24">
            <v>205690</v>
          </cell>
          <cell r="T24">
            <v>8790</v>
          </cell>
          <cell r="U24"/>
          <cell r="V24">
            <v>64015</v>
          </cell>
          <cell r="W24"/>
          <cell r="X24"/>
          <cell r="Y24">
            <v>150465</v>
          </cell>
          <cell r="Z24"/>
          <cell r="AA24" t="str">
            <v>Melinda</v>
          </cell>
          <cell r="AC24"/>
          <cell r="AD24"/>
          <cell r="AE24"/>
          <cell r="AF24"/>
          <cell r="AG24"/>
          <cell r="AH24"/>
        </row>
        <row r="25">
          <cell r="B25"/>
          <cell r="G25"/>
          <cell r="S25">
            <v>150465</v>
          </cell>
          <cell r="T25">
            <v>0</v>
          </cell>
          <cell r="U25"/>
          <cell r="V25"/>
          <cell r="W25"/>
          <cell r="X25"/>
          <cell r="Y25">
            <v>150465</v>
          </cell>
          <cell r="Z25"/>
          <cell r="AC25"/>
          <cell r="AD25"/>
          <cell r="AE25"/>
          <cell r="AF25"/>
          <cell r="AG25"/>
          <cell r="AH25"/>
        </row>
        <row r="26">
          <cell r="B26"/>
          <cell r="G26"/>
          <cell r="S26">
            <v>150465</v>
          </cell>
          <cell r="T26">
            <v>0</v>
          </cell>
          <cell r="U26"/>
          <cell r="V26"/>
          <cell r="W26"/>
          <cell r="X26"/>
          <cell r="Y26">
            <v>150465</v>
          </cell>
          <cell r="Z26"/>
          <cell r="AC26"/>
          <cell r="AD26"/>
          <cell r="AE26"/>
          <cell r="AF26"/>
          <cell r="AG26"/>
          <cell r="AH26"/>
        </row>
        <row r="27">
          <cell r="B27">
            <v>293395</v>
          </cell>
          <cell r="G27"/>
          <cell r="S27">
            <v>150465</v>
          </cell>
          <cell r="T27">
            <v>20565</v>
          </cell>
          <cell r="U27"/>
          <cell r="V27"/>
          <cell r="W27"/>
          <cell r="X27"/>
          <cell r="Y27">
            <v>171030</v>
          </cell>
          <cell r="Z27"/>
          <cell r="AC27"/>
          <cell r="AD27"/>
          <cell r="AE27"/>
          <cell r="AF27"/>
          <cell r="AG27"/>
          <cell r="AH27"/>
        </row>
        <row r="28">
          <cell r="B28">
            <v>350595</v>
          </cell>
          <cell r="G28"/>
          <cell r="S28">
            <v>171030</v>
          </cell>
          <cell r="T28">
            <v>26430</v>
          </cell>
          <cell r="U28"/>
          <cell r="V28"/>
          <cell r="W28"/>
          <cell r="X28"/>
          <cell r="Y28">
            <v>197460</v>
          </cell>
          <cell r="Z28"/>
          <cell r="AC28"/>
          <cell r="AD28"/>
          <cell r="AE28"/>
          <cell r="AF28"/>
          <cell r="AG28"/>
          <cell r="AH28"/>
        </row>
        <row r="29">
          <cell r="B29">
            <v>311075</v>
          </cell>
          <cell r="G29"/>
          <cell r="S29">
            <v>197460</v>
          </cell>
          <cell r="T29">
            <v>27800</v>
          </cell>
          <cell r="U29"/>
          <cell r="V29"/>
          <cell r="W29"/>
          <cell r="X29"/>
          <cell r="Y29">
            <v>225260</v>
          </cell>
          <cell r="Z29"/>
          <cell r="AC29"/>
          <cell r="AD29"/>
          <cell r="AE29"/>
          <cell r="AF29"/>
          <cell r="AG29"/>
          <cell r="AH29"/>
        </row>
        <row r="30">
          <cell r="B30">
            <v>335240</v>
          </cell>
          <cell r="G30"/>
          <cell r="S30">
            <v>225260</v>
          </cell>
          <cell r="T30">
            <v>-13165</v>
          </cell>
          <cell r="U30">
            <v>40000</v>
          </cell>
          <cell r="V30"/>
          <cell r="W30"/>
          <cell r="X30"/>
          <cell r="Y30">
            <v>252095</v>
          </cell>
          <cell r="Z30"/>
          <cell r="AA30" t="str">
            <v>Vip töltés</v>
          </cell>
          <cell r="AC30"/>
          <cell r="AD30"/>
          <cell r="AE30"/>
          <cell r="AF30"/>
          <cell r="AG30"/>
          <cell r="AH30"/>
        </row>
        <row r="31">
          <cell r="B31">
            <v>318595</v>
          </cell>
          <cell r="G31"/>
          <cell r="S31">
            <v>252095</v>
          </cell>
          <cell r="T31">
            <v>16220</v>
          </cell>
          <cell r="U31"/>
          <cell r="V31">
            <v>64015</v>
          </cell>
          <cell r="W31"/>
          <cell r="X31"/>
          <cell r="Y31">
            <v>204300</v>
          </cell>
          <cell r="Z31"/>
          <cell r="AA31" t="str">
            <v>Melinda</v>
          </cell>
          <cell r="AC31"/>
          <cell r="AD31"/>
          <cell r="AE31"/>
          <cell r="AF31"/>
          <cell r="AG31"/>
          <cell r="AH31"/>
        </row>
        <row r="32">
          <cell r="B32"/>
          <cell r="G32"/>
          <cell r="S32">
            <v>204300</v>
          </cell>
          <cell r="T32">
            <v>0</v>
          </cell>
          <cell r="U32"/>
          <cell r="V32"/>
          <cell r="W32"/>
          <cell r="X32"/>
          <cell r="Y32">
            <v>204300</v>
          </cell>
          <cell r="Z32"/>
          <cell r="AC32"/>
          <cell r="AD32"/>
          <cell r="AE32"/>
          <cell r="AF32"/>
          <cell r="AG32"/>
          <cell r="AH32"/>
        </row>
        <row r="33">
          <cell r="B33">
            <v>6975130</v>
          </cell>
          <cell r="G33"/>
          <cell r="S33"/>
          <cell r="T33">
            <v>228420</v>
          </cell>
          <cell r="U33">
            <v>259985</v>
          </cell>
          <cell r="V33"/>
          <cell r="W33"/>
          <cell r="X33"/>
          <cell r="Y33"/>
          <cell r="Z33"/>
          <cell r="AD33"/>
        </row>
      </sheetData>
      <sheetData sheetId="1">
        <row r="2">
          <cell r="B2">
            <v>319570</v>
          </cell>
          <cell r="AC2"/>
          <cell r="AD2"/>
        </row>
        <row r="3">
          <cell r="B3">
            <v>398070</v>
          </cell>
          <cell r="AC3"/>
          <cell r="AD3"/>
        </row>
        <row r="4">
          <cell r="B4">
            <v>398925</v>
          </cell>
          <cell r="AC4"/>
          <cell r="AD4"/>
        </row>
        <row r="5">
          <cell r="B5">
            <v>384305</v>
          </cell>
          <cell r="AC5"/>
          <cell r="AD5"/>
        </row>
        <row r="6">
          <cell r="B6">
            <v>311755</v>
          </cell>
          <cell r="AC6"/>
          <cell r="AD6"/>
        </row>
        <row r="7">
          <cell r="B7"/>
          <cell r="AC7"/>
          <cell r="AD7"/>
        </row>
        <row r="8">
          <cell r="B8"/>
          <cell r="AC8"/>
          <cell r="AD8"/>
        </row>
        <row r="9">
          <cell r="B9"/>
          <cell r="AC9"/>
          <cell r="AD9"/>
        </row>
        <row r="10">
          <cell r="B10"/>
          <cell r="AC10"/>
          <cell r="AD10"/>
        </row>
        <row r="11">
          <cell r="B11"/>
          <cell r="AC11"/>
          <cell r="AD11"/>
        </row>
        <row r="12">
          <cell r="B12"/>
          <cell r="AC12"/>
          <cell r="AD12"/>
        </row>
        <row r="13">
          <cell r="B13"/>
          <cell r="AC13"/>
          <cell r="AD13"/>
        </row>
        <row r="14">
          <cell r="B14"/>
          <cell r="AC14"/>
          <cell r="AD14"/>
        </row>
        <row r="15">
          <cell r="B15"/>
          <cell r="AC15"/>
          <cell r="AD15"/>
        </row>
        <row r="16">
          <cell r="B16"/>
          <cell r="AC16"/>
          <cell r="AD16"/>
        </row>
        <row r="17">
          <cell r="B17"/>
          <cell r="AC17"/>
          <cell r="AD17"/>
        </row>
        <row r="18">
          <cell r="B18"/>
          <cell r="AC18"/>
          <cell r="AD18"/>
        </row>
        <row r="19">
          <cell r="B19"/>
          <cell r="AC19"/>
          <cell r="AD19"/>
        </row>
        <row r="20">
          <cell r="B20"/>
          <cell r="AC20"/>
          <cell r="AD20"/>
        </row>
        <row r="21">
          <cell r="B21"/>
          <cell r="AC21"/>
          <cell r="AD21"/>
        </row>
        <row r="22">
          <cell r="B22"/>
          <cell r="AC22"/>
          <cell r="AD22"/>
        </row>
        <row r="23">
          <cell r="B23"/>
          <cell r="AC23"/>
          <cell r="AD23"/>
        </row>
        <row r="24">
          <cell r="B24"/>
          <cell r="AC24"/>
          <cell r="AD24"/>
        </row>
        <row r="25">
          <cell r="B25"/>
          <cell r="AC25"/>
          <cell r="AD25"/>
        </row>
        <row r="26">
          <cell r="B26"/>
          <cell r="AC26"/>
          <cell r="AD26"/>
        </row>
        <row r="27">
          <cell r="B27"/>
          <cell r="AC27"/>
          <cell r="AD27"/>
        </row>
        <row r="28">
          <cell r="B28"/>
          <cell r="AC28"/>
          <cell r="AD28"/>
        </row>
        <row r="29">
          <cell r="B29"/>
          <cell r="AC29"/>
          <cell r="AD29"/>
        </row>
        <row r="30">
          <cell r="B30"/>
          <cell r="AC30"/>
          <cell r="AD30"/>
        </row>
        <row r="31">
          <cell r="B31"/>
          <cell r="AC31"/>
          <cell r="AD31"/>
        </row>
        <row r="32">
          <cell r="B32"/>
          <cell r="AC32"/>
          <cell r="AD32"/>
        </row>
        <row r="33">
          <cell r="B33">
            <v>1812625</v>
          </cell>
          <cell r="AD33"/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N2TJYEW64WVNGZPUKTI7H7XF3F">
      <xxl21:absoluteUrl r:id="rId2"/>
    </xxl21:alternateUrls>
    <sheetNames>
      <sheetName val="2026 január"/>
      <sheetName val="2026 február"/>
      <sheetName val="minta"/>
    </sheetNames>
    <definedNames>
      <definedName name="A" sheetId="0"/>
      <definedName name="B" sheetId="0"/>
    </definedNames>
    <sheetDataSet>
      <sheetData sheetId="0">
        <row r="1">
          <cell r="B1" t="str">
            <v>Novohost</v>
          </cell>
          <cell r="G1" t="str">
            <v>Tartalék Kiadás</v>
          </cell>
          <cell r="S1" t="str">
            <v>Pénztár nyitó</v>
          </cell>
          <cell r="T1" t="str">
            <v>Pénztár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  <cell r="AD1" t="str">
            <v>Egyéb kiadás</v>
          </cell>
        </row>
        <row r="2">
          <cell r="B2"/>
          <cell r="G2"/>
          <cell r="S2"/>
          <cell r="T2"/>
          <cell r="U2"/>
          <cell r="V2"/>
          <cell r="W2"/>
          <cell r="X2"/>
          <cell r="Y2">
            <v>0</v>
          </cell>
          <cell r="Z2"/>
          <cell r="AC2"/>
          <cell r="AD2"/>
        </row>
        <row r="3">
          <cell r="B3"/>
          <cell r="G3"/>
          <cell r="S3"/>
          <cell r="T3"/>
          <cell r="U3"/>
          <cell r="V3"/>
          <cell r="W3"/>
          <cell r="X3"/>
          <cell r="Y3">
            <v>0</v>
          </cell>
          <cell r="Z3"/>
          <cell r="AC3"/>
          <cell r="AD3"/>
        </row>
        <row r="4">
          <cell r="B4"/>
          <cell r="G4"/>
          <cell r="S4">
            <v>143114</v>
          </cell>
          <cell r="T4">
            <v>0</v>
          </cell>
          <cell r="U4"/>
          <cell r="V4">
            <v>40000</v>
          </cell>
          <cell r="W4"/>
          <cell r="X4"/>
          <cell r="Y4">
            <v>103114</v>
          </cell>
          <cell r="Z4"/>
          <cell r="AC4"/>
          <cell r="AD4"/>
        </row>
        <row r="5">
          <cell r="B5"/>
          <cell r="G5"/>
          <cell r="S5"/>
          <cell r="T5">
            <v>0</v>
          </cell>
          <cell r="U5"/>
          <cell r="V5"/>
          <cell r="W5"/>
          <cell r="X5"/>
          <cell r="Y5">
            <v>0</v>
          </cell>
          <cell r="Z5"/>
          <cell r="AC5"/>
          <cell r="AD5"/>
        </row>
        <row r="6">
          <cell r="B6">
            <v>1342025</v>
          </cell>
          <cell r="G6"/>
          <cell r="S6">
            <v>103114</v>
          </cell>
          <cell r="T6">
            <v>104824</v>
          </cell>
          <cell r="U6"/>
          <cell r="V6">
            <v>14500</v>
          </cell>
          <cell r="W6"/>
          <cell r="X6"/>
          <cell r="Y6">
            <v>193438</v>
          </cell>
          <cell r="Z6"/>
          <cell r="AC6"/>
          <cell r="AD6"/>
        </row>
        <row r="7">
          <cell r="B7">
            <v>1456870</v>
          </cell>
          <cell r="G7"/>
          <cell r="S7">
            <v>193438</v>
          </cell>
          <cell r="T7">
            <v>108403</v>
          </cell>
          <cell r="U7"/>
          <cell r="V7">
            <v>34500</v>
          </cell>
          <cell r="W7"/>
          <cell r="X7"/>
          <cell r="Y7">
            <v>267341</v>
          </cell>
          <cell r="Z7"/>
          <cell r="AC7"/>
          <cell r="AD7"/>
        </row>
        <row r="8">
          <cell r="B8">
            <v>1551280</v>
          </cell>
          <cell r="G8"/>
          <cell r="S8">
            <v>267341</v>
          </cell>
          <cell r="T8">
            <v>83515</v>
          </cell>
          <cell r="U8"/>
          <cell r="V8">
            <v>167500</v>
          </cell>
          <cell r="W8"/>
          <cell r="X8"/>
          <cell r="Y8">
            <v>183356</v>
          </cell>
          <cell r="Z8"/>
          <cell r="AC8"/>
          <cell r="AD8"/>
        </row>
        <row r="9">
          <cell r="B9">
            <v>1662345</v>
          </cell>
          <cell r="G9"/>
          <cell r="S9">
            <v>183356</v>
          </cell>
          <cell r="T9">
            <v>103907</v>
          </cell>
          <cell r="U9"/>
          <cell r="V9">
            <v>68000</v>
          </cell>
          <cell r="W9">
            <v>50000</v>
          </cell>
          <cell r="X9"/>
          <cell r="Y9">
            <v>169263</v>
          </cell>
          <cell r="Z9"/>
          <cell r="AC9"/>
          <cell r="AD9"/>
        </row>
        <row r="10">
          <cell r="B10">
            <v>1469835</v>
          </cell>
          <cell r="G10"/>
          <cell r="S10">
            <v>169263</v>
          </cell>
          <cell r="T10">
            <v>77377</v>
          </cell>
          <cell r="U10"/>
          <cell r="V10">
            <v>33000</v>
          </cell>
          <cell r="W10"/>
          <cell r="X10"/>
          <cell r="Y10">
            <v>213640</v>
          </cell>
          <cell r="Z10"/>
          <cell r="AC10"/>
          <cell r="AD10"/>
        </row>
        <row r="11">
          <cell r="B11">
            <v>1389320</v>
          </cell>
          <cell r="G11"/>
          <cell r="S11">
            <v>213640</v>
          </cell>
          <cell r="T11">
            <v>68942</v>
          </cell>
          <cell r="U11">
            <v>100000</v>
          </cell>
          <cell r="V11">
            <v>110000</v>
          </cell>
          <cell r="W11"/>
          <cell r="X11"/>
          <cell r="Y11">
            <v>272582</v>
          </cell>
          <cell r="Z11"/>
          <cell r="AC11"/>
          <cell r="AD11"/>
        </row>
        <row r="12">
          <cell r="B12"/>
          <cell r="G12"/>
          <cell r="S12"/>
          <cell r="T12">
            <v>0</v>
          </cell>
          <cell r="U12"/>
          <cell r="V12"/>
          <cell r="W12"/>
          <cell r="X12"/>
          <cell r="Y12">
            <v>0</v>
          </cell>
          <cell r="Z12"/>
          <cell r="AC12"/>
          <cell r="AD12"/>
        </row>
        <row r="13">
          <cell r="B13">
            <v>1501255</v>
          </cell>
          <cell r="G13"/>
          <cell r="S13">
            <v>272582</v>
          </cell>
          <cell r="T13">
            <v>88252</v>
          </cell>
          <cell r="U13"/>
          <cell r="V13">
            <v>60500</v>
          </cell>
          <cell r="W13"/>
          <cell r="X13"/>
          <cell r="Y13">
            <v>300334</v>
          </cell>
          <cell r="Z13"/>
          <cell r="AC13"/>
          <cell r="AD13"/>
        </row>
        <row r="14">
          <cell r="B14">
            <v>1689315</v>
          </cell>
          <cell r="G14"/>
          <cell r="S14">
            <v>300334</v>
          </cell>
          <cell r="T14">
            <v>73390</v>
          </cell>
          <cell r="U14"/>
          <cell r="V14">
            <v>54500</v>
          </cell>
          <cell r="W14"/>
          <cell r="X14"/>
          <cell r="Y14">
            <v>319224</v>
          </cell>
          <cell r="Z14"/>
          <cell r="AC14"/>
          <cell r="AD14"/>
        </row>
        <row r="15">
          <cell r="B15">
            <v>1709230</v>
          </cell>
          <cell r="G15"/>
          <cell r="S15">
            <v>319224</v>
          </cell>
          <cell r="T15">
            <v>91920</v>
          </cell>
          <cell r="U15"/>
          <cell r="V15">
            <v>22500</v>
          </cell>
          <cell r="W15"/>
          <cell r="X15"/>
          <cell r="Y15">
            <v>388644</v>
          </cell>
          <cell r="Z15"/>
          <cell r="AC15"/>
          <cell r="AD15"/>
        </row>
        <row r="16">
          <cell r="B16">
            <v>1686920</v>
          </cell>
          <cell r="G16"/>
          <cell r="S16">
            <v>388644</v>
          </cell>
          <cell r="T16">
            <v>84879</v>
          </cell>
          <cell r="U16"/>
          <cell r="V16">
            <v>128500</v>
          </cell>
          <cell r="W16"/>
          <cell r="X16"/>
          <cell r="Y16">
            <v>345023</v>
          </cell>
          <cell r="Z16"/>
          <cell r="AC16"/>
          <cell r="AD16"/>
        </row>
        <row r="17">
          <cell r="B17">
            <v>1437920</v>
          </cell>
          <cell r="G17"/>
          <cell r="S17">
            <v>345023</v>
          </cell>
          <cell r="T17">
            <v>77850</v>
          </cell>
          <cell r="U17"/>
          <cell r="V17">
            <v>359500</v>
          </cell>
          <cell r="W17"/>
          <cell r="X17"/>
          <cell r="Y17">
            <v>63373</v>
          </cell>
          <cell r="Z17"/>
          <cell r="AC17"/>
          <cell r="AD17"/>
        </row>
        <row r="18">
          <cell r="B18"/>
          <cell r="G18"/>
          <cell r="S18"/>
          <cell r="T18">
            <v>0</v>
          </cell>
          <cell r="U18"/>
          <cell r="V18"/>
          <cell r="W18"/>
          <cell r="X18"/>
          <cell r="Y18">
            <v>0</v>
          </cell>
          <cell r="Z18"/>
          <cell r="AC18"/>
          <cell r="AD18"/>
        </row>
        <row r="19">
          <cell r="B19"/>
          <cell r="G19"/>
          <cell r="S19"/>
          <cell r="T19">
            <v>0</v>
          </cell>
          <cell r="U19"/>
          <cell r="V19"/>
          <cell r="W19"/>
          <cell r="X19"/>
          <cell r="Y19">
            <v>0</v>
          </cell>
          <cell r="Z19"/>
          <cell r="AC19"/>
          <cell r="AD19"/>
        </row>
        <row r="20">
          <cell r="B20">
            <v>1506440</v>
          </cell>
          <cell r="G20"/>
          <cell r="S20">
            <v>63373</v>
          </cell>
          <cell r="T20">
            <v>88331</v>
          </cell>
          <cell r="U20"/>
          <cell r="V20">
            <v>34000</v>
          </cell>
          <cell r="W20"/>
          <cell r="X20"/>
          <cell r="Y20">
            <v>117704</v>
          </cell>
          <cell r="Z20"/>
          <cell r="AC20"/>
          <cell r="AD20"/>
        </row>
        <row r="21">
          <cell r="B21">
            <v>1814240</v>
          </cell>
          <cell r="G21"/>
          <cell r="S21">
            <v>117704</v>
          </cell>
          <cell r="T21">
            <v>108314</v>
          </cell>
          <cell r="U21"/>
          <cell r="V21">
            <v>36500</v>
          </cell>
          <cell r="W21"/>
          <cell r="X21"/>
          <cell r="Y21">
            <v>189518</v>
          </cell>
          <cell r="Z21"/>
          <cell r="AC21"/>
          <cell r="AD21"/>
        </row>
        <row r="22">
          <cell r="B22">
            <v>1907290</v>
          </cell>
          <cell r="G22"/>
          <cell r="S22">
            <v>189518</v>
          </cell>
          <cell r="T22">
            <v>105455</v>
          </cell>
          <cell r="U22"/>
          <cell r="V22">
            <v>27600</v>
          </cell>
          <cell r="W22"/>
          <cell r="X22"/>
          <cell r="Y22">
            <v>267373</v>
          </cell>
          <cell r="Z22"/>
          <cell r="AC22"/>
          <cell r="AD22"/>
        </row>
        <row r="23">
          <cell r="B23">
            <v>1775290</v>
          </cell>
          <cell r="G23"/>
          <cell r="S23">
            <v>267373</v>
          </cell>
          <cell r="T23">
            <v>135455</v>
          </cell>
          <cell r="U23"/>
          <cell r="V23">
            <v>39500</v>
          </cell>
          <cell r="W23"/>
          <cell r="X23"/>
          <cell r="Y23">
            <v>363328</v>
          </cell>
          <cell r="Z23"/>
          <cell r="AC23"/>
          <cell r="AD23"/>
        </row>
        <row r="24">
          <cell r="B24">
            <v>1405140</v>
          </cell>
          <cell r="G24"/>
          <cell r="S24">
            <v>363328</v>
          </cell>
          <cell r="T24">
            <v>127685</v>
          </cell>
          <cell r="U24"/>
          <cell r="V24">
            <v>158000</v>
          </cell>
          <cell r="W24"/>
          <cell r="X24"/>
          <cell r="Y24">
            <v>333013</v>
          </cell>
          <cell r="Z24"/>
          <cell r="AC24"/>
          <cell r="AD24"/>
        </row>
        <row r="25">
          <cell r="B25"/>
          <cell r="G25"/>
          <cell r="S25"/>
          <cell r="T25">
            <v>0</v>
          </cell>
          <cell r="U25"/>
          <cell r="V25"/>
          <cell r="W25"/>
          <cell r="X25"/>
          <cell r="Y25">
            <v>0</v>
          </cell>
          <cell r="Z25"/>
          <cell r="AC25"/>
          <cell r="AD25"/>
        </row>
        <row r="26">
          <cell r="B26"/>
          <cell r="G26"/>
          <cell r="S26"/>
          <cell r="T26">
            <v>0</v>
          </cell>
          <cell r="U26"/>
          <cell r="V26"/>
          <cell r="W26"/>
          <cell r="X26"/>
          <cell r="Y26">
            <v>0</v>
          </cell>
          <cell r="Z26"/>
          <cell r="AC26"/>
          <cell r="AD26"/>
        </row>
        <row r="27">
          <cell r="B27">
            <v>1594935</v>
          </cell>
          <cell r="G27"/>
          <cell r="S27">
            <v>333013</v>
          </cell>
          <cell r="T27">
            <v>117387</v>
          </cell>
          <cell r="U27"/>
          <cell r="V27">
            <v>14500</v>
          </cell>
          <cell r="W27"/>
          <cell r="X27"/>
          <cell r="Y27">
            <v>435900</v>
          </cell>
          <cell r="Z27"/>
          <cell r="AC27"/>
          <cell r="AD27"/>
        </row>
        <row r="28">
          <cell r="G28"/>
          <cell r="S28">
            <v>435900</v>
          </cell>
          <cell r="T28">
            <v>93367</v>
          </cell>
          <cell r="U28"/>
          <cell r="V28">
            <v>34500</v>
          </cell>
          <cell r="W28"/>
          <cell r="X28"/>
          <cell r="Y28">
            <v>494767</v>
          </cell>
          <cell r="Z28"/>
          <cell r="AC28"/>
          <cell r="AD28"/>
        </row>
        <row r="29">
          <cell r="B29">
            <v>1682955</v>
          </cell>
          <cell r="G29"/>
          <cell r="S29">
            <v>494767</v>
          </cell>
          <cell r="T29">
            <v>131370</v>
          </cell>
          <cell r="U29"/>
          <cell r="V29">
            <v>9155</v>
          </cell>
          <cell r="W29"/>
          <cell r="X29"/>
          <cell r="Y29">
            <v>616982</v>
          </cell>
          <cell r="Z29"/>
          <cell r="AC29"/>
          <cell r="AD29"/>
        </row>
        <row r="30">
          <cell r="G30"/>
          <cell r="S30">
            <v>616982</v>
          </cell>
          <cell r="T30">
            <v>144869</v>
          </cell>
          <cell r="U30"/>
          <cell r="V30">
            <v>14500</v>
          </cell>
          <cell r="W30"/>
          <cell r="X30"/>
          <cell r="Y30">
            <v>747351</v>
          </cell>
          <cell r="Z30"/>
          <cell r="AC30"/>
          <cell r="AD30"/>
        </row>
        <row r="31">
          <cell r="B31">
            <v>1433495</v>
          </cell>
          <cell r="G31"/>
          <cell r="S31">
            <v>747351</v>
          </cell>
          <cell r="T31">
            <v>150936</v>
          </cell>
          <cell r="U31"/>
          <cell r="V31">
            <v>342500</v>
          </cell>
          <cell r="W31"/>
          <cell r="X31"/>
          <cell r="Y31">
            <v>555787</v>
          </cell>
          <cell r="Z31"/>
          <cell r="AC31"/>
          <cell r="AD31"/>
        </row>
        <row r="32">
          <cell r="B32"/>
          <cell r="G32"/>
          <cell r="S32"/>
          <cell r="T32">
            <v>0</v>
          </cell>
          <cell r="U32"/>
          <cell r="V32"/>
          <cell r="W32"/>
          <cell r="X32"/>
          <cell r="Y32">
            <v>0</v>
          </cell>
          <cell r="Z32"/>
          <cell r="AC32"/>
          <cell r="AD32"/>
        </row>
        <row r="33">
          <cell r="B33">
            <v>33488085</v>
          </cell>
          <cell r="G33"/>
          <cell r="S33"/>
          <cell r="T33">
            <v>2166428</v>
          </cell>
          <cell r="U33">
            <v>100000</v>
          </cell>
          <cell r="V33"/>
          <cell r="W33"/>
          <cell r="X33"/>
          <cell r="Y33"/>
          <cell r="Z33"/>
          <cell r="AD33"/>
        </row>
        <row r="35">
          <cell r="B35"/>
        </row>
      </sheetData>
      <sheetData sheetId="1">
        <row r="2">
          <cell r="B2"/>
        </row>
        <row r="3">
          <cell r="B3">
            <v>1429435</v>
          </cell>
        </row>
        <row r="5">
          <cell r="B5">
            <v>1794090</v>
          </cell>
        </row>
        <row r="7">
          <cell r="B7">
            <v>1475840</v>
          </cell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8120620</v>
          </cell>
        </row>
        <row r="34">
          <cell r="B34"/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KOFEQZCJMRMZH2EHVJFREQU6F2">
      <xxl21:absoluteUrl r:id="rId2"/>
    </xxl21:alternateUrls>
    <sheetNames>
      <sheetName val="2026 január"/>
      <sheetName val="2026 február"/>
      <sheetName val="Minta"/>
    </sheetNames>
    <sheetDataSet>
      <sheetData sheetId="0">
        <row r="1">
          <cell r="B1" t="str">
            <v>Novohost</v>
          </cell>
          <cell r="G1" t="str">
            <v>Tartalék kiadás</v>
          </cell>
          <cell r="S1" t="str">
            <v>Pénztár nyitó</v>
          </cell>
          <cell r="T1" t="str">
            <v>pénztár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  <cell r="AD1" t="str">
            <v>Egyéb kiadás</v>
          </cell>
        </row>
        <row r="2">
          <cell r="B2"/>
          <cell r="G2"/>
          <cell r="S2">
            <v>-6793</v>
          </cell>
          <cell r="T2">
            <v>0</v>
          </cell>
          <cell r="U2"/>
          <cell r="V2"/>
          <cell r="W2"/>
          <cell r="X2"/>
          <cell r="Y2">
            <v>-6793</v>
          </cell>
          <cell r="Z2"/>
          <cell r="AC2"/>
          <cell r="AD2"/>
        </row>
        <row r="3">
          <cell r="B3"/>
          <cell r="G3"/>
          <cell r="S3">
            <v>-6793</v>
          </cell>
          <cell r="T3">
            <v>0</v>
          </cell>
          <cell r="U3"/>
          <cell r="V3"/>
          <cell r="W3"/>
          <cell r="X3"/>
          <cell r="Y3">
            <v>-6793</v>
          </cell>
          <cell r="Z3"/>
          <cell r="AC3"/>
          <cell r="AD3"/>
        </row>
        <row r="4">
          <cell r="B4"/>
          <cell r="G4"/>
          <cell r="S4">
            <v>-6793</v>
          </cell>
          <cell r="T4">
            <v>0</v>
          </cell>
          <cell r="U4"/>
          <cell r="V4"/>
          <cell r="W4"/>
          <cell r="X4"/>
          <cell r="Y4">
            <v>-6793</v>
          </cell>
          <cell r="Z4"/>
          <cell r="AC4"/>
          <cell r="AD4"/>
        </row>
        <row r="5">
          <cell r="B5"/>
          <cell r="G5"/>
          <cell r="S5">
            <v>-6793</v>
          </cell>
          <cell r="T5">
            <v>0</v>
          </cell>
          <cell r="U5"/>
          <cell r="V5"/>
          <cell r="W5"/>
          <cell r="X5"/>
          <cell r="Y5">
            <v>-6793</v>
          </cell>
          <cell r="Z5"/>
          <cell r="AC5"/>
          <cell r="AD5"/>
        </row>
        <row r="6">
          <cell r="B6">
            <v>85880</v>
          </cell>
          <cell r="G6"/>
          <cell r="S6">
            <v>-6793</v>
          </cell>
          <cell r="T6">
            <v>7180</v>
          </cell>
          <cell r="U6"/>
          <cell r="V6"/>
          <cell r="W6"/>
          <cell r="X6"/>
          <cell r="Y6">
            <v>387</v>
          </cell>
          <cell r="Z6"/>
          <cell r="AC6"/>
          <cell r="AD6"/>
        </row>
        <row r="7">
          <cell r="B7">
            <v>171325</v>
          </cell>
          <cell r="G7"/>
          <cell r="S7">
            <v>387</v>
          </cell>
          <cell r="T7">
            <v>18850</v>
          </cell>
          <cell r="U7"/>
          <cell r="V7"/>
          <cell r="W7"/>
          <cell r="X7"/>
          <cell r="Y7">
            <v>19237</v>
          </cell>
          <cell r="Z7"/>
          <cell r="AC7"/>
          <cell r="AD7"/>
        </row>
        <row r="8">
          <cell r="B8">
            <v>148130</v>
          </cell>
          <cell r="G8"/>
          <cell r="S8">
            <v>19237</v>
          </cell>
          <cell r="T8">
            <v>11395</v>
          </cell>
          <cell r="U8"/>
          <cell r="V8"/>
          <cell r="W8"/>
          <cell r="X8"/>
          <cell r="Y8">
            <v>30632</v>
          </cell>
          <cell r="Z8"/>
          <cell r="AC8"/>
          <cell r="AD8"/>
        </row>
        <row r="9">
          <cell r="B9">
            <v>173760</v>
          </cell>
          <cell r="G9"/>
          <cell r="S9">
            <v>30632</v>
          </cell>
          <cell r="T9">
            <v>20660</v>
          </cell>
          <cell r="U9"/>
          <cell r="V9"/>
          <cell r="W9"/>
          <cell r="X9"/>
          <cell r="Y9">
            <v>51292</v>
          </cell>
          <cell r="Z9"/>
          <cell r="AC9"/>
          <cell r="AD9"/>
        </row>
        <row r="10">
          <cell r="B10">
            <v>99485</v>
          </cell>
          <cell r="G10"/>
          <cell r="S10">
            <v>51292</v>
          </cell>
          <cell r="T10">
            <v>8870</v>
          </cell>
          <cell r="U10"/>
          <cell r="V10"/>
          <cell r="W10"/>
          <cell r="X10"/>
          <cell r="Y10">
            <v>60162</v>
          </cell>
          <cell r="Z10"/>
          <cell r="AC10"/>
          <cell r="AD10"/>
        </row>
        <row r="11">
          <cell r="B11">
            <v>29770</v>
          </cell>
          <cell r="G11"/>
          <cell r="S11">
            <v>60162</v>
          </cell>
          <cell r="T11">
            <v>3360</v>
          </cell>
          <cell r="U11"/>
          <cell r="V11"/>
          <cell r="W11"/>
          <cell r="X11"/>
          <cell r="Y11">
            <v>63522</v>
          </cell>
          <cell r="Z11"/>
          <cell r="AC11"/>
          <cell r="AD11"/>
        </row>
        <row r="12">
          <cell r="B12"/>
          <cell r="G12"/>
          <cell r="S12">
            <v>63522</v>
          </cell>
          <cell r="T12">
            <v>0</v>
          </cell>
          <cell r="U12"/>
          <cell r="V12"/>
          <cell r="W12"/>
          <cell r="X12"/>
          <cell r="Y12">
            <v>63522</v>
          </cell>
          <cell r="Z12"/>
          <cell r="AC12"/>
          <cell r="AD12"/>
        </row>
        <row r="13">
          <cell r="B13">
            <v>135650</v>
          </cell>
          <cell r="G13"/>
          <cell r="S13">
            <v>63522</v>
          </cell>
          <cell r="T13">
            <v>15150</v>
          </cell>
          <cell r="U13"/>
          <cell r="V13"/>
          <cell r="W13"/>
          <cell r="X13"/>
          <cell r="Y13">
            <v>78672</v>
          </cell>
          <cell r="Z13"/>
          <cell r="AC13"/>
          <cell r="AD13"/>
        </row>
        <row r="14">
          <cell r="B14">
            <v>180610</v>
          </cell>
          <cell r="G14"/>
          <cell r="S14">
            <v>78672</v>
          </cell>
          <cell r="T14">
            <v>17615</v>
          </cell>
          <cell r="U14"/>
          <cell r="V14"/>
          <cell r="W14"/>
          <cell r="X14"/>
          <cell r="Y14">
            <v>96287</v>
          </cell>
          <cell r="Z14"/>
          <cell r="AC14"/>
          <cell r="AD14"/>
        </row>
        <row r="15">
          <cell r="B15">
            <v>228065</v>
          </cell>
          <cell r="G15"/>
          <cell r="S15">
            <v>96287</v>
          </cell>
          <cell r="T15">
            <v>27280</v>
          </cell>
          <cell r="U15"/>
          <cell r="V15"/>
          <cell r="W15"/>
          <cell r="X15"/>
          <cell r="Y15">
            <v>123567</v>
          </cell>
          <cell r="Z15"/>
          <cell r="AC15"/>
          <cell r="AD15"/>
        </row>
        <row r="16">
          <cell r="B16">
            <v>241125</v>
          </cell>
          <cell r="G16"/>
          <cell r="S16">
            <v>123567</v>
          </cell>
          <cell r="T16">
            <v>40985</v>
          </cell>
          <cell r="U16"/>
          <cell r="V16"/>
          <cell r="W16"/>
          <cell r="X16"/>
          <cell r="Y16">
            <v>164552</v>
          </cell>
          <cell r="Z16"/>
          <cell r="AC16"/>
          <cell r="AD16"/>
        </row>
        <row r="17">
          <cell r="B17">
            <v>177235</v>
          </cell>
          <cell r="G17"/>
          <cell r="S17">
            <v>164552</v>
          </cell>
          <cell r="T17">
            <v>42350</v>
          </cell>
          <cell r="U17"/>
          <cell r="V17"/>
          <cell r="W17"/>
          <cell r="X17"/>
          <cell r="Y17">
            <v>206902</v>
          </cell>
          <cell r="Z17"/>
          <cell r="AC17"/>
          <cell r="AD17"/>
        </row>
        <row r="18">
          <cell r="B18"/>
          <cell r="G18"/>
          <cell r="S18">
            <v>206902</v>
          </cell>
          <cell r="T18">
            <v>0</v>
          </cell>
          <cell r="U18"/>
          <cell r="V18"/>
          <cell r="W18"/>
          <cell r="X18"/>
          <cell r="Y18">
            <v>206902</v>
          </cell>
          <cell r="Z18"/>
          <cell r="AC18"/>
          <cell r="AD18"/>
        </row>
        <row r="19">
          <cell r="B19"/>
          <cell r="G19"/>
          <cell r="S19">
            <v>206902</v>
          </cell>
          <cell r="T19">
            <v>0</v>
          </cell>
          <cell r="U19"/>
          <cell r="V19"/>
          <cell r="W19"/>
          <cell r="X19"/>
          <cell r="Y19">
            <v>206902</v>
          </cell>
          <cell r="Z19"/>
          <cell r="AC19"/>
          <cell r="AD19"/>
        </row>
        <row r="20">
          <cell r="B20">
            <v>160360</v>
          </cell>
          <cell r="G20"/>
          <cell r="S20">
            <v>206902</v>
          </cell>
          <cell r="T20">
            <v>21810</v>
          </cell>
          <cell r="U20"/>
          <cell r="V20"/>
          <cell r="W20"/>
          <cell r="X20"/>
          <cell r="Y20">
            <v>228712</v>
          </cell>
          <cell r="Z20"/>
          <cell r="AC20"/>
          <cell r="AD20"/>
        </row>
        <row r="21">
          <cell r="B21">
            <v>248400</v>
          </cell>
          <cell r="G21"/>
          <cell r="S21">
            <v>228712</v>
          </cell>
          <cell r="T21">
            <v>31435</v>
          </cell>
          <cell r="U21"/>
          <cell r="V21"/>
          <cell r="W21"/>
          <cell r="X21"/>
          <cell r="Y21">
            <v>260147</v>
          </cell>
          <cell r="Z21"/>
          <cell r="AC21"/>
          <cell r="AD21"/>
        </row>
        <row r="22">
          <cell r="B22">
            <v>218170</v>
          </cell>
          <cell r="G22"/>
          <cell r="S22">
            <v>260147</v>
          </cell>
          <cell r="T22">
            <v>24270</v>
          </cell>
          <cell r="U22"/>
          <cell r="V22"/>
          <cell r="W22"/>
          <cell r="X22"/>
          <cell r="Y22">
            <v>284417</v>
          </cell>
          <cell r="Z22"/>
          <cell r="AC22"/>
          <cell r="AD22"/>
        </row>
        <row r="23">
          <cell r="B23">
            <v>248545</v>
          </cell>
          <cell r="G23"/>
          <cell r="S23">
            <v>284417</v>
          </cell>
          <cell r="T23">
            <v>50865</v>
          </cell>
          <cell r="U23"/>
          <cell r="V23"/>
          <cell r="W23">
            <v>200000</v>
          </cell>
          <cell r="X23"/>
          <cell r="Y23">
            <v>135282</v>
          </cell>
          <cell r="Z23"/>
          <cell r="AC23"/>
          <cell r="AD23"/>
        </row>
        <row r="24">
          <cell r="B24">
            <v>150850</v>
          </cell>
          <cell r="G24"/>
          <cell r="S24">
            <v>135282</v>
          </cell>
          <cell r="T24">
            <v>34520</v>
          </cell>
          <cell r="U24"/>
          <cell r="V24"/>
          <cell r="W24"/>
          <cell r="X24"/>
          <cell r="Y24">
            <v>169802</v>
          </cell>
          <cell r="Z24"/>
          <cell r="AC24"/>
          <cell r="AD24"/>
        </row>
        <row r="25">
          <cell r="B25"/>
          <cell r="G25"/>
          <cell r="S25">
            <v>169802</v>
          </cell>
          <cell r="T25">
            <v>0</v>
          </cell>
          <cell r="U25"/>
          <cell r="V25"/>
          <cell r="W25"/>
          <cell r="X25"/>
          <cell r="Y25">
            <v>169802</v>
          </cell>
          <cell r="Z25"/>
          <cell r="AC25"/>
          <cell r="AD25"/>
        </row>
        <row r="26">
          <cell r="B26"/>
          <cell r="G26"/>
          <cell r="S26">
            <v>169802</v>
          </cell>
          <cell r="T26">
            <v>0</v>
          </cell>
          <cell r="U26"/>
          <cell r="V26"/>
          <cell r="W26"/>
          <cell r="X26"/>
          <cell r="Y26">
            <v>169802</v>
          </cell>
          <cell r="Z26"/>
          <cell r="AC26"/>
          <cell r="AD26"/>
        </row>
        <row r="27">
          <cell r="B27">
            <v>160590</v>
          </cell>
          <cell r="G27"/>
          <cell r="S27">
            <v>169802</v>
          </cell>
          <cell r="T27">
            <v>28775</v>
          </cell>
          <cell r="U27"/>
          <cell r="V27"/>
          <cell r="W27"/>
          <cell r="X27"/>
          <cell r="Y27">
            <v>198577</v>
          </cell>
          <cell r="Z27"/>
          <cell r="AC27"/>
          <cell r="AD27"/>
        </row>
        <row r="28">
          <cell r="B28">
            <v>177445</v>
          </cell>
          <cell r="G28"/>
          <cell r="S28">
            <v>198577</v>
          </cell>
          <cell r="T28">
            <v>46470</v>
          </cell>
          <cell r="U28"/>
          <cell r="V28"/>
          <cell r="W28"/>
          <cell r="X28"/>
          <cell r="Y28">
            <v>245047</v>
          </cell>
          <cell r="Z28"/>
          <cell r="AC28"/>
          <cell r="AD28"/>
        </row>
        <row r="29">
          <cell r="B29">
            <v>202975</v>
          </cell>
          <cell r="G29"/>
          <cell r="S29">
            <v>245047</v>
          </cell>
          <cell r="T29">
            <v>43760</v>
          </cell>
          <cell r="U29"/>
          <cell r="V29"/>
          <cell r="W29">
            <v>200000</v>
          </cell>
          <cell r="X29"/>
          <cell r="Y29">
            <v>88807</v>
          </cell>
          <cell r="Z29"/>
          <cell r="AC29"/>
          <cell r="AD29"/>
        </row>
        <row r="30">
          <cell r="B30">
            <v>248455</v>
          </cell>
          <cell r="G30"/>
          <cell r="S30">
            <v>88807</v>
          </cell>
          <cell r="T30">
            <v>40365</v>
          </cell>
          <cell r="U30"/>
          <cell r="V30"/>
          <cell r="W30"/>
          <cell r="X30"/>
          <cell r="Y30">
            <v>129172</v>
          </cell>
          <cell r="Z30"/>
          <cell r="AC30"/>
          <cell r="AD30"/>
        </row>
        <row r="31">
          <cell r="B31">
            <v>183600</v>
          </cell>
          <cell r="G31"/>
          <cell r="S31">
            <v>129172</v>
          </cell>
          <cell r="T31">
            <v>38990</v>
          </cell>
          <cell r="U31"/>
          <cell r="V31"/>
          <cell r="W31"/>
          <cell r="X31"/>
          <cell r="Y31">
            <v>168162</v>
          </cell>
          <cell r="Z31"/>
          <cell r="AC31"/>
          <cell r="AD31"/>
        </row>
        <row r="32">
          <cell r="B32"/>
          <cell r="G32"/>
          <cell r="S32">
            <v>168162</v>
          </cell>
          <cell r="T32">
            <v>0</v>
          </cell>
          <cell r="U32"/>
          <cell r="V32"/>
          <cell r="W32"/>
          <cell r="X32"/>
          <cell r="Y32">
            <v>168162</v>
          </cell>
          <cell r="Z32"/>
          <cell r="AC32"/>
          <cell r="AD32"/>
        </row>
        <row r="33">
          <cell r="B33">
            <v>3670425</v>
          </cell>
          <cell r="G33"/>
          <cell r="S33"/>
          <cell r="T33"/>
          <cell r="U33"/>
          <cell r="V33"/>
          <cell r="W33"/>
          <cell r="X33"/>
          <cell r="Y33"/>
          <cell r="Z33"/>
          <cell r="AD33"/>
        </row>
      </sheetData>
      <sheetData sheetId="1">
        <row r="2">
          <cell r="B2"/>
        </row>
        <row r="3">
          <cell r="B3">
            <v>101770</v>
          </cell>
        </row>
        <row r="4">
          <cell r="B4">
            <v>122395</v>
          </cell>
        </row>
        <row r="5">
          <cell r="B5">
            <v>206560</v>
          </cell>
        </row>
        <row r="6">
          <cell r="B6">
            <v>175545</v>
          </cell>
        </row>
        <row r="7">
          <cell r="B7">
            <v>108825</v>
          </cell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715095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JTTWNBQYANGRAZ33VSD6S7JGGG">
      <xxl21:absoluteUrl r:id="rId2"/>
    </xxl21:alternateUrls>
    <sheetNames>
      <sheetName val="2026 február"/>
      <sheetName val="2026 január"/>
      <sheetName val="Minta"/>
    </sheetNames>
    <sheetDataSet>
      <sheetData sheetId="0">
        <row r="2">
          <cell r="B2"/>
        </row>
        <row r="3">
          <cell r="B3">
            <v>99480</v>
          </cell>
        </row>
        <row r="4">
          <cell r="B4">
            <v>128013</v>
          </cell>
        </row>
        <row r="5">
          <cell r="B5">
            <v>108851</v>
          </cell>
        </row>
        <row r="6">
          <cell r="B6">
            <v>102689</v>
          </cell>
        </row>
        <row r="7">
          <cell r="B7"/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</sheetData>
      <sheetData sheetId="1">
        <row r="2">
          <cell r="B2"/>
        </row>
        <row r="3">
          <cell r="B3"/>
        </row>
        <row r="4">
          <cell r="B4"/>
        </row>
        <row r="5">
          <cell r="B5"/>
        </row>
        <row r="6">
          <cell r="B6">
            <v>54705</v>
          </cell>
        </row>
        <row r="7">
          <cell r="B7">
            <v>77760</v>
          </cell>
        </row>
        <row r="8">
          <cell r="B8">
            <v>91795</v>
          </cell>
        </row>
        <row r="9">
          <cell r="B9">
            <v>86920</v>
          </cell>
        </row>
        <row r="10">
          <cell r="B10">
            <v>67300</v>
          </cell>
        </row>
        <row r="11">
          <cell r="B11"/>
        </row>
        <row r="12">
          <cell r="B12"/>
        </row>
        <row r="13">
          <cell r="B13">
            <v>110565</v>
          </cell>
        </row>
        <row r="14">
          <cell r="B14">
            <v>81750</v>
          </cell>
        </row>
        <row r="15">
          <cell r="B15">
            <v>64765</v>
          </cell>
        </row>
        <row r="16">
          <cell r="B16">
            <v>90860</v>
          </cell>
        </row>
        <row r="17">
          <cell r="B17">
            <v>47705</v>
          </cell>
        </row>
        <row r="18">
          <cell r="B18"/>
        </row>
        <row r="19">
          <cell r="B19"/>
        </row>
        <row r="20">
          <cell r="B20">
            <v>98476</v>
          </cell>
        </row>
        <row r="21">
          <cell r="B21">
            <v>102553</v>
          </cell>
        </row>
        <row r="22">
          <cell r="B22">
            <v>100102</v>
          </cell>
        </row>
        <row r="23">
          <cell r="B23">
            <v>134773</v>
          </cell>
        </row>
        <row r="24">
          <cell r="B24">
            <v>102605</v>
          </cell>
        </row>
        <row r="25">
          <cell r="B25"/>
        </row>
        <row r="26">
          <cell r="B26"/>
        </row>
        <row r="27">
          <cell r="B27">
            <v>118750</v>
          </cell>
        </row>
        <row r="28">
          <cell r="B28">
            <v>123103</v>
          </cell>
        </row>
        <row r="29">
          <cell r="B29">
            <v>130968</v>
          </cell>
        </row>
        <row r="30">
          <cell r="B30">
            <v>69155</v>
          </cell>
        </row>
        <row r="31">
          <cell r="B31">
            <v>73206</v>
          </cell>
        </row>
        <row r="32">
          <cell r="B32"/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JTOKW3XZX26VFKROFGAX3ENGKN">
      <xxl21:absoluteUrl r:id="rId2"/>
    </xxl21:alternateUrls>
    <sheetNames>
      <sheetName val="2026 január"/>
      <sheetName val="2026 február"/>
      <sheetName val="Minta"/>
    </sheetNames>
    <sheetDataSet>
      <sheetData sheetId="0">
        <row r="1">
          <cell r="B1" t="str">
            <v>Novohost</v>
          </cell>
          <cell r="G1" t="str">
            <v>Forgalom</v>
          </cell>
          <cell r="S1" t="str">
            <v>Pénztár nyitó</v>
          </cell>
          <cell r="T1" t="str">
            <v>Pénztár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  <cell r="AD1" t="str">
            <v>Egyéb kiadás</v>
          </cell>
        </row>
        <row r="2">
          <cell r="B2"/>
          <cell r="G2">
            <v>0</v>
          </cell>
          <cell r="S2">
            <v>175606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175606</v>
          </cell>
          <cell r="Z2"/>
          <cell r="AC2"/>
          <cell r="AD2"/>
        </row>
        <row r="3">
          <cell r="B3"/>
          <cell r="G3">
            <v>0</v>
          </cell>
          <cell r="S3">
            <v>175606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175606</v>
          </cell>
          <cell r="Z3"/>
          <cell r="AC3"/>
          <cell r="AD3"/>
        </row>
        <row r="4">
          <cell r="B4"/>
          <cell r="G4">
            <v>0</v>
          </cell>
          <cell r="S4">
            <v>175606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175606</v>
          </cell>
          <cell r="Z4"/>
          <cell r="AC4"/>
          <cell r="AD4"/>
        </row>
        <row r="5">
          <cell r="B5"/>
          <cell r="G5">
            <v>0</v>
          </cell>
          <cell r="S5">
            <v>175606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175606</v>
          </cell>
          <cell r="Z5"/>
          <cell r="AC5"/>
          <cell r="AD5"/>
        </row>
        <row r="6">
          <cell r="B6">
            <v>335145</v>
          </cell>
          <cell r="G6">
            <v>335145</v>
          </cell>
          <cell r="S6">
            <v>175606</v>
          </cell>
          <cell r="T6">
            <v>16305</v>
          </cell>
          <cell r="U6">
            <v>0</v>
          </cell>
          <cell r="V6">
            <v>4872</v>
          </cell>
          <cell r="W6">
            <v>0</v>
          </cell>
          <cell r="X6">
            <v>0</v>
          </cell>
          <cell r="Y6">
            <v>187039</v>
          </cell>
          <cell r="Z6" t="str">
            <v>Tesco</v>
          </cell>
          <cell r="AC6"/>
          <cell r="AD6"/>
        </row>
        <row r="7">
          <cell r="B7">
            <v>394930</v>
          </cell>
          <cell r="G7">
            <v>394930</v>
          </cell>
          <cell r="S7">
            <v>187039</v>
          </cell>
          <cell r="T7">
            <v>5795</v>
          </cell>
          <cell r="U7">
            <v>10100</v>
          </cell>
          <cell r="V7">
            <v>0</v>
          </cell>
          <cell r="W7">
            <v>0</v>
          </cell>
          <cell r="X7">
            <v>0</v>
          </cell>
          <cell r="Y7">
            <v>202934</v>
          </cell>
          <cell r="Z7" t="str">
            <v>Csabi kv</v>
          </cell>
          <cell r="AC7"/>
          <cell r="AD7"/>
        </row>
        <row r="8">
          <cell r="G8">
            <v>394160</v>
          </cell>
          <cell r="S8">
            <v>202934</v>
          </cell>
          <cell r="T8">
            <v>1730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204664</v>
          </cell>
          <cell r="Z8"/>
          <cell r="AC8"/>
          <cell r="AD8"/>
        </row>
        <row r="9">
          <cell r="B9">
            <v>424420</v>
          </cell>
          <cell r="G9">
            <v>424420</v>
          </cell>
          <cell r="S9">
            <v>204664</v>
          </cell>
          <cell r="T9">
            <v>14125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218789</v>
          </cell>
          <cell r="Z9"/>
          <cell r="AC9"/>
          <cell r="AD9"/>
        </row>
        <row r="10">
          <cell r="B10">
            <v>360200</v>
          </cell>
          <cell r="G10">
            <v>360200</v>
          </cell>
          <cell r="S10">
            <v>218789</v>
          </cell>
          <cell r="T10">
            <v>0</v>
          </cell>
          <cell r="U10">
            <v>0</v>
          </cell>
          <cell r="V10">
            <v>3840</v>
          </cell>
          <cell r="W10">
            <v>0</v>
          </cell>
          <cell r="X10">
            <v>0</v>
          </cell>
          <cell r="Y10">
            <v>214949</v>
          </cell>
          <cell r="Z10" t="str">
            <v>Tesco</v>
          </cell>
          <cell r="AA10"/>
          <cell r="AB10"/>
          <cell r="AC10"/>
          <cell r="AD10"/>
        </row>
        <row r="11">
          <cell r="B11">
            <v>94150</v>
          </cell>
          <cell r="G11">
            <v>94150</v>
          </cell>
          <cell r="S11">
            <v>214949</v>
          </cell>
          <cell r="T11">
            <v>7700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222649</v>
          </cell>
          <cell r="Z11"/>
          <cell r="AA11"/>
          <cell r="AC11"/>
          <cell r="AD11"/>
        </row>
        <row r="12">
          <cell r="B12"/>
          <cell r="G12">
            <v>0</v>
          </cell>
          <cell r="S12">
            <v>222649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222649</v>
          </cell>
          <cell r="Z12"/>
          <cell r="AC12"/>
          <cell r="AD12"/>
        </row>
        <row r="13">
          <cell r="B13">
            <v>356155</v>
          </cell>
          <cell r="G13">
            <v>356155</v>
          </cell>
          <cell r="S13">
            <v>222649</v>
          </cell>
          <cell r="T13">
            <v>160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222809</v>
          </cell>
          <cell r="Z13"/>
          <cell r="AC13"/>
          <cell r="AD13"/>
        </row>
        <row r="14">
          <cell r="B14">
            <v>411640</v>
          </cell>
          <cell r="G14">
            <v>411640</v>
          </cell>
          <cell r="S14">
            <v>222809</v>
          </cell>
          <cell r="T14">
            <v>1590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224399</v>
          </cell>
          <cell r="Z14"/>
          <cell r="AC14"/>
          <cell r="AD14"/>
        </row>
        <row r="15">
          <cell r="B15">
            <v>436835</v>
          </cell>
          <cell r="G15">
            <v>436835</v>
          </cell>
          <cell r="S15">
            <v>224399</v>
          </cell>
          <cell r="T15">
            <v>2710</v>
          </cell>
          <cell r="U15">
            <v>0</v>
          </cell>
          <cell r="V15">
            <v>9059</v>
          </cell>
          <cell r="W15">
            <v>0</v>
          </cell>
          <cell r="X15">
            <v>0</v>
          </cell>
          <cell r="Y15">
            <v>218050</v>
          </cell>
          <cell r="Z15" t="str">
            <v>Tesco</v>
          </cell>
          <cell r="AC15"/>
          <cell r="AD15"/>
        </row>
        <row r="16">
          <cell r="B16">
            <v>375275</v>
          </cell>
          <cell r="G16">
            <v>375275</v>
          </cell>
          <cell r="S16">
            <v>218050</v>
          </cell>
          <cell r="T16">
            <v>1015</v>
          </cell>
          <cell r="U16">
            <v>0</v>
          </cell>
          <cell r="V16">
            <v>3826</v>
          </cell>
          <cell r="W16">
            <v>0</v>
          </cell>
          <cell r="X16">
            <v>0</v>
          </cell>
          <cell r="Y16">
            <v>215239</v>
          </cell>
          <cell r="Z16" t="str">
            <v>Tesco</v>
          </cell>
          <cell r="AC16"/>
          <cell r="AD16"/>
        </row>
        <row r="17">
          <cell r="B17">
            <v>326580</v>
          </cell>
          <cell r="G17">
            <v>326580</v>
          </cell>
          <cell r="S17">
            <v>215239</v>
          </cell>
          <cell r="T17">
            <v>2685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217924</v>
          </cell>
          <cell r="Z17"/>
          <cell r="AC17"/>
          <cell r="AD17"/>
        </row>
        <row r="18">
          <cell r="B18"/>
          <cell r="G18">
            <v>0</v>
          </cell>
          <cell r="S18">
            <v>217924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217924</v>
          </cell>
          <cell r="Z18"/>
          <cell r="AC18"/>
          <cell r="AD18"/>
        </row>
        <row r="19">
          <cell r="B19"/>
          <cell r="G19">
            <v>0</v>
          </cell>
          <cell r="S19">
            <v>217924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217924</v>
          </cell>
          <cell r="Z19"/>
          <cell r="AC19"/>
          <cell r="AD19"/>
        </row>
        <row r="20">
          <cell r="B20">
            <v>364185</v>
          </cell>
          <cell r="G20">
            <v>364185</v>
          </cell>
          <cell r="S20">
            <v>217924</v>
          </cell>
          <cell r="T20">
            <v>3370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221294</v>
          </cell>
          <cell r="Z20"/>
          <cell r="AC20"/>
          <cell r="AD20"/>
        </row>
        <row r="21">
          <cell r="G21">
            <v>427290</v>
          </cell>
          <cell r="S21">
            <v>221294</v>
          </cell>
          <cell r="T21">
            <v>10640</v>
          </cell>
          <cell r="U21">
            <v>0</v>
          </cell>
          <cell r="V21">
            <v>14000</v>
          </cell>
          <cell r="W21">
            <v>0</v>
          </cell>
          <cell r="X21">
            <v>0</v>
          </cell>
          <cell r="Y21">
            <v>217934</v>
          </cell>
          <cell r="Z21" t="str">
            <v>Lőrinczy Ágnes EFO</v>
          </cell>
          <cell r="AC21"/>
          <cell r="AD21"/>
        </row>
        <row r="22">
          <cell r="G22">
            <v>407055</v>
          </cell>
          <cell r="S22">
            <v>217934</v>
          </cell>
          <cell r="T22">
            <v>3120</v>
          </cell>
          <cell r="U22">
            <v>0</v>
          </cell>
          <cell r="V22">
            <v>28000</v>
          </cell>
          <cell r="W22">
            <v>0</v>
          </cell>
          <cell r="X22">
            <v>0</v>
          </cell>
          <cell r="Y22">
            <v>193054</v>
          </cell>
          <cell r="Z22" t="str">
            <v>Mányi Etelka EFO</v>
          </cell>
          <cell r="AA22" t="str">
            <v>Pávolits Zsolt</v>
          </cell>
          <cell r="AC22"/>
          <cell r="AD22"/>
        </row>
        <row r="23">
          <cell r="G23">
            <v>330805</v>
          </cell>
          <cell r="S23">
            <v>193054</v>
          </cell>
          <cell r="T23">
            <v>4840</v>
          </cell>
          <cell r="U23">
            <v>0</v>
          </cell>
          <cell r="V23">
            <v>32023</v>
          </cell>
          <cell r="W23">
            <v>0</v>
          </cell>
          <cell r="X23">
            <v>0</v>
          </cell>
          <cell r="Y23">
            <v>165871</v>
          </cell>
          <cell r="Z23" t="str">
            <v>Tesco</v>
          </cell>
          <cell r="AA23" t="str">
            <v>Pávolits Zsolt</v>
          </cell>
          <cell r="AB23" t="str">
            <v>Miski Györgyné</v>
          </cell>
          <cell r="AC23"/>
          <cell r="AD23"/>
        </row>
        <row r="24">
          <cell r="G24">
            <v>274745</v>
          </cell>
          <cell r="S24">
            <v>165871</v>
          </cell>
          <cell r="T24">
            <v>2450</v>
          </cell>
          <cell r="U24">
            <v>3200</v>
          </cell>
          <cell r="V24">
            <v>14000</v>
          </cell>
          <cell r="W24">
            <v>0</v>
          </cell>
          <cell r="X24">
            <v>0</v>
          </cell>
          <cell r="Y24">
            <v>157521</v>
          </cell>
          <cell r="Z24" t="str">
            <v>Helit Móni</v>
          </cell>
          <cell r="AA24" t="str">
            <v>Bodnár Józsefné</v>
          </cell>
          <cell r="AC24"/>
          <cell r="AD24"/>
        </row>
        <row r="25">
          <cell r="B25"/>
          <cell r="G25">
            <v>0</v>
          </cell>
          <cell r="S25">
            <v>157521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157521</v>
          </cell>
          <cell r="Z25"/>
          <cell r="AC25"/>
          <cell r="AD25"/>
        </row>
        <row r="26">
          <cell r="B26"/>
          <cell r="G26">
            <v>0</v>
          </cell>
          <cell r="S26">
            <v>157521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157521</v>
          </cell>
          <cell r="Z26"/>
          <cell r="AC26"/>
          <cell r="AD26"/>
        </row>
        <row r="27">
          <cell r="B27">
            <v>334670</v>
          </cell>
          <cell r="G27">
            <v>334670</v>
          </cell>
          <cell r="S27">
            <v>157521</v>
          </cell>
          <cell r="T27">
            <v>7880</v>
          </cell>
          <cell r="U27">
            <v>0</v>
          </cell>
          <cell r="V27">
            <v>2080</v>
          </cell>
          <cell r="W27">
            <v>0</v>
          </cell>
          <cell r="X27">
            <v>0</v>
          </cell>
          <cell r="Y27">
            <v>163321</v>
          </cell>
          <cell r="Z27" t="str">
            <v>Tesco</v>
          </cell>
          <cell r="AC27"/>
          <cell r="AD27"/>
        </row>
        <row r="28">
          <cell r="G28">
            <v>409500</v>
          </cell>
          <cell r="S28">
            <v>163321</v>
          </cell>
          <cell r="T28">
            <v>3810</v>
          </cell>
          <cell r="U28">
            <v>0</v>
          </cell>
          <cell r="V28">
            <v>14000</v>
          </cell>
          <cell r="W28">
            <v>0</v>
          </cell>
          <cell r="X28">
            <v>0</v>
          </cell>
          <cell r="Y28">
            <v>153131</v>
          </cell>
          <cell r="Z28" t="str">
            <v>Milák Beáta</v>
          </cell>
          <cell r="AC28"/>
          <cell r="AD28"/>
        </row>
        <row r="29">
          <cell r="G29">
            <v>434005</v>
          </cell>
          <cell r="S29">
            <v>153131</v>
          </cell>
          <cell r="T29">
            <v>3580</v>
          </cell>
          <cell r="U29">
            <v>0</v>
          </cell>
          <cell r="V29">
            <v>8671</v>
          </cell>
          <cell r="W29">
            <v>0</v>
          </cell>
          <cell r="X29">
            <v>0</v>
          </cell>
          <cell r="Y29">
            <v>148040</v>
          </cell>
          <cell r="Z29" t="str">
            <v>Tesco</v>
          </cell>
          <cell r="AC29"/>
          <cell r="AD29"/>
        </row>
        <row r="30">
          <cell r="G30">
            <v>419595</v>
          </cell>
          <cell r="S30">
            <v>148040</v>
          </cell>
          <cell r="T30">
            <v>6210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154250</v>
          </cell>
          <cell r="Z30"/>
          <cell r="AC30"/>
          <cell r="AD30"/>
        </row>
        <row r="31">
          <cell r="B31">
            <v>295185</v>
          </cell>
          <cell r="G31">
            <v>295185</v>
          </cell>
          <cell r="S31">
            <v>154250</v>
          </cell>
          <cell r="T31">
            <v>1390</v>
          </cell>
          <cell r="U31">
            <v>0</v>
          </cell>
          <cell r="V31">
            <v>14000</v>
          </cell>
          <cell r="W31">
            <v>0</v>
          </cell>
          <cell r="X31">
            <v>0</v>
          </cell>
          <cell r="Y31">
            <v>141640</v>
          </cell>
          <cell r="Z31" t="str">
            <v>Soltész Péterné</v>
          </cell>
          <cell r="AC31"/>
          <cell r="AD31"/>
        </row>
        <row r="32">
          <cell r="B32"/>
          <cell r="G32">
            <v>0</v>
          </cell>
          <cell r="S32">
            <v>141640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141640</v>
          </cell>
          <cell r="Z32"/>
          <cell r="AC32"/>
          <cell r="AD32"/>
        </row>
      </sheetData>
      <sheetData sheetId="1">
        <row r="2">
          <cell r="B2"/>
        </row>
        <row r="3">
          <cell r="B3">
            <v>285905</v>
          </cell>
        </row>
        <row r="4">
          <cell r="B4">
            <v>389180</v>
          </cell>
        </row>
        <row r="5">
          <cell r="B5">
            <v>373535</v>
          </cell>
        </row>
        <row r="6">
          <cell r="B6">
            <v>352810</v>
          </cell>
        </row>
        <row r="7">
          <cell r="B7">
            <v>236490</v>
          </cell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I4PSTPSKBVCJCYV73SO635RVNI">
      <xxl21:absoluteUrl r:id="rId2"/>
    </xxl21:alternateUrls>
    <sheetNames>
      <sheetName val="2026 január"/>
      <sheetName val="2026 február"/>
      <sheetName val="Minta"/>
    </sheetNames>
    <sheetDataSet>
      <sheetData sheetId="0">
        <row r="1">
          <cell r="B1" t="str">
            <v>Novohost</v>
          </cell>
          <cell r="G1" t="str">
            <v>Tartalék Kiadás</v>
          </cell>
          <cell r="S1" t="str">
            <v>Pénztár nyitó</v>
          </cell>
          <cell r="T1" t="str">
            <v>novo kp bevétel</v>
          </cell>
          <cell r="U1" t="str">
            <v>Egyéb bevétel</v>
          </cell>
          <cell r="V1" t="str">
            <v>Költött</v>
          </cell>
          <cell r="W1" t="str">
            <v>Kivét</v>
          </cell>
          <cell r="X1" t="str">
            <v>Eltérés</v>
          </cell>
          <cell r="Y1" t="str">
            <v>Záró</v>
          </cell>
          <cell r="Z1" t="str">
            <v>Megjegyzések</v>
          </cell>
          <cell r="AA1"/>
          <cell r="AB1"/>
          <cell r="AC1"/>
          <cell r="AD1" t="str">
            <v>Egyéb kiadás</v>
          </cell>
        </row>
        <row r="2">
          <cell r="B2"/>
          <cell r="G2"/>
          <cell r="S2">
            <v>88273</v>
          </cell>
          <cell r="T2">
            <v>0</v>
          </cell>
          <cell r="U2"/>
          <cell r="V2"/>
          <cell r="W2"/>
          <cell r="X2"/>
          <cell r="Y2">
            <v>88273</v>
          </cell>
          <cell r="Z2"/>
          <cell r="AC2"/>
          <cell r="AD2"/>
        </row>
        <row r="3">
          <cell r="B3"/>
          <cell r="G3"/>
          <cell r="S3">
            <v>88273</v>
          </cell>
          <cell r="T3">
            <v>0</v>
          </cell>
          <cell r="U3"/>
          <cell r="V3"/>
          <cell r="W3"/>
          <cell r="X3"/>
          <cell r="Y3">
            <v>88273</v>
          </cell>
          <cell r="Z3"/>
          <cell r="AC3"/>
          <cell r="AD3"/>
        </row>
        <row r="4">
          <cell r="B4"/>
          <cell r="G4"/>
          <cell r="S4">
            <v>88273</v>
          </cell>
          <cell r="T4">
            <v>0</v>
          </cell>
          <cell r="U4"/>
          <cell r="V4"/>
          <cell r="W4"/>
          <cell r="X4"/>
          <cell r="Y4">
            <v>88273</v>
          </cell>
          <cell r="Z4"/>
          <cell r="AC4"/>
          <cell r="AD4"/>
        </row>
        <row r="5">
          <cell r="B5"/>
          <cell r="G5"/>
          <cell r="S5">
            <v>88273</v>
          </cell>
          <cell r="T5">
            <v>0</v>
          </cell>
          <cell r="U5"/>
          <cell r="V5"/>
          <cell r="W5"/>
          <cell r="X5"/>
          <cell r="Y5">
            <v>88273</v>
          </cell>
          <cell r="Z5"/>
          <cell r="AC5"/>
          <cell r="AD5"/>
        </row>
        <row r="6">
          <cell r="B6">
            <v>230215</v>
          </cell>
          <cell r="G6"/>
          <cell r="S6">
            <v>88273</v>
          </cell>
          <cell r="T6">
            <v>32205</v>
          </cell>
          <cell r="U6"/>
          <cell r="V6">
            <v>18950</v>
          </cell>
          <cell r="W6"/>
          <cell r="X6"/>
          <cell r="Y6">
            <v>101528</v>
          </cell>
          <cell r="Z6"/>
          <cell r="AC6"/>
          <cell r="AD6"/>
        </row>
        <row r="7">
          <cell r="B7">
            <v>252220</v>
          </cell>
          <cell r="G7"/>
          <cell r="S7">
            <v>101528</v>
          </cell>
          <cell r="T7">
            <v>40135</v>
          </cell>
          <cell r="U7"/>
          <cell r="V7">
            <v>3285</v>
          </cell>
          <cell r="W7"/>
          <cell r="X7"/>
          <cell r="Y7">
            <v>138378</v>
          </cell>
          <cell r="Z7"/>
          <cell r="AC7"/>
          <cell r="AD7"/>
        </row>
        <row r="8">
          <cell r="B8">
            <v>252475</v>
          </cell>
          <cell r="G8"/>
          <cell r="S8">
            <v>138378</v>
          </cell>
          <cell r="T8">
            <v>28805</v>
          </cell>
          <cell r="U8"/>
          <cell r="V8"/>
          <cell r="W8"/>
          <cell r="X8"/>
          <cell r="Y8">
            <v>167183</v>
          </cell>
          <cell r="Z8"/>
          <cell r="AC8"/>
          <cell r="AD8"/>
        </row>
        <row r="9">
          <cell r="B9">
            <v>340790</v>
          </cell>
          <cell r="G9"/>
          <cell r="S9">
            <v>167183</v>
          </cell>
          <cell r="T9">
            <v>27690</v>
          </cell>
          <cell r="U9"/>
          <cell r="V9"/>
          <cell r="W9"/>
          <cell r="X9"/>
          <cell r="Y9">
            <v>194873</v>
          </cell>
          <cell r="Z9"/>
          <cell r="AC9"/>
          <cell r="AD9"/>
        </row>
        <row r="10">
          <cell r="B10">
            <v>270435</v>
          </cell>
          <cell r="G10"/>
          <cell r="S10">
            <v>194873</v>
          </cell>
          <cell r="T10">
            <v>22330</v>
          </cell>
          <cell r="U10"/>
          <cell r="V10"/>
          <cell r="W10"/>
          <cell r="X10"/>
          <cell r="Y10">
            <v>217203</v>
          </cell>
          <cell r="Z10"/>
          <cell r="AC10"/>
          <cell r="AD10"/>
        </row>
        <row r="11">
          <cell r="B11">
            <v>158545</v>
          </cell>
          <cell r="G11"/>
          <cell r="S11">
            <v>217203</v>
          </cell>
          <cell r="T11">
            <v>15600</v>
          </cell>
          <cell r="U11"/>
          <cell r="V11"/>
          <cell r="W11"/>
          <cell r="X11"/>
          <cell r="Y11">
            <v>232803</v>
          </cell>
          <cell r="Z11"/>
          <cell r="AC11"/>
          <cell r="AD11"/>
        </row>
        <row r="12">
          <cell r="B12"/>
          <cell r="G12"/>
          <cell r="S12">
            <v>232803</v>
          </cell>
          <cell r="T12">
            <v>0</v>
          </cell>
          <cell r="U12"/>
          <cell r="V12"/>
          <cell r="W12"/>
          <cell r="X12"/>
          <cell r="Y12">
            <v>232803</v>
          </cell>
          <cell r="Z12"/>
          <cell r="AC12"/>
          <cell r="AD12"/>
        </row>
        <row r="13">
          <cell r="B13">
            <v>318805</v>
          </cell>
          <cell r="G13"/>
          <cell r="S13">
            <v>232803</v>
          </cell>
          <cell r="T13">
            <v>18995</v>
          </cell>
          <cell r="U13"/>
          <cell r="V13">
            <v>12850</v>
          </cell>
          <cell r="W13"/>
          <cell r="X13"/>
          <cell r="Y13">
            <v>238948</v>
          </cell>
          <cell r="Z13"/>
          <cell r="AC13"/>
          <cell r="AD13"/>
        </row>
        <row r="14">
          <cell r="B14">
            <v>251430</v>
          </cell>
          <cell r="G14"/>
          <cell r="S14">
            <v>238948</v>
          </cell>
          <cell r="T14">
            <v>12405</v>
          </cell>
          <cell r="U14"/>
          <cell r="V14">
            <v>14000</v>
          </cell>
          <cell r="W14"/>
          <cell r="X14"/>
          <cell r="Y14">
            <v>237353</v>
          </cell>
          <cell r="Z14"/>
          <cell r="AC14"/>
          <cell r="AD14"/>
        </row>
        <row r="15">
          <cell r="B15">
            <v>263730</v>
          </cell>
          <cell r="G15"/>
          <cell r="S15">
            <v>237353</v>
          </cell>
          <cell r="T15">
            <v>13900</v>
          </cell>
          <cell r="U15"/>
          <cell r="V15"/>
          <cell r="W15"/>
          <cell r="X15"/>
          <cell r="Y15">
            <v>251253</v>
          </cell>
          <cell r="Z15"/>
          <cell r="AC15"/>
          <cell r="AD15"/>
        </row>
        <row r="16">
          <cell r="B16">
            <v>288030</v>
          </cell>
          <cell r="G16"/>
          <cell r="S16">
            <v>251253</v>
          </cell>
          <cell r="T16">
            <v>23800</v>
          </cell>
          <cell r="U16"/>
          <cell r="V16">
            <v>14000</v>
          </cell>
          <cell r="W16"/>
          <cell r="X16"/>
          <cell r="Y16">
            <v>261053</v>
          </cell>
          <cell r="Z16"/>
          <cell r="AC16"/>
          <cell r="AD16"/>
        </row>
        <row r="17">
          <cell r="B17">
            <v>252610</v>
          </cell>
          <cell r="G17"/>
          <cell r="S17">
            <v>261053</v>
          </cell>
          <cell r="T17">
            <v>15915</v>
          </cell>
          <cell r="U17"/>
          <cell r="V17">
            <v>162445</v>
          </cell>
          <cell r="W17"/>
          <cell r="X17"/>
          <cell r="Y17">
            <v>114523</v>
          </cell>
          <cell r="Z17"/>
          <cell r="AC17"/>
          <cell r="AD17"/>
        </row>
        <row r="18">
          <cell r="B18"/>
          <cell r="G18"/>
          <cell r="S18">
            <v>114523</v>
          </cell>
          <cell r="T18">
            <v>0</v>
          </cell>
          <cell r="U18"/>
          <cell r="V18"/>
          <cell r="W18"/>
          <cell r="X18"/>
          <cell r="Y18">
            <v>114523</v>
          </cell>
          <cell r="Z18"/>
          <cell r="AC18"/>
          <cell r="AD18"/>
        </row>
        <row r="19">
          <cell r="B19"/>
          <cell r="G19"/>
          <cell r="S19">
            <v>114523</v>
          </cell>
          <cell r="T19">
            <v>0</v>
          </cell>
          <cell r="U19"/>
          <cell r="V19"/>
          <cell r="W19"/>
          <cell r="X19"/>
          <cell r="Y19">
            <v>114523</v>
          </cell>
          <cell r="Z19"/>
          <cell r="AC19"/>
          <cell r="AD19"/>
        </row>
        <row r="20">
          <cell r="B20">
            <v>245375</v>
          </cell>
          <cell r="G20"/>
          <cell r="S20">
            <v>114523</v>
          </cell>
          <cell r="T20">
            <v>22135</v>
          </cell>
          <cell r="U20"/>
          <cell r="V20">
            <v>18545</v>
          </cell>
          <cell r="W20"/>
          <cell r="X20"/>
          <cell r="Y20">
            <v>118113</v>
          </cell>
          <cell r="Z20"/>
          <cell r="AC20"/>
          <cell r="AD20"/>
        </row>
        <row r="21">
          <cell r="B21">
            <v>263795</v>
          </cell>
          <cell r="G21"/>
          <cell r="S21">
            <v>118113</v>
          </cell>
          <cell r="T21">
            <v>29230</v>
          </cell>
          <cell r="U21"/>
          <cell r="V21">
            <v>14000</v>
          </cell>
          <cell r="W21"/>
          <cell r="X21"/>
          <cell r="Y21">
            <v>133343</v>
          </cell>
          <cell r="Z21"/>
          <cell r="AC21"/>
          <cell r="AD21"/>
        </row>
        <row r="22">
          <cell r="B22">
            <v>265050</v>
          </cell>
          <cell r="G22"/>
          <cell r="S22">
            <v>133343</v>
          </cell>
          <cell r="T22">
            <v>26950</v>
          </cell>
          <cell r="U22"/>
          <cell r="V22">
            <v>14000</v>
          </cell>
          <cell r="W22"/>
          <cell r="X22"/>
          <cell r="Y22">
            <v>146293</v>
          </cell>
          <cell r="Z22"/>
          <cell r="AC22"/>
          <cell r="AD22"/>
        </row>
        <row r="23">
          <cell r="B23">
            <v>260435</v>
          </cell>
          <cell r="G23"/>
          <cell r="S23">
            <v>146293</v>
          </cell>
          <cell r="T23">
            <v>18290</v>
          </cell>
          <cell r="U23"/>
          <cell r="V23"/>
          <cell r="W23"/>
          <cell r="X23"/>
          <cell r="Y23">
            <v>164583</v>
          </cell>
          <cell r="Z23"/>
          <cell r="AC23"/>
          <cell r="AD23"/>
        </row>
        <row r="24">
          <cell r="B24">
            <v>219760</v>
          </cell>
          <cell r="G24"/>
          <cell r="S24">
            <v>164583</v>
          </cell>
          <cell r="T24">
            <v>21160</v>
          </cell>
          <cell r="U24"/>
          <cell r="V24">
            <v>20000</v>
          </cell>
          <cell r="W24"/>
          <cell r="X24"/>
          <cell r="Y24">
            <v>165743</v>
          </cell>
          <cell r="Z24"/>
          <cell r="AC24"/>
          <cell r="AD24"/>
        </row>
        <row r="25">
          <cell r="B25"/>
          <cell r="G25"/>
          <cell r="S25">
            <v>165743</v>
          </cell>
          <cell r="T25">
            <v>0</v>
          </cell>
          <cell r="U25"/>
          <cell r="V25"/>
          <cell r="W25"/>
          <cell r="X25"/>
          <cell r="Y25">
            <v>165743</v>
          </cell>
          <cell r="Z25"/>
          <cell r="AC25"/>
          <cell r="AD25"/>
        </row>
        <row r="26">
          <cell r="B26"/>
          <cell r="G26"/>
          <cell r="S26">
            <v>165743</v>
          </cell>
          <cell r="T26">
            <v>0</v>
          </cell>
          <cell r="U26"/>
          <cell r="V26"/>
          <cell r="W26"/>
          <cell r="X26"/>
          <cell r="Y26">
            <v>165743</v>
          </cell>
          <cell r="Z26"/>
          <cell r="AC26"/>
          <cell r="AD26"/>
        </row>
        <row r="27">
          <cell r="B27">
            <v>225770</v>
          </cell>
          <cell r="G27"/>
          <cell r="S27">
            <v>165743</v>
          </cell>
          <cell r="T27">
            <v>21935</v>
          </cell>
          <cell r="U27"/>
          <cell r="V27">
            <v>11200</v>
          </cell>
          <cell r="W27"/>
          <cell r="X27"/>
          <cell r="Y27">
            <v>176478</v>
          </cell>
          <cell r="Z27"/>
          <cell r="AC27"/>
          <cell r="AD27"/>
        </row>
        <row r="28">
          <cell r="B28">
            <v>281895</v>
          </cell>
          <cell r="G28"/>
          <cell r="S28">
            <v>176478</v>
          </cell>
          <cell r="T28">
            <v>28670</v>
          </cell>
          <cell r="U28"/>
          <cell r="V28">
            <v>11200</v>
          </cell>
          <cell r="W28"/>
          <cell r="X28"/>
          <cell r="Y28">
            <v>193948</v>
          </cell>
          <cell r="Z28"/>
          <cell r="AC28"/>
          <cell r="AD28"/>
        </row>
        <row r="29">
          <cell r="B29">
            <v>237415</v>
          </cell>
          <cell r="G29"/>
          <cell r="S29">
            <v>193948</v>
          </cell>
          <cell r="T29">
            <v>21850</v>
          </cell>
          <cell r="U29"/>
          <cell r="V29">
            <v>40000</v>
          </cell>
          <cell r="W29"/>
          <cell r="X29"/>
          <cell r="Y29">
            <v>175798</v>
          </cell>
          <cell r="Z29"/>
          <cell r="AC29"/>
          <cell r="AD29"/>
        </row>
        <row r="30">
          <cell r="B30">
            <v>299310</v>
          </cell>
          <cell r="G30"/>
          <cell r="S30">
            <v>175798</v>
          </cell>
          <cell r="T30">
            <v>19005</v>
          </cell>
          <cell r="U30"/>
          <cell r="V30"/>
          <cell r="W30"/>
          <cell r="X30"/>
          <cell r="Y30">
            <v>194803</v>
          </cell>
          <cell r="Z30"/>
          <cell r="AC30"/>
          <cell r="AD30"/>
        </row>
        <row r="31">
          <cell r="B31">
            <v>268700</v>
          </cell>
          <cell r="G31"/>
          <cell r="S31">
            <v>194803</v>
          </cell>
          <cell r="T31">
            <v>29930</v>
          </cell>
          <cell r="U31"/>
          <cell r="V31">
            <v>10000</v>
          </cell>
          <cell r="W31"/>
          <cell r="X31"/>
          <cell r="Y31">
            <v>214733</v>
          </cell>
          <cell r="Z31"/>
          <cell r="AC31"/>
          <cell r="AD31"/>
        </row>
        <row r="32">
          <cell r="B32"/>
          <cell r="G32"/>
          <cell r="S32">
            <v>214733</v>
          </cell>
          <cell r="T32">
            <v>0</v>
          </cell>
          <cell r="U32"/>
          <cell r="V32"/>
          <cell r="W32"/>
          <cell r="X32"/>
          <cell r="Y32">
            <v>214733</v>
          </cell>
          <cell r="Z32"/>
          <cell r="AC32"/>
          <cell r="AD32"/>
        </row>
        <row r="33">
          <cell r="B33">
            <v>5446790</v>
          </cell>
          <cell r="G33"/>
          <cell r="S33"/>
          <cell r="T33">
            <v>490935</v>
          </cell>
          <cell r="U33">
            <v>0</v>
          </cell>
          <cell r="V33"/>
          <cell r="W33"/>
          <cell r="X33"/>
          <cell r="Y33"/>
          <cell r="Z33"/>
          <cell r="AD33"/>
        </row>
      </sheetData>
      <sheetData sheetId="1">
        <row r="3">
          <cell r="B3">
            <v>262700</v>
          </cell>
        </row>
        <row r="4">
          <cell r="B4">
            <v>275260</v>
          </cell>
        </row>
        <row r="5">
          <cell r="B5">
            <v>316575</v>
          </cell>
        </row>
        <row r="6">
          <cell r="B6">
            <v>285770</v>
          </cell>
        </row>
        <row r="7">
          <cell r="B7">
            <v>273375</v>
          </cell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1413680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L4VWUU5M43WVBZPIEFKARDOWXA">
      <xxl21:absoluteUrl r:id="rId2"/>
    </xxl21:alternateUrls>
    <sheetNames>
      <sheetName val="2026 január"/>
      <sheetName val="2026 február"/>
      <sheetName val="Minta"/>
    </sheetNames>
    <sheetDataSet>
      <sheetData sheetId="0">
        <row r="1">
          <cell r="B1" t="str">
            <v>Novohost</v>
          </cell>
        </row>
        <row r="2">
          <cell r="B2"/>
        </row>
        <row r="3">
          <cell r="B3"/>
        </row>
        <row r="4">
          <cell r="B4">
            <v>41440</v>
          </cell>
        </row>
        <row r="5">
          <cell r="B5"/>
        </row>
        <row r="6">
          <cell r="B6"/>
        </row>
        <row r="7">
          <cell r="B7"/>
        </row>
        <row r="8">
          <cell r="B8"/>
        </row>
        <row r="9">
          <cell r="B9"/>
        </row>
        <row r="10">
          <cell r="B10"/>
        </row>
        <row r="11">
          <cell r="B11">
            <v>438565</v>
          </cell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480005</v>
          </cell>
        </row>
      </sheetData>
      <sheetData sheetId="1">
        <row r="2">
          <cell r="B2"/>
        </row>
        <row r="3">
          <cell r="B3"/>
        </row>
        <row r="4">
          <cell r="B4"/>
        </row>
        <row r="5">
          <cell r="B5"/>
        </row>
        <row r="6">
          <cell r="B6"/>
        </row>
        <row r="7">
          <cell r="B7"/>
        </row>
        <row r="8">
          <cell r="B8"/>
        </row>
        <row r="9">
          <cell r="B9"/>
        </row>
        <row r="10">
          <cell r="B10"/>
        </row>
        <row r="11">
          <cell r="B11"/>
        </row>
        <row r="12">
          <cell r="B12"/>
        </row>
        <row r="13">
          <cell r="B13"/>
        </row>
        <row r="14">
          <cell r="B14"/>
        </row>
        <row r="15">
          <cell r="B15"/>
        </row>
        <row r="16">
          <cell r="B16"/>
        </row>
        <row r="17">
          <cell r="B17"/>
        </row>
        <row r="18">
          <cell r="B18"/>
        </row>
        <row r="19">
          <cell r="B19"/>
        </row>
        <row r="20">
          <cell r="B20"/>
        </row>
        <row r="21">
          <cell r="B21"/>
        </row>
        <row r="22">
          <cell r="B22"/>
        </row>
        <row r="23">
          <cell r="B23"/>
        </row>
        <row r="24">
          <cell r="B24"/>
        </row>
        <row r="25">
          <cell r="B25"/>
        </row>
        <row r="26">
          <cell r="B26"/>
        </row>
        <row r="27">
          <cell r="B27"/>
        </row>
        <row r="28">
          <cell r="B28"/>
        </row>
        <row r="29">
          <cell r="B29"/>
        </row>
        <row r="30">
          <cell r="B30"/>
        </row>
        <row r="31">
          <cell r="B31"/>
        </row>
        <row r="32">
          <cell r="B32"/>
        </row>
        <row r="33">
          <cell r="B33">
            <v>0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1feRnF1it0653yNDbPgcxhyn3kJAr3hMkCTlEeM7uZDfy_ont5d2T53PUp6mZe-f" itemId="01HF72N5OIA34ZPGLXKJGKXF2VIEDMGGUX">
      <xxl21:absoluteUrl r:id="rId2"/>
    </xxl21:alternateUrls>
    <sheetNames>
      <sheetName val="2024 augusztus"/>
      <sheetName val="2024 július"/>
      <sheetName val="2024 június"/>
      <sheetName val="2024 május"/>
      <sheetName val="2024 április"/>
      <sheetName val="2024 március"/>
      <sheetName val="2024 február"/>
      <sheetName val="Minta"/>
    </sheetNames>
    <sheetDataSet>
      <sheetData sheetId="0"/>
      <sheetData sheetId="1">
        <row r="1">
          <cell r="X1" t="str">
            <v>AP A09110892</v>
          </cell>
          <cell r="Y1">
            <v>0</v>
          </cell>
          <cell r="Z1">
            <v>0.05</v>
          </cell>
          <cell r="AA1">
            <v>0.18</v>
          </cell>
          <cell r="AB1">
            <v>0.27</v>
          </cell>
          <cell r="AC1" t="str">
            <v>készpénz</v>
          </cell>
          <cell r="AD1" t="str">
            <v>kártya</v>
          </cell>
          <cell r="AE1" t="str">
            <v>zárás ssz</v>
          </cell>
          <cell r="AF1" t="str">
            <v>göngyölt e.</v>
          </cell>
        </row>
        <row r="2">
          <cell r="Y2"/>
          <cell r="Z2"/>
          <cell r="AA2"/>
          <cell r="AB2"/>
          <cell r="AC2"/>
          <cell r="AD2"/>
          <cell r="AE2"/>
          <cell r="AF2"/>
        </row>
        <row r="3">
          <cell r="Y3"/>
          <cell r="Z3"/>
          <cell r="AA3"/>
          <cell r="AB3"/>
          <cell r="AC3"/>
          <cell r="AD3"/>
          <cell r="AE3"/>
          <cell r="AF3"/>
        </row>
        <row r="4">
          <cell r="Y4"/>
          <cell r="Z4"/>
          <cell r="AA4"/>
          <cell r="AB4"/>
          <cell r="AC4"/>
          <cell r="AD4"/>
        </row>
        <row r="5">
          <cell r="Y5"/>
          <cell r="Z5"/>
          <cell r="AA5"/>
          <cell r="AB5"/>
          <cell r="AC5"/>
          <cell r="AD5"/>
          <cell r="AE5"/>
          <cell r="AF5"/>
        </row>
        <row r="6">
          <cell r="Y6"/>
          <cell r="AA6"/>
          <cell r="AB6"/>
          <cell r="AD6"/>
        </row>
        <row r="7">
          <cell r="Y7"/>
          <cell r="Z7"/>
          <cell r="AA7"/>
        </row>
        <row r="8">
          <cell r="Y8"/>
          <cell r="Z8"/>
          <cell r="AA8"/>
          <cell r="AB8"/>
          <cell r="AC8"/>
          <cell r="AD8"/>
          <cell r="AE8"/>
          <cell r="AF8"/>
        </row>
        <row r="9">
          <cell r="Y9"/>
          <cell r="Z9"/>
          <cell r="AA9"/>
          <cell r="AB9"/>
          <cell r="AC9"/>
          <cell r="AD9"/>
          <cell r="AE9"/>
          <cell r="AF9"/>
        </row>
        <row r="10">
          <cell r="Y10"/>
          <cell r="Z10"/>
          <cell r="AA10"/>
          <cell r="AB10"/>
          <cell r="AC10"/>
          <cell r="AD10"/>
          <cell r="AE10"/>
          <cell r="AF10"/>
        </row>
        <row r="11">
          <cell r="Y11"/>
          <cell r="Z11"/>
          <cell r="AA11"/>
          <cell r="AB11"/>
          <cell r="AC11"/>
          <cell r="AD11"/>
          <cell r="AE11"/>
          <cell r="AF11"/>
        </row>
        <row r="12">
          <cell r="Y12"/>
          <cell r="Z12"/>
          <cell r="AA12"/>
          <cell r="AB12"/>
          <cell r="AC12"/>
          <cell r="AD12"/>
          <cell r="AE12"/>
          <cell r="AF12"/>
        </row>
        <row r="13">
          <cell r="Y13"/>
          <cell r="Z13"/>
          <cell r="AA13"/>
          <cell r="AB13"/>
          <cell r="AC13"/>
          <cell r="AD13"/>
          <cell r="AE13"/>
          <cell r="AF13"/>
        </row>
        <row r="14">
          <cell r="Y14"/>
          <cell r="Z14"/>
          <cell r="AA14"/>
          <cell r="AB14"/>
          <cell r="AC14"/>
          <cell r="AD14"/>
          <cell r="AE14"/>
          <cell r="AF14"/>
        </row>
        <row r="15">
          <cell r="Y15"/>
          <cell r="Z15"/>
          <cell r="AA15"/>
          <cell r="AB15"/>
          <cell r="AC15"/>
          <cell r="AD15"/>
          <cell r="AE15"/>
          <cell r="AF15"/>
        </row>
        <row r="16">
          <cell r="Y16"/>
          <cell r="Z16"/>
          <cell r="AA16"/>
          <cell r="AB16"/>
          <cell r="AC16"/>
          <cell r="AD16"/>
          <cell r="AE16"/>
          <cell r="AF16"/>
        </row>
        <row r="17">
          <cell r="Y17"/>
          <cell r="Z17"/>
          <cell r="AA17"/>
          <cell r="AB17"/>
          <cell r="AC17"/>
          <cell r="AD17"/>
          <cell r="AE17"/>
          <cell r="AF17"/>
        </row>
        <row r="18">
          <cell r="Y18"/>
          <cell r="Z18"/>
          <cell r="AA18"/>
          <cell r="AB18"/>
          <cell r="AC18"/>
          <cell r="AD18"/>
          <cell r="AE18"/>
          <cell r="AF18"/>
        </row>
        <row r="19">
          <cell r="Y19"/>
          <cell r="Z19"/>
          <cell r="AA19"/>
          <cell r="AB19"/>
          <cell r="AC19"/>
          <cell r="AD19"/>
          <cell r="AE19"/>
          <cell r="AF19"/>
        </row>
        <row r="20">
          <cell r="Y20"/>
          <cell r="Z20"/>
          <cell r="AA20"/>
          <cell r="AB20"/>
          <cell r="AC20"/>
          <cell r="AD20"/>
          <cell r="AE20"/>
          <cell r="AF20"/>
        </row>
        <row r="21">
          <cell r="Y21"/>
          <cell r="Z21"/>
          <cell r="AA21"/>
          <cell r="AB21"/>
          <cell r="AC21"/>
          <cell r="AD21"/>
          <cell r="AE21"/>
          <cell r="AF21"/>
        </row>
        <row r="22">
          <cell r="Y22"/>
          <cell r="Z22"/>
          <cell r="AA22"/>
          <cell r="AB22"/>
          <cell r="AC22"/>
          <cell r="AD22"/>
          <cell r="AE22"/>
          <cell r="AF22"/>
        </row>
        <row r="23">
          <cell r="Y23"/>
          <cell r="Z23"/>
          <cell r="AA23"/>
          <cell r="AB23"/>
          <cell r="AC23"/>
          <cell r="AD23"/>
          <cell r="AE23"/>
          <cell r="AF23"/>
        </row>
        <row r="24">
          <cell r="Y24"/>
          <cell r="Z24"/>
          <cell r="AA24"/>
          <cell r="AB24"/>
          <cell r="AC24"/>
          <cell r="AD24"/>
          <cell r="AE24"/>
          <cell r="AF24"/>
        </row>
        <row r="25">
          <cell r="Y25"/>
          <cell r="Z25"/>
          <cell r="AA25"/>
          <cell r="AB25"/>
          <cell r="AC25"/>
          <cell r="AD25"/>
          <cell r="AE25"/>
          <cell r="AF25"/>
        </row>
        <row r="26">
          <cell r="Y26"/>
          <cell r="Z26"/>
          <cell r="AA26"/>
          <cell r="AB26"/>
          <cell r="AC26"/>
          <cell r="AD26"/>
          <cell r="AE26"/>
          <cell r="AF26"/>
        </row>
        <row r="27">
          <cell r="Y27"/>
          <cell r="Z27"/>
          <cell r="AA27"/>
          <cell r="AB27"/>
          <cell r="AC27"/>
          <cell r="AD27"/>
          <cell r="AE27"/>
          <cell r="AF27"/>
        </row>
        <row r="28">
          <cell r="Y28"/>
          <cell r="Z28"/>
          <cell r="AA28"/>
          <cell r="AB28"/>
          <cell r="AC28"/>
          <cell r="AD28"/>
          <cell r="AE28"/>
          <cell r="AF28"/>
        </row>
        <row r="29">
          <cell r="Y29"/>
          <cell r="Z29"/>
          <cell r="AA29"/>
          <cell r="AB29"/>
          <cell r="AC29"/>
          <cell r="AD29"/>
          <cell r="AE29"/>
          <cell r="AF29"/>
        </row>
        <row r="30">
          <cell r="Y30"/>
          <cell r="Z30"/>
          <cell r="AA30"/>
          <cell r="AB30"/>
          <cell r="AC30"/>
          <cell r="AD30"/>
          <cell r="AE30"/>
          <cell r="AF30"/>
        </row>
        <row r="31">
          <cell r="Y31"/>
          <cell r="Z31"/>
          <cell r="AA31"/>
          <cell r="AB31"/>
          <cell r="AC31"/>
          <cell r="AD31"/>
          <cell r="AE31"/>
          <cell r="AF31"/>
        </row>
        <row r="32">
          <cell r="Y32"/>
          <cell r="Z32"/>
          <cell r="AA32"/>
          <cell r="AB32"/>
          <cell r="AC32"/>
          <cell r="AD32"/>
          <cell r="AE32"/>
          <cell r="AF32"/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E32DB-E092-40BB-95A9-3FC9D26C4E5B}">
  <sheetPr>
    <tabColor theme="8" tint="0.79998168889431442"/>
  </sheetPr>
  <dimension ref="A2:AD34"/>
  <sheetViews>
    <sheetView workbookViewId="0">
      <pane ySplit="2" topLeftCell="E14" activePane="bottomLeft" state="frozen"/>
      <selection pane="bottomLeft" activeCell="E14" sqref="E14"/>
    </sheetView>
  </sheetViews>
  <sheetFormatPr defaultRowHeight="15" customHeight="1"/>
  <cols>
    <col min="1" max="1" width="3.7109375" customWidth="1"/>
    <col min="2" max="2" width="22.28515625" style="64" customWidth="1"/>
    <col min="3" max="3" width="27.140625" style="4" customWidth="1"/>
    <col min="4" max="5" width="29.42578125" style="40" customWidth="1"/>
    <col min="6" max="6" width="17.140625" style="40" customWidth="1"/>
    <col min="7" max="11" width="16.28515625" style="95" customWidth="1"/>
    <col min="12" max="13" width="16.28515625" style="107" customWidth="1"/>
    <col min="14" max="14" width="16.28515625" style="1" customWidth="1"/>
    <col min="15" max="15" width="16.28515625" style="108" customWidth="1"/>
    <col min="16" max="23" width="16.28515625" style="95" customWidth="1"/>
    <col min="24" max="24" width="18.28515625" style="95" customWidth="1"/>
    <col min="25" max="30" width="16.28515625" style="95" customWidth="1"/>
  </cols>
  <sheetData>
    <row r="2" spans="2:30" ht="24" customHeight="1">
      <c r="B2" s="104"/>
      <c r="C2" s="151"/>
      <c r="D2" s="403" t="s">
        <v>0</v>
      </c>
      <c r="E2" s="403" t="s">
        <v>1</v>
      </c>
      <c r="F2" s="403" t="s">
        <v>2</v>
      </c>
      <c r="G2" s="463" t="s">
        <v>3</v>
      </c>
      <c r="H2" s="463"/>
      <c r="I2" s="464" t="s">
        <v>4</v>
      </c>
      <c r="J2" s="465"/>
      <c r="K2" s="463" t="s">
        <v>5</v>
      </c>
      <c r="L2" s="463"/>
      <c r="M2" s="464" t="s">
        <v>6</v>
      </c>
      <c r="N2" s="465"/>
      <c r="O2" s="463" t="s">
        <v>7</v>
      </c>
      <c r="P2" s="463"/>
      <c r="Q2" s="466" t="s">
        <v>8</v>
      </c>
      <c r="R2" s="467"/>
      <c r="S2" s="468" t="s">
        <v>9</v>
      </c>
      <c r="T2" s="462"/>
      <c r="U2" s="461" t="s">
        <v>10</v>
      </c>
      <c r="V2" s="462"/>
      <c r="W2" s="461" t="s">
        <v>11</v>
      </c>
      <c r="X2" s="462"/>
      <c r="Y2" s="461" t="s">
        <v>12</v>
      </c>
      <c r="Z2" s="462"/>
      <c r="AA2" s="461" t="s">
        <v>13</v>
      </c>
      <c r="AB2" s="462"/>
      <c r="AC2" s="461" t="s">
        <v>14</v>
      </c>
      <c r="AD2" s="462"/>
    </row>
    <row r="3" spans="2:30" ht="24" customHeight="1">
      <c r="B3" s="266"/>
      <c r="C3" s="66"/>
      <c r="D3" s="127"/>
      <c r="E3" s="127"/>
      <c r="F3" s="131"/>
      <c r="G3" s="73" t="s">
        <v>15</v>
      </c>
      <c r="H3" s="59" t="s">
        <v>16</v>
      </c>
      <c r="I3" s="59" t="s">
        <v>15</v>
      </c>
      <c r="J3" s="59" t="s">
        <v>16</v>
      </c>
      <c r="K3" s="59" t="s">
        <v>15</v>
      </c>
      <c r="L3" s="118" t="s">
        <v>16</v>
      </c>
      <c r="M3" s="119" t="s">
        <v>15</v>
      </c>
      <c r="N3" s="120" t="s">
        <v>16</v>
      </c>
      <c r="O3" s="73" t="s">
        <v>15</v>
      </c>
      <c r="P3" s="118" t="s">
        <v>16</v>
      </c>
      <c r="Q3" s="136" t="s">
        <v>15</v>
      </c>
      <c r="R3" s="137" t="s">
        <v>16</v>
      </c>
      <c r="S3" s="105" t="s">
        <v>15</v>
      </c>
      <c r="T3" s="106" t="s">
        <v>16</v>
      </c>
      <c r="U3" s="105" t="s">
        <v>15</v>
      </c>
      <c r="V3" s="106" t="s">
        <v>16</v>
      </c>
      <c r="W3" s="105" t="s">
        <v>15</v>
      </c>
      <c r="X3" s="106" t="s">
        <v>16</v>
      </c>
      <c r="Y3" s="105" t="s">
        <v>15</v>
      </c>
      <c r="Z3" s="106" t="s">
        <v>16</v>
      </c>
      <c r="AA3" s="105" t="s">
        <v>15</v>
      </c>
      <c r="AB3" s="106" t="s">
        <v>16</v>
      </c>
      <c r="AC3" s="105" t="s">
        <v>15</v>
      </c>
      <c r="AD3" s="106" t="s">
        <v>16</v>
      </c>
    </row>
    <row r="4" spans="2:30">
      <c r="B4" s="74" t="s">
        <v>17</v>
      </c>
      <c r="C4" s="265" t="str">
        <f>MÁK!A1</f>
        <v>AP A13610440</v>
      </c>
      <c r="D4" s="128"/>
      <c r="E4" s="128"/>
      <c r="F4" s="132"/>
      <c r="G4" s="96">
        <f>'202601'!L3</f>
        <v>7171251.5</v>
      </c>
      <c r="H4" s="96">
        <f>'202601'!J3</f>
        <v>459515</v>
      </c>
      <c r="I4" s="111"/>
      <c r="J4" s="112"/>
      <c r="K4" s="96"/>
      <c r="L4" s="96"/>
      <c r="M4" s="111"/>
      <c r="N4" s="112"/>
      <c r="O4" s="96"/>
      <c r="P4" s="96"/>
      <c r="Q4" s="111"/>
      <c r="R4" s="112"/>
      <c r="S4" s="111"/>
      <c r="T4" s="112"/>
      <c r="U4" s="111"/>
      <c r="V4" s="112"/>
      <c r="W4" s="111"/>
      <c r="X4" s="112"/>
      <c r="Y4" s="111"/>
      <c r="Z4" s="112"/>
      <c r="AA4" s="111"/>
      <c r="AB4" s="112"/>
      <c r="AC4" s="111"/>
      <c r="AD4" s="112"/>
    </row>
    <row r="5" spans="2:30">
      <c r="B5" s="138"/>
      <c r="C5" s="125"/>
      <c r="D5" s="44"/>
      <c r="E5" s="44"/>
      <c r="F5" s="38"/>
      <c r="G5" s="96"/>
      <c r="H5" s="96"/>
      <c r="I5" s="111"/>
      <c r="J5" s="112"/>
      <c r="K5" s="96"/>
      <c r="L5" s="109"/>
      <c r="M5" s="111"/>
      <c r="N5" s="121"/>
      <c r="O5" s="96"/>
      <c r="P5" s="109"/>
      <c r="Q5" s="111"/>
      <c r="R5" s="121"/>
      <c r="S5" s="111"/>
      <c r="T5" s="121"/>
      <c r="U5" s="111"/>
      <c r="V5" s="121"/>
      <c r="W5" s="111"/>
      <c r="X5" s="121"/>
      <c r="Y5" s="111"/>
      <c r="Z5" s="121"/>
      <c r="AA5" s="111"/>
      <c r="AB5" s="121"/>
      <c r="AC5" s="111"/>
      <c r="AD5" s="121"/>
    </row>
    <row r="6" spans="2:30">
      <c r="B6" s="114" t="s">
        <v>18</v>
      </c>
      <c r="C6" s="124" t="str">
        <f>Knorr105!A1</f>
        <v>AP A09111376</v>
      </c>
      <c r="D6" s="128"/>
      <c r="E6" s="128"/>
      <c r="F6" s="132"/>
      <c r="G6" s="96">
        <f>'202601'!L5</f>
        <v>8507266</v>
      </c>
      <c r="H6" s="96">
        <f>'202601'!J5</f>
        <v>7190</v>
      </c>
      <c r="I6" s="111"/>
      <c r="J6" s="112"/>
      <c r="K6" s="96"/>
      <c r="L6" s="96"/>
      <c r="M6" s="111"/>
      <c r="N6" s="112"/>
      <c r="O6" s="96"/>
      <c r="P6" s="96"/>
      <c r="Q6" s="111"/>
      <c r="R6" s="112"/>
      <c r="S6" s="111"/>
      <c r="T6" s="112"/>
      <c r="U6" s="111"/>
      <c r="V6" s="112"/>
      <c r="W6" s="111"/>
      <c r="X6" s="112"/>
      <c r="Y6" s="111"/>
      <c r="Z6" s="112"/>
      <c r="AA6" s="111"/>
      <c r="AB6" s="112"/>
      <c r="AC6" s="111"/>
      <c r="AD6" s="112"/>
    </row>
    <row r="7" spans="2:30">
      <c r="B7" s="114" t="s">
        <v>18</v>
      </c>
      <c r="C7" s="114" t="str">
        <f>Knorr105!Q1</f>
        <v xml:space="preserve">AP A24010154 </v>
      </c>
      <c r="D7" s="128"/>
      <c r="E7" s="128"/>
      <c r="F7" s="132"/>
      <c r="G7" s="96">
        <f ca="1">'202601'!L6</f>
        <v>0.5</v>
      </c>
      <c r="H7" s="96">
        <f ca="1">'202601'!J6</f>
        <v>0</v>
      </c>
      <c r="I7" s="111"/>
      <c r="J7" s="112"/>
      <c r="K7" s="96"/>
      <c r="L7" s="96"/>
      <c r="M7" s="111"/>
      <c r="N7" s="112"/>
      <c r="O7" s="96"/>
      <c r="P7" s="96"/>
      <c r="Q7" s="111"/>
      <c r="R7" s="112"/>
      <c r="S7" s="111"/>
      <c r="T7" s="112"/>
      <c r="U7" s="111"/>
      <c r="V7" s="112"/>
      <c r="W7" s="111"/>
      <c r="X7" s="112"/>
      <c r="Y7" s="111"/>
      <c r="Z7" s="112"/>
      <c r="AA7" s="111"/>
      <c r="AB7" s="112"/>
      <c r="AC7" s="111"/>
      <c r="AD7" s="112"/>
    </row>
    <row r="8" spans="2:30">
      <c r="B8" s="114" t="s">
        <v>18</v>
      </c>
      <c r="C8" s="114" t="str">
        <f>Knorr105!AG1</f>
        <v>AP A13609805</v>
      </c>
      <c r="D8" s="128" t="s">
        <v>19</v>
      </c>
      <c r="E8" s="128"/>
      <c r="F8" s="132" t="s">
        <v>20</v>
      </c>
      <c r="G8" s="96">
        <f>'202601'!L7</f>
        <v>7283289.4999999991</v>
      </c>
      <c r="H8" s="96">
        <f>'202601'!J7</f>
        <v>0</v>
      </c>
      <c r="I8" s="111"/>
      <c r="J8" s="112"/>
      <c r="K8" s="96"/>
      <c r="L8" s="96"/>
      <c r="M8" s="111"/>
      <c r="N8" s="112"/>
      <c r="O8" s="96"/>
      <c r="P8" s="96"/>
      <c r="Q8" s="111"/>
      <c r="R8" s="112"/>
      <c r="S8" s="111"/>
      <c r="T8" s="112"/>
      <c r="U8" s="111"/>
      <c r="V8" s="112"/>
      <c r="W8" s="111"/>
      <c r="X8" s="112"/>
      <c r="Y8" s="111"/>
      <c r="Z8" s="112"/>
      <c r="AA8" s="111"/>
      <c r="AB8" s="112"/>
      <c r="AC8" s="111"/>
      <c r="AD8" s="112"/>
    </row>
    <row r="9" spans="2:30">
      <c r="B9" s="114" t="s">
        <v>18</v>
      </c>
      <c r="C9" s="114" t="s">
        <v>21</v>
      </c>
      <c r="D9" s="128" t="s">
        <v>22</v>
      </c>
      <c r="E9" s="128"/>
      <c r="F9" s="132" t="s">
        <v>23</v>
      </c>
      <c r="G9" s="96"/>
      <c r="H9" s="96"/>
      <c r="I9" s="111"/>
      <c r="J9" s="112"/>
      <c r="K9" s="96"/>
      <c r="L9" s="96"/>
      <c r="M9" s="111"/>
      <c r="N9" s="112"/>
      <c r="O9" s="96"/>
      <c r="P9" s="96"/>
      <c r="Q9" s="111"/>
      <c r="R9" s="112"/>
      <c r="S9" s="111"/>
      <c r="T9" s="112"/>
      <c r="U9" s="111"/>
      <c r="V9" s="112"/>
      <c r="W9" s="111"/>
      <c r="X9" s="112"/>
      <c r="Y9" s="111"/>
      <c r="Z9" s="112"/>
      <c r="AA9" s="111"/>
      <c r="AB9" s="112"/>
      <c r="AC9" s="111"/>
      <c r="AD9" s="112"/>
    </row>
    <row r="10" spans="2:30">
      <c r="B10" s="135"/>
      <c r="C10" s="126"/>
      <c r="D10" s="129"/>
      <c r="E10" s="129"/>
      <c r="F10" s="133"/>
      <c r="G10" s="96"/>
      <c r="H10" s="96"/>
      <c r="I10" s="111"/>
      <c r="J10" s="112"/>
      <c r="K10" s="96"/>
      <c r="L10" s="109"/>
      <c r="M10" s="111"/>
      <c r="N10" s="121"/>
      <c r="O10" s="96"/>
      <c r="P10" s="109"/>
      <c r="Q10" s="111"/>
      <c r="R10" s="121"/>
      <c r="S10" s="111"/>
      <c r="T10" s="121"/>
      <c r="U10" s="111"/>
      <c r="V10" s="121"/>
      <c r="W10" s="111"/>
      <c r="X10" s="121"/>
      <c r="Y10" s="111"/>
      <c r="Z10" s="121"/>
      <c r="AA10" s="111"/>
      <c r="AB10" s="121"/>
      <c r="AC10" s="111"/>
      <c r="AD10" s="121"/>
    </row>
    <row r="11" spans="2:30">
      <c r="B11" s="114" t="s">
        <v>24</v>
      </c>
      <c r="C11" s="114" t="str">
        <f>Knorr86!A1</f>
        <v>AP A13607465</v>
      </c>
      <c r="D11" s="128" t="s">
        <v>25</v>
      </c>
      <c r="E11" s="128"/>
      <c r="F11" s="132" t="s">
        <v>20</v>
      </c>
      <c r="G11" s="96">
        <f>'202601'!L10</f>
        <v>4985745.5</v>
      </c>
      <c r="H11" s="96">
        <f>'202601'!J10</f>
        <v>29890</v>
      </c>
      <c r="I11" s="111"/>
      <c r="J11" s="112"/>
      <c r="K11" s="96"/>
      <c r="L11" s="96"/>
      <c r="M11" s="111"/>
      <c r="N11" s="112"/>
      <c r="O11" s="96"/>
      <c r="P11" s="96"/>
      <c r="Q11" s="111"/>
      <c r="R11" s="112"/>
      <c r="S11" s="111"/>
      <c r="T11" s="112"/>
      <c r="U11" s="111"/>
      <c r="V11" s="112"/>
      <c r="W11" s="111"/>
      <c r="X11" s="112"/>
      <c r="Y11" s="111"/>
      <c r="Z11" s="112"/>
      <c r="AA11" s="111"/>
      <c r="AB11" s="112"/>
      <c r="AC11" s="111"/>
      <c r="AD11" s="112"/>
    </row>
    <row r="12" spans="2:30">
      <c r="B12" s="135"/>
      <c r="C12" s="126"/>
      <c r="D12" s="129"/>
      <c r="E12" s="129"/>
      <c r="F12" s="133"/>
      <c r="G12" s="96"/>
      <c r="H12" s="96"/>
      <c r="I12" s="111"/>
      <c r="J12" s="112"/>
      <c r="K12" s="96"/>
      <c r="L12" s="109"/>
      <c r="M12" s="111"/>
      <c r="N12" s="121"/>
      <c r="O12" s="96"/>
      <c r="P12" s="109"/>
      <c r="Q12" s="111"/>
      <c r="R12" s="121"/>
      <c r="S12" s="111"/>
      <c r="T12" s="121"/>
      <c r="U12" s="111"/>
      <c r="V12" s="121"/>
      <c r="W12" s="111"/>
      <c r="X12" s="121"/>
      <c r="Y12" s="111"/>
      <c r="Z12" s="121"/>
      <c r="AA12" s="111"/>
      <c r="AB12" s="121"/>
      <c r="AC12" s="111"/>
      <c r="AD12" s="121"/>
    </row>
    <row r="13" spans="2:30">
      <c r="B13" s="114" t="s">
        <v>26</v>
      </c>
      <c r="C13" s="124" t="str">
        <f>Knorr69!A1</f>
        <v>AP A09111377</v>
      </c>
      <c r="D13" s="128"/>
      <c r="E13" s="128"/>
      <c r="F13" s="132"/>
      <c r="G13" s="96" t="e">
        <f>'202601'!L12</f>
        <v>#REF!</v>
      </c>
      <c r="H13" s="96" t="e">
        <f>'202601'!J12</f>
        <v>#REF!</v>
      </c>
      <c r="I13" s="111"/>
      <c r="J13" s="112"/>
      <c r="K13" s="96"/>
      <c r="L13" s="96"/>
      <c r="M13" s="111"/>
      <c r="N13" s="112"/>
      <c r="O13" s="96"/>
      <c r="P13" s="96"/>
      <c r="Q13" s="111"/>
      <c r="R13" s="112"/>
      <c r="S13" s="111"/>
      <c r="T13" s="112"/>
      <c r="U13" s="111"/>
      <c r="V13" s="112"/>
      <c r="W13" s="111"/>
      <c r="X13" s="112"/>
      <c r="Y13" s="111"/>
      <c r="Z13" s="112"/>
      <c r="AA13" s="111"/>
      <c r="AB13" s="112"/>
      <c r="AC13" s="111"/>
      <c r="AD13" s="112"/>
    </row>
    <row r="14" spans="2:30">
      <c r="B14" s="135"/>
      <c r="C14" s="126"/>
      <c r="D14" s="129"/>
      <c r="E14" s="129"/>
      <c r="F14" s="133"/>
      <c r="G14" s="96"/>
      <c r="H14" s="96"/>
      <c r="I14" s="111"/>
      <c r="J14" s="112"/>
      <c r="K14" s="96"/>
      <c r="L14" s="109"/>
      <c r="M14" s="111"/>
      <c r="N14" s="121"/>
      <c r="O14" s="96"/>
      <c r="P14" s="109"/>
      <c r="Q14" s="111"/>
      <c r="R14" s="121"/>
      <c r="S14" s="111"/>
      <c r="T14" s="121"/>
      <c r="U14" s="111"/>
      <c r="V14" s="121"/>
      <c r="W14" s="111"/>
      <c r="X14" s="121"/>
      <c r="Y14" s="111"/>
      <c r="Z14" s="121"/>
      <c r="AA14" s="111"/>
      <c r="AB14" s="121"/>
      <c r="AC14" s="111"/>
      <c r="AD14" s="121"/>
    </row>
    <row r="15" spans="2:30">
      <c r="B15" s="114" t="s">
        <v>27</v>
      </c>
      <c r="C15" s="124" t="str">
        <f>KTI!A1</f>
        <v>AP A13607773</v>
      </c>
      <c r="D15" s="128" t="s">
        <v>28</v>
      </c>
      <c r="E15" s="128"/>
      <c r="F15" s="132" t="s">
        <v>20</v>
      </c>
      <c r="G15" s="96" t="e">
        <f>'202601'!L14</f>
        <v>#REF!</v>
      </c>
      <c r="H15" s="96" t="e">
        <f>'202601'!J14</f>
        <v>#REF!</v>
      </c>
      <c r="I15" s="111"/>
      <c r="J15" s="112"/>
      <c r="K15" s="96"/>
      <c r="L15" s="96"/>
      <c r="M15" s="111"/>
      <c r="N15" s="112"/>
      <c r="O15" s="96"/>
      <c r="P15" s="96"/>
      <c r="Q15" s="111"/>
      <c r="R15" s="112"/>
      <c r="S15" s="111"/>
      <c r="T15" s="112"/>
      <c r="U15" s="111"/>
      <c r="V15" s="112"/>
      <c r="W15" s="111"/>
      <c r="X15" s="112"/>
      <c r="Y15" s="111"/>
      <c r="Z15" s="112"/>
      <c r="AA15" s="111"/>
      <c r="AB15" s="112"/>
      <c r="AC15" s="111"/>
      <c r="AD15" s="112"/>
    </row>
    <row r="16" spans="2:30">
      <c r="B16" s="135"/>
      <c r="C16" s="126"/>
      <c r="D16" s="129"/>
      <c r="E16" s="129"/>
      <c r="F16" s="133"/>
      <c r="G16" s="96"/>
      <c r="H16" s="96"/>
      <c r="I16" s="111"/>
      <c r="J16" s="112"/>
      <c r="K16" s="96"/>
      <c r="L16" s="109"/>
      <c r="M16" s="111"/>
      <c r="N16" s="121"/>
      <c r="O16" s="96"/>
      <c r="P16" s="109"/>
      <c r="Q16" s="111"/>
      <c r="R16" s="121"/>
      <c r="S16" s="111"/>
      <c r="T16" s="121"/>
      <c r="U16" s="111"/>
      <c r="V16" s="121"/>
      <c r="W16" s="111"/>
      <c r="X16" s="121"/>
      <c r="Y16" s="111"/>
      <c r="Z16" s="121"/>
      <c r="AA16" s="111"/>
      <c r="AB16" s="121"/>
      <c r="AC16" s="111"/>
      <c r="AD16" s="121"/>
    </row>
    <row r="17" spans="1:30">
      <c r="B17" s="114" t="s">
        <v>29</v>
      </c>
      <c r="C17" s="124" t="str">
        <f>Szentkiralyi!A1</f>
        <v>AP A13611447</v>
      </c>
      <c r="D17" s="128"/>
      <c r="E17" s="128"/>
      <c r="F17" s="132"/>
      <c r="G17" s="96"/>
      <c r="H17" s="96"/>
      <c r="I17" s="111"/>
      <c r="J17" s="112"/>
      <c r="K17" s="96"/>
      <c r="L17" s="96"/>
      <c r="M17" s="111"/>
      <c r="N17" s="112"/>
      <c r="O17" s="96"/>
      <c r="P17" s="96"/>
      <c r="Q17" s="111"/>
      <c r="R17" s="112"/>
      <c r="S17" s="111"/>
      <c r="T17" s="112"/>
      <c r="U17" s="111"/>
      <c r="V17" s="112"/>
      <c r="W17" s="111"/>
      <c r="X17" s="112"/>
      <c r="Y17" s="111"/>
      <c r="Z17" s="112"/>
      <c r="AA17" s="111"/>
      <c r="AB17" s="112"/>
      <c r="AC17" s="111"/>
      <c r="AD17" s="112"/>
    </row>
    <row r="18" spans="1:30">
      <c r="B18" s="135"/>
      <c r="C18" s="126"/>
      <c r="D18" s="129"/>
      <c r="E18" s="129"/>
      <c r="F18" s="133"/>
      <c r="G18" s="96"/>
      <c r="H18" s="96"/>
      <c r="I18" s="111"/>
      <c r="J18" s="112"/>
      <c r="K18" s="96"/>
      <c r="L18" s="96"/>
      <c r="M18" s="111"/>
      <c r="N18" s="112"/>
      <c r="O18" s="96"/>
      <c r="P18" s="96"/>
      <c r="Q18" s="111"/>
      <c r="R18" s="112"/>
      <c r="S18" s="111"/>
      <c r="T18" s="112"/>
      <c r="U18" s="111"/>
      <c r="V18" s="112"/>
      <c r="W18" s="111"/>
      <c r="X18" s="112"/>
      <c r="Y18" s="111"/>
      <c r="Z18" s="112"/>
      <c r="AA18" s="111"/>
      <c r="AB18" s="112"/>
      <c r="AC18" s="111"/>
      <c r="AD18" s="112"/>
    </row>
    <row r="19" spans="1:30">
      <c r="B19" s="114" t="s">
        <v>30</v>
      </c>
      <c r="C19" s="124" t="s">
        <v>31</v>
      </c>
      <c r="D19" s="128"/>
      <c r="E19" s="128"/>
      <c r="F19" s="132"/>
      <c r="G19" s="96">
        <f>'202601'!L18</f>
        <v>987739.5</v>
      </c>
      <c r="H19" s="96">
        <f>'202601'!J18</f>
        <v>318535</v>
      </c>
      <c r="I19" s="111"/>
      <c r="J19" s="112"/>
      <c r="K19" s="96"/>
      <c r="L19" s="96"/>
      <c r="M19" s="111"/>
      <c r="N19" s="112"/>
      <c r="O19" s="96"/>
      <c r="P19" s="96"/>
      <c r="Q19" s="111"/>
      <c r="R19" s="112"/>
      <c r="S19" s="111"/>
      <c r="T19" s="112"/>
      <c r="U19" s="111"/>
      <c r="V19" s="112"/>
      <c r="W19" s="111"/>
      <c r="X19" s="112"/>
      <c r="Y19" s="111"/>
      <c r="Z19" s="112"/>
      <c r="AA19" s="111"/>
      <c r="AB19" s="112"/>
      <c r="AC19" s="111"/>
      <c r="AD19" s="112"/>
    </row>
    <row r="20" spans="1:30">
      <c r="B20" s="114" t="s">
        <v>30</v>
      </c>
      <c r="C20" s="114" t="s">
        <v>32</v>
      </c>
      <c r="D20" s="128" t="s">
        <v>33</v>
      </c>
      <c r="E20" s="128"/>
      <c r="F20" s="132" t="s">
        <v>20</v>
      </c>
      <c r="G20" s="96">
        <f>'202601'!L19</f>
        <v>370942.5</v>
      </c>
      <c r="H20" s="96">
        <f>'202601'!J19</f>
        <v>115925</v>
      </c>
      <c r="I20" s="111"/>
      <c r="J20" s="112"/>
      <c r="K20" s="96"/>
      <c r="L20" s="96"/>
      <c r="M20" s="111"/>
      <c r="N20" s="112"/>
      <c r="O20" s="96"/>
      <c r="P20" s="96"/>
      <c r="Q20" s="111"/>
      <c r="R20" s="112"/>
      <c r="S20" s="111"/>
      <c r="T20" s="112"/>
      <c r="U20" s="111"/>
      <c r="V20" s="112"/>
      <c r="W20" s="111"/>
      <c r="X20" s="112"/>
      <c r="Y20" s="111"/>
      <c r="Z20" s="112"/>
      <c r="AA20" s="111"/>
      <c r="AB20" s="112"/>
      <c r="AC20" s="111"/>
      <c r="AD20" s="112"/>
    </row>
    <row r="21" spans="1:30">
      <c r="B21" s="135"/>
      <c r="C21" s="126"/>
      <c r="D21" s="129"/>
      <c r="E21" s="129"/>
      <c r="F21" s="133"/>
      <c r="G21" s="96"/>
      <c r="H21" s="96"/>
      <c r="I21" s="111"/>
      <c r="J21" s="112"/>
      <c r="K21" s="96"/>
      <c r="L21" s="109"/>
      <c r="M21" s="111"/>
      <c r="N21" s="121"/>
      <c r="O21" s="96"/>
      <c r="P21" s="109"/>
      <c r="Q21" s="111"/>
      <c r="R21" s="121"/>
      <c r="S21" s="111"/>
      <c r="T21" s="121"/>
      <c r="U21" s="111"/>
      <c r="V21" s="121"/>
      <c r="W21" s="111"/>
      <c r="X21" s="121"/>
      <c r="Y21" s="111"/>
      <c r="Z21" s="121"/>
      <c r="AA21" s="111"/>
      <c r="AB21" s="121"/>
      <c r="AC21" s="111"/>
      <c r="AD21" s="121"/>
    </row>
    <row r="22" spans="1:30">
      <c r="B22" s="74" t="s">
        <v>34</v>
      </c>
      <c r="C22" s="203" t="s">
        <v>35</v>
      </c>
      <c r="D22" s="128" t="s">
        <v>36</v>
      </c>
      <c r="E22" s="128"/>
      <c r="F22" s="132" t="s">
        <v>20</v>
      </c>
      <c r="G22" s="96" t="e">
        <f>'202601'!#REF!</f>
        <v>#REF!</v>
      </c>
      <c r="H22" s="96" t="e">
        <f>'202601'!#REF!</f>
        <v>#REF!</v>
      </c>
      <c r="I22" s="111"/>
      <c r="J22" s="112"/>
      <c r="K22" s="96"/>
      <c r="L22" s="96"/>
      <c r="M22" s="111"/>
      <c r="N22" s="112"/>
      <c r="O22" s="96"/>
      <c r="P22" s="96"/>
      <c r="Q22" s="111"/>
      <c r="R22" s="112"/>
      <c r="S22" s="111"/>
      <c r="T22" s="112"/>
      <c r="U22" s="111"/>
      <c r="V22" s="112"/>
      <c r="W22" s="111"/>
      <c r="X22" s="112"/>
      <c r="Y22" s="111"/>
      <c r="Z22" s="112"/>
      <c r="AA22" s="111"/>
      <c r="AB22" s="112"/>
      <c r="AC22" s="111"/>
      <c r="AD22" s="112"/>
    </row>
    <row r="23" spans="1:30">
      <c r="B23" s="74" t="s">
        <v>34</v>
      </c>
      <c r="C23" s="203" t="s">
        <v>37</v>
      </c>
      <c r="D23" s="128" t="s">
        <v>33</v>
      </c>
      <c r="E23" s="128"/>
      <c r="F23" s="132" t="s">
        <v>20</v>
      </c>
      <c r="G23" s="96">
        <f>'202601'!L21</f>
        <v>0.5</v>
      </c>
      <c r="H23" s="96">
        <f>'202601'!J21</f>
        <v>0</v>
      </c>
      <c r="I23" s="111"/>
      <c r="J23" s="112"/>
      <c r="K23" s="96"/>
      <c r="L23" s="96"/>
      <c r="M23" s="111"/>
      <c r="N23" s="112"/>
      <c r="O23" s="96"/>
      <c r="P23" s="96"/>
      <c r="Q23" s="111"/>
      <c r="R23" s="112"/>
      <c r="S23" s="111"/>
      <c r="T23" s="112"/>
      <c r="U23" s="111"/>
      <c r="V23" s="112"/>
      <c r="W23" s="111"/>
      <c r="X23" s="112"/>
      <c r="Y23" s="111"/>
      <c r="Z23" s="112"/>
      <c r="AA23" s="111"/>
      <c r="AB23" s="112"/>
      <c r="AC23" s="111"/>
      <c r="AD23" s="112"/>
    </row>
    <row r="24" spans="1:30">
      <c r="B24" s="74" t="s">
        <v>34</v>
      </c>
      <c r="C24" s="203" t="s">
        <v>38</v>
      </c>
      <c r="D24" s="128" t="s">
        <v>39</v>
      </c>
      <c r="E24" s="128"/>
      <c r="F24" s="132" t="s">
        <v>20</v>
      </c>
      <c r="G24" s="96">
        <f>'202601'!L22</f>
        <v>0.5</v>
      </c>
      <c r="H24" s="96">
        <f>'202601'!J22</f>
        <v>0</v>
      </c>
      <c r="I24" s="111"/>
      <c r="J24" s="112"/>
      <c r="K24" s="96"/>
      <c r="L24" s="96"/>
      <c r="M24" s="111"/>
      <c r="N24" s="112"/>
      <c r="O24" s="96"/>
      <c r="P24" s="96"/>
      <c r="Q24" s="111"/>
      <c r="R24" s="112"/>
      <c r="S24" s="111"/>
      <c r="T24" s="112"/>
      <c r="U24" s="111"/>
      <c r="V24" s="112"/>
      <c r="W24" s="111"/>
      <c r="X24" s="112"/>
      <c r="Y24" s="111"/>
      <c r="Z24" s="112"/>
      <c r="AA24" s="111"/>
      <c r="AB24" s="112"/>
      <c r="AC24" s="111"/>
      <c r="AD24" s="112"/>
    </row>
    <row r="25" spans="1:30">
      <c r="B25" s="74" t="s">
        <v>34</v>
      </c>
      <c r="C25" s="204" t="s">
        <v>40</v>
      </c>
      <c r="D25" s="128" t="s">
        <v>41</v>
      </c>
      <c r="E25" s="128"/>
      <c r="F25" s="404" t="s">
        <v>42</v>
      </c>
      <c r="G25" s="96" t="e">
        <f>'202601'!#REF!</f>
        <v>#REF!</v>
      </c>
      <c r="H25" s="96" t="e">
        <f>'202601'!#REF!</f>
        <v>#REF!</v>
      </c>
      <c r="I25" s="111"/>
      <c r="J25" s="112"/>
      <c r="K25" s="96"/>
      <c r="L25" s="96"/>
      <c r="M25" s="111"/>
      <c r="N25" s="112"/>
      <c r="O25" s="96"/>
      <c r="P25" s="96"/>
      <c r="Q25" s="111"/>
      <c r="R25" s="112"/>
      <c r="T25" s="148"/>
      <c r="V25" s="148"/>
      <c r="X25" s="148"/>
      <c r="Z25" s="148"/>
      <c r="AB25" s="148"/>
      <c r="AD25" s="148"/>
    </row>
    <row r="26" spans="1:30" s="113" customFormat="1" ht="23.25" customHeight="1">
      <c r="A26"/>
      <c r="B26" s="117" t="s">
        <v>43</v>
      </c>
      <c r="C26" s="144"/>
      <c r="D26" s="130"/>
      <c r="E26" s="130"/>
      <c r="F26" s="134"/>
      <c r="G26" s="122" t="e">
        <f ca="1">SUM(G4:G25)</f>
        <v>#REF!</v>
      </c>
      <c r="H26" s="116" t="e">
        <f ca="1">SUM(H4:H25)</f>
        <v>#REF!</v>
      </c>
      <c r="I26" s="123">
        <f>SUM(I4:I25)</f>
        <v>0</v>
      </c>
      <c r="J26" s="115">
        <f>SUM(J4:J25)</f>
        <v>0</v>
      </c>
      <c r="K26" s="122">
        <f>SUM(K4:K25)</f>
        <v>0</v>
      </c>
      <c r="L26" s="116">
        <f>SUM(L4:L25)</f>
        <v>0</v>
      </c>
      <c r="M26" s="123">
        <f>SUM(M4:M25)</f>
        <v>0</v>
      </c>
      <c r="N26" s="115">
        <f>SUM(N4:N25)</f>
        <v>0</v>
      </c>
      <c r="O26" s="122">
        <f>SUM(O4:O25)</f>
        <v>0</v>
      </c>
      <c r="P26" s="116">
        <f>SUM(P4:P25)</f>
        <v>0</v>
      </c>
      <c r="Q26" s="123">
        <f>SUM(Q4:Q25)</f>
        <v>0</v>
      </c>
      <c r="R26" s="115">
        <f>SUM(R4:R25)</f>
        <v>0</v>
      </c>
      <c r="S26" s="123">
        <f>SUM(S4:S25)</f>
        <v>0</v>
      </c>
      <c r="T26" s="115">
        <f>SUM(T4:T25)</f>
        <v>0</v>
      </c>
      <c r="U26" s="123">
        <f>SUM(U4:U25)</f>
        <v>0</v>
      </c>
      <c r="V26" s="115">
        <f>SUM(V4:V25)</f>
        <v>0</v>
      </c>
      <c r="W26" s="123">
        <f>SUM(W4:W25)</f>
        <v>0</v>
      </c>
      <c r="X26" s="115">
        <f>SUM(X4:X25)</f>
        <v>0</v>
      </c>
      <c r="Y26" s="123">
        <f>SUM(Y4:Y25)</f>
        <v>0</v>
      </c>
      <c r="Z26" s="115">
        <f>SUM(Z4:Z25)</f>
        <v>0</v>
      </c>
      <c r="AA26" s="123">
        <f>SUM(AA4:AA25)</f>
        <v>0</v>
      </c>
      <c r="AB26" s="115">
        <f>SUM(AB4:AB25)</f>
        <v>0</v>
      </c>
      <c r="AC26" s="123">
        <f>SUM(AC4:AC25)</f>
        <v>0</v>
      </c>
      <c r="AD26" s="115">
        <f>SUM(AD4:AD25)</f>
        <v>0</v>
      </c>
    </row>
    <row r="27" spans="1:30">
      <c r="G27" s="96"/>
      <c r="H27" s="96"/>
      <c r="I27" s="96"/>
      <c r="J27" s="96"/>
      <c r="K27" s="96"/>
      <c r="L27" s="109"/>
      <c r="M27" s="109"/>
      <c r="N27" s="78"/>
      <c r="O27" s="110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</row>
    <row r="28" spans="1:30">
      <c r="B28" s="139" t="s">
        <v>44</v>
      </c>
      <c r="C28" s="125"/>
      <c r="D28" s="143"/>
      <c r="E28" s="229"/>
      <c r="F28" s="44"/>
      <c r="G28" s="9"/>
      <c r="H28" s="146"/>
      <c r="I28" s="140"/>
      <c r="J28" s="140"/>
    </row>
    <row r="29" spans="1:30">
      <c r="B29" s="10"/>
      <c r="C29" s="125"/>
      <c r="D29" s="38"/>
      <c r="E29" s="142"/>
      <c r="F29" s="142"/>
      <c r="G29" s="145"/>
      <c r="H29" s="141"/>
      <c r="I29" s="140"/>
      <c r="J29" s="140"/>
    </row>
    <row r="30" spans="1:30">
      <c r="B30" s="74" t="s">
        <v>45</v>
      </c>
      <c r="C30" s="125" t="s">
        <v>46</v>
      </c>
      <c r="D30" s="38" t="s">
        <v>47</v>
      </c>
      <c r="E30" s="142"/>
      <c r="F30" s="142" t="s">
        <v>42</v>
      </c>
      <c r="G30" s="473" t="s">
        <v>48</v>
      </c>
      <c r="H30" s="474"/>
      <c r="I30" s="469" t="s">
        <v>49</v>
      </c>
      <c r="J30" s="470"/>
    </row>
    <row r="31" spans="1:30" ht="15" customHeight="1">
      <c r="B31" s="74" t="s">
        <v>50</v>
      </c>
      <c r="C31" s="125" t="s">
        <v>51</v>
      </c>
      <c r="D31" s="131" t="s">
        <v>52</v>
      </c>
      <c r="E31" s="131"/>
      <c r="F31" s="38" t="s">
        <v>42</v>
      </c>
      <c r="G31" s="469"/>
      <c r="H31" s="476"/>
      <c r="I31" s="469" t="s">
        <v>49</v>
      </c>
      <c r="J31" s="470"/>
    </row>
    <row r="32" spans="1:30" ht="15" customHeight="1">
      <c r="B32" s="74" t="s">
        <v>53</v>
      </c>
      <c r="C32" s="125" t="s">
        <v>54</v>
      </c>
      <c r="D32" s="38" t="s">
        <v>55</v>
      </c>
      <c r="E32" s="38"/>
      <c r="F32" s="38" t="s">
        <v>20</v>
      </c>
      <c r="G32" s="469" t="s">
        <v>56</v>
      </c>
      <c r="H32" s="476"/>
      <c r="I32" s="469"/>
      <c r="J32" s="470"/>
    </row>
    <row r="33" spans="2:10" ht="15" customHeight="1">
      <c r="B33" s="74" t="s">
        <v>57</v>
      </c>
      <c r="C33" s="151" t="s">
        <v>58</v>
      </c>
      <c r="D33" s="143" t="s">
        <v>59</v>
      </c>
      <c r="E33" s="143"/>
      <c r="F33" s="143" t="s">
        <v>23</v>
      </c>
      <c r="G33" s="471" t="s">
        <v>48</v>
      </c>
      <c r="H33" s="475"/>
      <c r="I33" s="471"/>
      <c r="J33" s="472"/>
    </row>
    <row r="34" spans="2:10" ht="15" customHeight="1">
      <c r="B34" s="128" t="s">
        <v>60</v>
      </c>
      <c r="C34" s="44"/>
      <c r="D34" s="44" t="s">
        <v>61</v>
      </c>
      <c r="E34" s="44"/>
      <c r="F34" s="141" t="s">
        <v>62</v>
      </c>
      <c r="G34" s="460" t="s">
        <v>63</v>
      </c>
      <c r="H34" s="460"/>
      <c r="I34" s="396"/>
      <c r="J34" s="140"/>
    </row>
  </sheetData>
  <mergeCells count="21">
    <mergeCell ref="I33:J33"/>
    <mergeCell ref="G30:H30"/>
    <mergeCell ref="G33:H33"/>
    <mergeCell ref="G32:H32"/>
    <mergeCell ref="G31:H31"/>
    <mergeCell ref="G34:H34"/>
    <mergeCell ref="AC2:AD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I30:J30"/>
    <mergeCell ref="I31:J31"/>
    <mergeCell ref="I32:J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FADE-C98A-4412-8A54-5391B35A7A73}">
  <sheetPr>
    <tabColor rgb="FFFFC000"/>
  </sheetPr>
  <dimension ref="B2:P31"/>
  <sheetViews>
    <sheetView workbookViewId="0">
      <pane ySplit="2" topLeftCell="I3" activePane="bottomLeft" state="frozen"/>
      <selection pane="bottomLeft" activeCell="I18" sqref="I18:I19"/>
    </sheetView>
  </sheetViews>
  <sheetFormatPr defaultRowHeight="15" customHeight="1"/>
  <cols>
    <col min="1" max="1" width="3.85546875" customWidth="1"/>
    <col min="2" max="2" width="16.7109375" style="64" customWidth="1"/>
    <col min="3" max="3" width="15.7109375" style="4" customWidth="1"/>
    <col min="4" max="5" width="10.85546875" customWidth="1"/>
    <col min="6" max="9" width="13.85546875" customWidth="1"/>
    <col min="10" max="11" width="13.85546875" style="94" customWidth="1"/>
    <col min="12" max="12" width="15.28515625" style="61" customWidth="1"/>
    <col min="13" max="13" width="25.5703125" style="64" customWidth="1"/>
    <col min="15" max="15" width="10.140625" style="95" bestFit="1" customWidth="1"/>
    <col min="16" max="16" width="13.42578125" style="95" customWidth="1"/>
  </cols>
  <sheetData>
    <row r="2" spans="2:16" ht="24" customHeight="1">
      <c r="B2" s="70"/>
      <c r="C2" s="73" t="s">
        <v>64</v>
      </c>
      <c r="D2" s="59" t="s">
        <v>65</v>
      </c>
      <c r="E2" s="59" t="s">
        <v>66</v>
      </c>
      <c r="F2" s="58">
        <v>0</v>
      </c>
      <c r="G2" s="58">
        <v>0.05</v>
      </c>
      <c r="H2" s="58">
        <v>0.18</v>
      </c>
      <c r="I2" s="58">
        <v>0.27</v>
      </c>
      <c r="J2" s="97" t="s">
        <v>16</v>
      </c>
      <c r="K2" s="97" t="s">
        <v>67</v>
      </c>
      <c r="L2" s="59" t="s">
        <v>68</v>
      </c>
      <c r="M2" s="106" t="s">
        <v>69</v>
      </c>
      <c r="O2" s="95" t="s">
        <v>16</v>
      </c>
      <c r="P2" s="95" t="s">
        <v>70</v>
      </c>
    </row>
    <row r="3" spans="2:16">
      <c r="B3" s="74" t="s">
        <v>17</v>
      </c>
      <c r="C3" s="90" t="str">
        <f>MÁK!A1</f>
        <v>AP A13610440</v>
      </c>
      <c r="D3" s="10"/>
      <c r="E3" s="10"/>
      <c r="F3" s="11">
        <f>MÁK!C35</f>
        <v>17250</v>
      </c>
      <c r="G3" s="11">
        <f>MÁK!D35</f>
        <v>4328426.05</v>
      </c>
      <c r="H3" s="11">
        <f>MÁK!E35</f>
        <v>0.18</v>
      </c>
      <c r="I3" s="11">
        <f>MÁK!F35</f>
        <v>2825575.27</v>
      </c>
      <c r="J3" s="98">
        <f>MÁK!G35</f>
        <v>459515</v>
      </c>
      <c r="K3" s="98"/>
      <c r="L3" s="160">
        <f>SUM(F3:I3)</f>
        <v>7171251.5</v>
      </c>
      <c r="M3" s="69"/>
      <c r="O3" s="96" t="e">
        <f>J3+#REF!</f>
        <v>#REF!</v>
      </c>
      <c r="P3" s="96" t="e">
        <f>SUM(L3:L3)-O3</f>
        <v>#REF!</v>
      </c>
    </row>
    <row r="4" spans="2:16" ht="14.45">
      <c r="B4" s="74"/>
      <c r="C4" s="72"/>
      <c r="D4" s="10"/>
      <c r="E4" s="10"/>
      <c r="F4" s="11"/>
      <c r="G4" s="11"/>
      <c r="H4" s="11"/>
      <c r="I4" s="11"/>
      <c r="J4" s="98"/>
      <c r="K4" s="98"/>
      <c r="L4" s="160"/>
      <c r="M4" s="11"/>
    </row>
    <row r="5" spans="2:16">
      <c r="B5" s="74" t="s">
        <v>18</v>
      </c>
      <c r="C5" s="90" t="str">
        <f>Knorr105!A1</f>
        <v>AP A09111376</v>
      </c>
      <c r="D5" s="10"/>
      <c r="E5" s="10"/>
      <c r="F5" s="11">
        <f>Knorr105!C$35</f>
        <v>19250</v>
      </c>
      <c r="G5" s="11">
        <f>Knorr105!D$35</f>
        <v>8487866</v>
      </c>
      <c r="H5" s="11">
        <f>Knorr105!E$35</f>
        <v>150</v>
      </c>
      <c r="I5" s="11">
        <f>Knorr105!F$35</f>
        <v>0</v>
      </c>
      <c r="J5" s="98">
        <f>Knorr105!G$35</f>
        <v>7190</v>
      </c>
      <c r="K5" s="98"/>
      <c r="L5" s="160">
        <f>SUM(F5:I5)</f>
        <v>8507266</v>
      </c>
      <c r="M5" s="69"/>
      <c r="O5" s="96">
        <f ca="1">J5+J6+J7</f>
        <v>12405</v>
      </c>
      <c r="P5" s="96">
        <f ca="1">SUM(L5:L7)-O5</f>
        <v>14663801.5</v>
      </c>
    </row>
    <row r="6" spans="2:16">
      <c r="B6" s="74" t="s">
        <v>18</v>
      </c>
      <c r="C6" s="71" t="str">
        <f>Knorr105!Q1</f>
        <v xml:space="preserve">AP A24010154 </v>
      </c>
      <c r="D6" s="10"/>
      <c r="E6" s="10"/>
      <c r="F6" s="11">
        <f>Knorr105!S$35</f>
        <v>57675</v>
      </c>
      <c r="G6" s="11">
        <f ca="1">Knorr105!T$35</f>
        <v>0.05</v>
      </c>
      <c r="H6" s="11">
        <f ca="1">Knorr105!U$35</f>
        <v>0.18</v>
      </c>
      <c r="I6" s="11">
        <f ca="1">Knorr105!V$35</f>
        <v>0.27</v>
      </c>
      <c r="J6" s="98">
        <f ca="1">Knorr105!W$35</f>
        <v>0</v>
      </c>
      <c r="K6" s="98"/>
      <c r="L6" s="160">
        <f ca="1">SUM(F6:I6)</f>
        <v>0.5</v>
      </c>
      <c r="M6" s="69"/>
    </row>
    <row r="7" spans="2:16">
      <c r="B7" s="74" t="s">
        <v>18</v>
      </c>
      <c r="C7" s="71" t="str">
        <f>Knorr105!AG1</f>
        <v>AP A13609805</v>
      </c>
      <c r="D7" s="10"/>
      <c r="E7" s="10"/>
      <c r="F7" s="11">
        <f>Knorr105!AI$35</f>
        <v>33940</v>
      </c>
      <c r="G7" s="11">
        <f>Knorr105!AJ$35</f>
        <v>7249299.0499999998</v>
      </c>
      <c r="H7" s="11">
        <f>Knorr105!AK$35</f>
        <v>0.18</v>
      </c>
      <c r="I7" s="11">
        <f>Knorr105!AL$35</f>
        <v>50.27</v>
      </c>
      <c r="J7" s="98">
        <f>Knorr105!AM$35</f>
        <v>0</v>
      </c>
      <c r="K7" s="98"/>
      <c r="L7" s="160">
        <f>SUM(F7:I7)</f>
        <v>7283289.4999999991</v>
      </c>
      <c r="M7" s="69"/>
    </row>
    <row r="8" spans="2:16">
      <c r="B8" s="74" t="s">
        <v>18</v>
      </c>
      <c r="C8" s="8" t="s">
        <v>21</v>
      </c>
      <c r="D8" s="10"/>
      <c r="E8" s="10"/>
      <c r="F8" s="11"/>
      <c r="G8" s="11"/>
      <c r="H8" s="11"/>
      <c r="I8" s="11"/>
      <c r="J8" s="98"/>
      <c r="K8" s="98"/>
      <c r="L8" s="160"/>
      <c r="M8" s="11"/>
    </row>
    <row r="9" spans="2:16">
      <c r="B9" s="74"/>
      <c r="C9" s="175"/>
      <c r="D9" s="10"/>
      <c r="E9" s="10"/>
      <c r="F9" s="11"/>
      <c r="G9" s="11"/>
      <c r="H9" s="11"/>
      <c r="I9" s="11"/>
      <c r="J9" s="98"/>
      <c r="K9" s="98"/>
      <c r="L9" s="160"/>
      <c r="M9" s="11"/>
    </row>
    <row r="10" spans="2:16">
      <c r="B10" s="74" t="s">
        <v>24</v>
      </c>
      <c r="C10" s="71" t="str">
        <f>Knorr86!A1</f>
        <v>AP A13607465</v>
      </c>
      <c r="D10" s="10"/>
      <c r="E10" s="10"/>
      <c r="F10" s="11">
        <f>Knorr86!C34</f>
        <v>26950</v>
      </c>
      <c r="G10" s="11">
        <f>Knorr86!D34</f>
        <v>4767430.05</v>
      </c>
      <c r="H10" s="11">
        <f>Knorr86!E34</f>
        <v>0.18</v>
      </c>
      <c r="I10" s="11">
        <f>Knorr86!F34</f>
        <v>191365.27000000002</v>
      </c>
      <c r="J10" s="98">
        <f>Knorr86!G34</f>
        <v>29890</v>
      </c>
      <c r="K10" s="98"/>
      <c r="L10" s="160">
        <f>SUM(F10:I10)</f>
        <v>4985745.5</v>
      </c>
      <c r="M10" s="69"/>
      <c r="O10" s="96">
        <f>J10</f>
        <v>29890</v>
      </c>
      <c r="P10" s="96">
        <f>L10-O10</f>
        <v>4955855.5</v>
      </c>
    </row>
    <row r="11" spans="2:16" ht="14.45">
      <c r="B11" s="74"/>
      <c r="C11" s="71"/>
      <c r="D11" s="10"/>
      <c r="E11" s="10"/>
      <c r="F11" s="11"/>
      <c r="G11" s="11"/>
      <c r="H11" s="11"/>
      <c r="I11" s="11"/>
      <c r="J11" s="98"/>
      <c r="K11" s="98"/>
      <c r="L11" s="160"/>
      <c r="M11" s="11"/>
    </row>
    <row r="12" spans="2:16">
      <c r="B12" s="74" t="s">
        <v>26</v>
      </c>
      <c r="C12" s="90" t="str">
        <f>Knorr69!A1</f>
        <v>AP A09111377</v>
      </c>
      <c r="D12" s="10"/>
      <c r="E12" s="10"/>
      <c r="F12" s="11" t="e">
        <f>Knorr69!#REF!</f>
        <v>#REF!</v>
      </c>
      <c r="G12" s="11" t="e">
        <f>Knorr69!#REF!</f>
        <v>#REF!</v>
      </c>
      <c r="H12" s="11" t="e">
        <f>Knorr69!#REF!</f>
        <v>#REF!</v>
      </c>
      <c r="I12" s="11" t="e">
        <f>Knorr69!#REF!</f>
        <v>#REF!</v>
      </c>
      <c r="J12" s="98" t="e">
        <f>Knorr69!#REF!</f>
        <v>#REF!</v>
      </c>
      <c r="K12" s="98"/>
      <c r="L12" s="160" t="e">
        <f>SUM(F12:I12)</f>
        <v>#REF!</v>
      </c>
      <c r="M12" s="69"/>
      <c r="O12" s="96" t="e">
        <f>J12</f>
        <v>#REF!</v>
      </c>
      <c r="P12" s="96" t="e">
        <f>L12-O12</f>
        <v>#REF!</v>
      </c>
    </row>
    <row r="13" spans="2:16" ht="14.45">
      <c r="B13" s="74"/>
      <c r="C13" s="71"/>
      <c r="D13" s="10"/>
      <c r="E13" s="10"/>
      <c r="F13" s="11"/>
      <c r="G13" s="11"/>
      <c r="H13" s="11"/>
      <c r="I13" s="11"/>
      <c r="J13" s="98"/>
      <c r="K13" s="98"/>
      <c r="L13" s="160"/>
      <c r="M13" s="11"/>
    </row>
    <row r="14" spans="2:16">
      <c r="B14" s="74" t="s">
        <v>27</v>
      </c>
      <c r="C14" s="90" t="str">
        <f>KTI!A1</f>
        <v>AP A13607773</v>
      </c>
      <c r="D14" s="10"/>
      <c r="E14" s="10"/>
      <c r="F14" s="11" t="e">
        <f>KTI!#REF!</f>
        <v>#REF!</v>
      </c>
      <c r="G14" s="11" t="e">
        <f>KTI!#REF!</f>
        <v>#REF!</v>
      </c>
      <c r="H14" s="11" t="e">
        <f>KTI!#REF!</f>
        <v>#REF!</v>
      </c>
      <c r="I14" s="11" t="e">
        <f>KTI!#REF!</f>
        <v>#REF!</v>
      </c>
      <c r="J14" s="98" t="e">
        <f>KTI!#REF!</f>
        <v>#REF!</v>
      </c>
      <c r="K14" s="98"/>
      <c r="L14" s="160" t="e">
        <f>SUM(F14:I14)</f>
        <v>#REF!</v>
      </c>
      <c r="M14" s="69"/>
      <c r="O14" s="96" t="e">
        <f>J14</f>
        <v>#REF!</v>
      </c>
      <c r="P14" s="96" t="e">
        <f>L14-O14</f>
        <v>#REF!</v>
      </c>
    </row>
    <row r="15" spans="2:16" ht="14.45">
      <c r="B15" s="74"/>
      <c r="C15" s="71"/>
      <c r="D15" s="10"/>
      <c r="E15" s="10"/>
      <c r="F15" s="11"/>
      <c r="G15" s="11"/>
      <c r="H15" s="11"/>
      <c r="I15" s="11"/>
      <c r="J15" s="98"/>
      <c r="K15" s="98"/>
      <c r="L15" s="160"/>
      <c r="M15" s="11"/>
    </row>
    <row r="16" spans="2:16">
      <c r="B16" s="74" t="s">
        <v>29</v>
      </c>
      <c r="C16" s="84" t="s">
        <v>71</v>
      </c>
      <c r="D16" s="38"/>
      <c r="E16" s="10"/>
      <c r="F16" s="11"/>
      <c r="G16" s="11"/>
      <c r="H16" s="11"/>
      <c r="I16" s="11"/>
      <c r="J16" s="98"/>
      <c r="K16" s="98"/>
      <c r="L16" s="160"/>
      <c r="M16" s="11"/>
    </row>
    <row r="17" spans="2:16">
      <c r="B17" s="74"/>
      <c r="C17" s="176"/>
      <c r="D17" s="10"/>
      <c r="E17" s="10"/>
      <c r="F17" s="11"/>
      <c r="G17" s="11"/>
      <c r="H17" s="11"/>
      <c r="I17" s="11"/>
      <c r="J17" s="98"/>
      <c r="K17" s="98"/>
      <c r="L17" s="160"/>
      <c r="M17" s="11"/>
    </row>
    <row r="18" spans="2:16">
      <c r="B18" s="74" t="s">
        <v>30</v>
      </c>
      <c r="C18" s="84" t="s">
        <v>31</v>
      </c>
      <c r="D18" s="38"/>
      <c r="E18" s="10"/>
      <c r="F18" s="11">
        <f>RSR!C34</f>
        <v>4396</v>
      </c>
      <c r="G18" s="11">
        <f>RSR!D34</f>
        <v>17170.05</v>
      </c>
      <c r="H18" s="11">
        <f>RSR!E34</f>
        <v>58570.18</v>
      </c>
      <c r="I18" s="11">
        <f>RSR!F34</f>
        <v>907603.27</v>
      </c>
      <c r="J18" s="98">
        <f>RSR!G34</f>
        <v>318535</v>
      </c>
      <c r="K18" s="98"/>
      <c r="L18" s="160">
        <f>SUM(F18:I18)</f>
        <v>987739.5</v>
      </c>
      <c r="M18" s="267"/>
      <c r="O18" s="96">
        <f>SUM(J18:J19)</f>
        <v>434460</v>
      </c>
      <c r="P18" s="96">
        <f>SUM(L18:L19)-O18</f>
        <v>924222</v>
      </c>
    </row>
    <row r="19" spans="2:16">
      <c r="B19" s="74" t="s">
        <v>30</v>
      </c>
      <c r="C19" s="191" t="s">
        <v>32</v>
      </c>
      <c r="D19" s="38"/>
      <c r="E19" s="10"/>
      <c r="F19" s="11">
        <f>RSR!S34</f>
        <v>550</v>
      </c>
      <c r="G19" s="11">
        <f>RSR!T34</f>
        <v>322492.05</v>
      </c>
      <c r="H19" s="11">
        <f>RSR!U34</f>
        <v>0.18</v>
      </c>
      <c r="I19" s="11">
        <f>RSR!V34</f>
        <v>47900.27</v>
      </c>
      <c r="J19" s="98">
        <f>RSR!W34</f>
        <v>115925</v>
      </c>
      <c r="K19" s="98"/>
      <c r="L19" s="160">
        <f>SUM(F19:I19)</f>
        <v>370942.5</v>
      </c>
      <c r="M19" s="267"/>
    </row>
    <row r="20" spans="2:16" ht="14.45">
      <c r="B20" s="74"/>
      <c r="C20" s="71"/>
      <c r="D20" s="10"/>
      <c r="E20" s="10"/>
      <c r="F20" s="11"/>
      <c r="G20" s="11"/>
      <c r="H20" s="11"/>
      <c r="I20" s="11"/>
      <c r="J20" s="98"/>
      <c r="K20" s="98"/>
      <c r="L20" s="160"/>
      <c r="M20" s="11"/>
    </row>
    <row r="21" spans="2:16">
      <c r="B21" s="74" t="s">
        <v>72</v>
      </c>
      <c r="C21" s="71" t="str">
        <f>'Egyéb pénztárgépek'!M1</f>
        <v>AP A13609679</v>
      </c>
      <c r="D21" s="10"/>
      <c r="E21" s="10"/>
      <c r="F21" s="11">
        <f>'Egyéb pénztárgépek'!N34</f>
        <v>0</v>
      </c>
      <c r="G21" s="11">
        <f>'Egyéb pénztárgépek'!O34</f>
        <v>0.05</v>
      </c>
      <c r="H21" s="11">
        <f>'Egyéb pénztárgépek'!P34</f>
        <v>0.18</v>
      </c>
      <c r="I21" s="11">
        <f>'Egyéb pénztárgépek'!Q34</f>
        <v>0.27</v>
      </c>
      <c r="J21" s="98">
        <f>'Egyéb pénztárgépek'!R34</f>
        <v>0</v>
      </c>
      <c r="K21" s="98"/>
      <c r="L21" s="160">
        <f>SUM(F21:I21)</f>
        <v>0.5</v>
      </c>
      <c r="M21" s="267"/>
    </row>
    <row r="22" spans="2:16">
      <c r="B22" s="74" t="s">
        <v>72</v>
      </c>
      <c r="C22" s="71" t="str">
        <f>'Egyéb pénztárgépek'!AB1</f>
        <v>AP A09109974</v>
      </c>
      <c r="D22" s="10"/>
      <c r="E22" s="10"/>
      <c r="F22" s="11">
        <f>'Egyéb pénztárgépek'!AC34</f>
        <v>0</v>
      </c>
      <c r="G22" s="11">
        <f>'Egyéb pénztárgépek'!AD34</f>
        <v>0.05</v>
      </c>
      <c r="H22" s="11">
        <f>'Egyéb pénztárgépek'!AE34</f>
        <v>0.18</v>
      </c>
      <c r="I22" s="11">
        <f>'Egyéb pénztárgépek'!AF34</f>
        <v>0.27</v>
      </c>
      <c r="J22" s="98">
        <f>'Egyéb pénztárgépek'!AG34</f>
        <v>0</v>
      </c>
      <c r="K22" s="98"/>
      <c r="L22" s="160">
        <f>SUM(F22:I22)</f>
        <v>0.5</v>
      </c>
      <c r="M22" s="267"/>
    </row>
    <row r="23" spans="2:16">
      <c r="B23" s="74" t="s">
        <v>34</v>
      </c>
      <c r="C23" s="71" t="s">
        <v>38</v>
      </c>
      <c r="D23" s="10"/>
      <c r="E23" s="10"/>
      <c r="F23" s="11"/>
      <c r="G23" s="11"/>
      <c r="H23" s="11"/>
      <c r="I23" s="11"/>
      <c r="J23" s="98"/>
      <c r="K23" s="98"/>
      <c r="L23" s="160"/>
      <c r="M23" s="11"/>
    </row>
    <row r="24" spans="2:16">
      <c r="B24" s="74" t="s">
        <v>34</v>
      </c>
      <c r="C24" s="192" t="s">
        <v>40</v>
      </c>
      <c r="D24" s="10"/>
      <c r="E24" s="10"/>
      <c r="F24" s="11"/>
      <c r="G24" s="11"/>
      <c r="H24" s="11"/>
      <c r="I24" s="11"/>
      <c r="J24" s="98"/>
      <c r="K24" s="98"/>
      <c r="L24" s="160"/>
      <c r="M24" s="11"/>
    </row>
    <row r="25" spans="2:16">
      <c r="B25" s="74"/>
      <c r="C25" s="188"/>
      <c r="D25" s="10"/>
      <c r="E25" s="10"/>
      <c r="F25" s="11"/>
      <c r="G25" s="11"/>
      <c r="H25" s="11"/>
      <c r="I25" s="11"/>
      <c r="J25" s="98"/>
      <c r="K25" s="98"/>
      <c r="L25" s="160"/>
      <c r="M25" s="69"/>
    </row>
    <row r="26" spans="2:16">
      <c r="B26" s="74"/>
      <c r="C26" s="191"/>
      <c r="D26" s="92"/>
      <c r="E26" s="92"/>
      <c r="F26" s="228"/>
      <c r="G26" s="228"/>
      <c r="H26" s="228"/>
      <c r="I26" s="228"/>
      <c r="J26" s="269"/>
      <c r="K26" s="269"/>
      <c r="L26" s="270"/>
      <c r="M26" s="271"/>
    </row>
    <row r="27" spans="2:16" ht="14.45">
      <c r="B27" s="100" t="s">
        <v>43</v>
      </c>
      <c r="C27" s="268"/>
      <c r="D27" s="99"/>
      <c r="E27" s="99"/>
      <c r="F27" s="101" t="e">
        <f>SUM(F3:F24)</f>
        <v>#REF!</v>
      </c>
      <c r="G27" s="101" t="e">
        <f ca="1">SUM(G3:G24)</f>
        <v>#REF!</v>
      </c>
      <c r="H27" s="101" t="e">
        <f ca="1">SUM(H3:H24)</f>
        <v>#REF!</v>
      </c>
      <c r="I27" s="101" t="e">
        <f ca="1">SUM(I3:I24)</f>
        <v>#REF!</v>
      </c>
      <c r="J27" s="103">
        <v>1495140</v>
      </c>
      <c r="K27" s="102"/>
      <c r="L27" s="91" t="e">
        <f ca="1">SUM(L3:L24)</f>
        <v>#REF!</v>
      </c>
      <c r="M27" s="161"/>
    </row>
    <row r="28" spans="2:16" ht="14.45">
      <c r="D28" s="4"/>
      <c r="E28" s="4"/>
      <c r="F28" s="4"/>
      <c r="G28" s="4"/>
      <c r="H28" s="4"/>
      <c r="I28" s="4"/>
      <c r="J28" s="93"/>
      <c r="K28" s="93"/>
      <c r="L28" s="65"/>
      <c r="M28" s="63"/>
    </row>
    <row r="29" spans="2:16" ht="14.45"/>
    <row r="30" spans="2:16" ht="14.45"/>
    <row r="31" spans="2:16" ht="14.45"/>
  </sheetData>
  <protectedRanges>
    <protectedRange sqref="C26 C19" name="Range2"/>
  </protectedRanges>
  <conditionalFormatting sqref="C26">
    <cfRule type="containsText" dxfId="533" priority="5" stopIfTrue="1" operator="containsText" text="ELTÉRÉS!">
      <formula>NOT(ISERROR(SEARCH("ELTÉRÉS!",C26)))</formula>
    </cfRule>
    <cfRule type="containsText" dxfId="532" priority="6" stopIfTrue="1" operator="containsText" text="STIMMEL!">
      <formula>NOT(ISERROR(SEARCH("STIMMEL!",C26)))</formula>
    </cfRule>
  </conditionalFormatting>
  <conditionalFormatting sqref="C26">
    <cfRule type="cellIs" dxfId="531" priority="4" operator="equal">
      <formula>0.01</formula>
    </cfRule>
  </conditionalFormatting>
  <conditionalFormatting sqref="C19">
    <cfRule type="containsText" dxfId="530" priority="2" stopIfTrue="1" operator="containsText" text="ELTÉRÉS!">
      <formula>NOT(ISERROR(SEARCH("ELTÉRÉS!",C19)))</formula>
    </cfRule>
    <cfRule type="containsText" dxfId="529" priority="3" stopIfTrue="1" operator="containsText" text="STIMMEL!">
      <formula>NOT(ISERROR(SEARCH("STIMMEL!",C19)))</formula>
    </cfRule>
  </conditionalFormatting>
  <conditionalFormatting sqref="C19">
    <cfRule type="cellIs" dxfId="528" priority="1" operator="equal">
      <formula>0.01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4FAC-C0D9-4CFE-8FBB-C17AA269988F}">
  <sheetPr>
    <tabColor rgb="FFFFC000"/>
  </sheetPr>
  <dimension ref="B2:P31"/>
  <sheetViews>
    <sheetView workbookViewId="0">
      <pane ySplit="2" topLeftCell="A3" activePane="bottomLeft" state="frozen"/>
      <selection pane="bottomLeft" activeCell="J12" sqref="J12"/>
    </sheetView>
  </sheetViews>
  <sheetFormatPr defaultRowHeight="15" customHeight="1"/>
  <cols>
    <col min="1" max="1" width="3.85546875" customWidth="1"/>
    <col min="2" max="2" width="16.7109375" style="64" customWidth="1"/>
    <col min="3" max="3" width="15.7109375" style="4" customWidth="1"/>
    <col min="4" max="5" width="10.85546875" customWidth="1"/>
    <col min="6" max="9" width="13.85546875" customWidth="1"/>
    <col min="10" max="11" width="13.85546875" style="94" customWidth="1"/>
    <col min="12" max="12" width="15.28515625" style="61" customWidth="1"/>
    <col min="13" max="13" width="25.5703125" style="64" customWidth="1"/>
    <col min="15" max="15" width="10.140625" style="95" bestFit="1" customWidth="1"/>
    <col min="16" max="16" width="13.42578125" style="95" customWidth="1"/>
  </cols>
  <sheetData>
    <row r="2" spans="2:16" ht="24" customHeight="1">
      <c r="B2" s="70"/>
      <c r="C2" s="73" t="s">
        <v>64</v>
      </c>
      <c r="D2" s="59" t="s">
        <v>65</v>
      </c>
      <c r="E2" s="59" t="s">
        <v>66</v>
      </c>
      <c r="F2" s="58">
        <v>0</v>
      </c>
      <c r="G2" s="58">
        <v>0.05</v>
      </c>
      <c r="H2" s="58">
        <v>0.18</v>
      </c>
      <c r="I2" s="58">
        <v>0.27</v>
      </c>
      <c r="J2" s="97" t="s">
        <v>16</v>
      </c>
      <c r="K2" s="97" t="s">
        <v>67</v>
      </c>
      <c r="L2" s="59" t="s">
        <v>68</v>
      </c>
      <c r="M2" s="106" t="s">
        <v>69</v>
      </c>
      <c r="O2" s="95" t="s">
        <v>16</v>
      </c>
      <c r="P2" s="95" t="s">
        <v>70</v>
      </c>
    </row>
    <row r="3" spans="2:16">
      <c r="B3" s="74" t="s">
        <v>17</v>
      </c>
      <c r="C3" s="90" t="str">
        <f>MÁK!A1</f>
        <v>AP A13610440</v>
      </c>
      <c r="D3" s="10">
        <v>1009</v>
      </c>
      <c r="E3" s="10">
        <v>1029</v>
      </c>
      <c r="F3" s="11">
        <f>MÁK!C35</f>
        <v>17250</v>
      </c>
      <c r="G3" s="11">
        <f>MÁK!D35</f>
        <v>4328426.05</v>
      </c>
      <c r="H3" s="11">
        <f>MÁK!E35</f>
        <v>0.18</v>
      </c>
      <c r="I3" s="11">
        <f>MÁK!F35</f>
        <v>2825575.27</v>
      </c>
      <c r="J3" s="98">
        <f>MÁK!G35</f>
        <v>459515</v>
      </c>
      <c r="K3" s="98"/>
      <c r="L3" s="160">
        <f>SUM(F3:I3)</f>
        <v>7171251.5</v>
      </c>
      <c r="M3" s="452">
        <v>219216297</v>
      </c>
      <c r="O3" s="96" t="e">
        <f>J3+#REF!</f>
        <v>#REF!</v>
      </c>
      <c r="P3" s="96" t="e">
        <f>SUM(L3:L3)-O3</f>
        <v>#REF!</v>
      </c>
    </row>
    <row r="4" spans="2:16" ht="14.45">
      <c r="B4" s="74"/>
      <c r="C4" s="72"/>
      <c r="D4" s="10"/>
      <c r="E4" s="10"/>
      <c r="F4" s="11"/>
      <c r="G4" s="11"/>
      <c r="H4" s="11"/>
      <c r="I4" s="11"/>
      <c r="J4" s="98"/>
      <c r="K4" s="98"/>
      <c r="L4" s="160"/>
      <c r="M4" s="11"/>
    </row>
    <row r="5" spans="2:16">
      <c r="B5" s="74" t="s">
        <v>18</v>
      </c>
      <c r="C5" s="90" t="str">
        <f>Knorr105!A1</f>
        <v>AP A09111376</v>
      </c>
      <c r="D5" s="10">
        <v>428</v>
      </c>
      <c r="E5" s="10"/>
      <c r="F5" s="11">
        <f>Knorr105!C$35</f>
        <v>19250</v>
      </c>
      <c r="G5" s="11">
        <f>Knorr105!D$35</f>
        <v>8487866</v>
      </c>
      <c r="H5" s="11">
        <f>Knorr105!E$35</f>
        <v>150</v>
      </c>
      <c r="I5" s="11">
        <f>Knorr105!F$35</f>
        <v>0</v>
      </c>
      <c r="J5" s="98">
        <f>Knorr105!G$35</f>
        <v>7190</v>
      </c>
      <c r="K5" s="98"/>
      <c r="L5" s="160">
        <f>SUM(F5:I5)</f>
        <v>8507266</v>
      </c>
      <c r="M5" s="69"/>
      <c r="O5" s="96">
        <f ca="1">J5+J6+J7</f>
        <v>12405</v>
      </c>
      <c r="P5" s="96">
        <f ca="1">SUM(L5:L7)-O5</f>
        <v>14663801.5</v>
      </c>
    </row>
    <row r="6" spans="2:16">
      <c r="B6" s="74" t="s">
        <v>18</v>
      </c>
      <c r="C6" s="71" t="str">
        <f>Knorr105!Q1</f>
        <v xml:space="preserve">AP A24010154 </v>
      </c>
      <c r="D6" s="10">
        <v>384</v>
      </c>
      <c r="E6" s="10"/>
      <c r="F6" s="11">
        <f>Knorr105!S$35</f>
        <v>57675</v>
      </c>
      <c r="G6" s="11">
        <f ca="1">Knorr105!T$35</f>
        <v>0.05</v>
      </c>
      <c r="H6" s="11">
        <f ca="1">Knorr105!U$35</f>
        <v>0.18</v>
      </c>
      <c r="I6" s="11">
        <f ca="1">Knorr105!V$35</f>
        <v>0.27</v>
      </c>
      <c r="J6" s="98">
        <f ca="1">Knorr105!W$35</f>
        <v>0</v>
      </c>
      <c r="K6" s="98"/>
      <c r="L6" s="160">
        <f ca="1">SUM(F6:I6)</f>
        <v>0.5</v>
      </c>
      <c r="M6" s="69"/>
    </row>
    <row r="7" spans="2:16">
      <c r="B7" s="74" t="s">
        <v>18</v>
      </c>
      <c r="C7" s="71" t="str">
        <f>Knorr105!AG1</f>
        <v>AP A13609805</v>
      </c>
      <c r="D7" s="10">
        <v>1239</v>
      </c>
      <c r="E7" s="10"/>
      <c r="F7" s="11">
        <f>Knorr105!AI$35</f>
        <v>33940</v>
      </c>
      <c r="G7" s="11">
        <f>Knorr105!AJ$35</f>
        <v>7249299.0499999998</v>
      </c>
      <c r="H7" s="11">
        <f>Knorr105!AK$35</f>
        <v>0.18</v>
      </c>
      <c r="I7" s="11">
        <f>Knorr105!AL$35</f>
        <v>50.27</v>
      </c>
      <c r="J7" s="98">
        <f>Knorr105!AM$35</f>
        <v>0</v>
      </c>
      <c r="K7" s="98"/>
      <c r="L7" s="160">
        <f>SUM(F7:I7)</f>
        <v>7283289.4999999991</v>
      </c>
      <c r="M7" s="69"/>
    </row>
    <row r="8" spans="2:16">
      <c r="B8" s="74" t="s">
        <v>18</v>
      </c>
      <c r="C8" s="8" t="s">
        <v>21</v>
      </c>
      <c r="D8" s="10">
        <v>990</v>
      </c>
      <c r="E8" s="10"/>
      <c r="F8" s="11"/>
      <c r="G8" s="11"/>
      <c r="H8" s="11"/>
      <c r="I8" s="11"/>
      <c r="J8" s="98"/>
      <c r="K8" s="98"/>
      <c r="L8" s="160"/>
      <c r="M8" s="11"/>
    </row>
    <row r="9" spans="2:16">
      <c r="B9" s="74"/>
      <c r="C9" s="175"/>
      <c r="D9" s="10"/>
      <c r="E9" s="10"/>
      <c r="F9" s="11"/>
      <c r="G9" s="11"/>
      <c r="H9" s="11"/>
      <c r="I9" s="11"/>
      <c r="J9" s="98"/>
      <c r="K9" s="98"/>
      <c r="L9" s="160"/>
      <c r="M9" s="11"/>
    </row>
    <row r="10" spans="2:16">
      <c r="B10" s="74" t="s">
        <v>24</v>
      </c>
      <c r="C10" s="71" t="str">
        <f>Knorr86!A1</f>
        <v>AP A13607465</v>
      </c>
      <c r="D10" s="10">
        <v>2274</v>
      </c>
      <c r="E10" s="10"/>
      <c r="F10" s="11">
        <f>Knorr86!C34</f>
        <v>26950</v>
      </c>
      <c r="G10" s="11">
        <f>Knorr86!D34</f>
        <v>4767430.05</v>
      </c>
      <c r="H10" s="11">
        <f>Knorr86!E34</f>
        <v>0.18</v>
      </c>
      <c r="I10" s="11">
        <f>Knorr86!F34</f>
        <v>191365.27000000002</v>
      </c>
      <c r="J10" s="98">
        <f>Knorr86!G34</f>
        <v>29890</v>
      </c>
      <c r="K10" s="98"/>
      <c r="L10" s="160">
        <f>SUM(F10:I10)</f>
        <v>4985745.5</v>
      </c>
      <c r="M10" s="69"/>
      <c r="O10" s="96">
        <f>J10</f>
        <v>29890</v>
      </c>
      <c r="P10" s="96">
        <f>L10-O10</f>
        <v>4955855.5</v>
      </c>
    </row>
    <row r="11" spans="2:16" ht="14.45">
      <c r="B11" s="74"/>
      <c r="C11" s="71"/>
      <c r="D11" s="10"/>
      <c r="E11" s="10"/>
      <c r="F11" s="11"/>
      <c r="G11" s="11"/>
      <c r="H11" s="11"/>
      <c r="I11" s="11"/>
      <c r="J11" s="98"/>
      <c r="K11" s="98"/>
      <c r="L11" s="160"/>
      <c r="M11" s="11"/>
    </row>
    <row r="12" spans="2:16">
      <c r="B12" s="74" t="s">
        <v>26</v>
      </c>
      <c r="C12" s="90" t="str">
        <f>Knorr69!A1</f>
        <v>AP A09111377</v>
      </c>
      <c r="D12" s="10">
        <v>527</v>
      </c>
      <c r="E12" s="10"/>
      <c r="F12" s="11" t="e">
        <f>Knorr69!#REF!</f>
        <v>#REF!</v>
      </c>
      <c r="G12" s="11" t="e">
        <f>Knorr69!#REF!</f>
        <v>#REF!</v>
      </c>
      <c r="H12" s="11" t="e">
        <f>Knorr69!#REF!</f>
        <v>#REF!</v>
      </c>
      <c r="I12" s="11" t="e">
        <f>Knorr69!#REF!</f>
        <v>#REF!</v>
      </c>
      <c r="J12" s="98" t="e">
        <f>Knorr69!#REF!</f>
        <v>#REF!</v>
      </c>
      <c r="K12" s="98"/>
      <c r="L12" s="160" t="e">
        <f>SUM(F12:I12)</f>
        <v>#REF!</v>
      </c>
      <c r="M12" s="459">
        <v>134086437</v>
      </c>
      <c r="O12" s="96" t="e">
        <f>J12</f>
        <v>#REF!</v>
      </c>
      <c r="P12" s="96" t="e">
        <f>L12-O12</f>
        <v>#REF!</v>
      </c>
    </row>
    <row r="13" spans="2:16" ht="14.45">
      <c r="B13" s="74"/>
      <c r="C13" s="71"/>
      <c r="D13" s="10"/>
      <c r="E13" s="10"/>
      <c r="F13" s="11"/>
      <c r="G13" s="11"/>
      <c r="H13" s="11"/>
      <c r="I13" s="11"/>
      <c r="J13" s="98"/>
      <c r="K13" s="98"/>
      <c r="L13" s="160"/>
      <c r="M13" s="11"/>
    </row>
    <row r="14" spans="2:16">
      <c r="B14" s="74" t="s">
        <v>27</v>
      </c>
      <c r="C14" s="90" t="str">
        <f>KTI!A1</f>
        <v>AP A13607773</v>
      </c>
      <c r="D14" s="10">
        <v>1747</v>
      </c>
      <c r="E14" s="10"/>
      <c r="F14" s="11" t="e">
        <f>KTI!#REF!</f>
        <v>#REF!</v>
      </c>
      <c r="G14" s="11" t="e">
        <f>KTI!#REF!</f>
        <v>#REF!</v>
      </c>
      <c r="H14" s="11" t="e">
        <f>KTI!#REF!</f>
        <v>#REF!</v>
      </c>
      <c r="I14" s="11" t="e">
        <f>KTI!#REF!</f>
        <v>#REF!</v>
      </c>
      <c r="J14" s="98" t="e">
        <f>KTI!#REF!</f>
        <v>#REF!</v>
      </c>
      <c r="K14" s="98"/>
      <c r="L14" s="160" t="e">
        <f>SUM(F14:I14)</f>
        <v>#REF!</v>
      </c>
      <c r="M14" s="69"/>
      <c r="O14" s="96" t="e">
        <f>J14</f>
        <v>#REF!</v>
      </c>
      <c r="P14" s="96" t="e">
        <f>L14-O14</f>
        <v>#REF!</v>
      </c>
    </row>
    <row r="15" spans="2:16" ht="14.45">
      <c r="B15" s="74"/>
      <c r="C15" s="71"/>
      <c r="D15" s="10"/>
      <c r="E15" s="10"/>
      <c r="F15" s="11"/>
      <c r="G15" s="11"/>
      <c r="H15" s="11"/>
      <c r="I15" s="11"/>
      <c r="J15" s="98"/>
      <c r="K15" s="98"/>
      <c r="L15" s="160"/>
      <c r="M15" s="11"/>
    </row>
    <row r="16" spans="2:16">
      <c r="B16" s="74" t="s">
        <v>29</v>
      </c>
      <c r="C16" s="84" t="s">
        <v>71</v>
      </c>
      <c r="D16" s="38" t="s">
        <v>73</v>
      </c>
      <c r="E16" s="10"/>
      <c r="F16" s="11"/>
      <c r="G16" s="11"/>
      <c r="H16" s="11"/>
      <c r="I16" s="11"/>
      <c r="J16" s="98"/>
      <c r="K16" s="98"/>
      <c r="L16" s="160"/>
      <c r="M16" s="11"/>
    </row>
    <row r="17" spans="2:16">
      <c r="B17" s="74"/>
      <c r="C17" s="176"/>
      <c r="D17" s="10"/>
      <c r="E17" s="10"/>
      <c r="F17" s="11"/>
      <c r="G17" s="11"/>
      <c r="H17" s="11"/>
      <c r="I17" s="11"/>
      <c r="J17" s="98"/>
      <c r="K17" s="98"/>
      <c r="L17" s="160"/>
      <c r="M17" s="11"/>
    </row>
    <row r="18" spans="2:16">
      <c r="B18" s="74" t="s">
        <v>30</v>
      </c>
      <c r="C18" s="84" t="s">
        <v>31</v>
      </c>
      <c r="D18" s="38" t="s">
        <v>74</v>
      </c>
      <c r="E18" s="10"/>
      <c r="F18" s="11">
        <f>RSR!C34</f>
        <v>4396</v>
      </c>
      <c r="G18" s="11">
        <f>RSR!D34</f>
        <v>17170.05</v>
      </c>
      <c r="H18" s="11">
        <f>RSR!E34</f>
        <v>58570.18</v>
      </c>
      <c r="I18" s="11">
        <f>RSR!F34</f>
        <v>907603.27</v>
      </c>
      <c r="J18" s="98">
        <f>RSR!G34</f>
        <v>318535</v>
      </c>
      <c r="K18" s="98"/>
      <c r="L18" s="160">
        <f>SUM(F18:I18)</f>
        <v>987739.5</v>
      </c>
      <c r="M18" s="267"/>
      <c r="O18" s="96">
        <f>SUM(J18:J19)</f>
        <v>434460</v>
      </c>
      <c r="P18" s="96">
        <f>SUM(L18:L19)-O18</f>
        <v>924222</v>
      </c>
    </row>
    <row r="19" spans="2:16">
      <c r="B19" s="74" t="s">
        <v>30</v>
      </c>
      <c r="C19" s="191" t="s">
        <v>32</v>
      </c>
      <c r="D19" s="38" t="s">
        <v>75</v>
      </c>
      <c r="E19" s="10"/>
      <c r="F19" s="11">
        <f>RSR!S34</f>
        <v>550</v>
      </c>
      <c r="G19" s="11">
        <f>RSR!T34</f>
        <v>322492.05</v>
      </c>
      <c r="H19" s="11">
        <f>RSR!U34</f>
        <v>0.18</v>
      </c>
      <c r="I19" s="11">
        <f>RSR!V34</f>
        <v>47900.27</v>
      </c>
      <c r="J19" s="98">
        <f>RSR!W34</f>
        <v>115925</v>
      </c>
      <c r="K19" s="98"/>
      <c r="L19" s="160">
        <f>SUM(F19:I19)</f>
        <v>370942.5</v>
      </c>
      <c r="M19" s="267"/>
    </row>
    <row r="20" spans="2:16" ht="14.45">
      <c r="B20" s="74"/>
      <c r="C20" s="71"/>
      <c r="D20" s="10"/>
      <c r="E20" s="10"/>
      <c r="F20" s="11"/>
      <c r="G20" s="11"/>
      <c r="H20" s="11"/>
      <c r="I20" s="11"/>
      <c r="J20" s="98"/>
      <c r="K20" s="98"/>
      <c r="L20" s="160"/>
      <c r="M20" s="11"/>
    </row>
    <row r="21" spans="2:16">
      <c r="B21" s="74" t="s">
        <v>72</v>
      </c>
      <c r="C21" s="71" t="str">
        <f>'Egyéb pénztárgépek'!M1</f>
        <v>AP A13609679</v>
      </c>
      <c r="D21" s="10"/>
      <c r="E21" s="10"/>
      <c r="F21" s="11">
        <f>'Egyéb pénztárgépek'!N34</f>
        <v>0</v>
      </c>
      <c r="G21" s="11">
        <f>'Egyéb pénztárgépek'!O34</f>
        <v>0.05</v>
      </c>
      <c r="H21" s="11">
        <f>'Egyéb pénztárgépek'!P34</f>
        <v>0.18</v>
      </c>
      <c r="I21" s="11">
        <f>'Egyéb pénztárgépek'!Q34</f>
        <v>0.27</v>
      </c>
      <c r="J21" s="98">
        <f>'Egyéb pénztárgépek'!R34</f>
        <v>0</v>
      </c>
      <c r="K21" s="98"/>
      <c r="L21" s="160">
        <f>SUM(F21:I21)</f>
        <v>0.5</v>
      </c>
      <c r="M21" s="267"/>
    </row>
    <row r="22" spans="2:16">
      <c r="B22" s="74" t="s">
        <v>72</v>
      </c>
      <c r="C22" s="71" t="str">
        <f>'Egyéb pénztárgépek'!AB1</f>
        <v>AP A09109974</v>
      </c>
      <c r="D22" s="10"/>
      <c r="E22" s="10"/>
      <c r="F22" s="11">
        <f>'Egyéb pénztárgépek'!AC34</f>
        <v>0</v>
      </c>
      <c r="G22" s="11">
        <f>'Egyéb pénztárgépek'!AD34</f>
        <v>0.05</v>
      </c>
      <c r="H22" s="11">
        <f>'Egyéb pénztárgépek'!AE34</f>
        <v>0.18</v>
      </c>
      <c r="I22" s="11">
        <f>'Egyéb pénztárgépek'!AF34</f>
        <v>0.27</v>
      </c>
      <c r="J22" s="98">
        <f>'Egyéb pénztárgépek'!AG34</f>
        <v>0</v>
      </c>
      <c r="K22" s="98"/>
      <c r="L22" s="160">
        <f>SUM(F22:I22)</f>
        <v>0.5</v>
      </c>
      <c r="M22" s="267"/>
    </row>
    <row r="23" spans="2:16">
      <c r="B23" s="74" t="s">
        <v>34</v>
      </c>
      <c r="C23" s="71" t="s">
        <v>38</v>
      </c>
      <c r="D23" s="10"/>
      <c r="E23" s="10"/>
      <c r="F23" s="11"/>
      <c r="G23" s="11"/>
      <c r="H23" s="11"/>
      <c r="I23" s="11"/>
      <c r="J23" s="98"/>
      <c r="K23" s="98"/>
      <c r="L23" s="160"/>
      <c r="M23" s="11"/>
    </row>
    <row r="24" spans="2:16">
      <c r="B24" s="74" t="s">
        <v>34</v>
      </c>
      <c r="C24" s="192" t="s">
        <v>40</v>
      </c>
      <c r="D24" s="10">
        <v>2243</v>
      </c>
      <c r="E24" s="10"/>
      <c r="F24" s="11"/>
      <c r="G24" s="11"/>
      <c r="H24" s="11"/>
      <c r="I24" s="11"/>
      <c r="J24" s="98"/>
      <c r="K24" s="98"/>
      <c r="L24" s="160"/>
      <c r="M24" s="11"/>
    </row>
    <row r="25" spans="2:16">
      <c r="B25" s="74"/>
      <c r="C25" s="188"/>
      <c r="D25" s="10"/>
      <c r="E25" s="10"/>
      <c r="F25" s="11"/>
      <c r="G25" s="11"/>
      <c r="H25" s="11"/>
      <c r="I25" s="11"/>
      <c r="J25" s="98"/>
      <c r="K25" s="98"/>
      <c r="L25" s="160"/>
      <c r="M25" s="69"/>
    </row>
    <row r="26" spans="2:16">
      <c r="B26" s="74"/>
      <c r="C26" s="191"/>
      <c r="D26" s="92"/>
      <c r="E26" s="92"/>
      <c r="F26" s="228"/>
      <c r="G26" s="228"/>
      <c r="H26" s="228"/>
      <c r="I26" s="228"/>
      <c r="J26" s="269"/>
      <c r="K26" s="269"/>
      <c r="L26" s="270"/>
      <c r="M26" s="271"/>
    </row>
    <row r="27" spans="2:16" ht="14.45">
      <c r="B27" s="100" t="s">
        <v>43</v>
      </c>
      <c r="C27" s="268"/>
      <c r="D27" s="99"/>
      <c r="E27" s="99"/>
      <c r="F27" s="101" t="e">
        <f>SUM(F3:F24)</f>
        <v>#REF!</v>
      </c>
      <c r="G27" s="101" t="e">
        <f ca="1">SUM(G3:G24)</f>
        <v>#REF!</v>
      </c>
      <c r="H27" s="101" t="e">
        <f ca="1">SUM(H3:H24)</f>
        <v>#REF!</v>
      </c>
      <c r="I27" s="101" t="e">
        <f ca="1">SUM(I3:I24)</f>
        <v>#REF!</v>
      </c>
      <c r="J27" s="103">
        <v>1495140</v>
      </c>
      <c r="K27" s="102"/>
      <c r="L27" s="91" t="e">
        <f ca="1">SUM(L3:L24)</f>
        <v>#REF!</v>
      </c>
      <c r="M27" s="161"/>
    </row>
    <row r="28" spans="2:16" ht="14.45">
      <c r="D28" s="4"/>
      <c r="E28" s="4"/>
      <c r="F28" s="4"/>
      <c r="G28" s="4"/>
      <c r="H28" s="4"/>
      <c r="I28" s="4"/>
      <c r="J28" s="93"/>
      <c r="K28" s="93"/>
      <c r="L28" s="65"/>
      <c r="M28" s="63"/>
    </row>
    <row r="29" spans="2:16" ht="14.45"/>
    <row r="30" spans="2:16" ht="14.45"/>
    <row r="31" spans="2:16" ht="14.45"/>
  </sheetData>
  <protectedRanges>
    <protectedRange sqref="C26 C19" name="Range2"/>
  </protectedRanges>
  <conditionalFormatting sqref="C26">
    <cfRule type="containsText" dxfId="527" priority="8" stopIfTrue="1" operator="containsText" text="ELTÉRÉS!">
      <formula>NOT(ISERROR(SEARCH("ELTÉRÉS!",C26)))</formula>
    </cfRule>
    <cfRule type="containsText" dxfId="526" priority="9" stopIfTrue="1" operator="containsText" text="STIMMEL!">
      <formula>NOT(ISERROR(SEARCH("STIMMEL!",C26)))</formula>
    </cfRule>
  </conditionalFormatting>
  <conditionalFormatting sqref="C26">
    <cfRule type="cellIs" dxfId="525" priority="7" operator="equal">
      <formula>0.01</formula>
    </cfRule>
  </conditionalFormatting>
  <conditionalFormatting sqref="C19">
    <cfRule type="containsText" dxfId="524" priority="5" stopIfTrue="1" operator="containsText" text="ELTÉRÉS!">
      <formula>NOT(ISERROR(SEARCH("ELTÉRÉS!",C19)))</formula>
    </cfRule>
    <cfRule type="containsText" dxfId="523" priority="6" stopIfTrue="1" operator="containsText" text="STIMMEL!">
      <formula>NOT(ISERROR(SEARCH("STIMMEL!",C19)))</formula>
    </cfRule>
  </conditionalFormatting>
  <conditionalFormatting sqref="C19">
    <cfRule type="cellIs" dxfId="522" priority="4" operator="equal">
      <formula>0.01</formula>
    </cfRule>
  </conditionalFormatting>
  <conditionalFormatting sqref="M3">
    <cfRule type="containsText" dxfId="521" priority="2" stopIfTrue="1" operator="containsText" text="ELTÉRÉS!">
      <formula>NOT(ISERROR(SEARCH("ELTÉRÉS!",M3)))</formula>
    </cfRule>
    <cfRule type="containsText" dxfId="520" priority="3" stopIfTrue="1" operator="containsText" text="STIMMEL!">
      <formula>NOT(ISERROR(SEARCH("STIMMEL!",M3)))</formula>
    </cfRule>
  </conditionalFormatting>
  <conditionalFormatting sqref="M3">
    <cfRule type="cellIs" dxfId="519" priority="1" operator="equal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3"/>
  <sheetViews>
    <sheetView workbookViewId="0">
      <pane ySplit="1" topLeftCell="K70" activePane="bottomLeft" state="frozen"/>
      <selection pane="bottomLeft" activeCell="P46" sqref="P46"/>
    </sheetView>
  </sheetViews>
  <sheetFormatPr defaultRowHeight="15" customHeight="1"/>
  <cols>
    <col min="1" max="1" width="15" style="77" customWidth="1"/>
    <col min="2" max="2" width="16" style="383" customWidth="1"/>
    <col min="3" max="3" width="12.140625" style="4" customWidth="1"/>
    <col min="4" max="4" width="13.7109375" style="4" customWidth="1"/>
    <col min="5" max="5" width="11.85546875" style="4" customWidth="1"/>
    <col min="6" max="6" width="13" style="4" customWidth="1"/>
    <col min="7" max="7" width="12.5703125" style="4" customWidth="1"/>
    <col min="8" max="8" width="14.7109375" style="4" customWidth="1"/>
    <col min="9" max="9" width="13" style="4" customWidth="1"/>
    <col min="10" max="10" width="14.42578125" style="40" customWidth="1"/>
    <col min="11" max="11" width="17.7109375" style="49" customWidth="1"/>
    <col min="12" max="12" width="15.28515625" style="287" customWidth="1"/>
    <col min="13" max="13" width="9.85546875" customWidth="1"/>
    <col min="14" max="14" width="18.28515625" customWidth="1"/>
    <col min="16" max="16" width="14" customWidth="1"/>
    <col min="17" max="17" width="16.140625" hidden="1" customWidth="1"/>
    <col min="18" max="20" width="0" hidden="1" customWidth="1"/>
    <col min="21" max="21" width="10.5703125" hidden="1" customWidth="1"/>
    <col min="22" max="22" width="13.5703125" hidden="1" customWidth="1"/>
    <col min="23" max="23" width="17.140625" hidden="1" customWidth="1"/>
    <col min="24" max="24" width="13.5703125" hidden="1" customWidth="1"/>
    <col min="25" max="25" width="11" hidden="1" customWidth="1"/>
    <col min="26" max="27" width="0" hidden="1" customWidth="1"/>
    <col min="28" max="28" width="12.5703125" hidden="1" customWidth="1"/>
    <col min="29" max="29" width="13.7109375" hidden="1" customWidth="1"/>
    <col min="30" max="30" width="0" hidden="1" customWidth="1"/>
  </cols>
  <sheetData>
    <row r="1" spans="1:37" ht="32.25" customHeight="1">
      <c r="A1" s="80" t="s">
        <v>76</v>
      </c>
      <c r="B1" s="377" t="s">
        <v>77</v>
      </c>
      <c r="C1" s="7">
        <v>0</v>
      </c>
      <c r="D1" s="7">
        <v>0.05</v>
      </c>
      <c r="E1" s="7">
        <v>0.18</v>
      </c>
      <c r="F1" s="7">
        <v>0.27</v>
      </c>
      <c r="G1" s="6" t="s">
        <v>78</v>
      </c>
      <c r="H1" s="6" t="s">
        <v>79</v>
      </c>
      <c r="I1" s="48" t="s">
        <v>80</v>
      </c>
      <c r="J1" s="41" t="s">
        <v>81</v>
      </c>
      <c r="K1" s="375" t="s">
        <v>82</v>
      </c>
      <c r="L1" s="280" t="s">
        <v>83</v>
      </c>
      <c r="M1" s="299" t="s">
        <v>84</v>
      </c>
      <c r="N1" s="299" t="s">
        <v>85</v>
      </c>
      <c r="P1" s="299" t="s">
        <v>77</v>
      </c>
    </row>
    <row r="2" spans="1:37" s="31" customFormat="1" ht="21">
      <c r="A2" s="81" t="s">
        <v>3</v>
      </c>
      <c r="B2" s="378"/>
      <c r="C2" s="30"/>
      <c r="D2" s="30"/>
      <c r="E2" s="30"/>
      <c r="F2" s="30"/>
      <c r="G2" s="30"/>
      <c r="H2" s="30"/>
      <c r="I2" s="30"/>
      <c r="J2" s="39"/>
      <c r="K2" s="376"/>
      <c r="L2" s="281"/>
      <c r="M2" s="178"/>
      <c r="N2" s="178"/>
      <c r="P2" s="299" t="str">
        <f>'[1]2026 január'!B1</f>
        <v>Novohost</v>
      </c>
      <c r="Q2" s="299" t="str">
        <f>'[1]2026 január'!G1</f>
        <v>Tartalék kiadás</v>
      </c>
      <c r="R2" s="299" t="str">
        <f>'[1]2026 január'!W1</f>
        <v>Kivét</v>
      </c>
      <c r="S2" s="299" t="s">
        <v>86</v>
      </c>
      <c r="T2" s="300"/>
      <c r="U2" s="301"/>
      <c r="V2" s="299" t="str">
        <f>'[1]2026 január'!S1</f>
        <v>Pénztár nyitó</v>
      </c>
      <c r="W2" s="299" t="str">
        <f>'[1]2026 január'!T1</f>
        <v>novo kp bevétel</v>
      </c>
      <c r="X2" s="299" t="str">
        <f>'[1]2026 január'!U1</f>
        <v>Egyéb bevétel</v>
      </c>
      <c r="Y2" s="299" t="str">
        <f>'[1]2026 január'!V1</f>
        <v>Költött</v>
      </c>
      <c r="Z2" s="299" t="str">
        <f>'[1]2026 január'!W1</f>
        <v>Kivét</v>
      </c>
      <c r="AA2" s="299" t="str">
        <f>'[1]2026 január'!X1</f>
        <v>Eltérés</v>
      </c>
      <c r="AB2" s="299" t="str">
        <f>'[1]2026 január'!Y1</f>
        <v>Záró</v>
      </c>
      <c r="AC2" s="299" t="str">
        <f>'[1]2026 január'!Z1</f>
        <v>Megjegyzések</v>
      </c>
      <c r="AD2" s="303">
        <f>'[1]2026 január'!AA1</f>
        <v>0</v>
      </c>
      <c r="AE2" s="303">
        <f>'[1]2026 január'!AB1</f>
        <v>0</v>
      </c>
      <c r="AF2" s="303">
        <f>'[1]2026 január'!AC1</f>
        <v>0</v>
      </c>
      <c r="AG2" s="303">
        <f>'[1]2026 január'!AD1</f>
        <v>0</v>
      </c>
    </row>
    <row r="3" spans="1:37">
      <c r="A3" s="162">
        <v>46023</v>
      </c>
      <c r="B3" s="163"/>
      <c r="C3" s="163"/>
      <c r="D3" s="163"/>
      <c r="E3" s="163"/>
      <c r="F3" s="163"/>
      <c r="G3" s="163"/>
      <c r="H3" s="163"/>
      <c r="I3" s="163"/>
      <c r="J3" s="164"/>
      <c r="K3" s="165"/>
      <c r="L3" s="282"/>
      <c r="M3" s="179"/>
      <c r="N3" s="179"/>
      <c r="P3" s="293" t="str">
        <f>IF('[1]2026 január'!B$2=0,
    "",
    '[1]2026 január'!B$2
)</f>
        <v/>
      </c>
      <c r="Q3" s="293" t="str">
        <f>IF(OR('[1]2026 január'!G2=0,
       ISBLANK('[1]2026 január'!G2)),
    "",
    '[1]2026 január'!G2
)</f>
        <v/>
      </c>
      <c r="R3" s="11">
        <f>'[1]2026 január'!W2</f>
        <v>0</v>
      </c>
      <c r="S3" s="11" t="e">
        <f>P3-Q3-R3-G3-H3</f>
        <v>#VALUE!</v>
      </c>
      <c r="T3" s="11"/>
      <c r="U3" s="10"/>
      <c r="V3" s="293" t="str">
        <f>IF('[1]2026 január'!S2=0,
    "",
    '[1]2026 január'!S2
)</f>
        <v/>
      </c>
      <c r="W3" s="293" t="str">
        <f>IF('[1]2026 január'!T2=0,
    "",
    '[1]2026 január'!T2
)</f>
        <v/>
      </c>
      <c r="X3" s="293" t="str">
        <f>IF('[1]2026 január'!U2=0,
    "",
    '[1]2026 január'!U2
)</f>
        <v/>
      </c>
      <c r="Y3" s="293" t="str">
        <f>IF('[1]2026 január'!V2=0,
    "",
    '[1]2026 január'!V2
)</f>
        <v/>
      </c>
      <c r="Z3" s="293" t="str">
        <f>IF('[1]2026 január'!W2=0,
    "",
    '[1]2026 január'!W2
)</f>
        <v/>
      </c>
      <c r="AA3" s="293" t="str">
        <f>IF('[1]2026 január'!X2=0,
    "",
    '[1]2026 január'!X2
)</f>
        <v/>
      </c>
      <c r="AB3" s="293" t="str">
        <f>IF('[1]2026 január'!Y2=0,
    "",
    '[1]2026 január'!Y2
)</f>
        <v/>
      </c>
      <c r="AC3" s="293" t="str">
        <f>IF('[1]2026 január'!Z2=0,
    "",
    '[1]2026 január'!Z2
)</f>
        <v/>
      </c>
      <c r="AD3" s="245" t="str">
        <f>IF('[1]2026 január'!AA2=0,
    "",
    '[1]2026 január'!AA2
)</f>
        <v/>
      </c>
      <c r="AE3" s="245" t="str">
        <f>IF('[1]2026 január'!AB$2=0,
    "",
    '[1]2026 január'!AB$2
)</f>
        <v/>
      </c>
      <c r="AF3" s="245" t="str">
        <f>IF('[1]2026 január'!AC$2=0,
    "",
    '[1]2026 január'!AC$2
)</f>
        <v/>
      </c>
      <c r="AG3" s="245" t="str">
        <f>IF('[1]2026 január'!AD$2=0,
    "",
    '[1]2026 január'!AD$2
)</f>
        <v/>
      </c>
      <c r="AH3" s="245" t="str">
        <f>IF('[1]2026 január'!AE2=0,
    "",
    '[1]2026 január'!AE2
)</f>
        <v/>
      </c>
      <c r="AI3" s="245" t="str">
        <f>IF('[1]2026 január'!AF2=0,
    "",
    '[1]2026 január'!AF2
)</f>
        <v/>
      </c>
      <c r="AJ3" s="245" t="str">
        <f>IF('[1]2026 január'!AG2=0,
    "",
    '[1]2026 január'!AG2
)</f>
        <v/>
      </c>
      <c r="AK3" s="245" t="str">
        <f>IF('[1]2026 január'!AH2=0,
    "",
    '[1]2026 január'!AH2
)</f>
        <v/>
      </c>
    </row>
    <row r="4" spans="1:37">
      <c r="A4" s="162">
        <v>46024</v>
      </c>
      <c r="B4" s="163"/>
      <c r="C4" s="163"/>
      <c r="D4" s="163"/>
      <c r="E4" s="163"/>
      <c r="F4" s="163"/>
      <c r="G4" s="163"/>
      <c r="H4" s="163"/>
      <c r="I4" s="163"/>
      <c r="J4" s="164"/>
      <c r="K4" s="165"/>
      <c r="L4" s="282"/>
      <c r="M4" s="179"/>
      <c r="N4" s="179"/>
      <c r="P4" s="293" t="str">
        <f>IF('[1]2026 január'!B$3=0,
    "",
    '[1]2026 január'!B$3
)</f>
        <v/>
      </c>
      <c r="Q4" s="293" t="str">
        <f>IF(OR('[1]2026 január'!G3=0,
       ISBLANK('[1]2026 január'!G3)),
    "",
    '[1]2026 január'!G3
)</f>
        <v/>
      </c>
      <c r="R4" s="11">
        <f>'[1]2026 január'!W3</f>
        <v>0</v>
      </c>
      <c r="S4" s="11"/>
      <c r="T4" s="11"/>
      <c r="U4" s="10"/>
      <c r="V4" s="293" t="str">
        <f>IF('[1]2026 január'!S3=0,
    "",
    '[1]2026 január'!S3
)</f>
        <v/>
      </c>
      <c r="W4" s="293" t="str">
        <f>IF('[1]2026 január'!T3=0,
    "",
    '[1]2026 január'!T3
)</f>
        <v/>
      </c>
      <c r="X4" s="293" t="str">
        <f>IF('[1]2026 január'!U3=0,
    "",
    '[1]2026 január'!U3
)</f>
        <v/>
      </c>
      <c r="Y4" s="293" t="str">
        <f>IF('[1]2026 január'!V3=0,
    "",
    '[1]2026 január'!V3
)</f>
        <v/>
      </c>
      <c r="Z4" s="293" t="str">
        <f>IF('[1]2026 január'!W3=0,
    "",
    '[1]2026 január'!W3
)</f>
        <v/>
      </c>
      <c r="AA4" s="293" t="str">
        <f>IF('[1]2026 január'!X3=0,
    "",
    '[1]2026 január'!X3
)</f>
        <v/>
      </c>
      <c r="AB4" s="293" t="str">
        <f>IF('[1]2026 január'!Y3=0,
    "",
    '[1]2026 január'!Y3
)</f>
        <v/>
      </c>
      <c r="AC4" s="293" t="str">
        <f>IF('[1]2026 január'!Z3=0,
    "",
    '[1]2026 január'!Z3
)</f>
        <v/>
      </c>
      <c r="AD4" s="245" t="str">
        <f>IF('[1]2026 január'!AA3=0,
    "",
    '[1]2026 január'!AA3
)</f>
        <v/>
      </c>
      <c r="AE4" s="245" t="str">
        <f>IF('[1]2026 január'!AB$3=0,
    "",
    '[1]2026 január'!AB$3
)</f>
        <v/>
      </c>
      <c r="AF4" s="245" t="str">
        <f>IF('[1]2026 január'!AC$3=0,
    "",
    '[1]2026 január'!AC$3
)</f>
        <v/>
      </c>
      <c r="AG4" s="245" t="str">
        <f>IF('[1]2026 január'!AD$3=0,
    "",
    '[1]2026 január'!AD$3
)</f>
        <v/>
      </c>
      <c r="AH4" s="245" t="str">
        <f>IF('[1]2026 január'!AE3=0,
    "",
    '[1]2026 január'!AE3
)</f>
        <v/>
      </c>
      <c r="AI4" s="245" t="str">
        <f>IF('[1]2026 január'!AF3=0,
    "",
    '[1]2026 január'!AF3
)</f>
        <v/>
      </c>
      <c r="AJ4" s="245" t="str">
        <f>IF('[1]2026 január'!AG3=0,
    "",
    '[1]2026 január'!AG3
)</f>
        <v/>
      </c>
      <c r="AK4" s="245" t="str">
        <f>IF('[1]2026 január'!AH3=0,
    "",
    '[1]2026 január'!AH3
)</f>
        <v/>
      </c>
    </row>
    <row r="5" spans="1:37">
      <c r="A5" s="162">
        <v>46025</v>
      </c>
      <c r="B5" s="163"/>
      <c r="C5" s="163"/>
      <c r="D5" s="163"/>
      <c r="E5" s="163"/>
      <c r="F5" s="163"/>
      <c r="G5" s="163"/>
      <c r="H5" s="163"/>
      <c r="I5" s="163"/>
      <c r="J5" s="164"/>
      <c r="K5" s="167"/>
      <c r="L5" s="283"/>
      <c r="M5" s="179"/>
      <c r="N5" s="179"/>
      <c r="P5" s="293" t="str">
        <f>IF('[1]2026 január'!B$4=0,
    "",
    '[1]2026 január'!B$4
)</f>
        <v/>
      </c>
      <c r="Q5" s="293" t="str">
        <f>IF(OR('[1]2026 január'!G4=0,
       ISBLANK('[1]2026 január'!G4)),
    "",
    '[1]2026 január'!G4
)</f>
        <v/>
      </c>
      <c r="R5" s="11">
        <f>'[1]2026 január'!W4</f>
        <v>0</v>
      </c>
      <c r="S5" s="11"/>
      <c r="T5" s="11"/>
      <c r="U5" s="10"/>
      <c r="V5" s="293" t="str">
        <f>IF('[1]2026 január'!S4=0,
    "",
    '[1]2026 január'!S4
)</f>
        <v/>
      </c>
      <c r="W5" s="293" t="str">
        <f>IF('[1]2026 január'!T4=0,
    "",
    '[1]2026 január'!T4
)</f>
        <v/>
      </c>
      <c r="X5" s="293" t="str">
        <f>IF('[1]2026 január'!U4=0,
    "",
    '[1]2026 január'!U4
)</f>
        <v/>
      </c>
      <c r="Y5" s="293" t="str">
        <f>IF('[1]2026 január'!V4=0,
    "",
    '[1]2026 január'!V4
)</f>
        <v/>
      </c>
      <c r="Z5" s="293" t="str">
        <f>IF('[1]2026 január'!W4=0,
    "",
    '[1]2026 január'!W4
)</f>
        <v/>
      </c>
      <c r="AA5" s="293" t="str">
        <f>IF('[1]2026 január'!X4=0,
    "",
    '[1]2026 január'!X4
)</f>
        <v/>
      </c>
      <c r="AB5" s="293" t="str">
        <f>IF('[1]2026 január'!Y4=0,
    "",
    '[1]2026 január'!Y4
)</f>
        <v/>
      </c>
      <c r="AC5" s="293" t="str">
        <f>IF('[1]2026 január'!Z4=0,
    "",
    '[1]2026 január'!Z4
)</f>
        <v/>
      </c>
      <c r="AD5" s="245" t="str">
        <f>IF('[1]2026 január'!AA4=0,
    "",
    '[1]2026 január'!AA4
)</f>
        <v/>
      </c>
      <c r="AE5" s="245" t="str">
        <f>IF('[1]2026 január'!AB$4=0,
    "",
    '[1]2026 január'!AB$4
)</f>
        <v/>
      </c>
      <c r="AF5" s="245" t="str">
        <f>IF('[1]2026 január'!AC$4=0,
    "",
    '[1]2026 január'!AC$4
)</f>
        <v/>
      </c>
      <c r="AG5" s="245" t="str">
        <f>IF('[1]2026 január'!AD$4=0,
    "",
    '[1]2026 január'!AD$4
)</f>
        <v/>
      </c>
      <c r="AH5" s="245" t="str">
        <f>IF('[1]2026 január'!AE4=0,
    "",
    '[1]2026 január'!AE4
)</f>
        <v/>
      </c>
      <c r="AI5" s="245" t="str">
        <f>IF('[1]2026 január'!AF4=0,
    "",
    '[1]2026 január'!AF4
)</f>
        <v/>
      </c>
      <c r="AJ5" s="245" t="str">
        <f>IF('[1]2026 január'!AG4=0,
    "",
    '[1]2026 január'!AG4
)</f>
        <v/>
      </c>
      <c r="AK5" s="245" t="str">
        <f>IF('[1]2026 január'!AH4=0,
    "",
    '[1]2026 január'!AH4
)</f>
        <v/>
      </c>
    </row>
    <row r="6" spans="1:37">
      <c r="A6" s="162">
        <v>46026</v>
      </c>
      <c r="B6" s="163"/>
      <c r="C6" s="163"/>
      <c r="D6" s="163"/>
      <c r="E6" s="163"/>
      <c r="F6" s="163"/>
      <c r="G6" s="163"/>
      <c r="H6" s="163"/>
      <c r="I6" s="163"/>
      <c r="J6" s="164"/>
      <c r="K6" s="167"/>
      <c r="L6" s="283"/>
      <c r="M6" s="179"/>
      <c r="N6" s="179"/>
      <c r="P6" s="293"/>
      <c r="Q6" s="293"/>
      <c r="R6" s="11"/>
      <c r="S6" s="11"/>
      <c r="T6" s="11"/>
      <c r="U6" s="10"/>
      <c r="V6" s="293"/>
      <c r="W6" s="293"/>
      <c r="X6" s="293"/>
      <c r="Y6" s="293"/>
      <c r="Z6" s="293"/>
      <c r="AA6" s="293"/>
      <c r="AB6" s="293"/>
      <c r="AC6" s="293"/>
      <c r="AD6" s="245"/>
      <c r="AE6" s="245"/>
      <c r="AF6" s="245"/>
      <c r="AG6" s="245"/>
      <c r="AH6" s="245"/>
      <c r="AI6" s="245"/>
      <c r="AJ6" s="245"/>
      <c r="AK6" s="245"/>
    </row>
    <row r="7" spans="1:37">
      <c r="A7" s="5">
        <v>46027</v>
      </c>
      <c r="B7" s="11"/>
      <c r="C7" s="11">
        <v>1150</v>
      </c>
      <c r="D7" s="11">
        <v>164389</v>
      </c>
      <c r="E7" s="11"/>
      <c r="F7" s="11">
        <v>177841</v>
      </c>
      <c r="G7" s="11">
        <v>33775</v>
      </c>
      <c r="H7" s="11">
        <v>309605</v>
      </c>
      <c r="I7" s="11">
        <v>314305</v>
      </c>
      <c r="J7" s="44" t="s">
        <v>87</v>
      </c>
      <c r="K7" s="87">
        <v>212688426</v>
      </c>
      <c r="L7" s="284"/>
      <c r="M7" s="9"/>
      <c r="N7" s="9"/>
      <c r="P7" s="293" t="str">
        <f>IF('[1]2026 január'!B$5=0,
    "",
    '[1]2026 január'!B$5
)</f>
        <v/>
      </c>
      <c r="Q7" s="293" t="str">
        <f>IF(OR('[1]2026 január'!G5=0,
       ISBLANK('[1]2026 január'!G5)),
    "",
    '[1]2026 január'!G5
)</f>
        <v/>
      </c>
      <c r="R7" s="11">
        <f>'[1]2026 január'!W5</f>
        <v>0</v>
      </c>
      <c r="S7" s="11"/>
      <c r="T7" s="11"/>
      <c r="U7" s="10"/>
      <c r="V7" s="293" t="str">
        <f>IF('[1]2026 január'!S5=0,
    "",
    '[1]2026 január'!S5
)</f>
        <v/>
      </c>
      <c r="W7" s="293" t="str">
        <f>IF('[1]2026 január'!T5=0,
    "",
    '[1]2026 január'!T5
)</f>
        <v/>
      </c>
      <c r="X7" s="293" t="str">
        <f>IF('[1]2026 január'!U5=0,
    "",
    '[1]2026 január'!U5
)</f>
        <v/>
      </c>
      <c r="Y7" s="293" t="str">
        <f>IF('[1]2026 január'!V5=0,
    "",
    '[1]2026 január'!V5
)</f>
        <v/>
      </c>
      <c r="Z7" s="293" t="str">
        <f>IF('[1]2026 január'!W5=0,
    "",
    '[1]2026 január'!W5
)</f>
        <v/>
      </c>
      <c r="AA7" s="293" t="str">
        <f>IF('[1]2026 január'!X5=0,
    "",
    '[1]2026 január'!X5
)</f>
        <v/>
      </c>
      <c r="AB7" s="293" t="str">
        <f>IF('[1]2026 január'!Y5=0,
    "",
    '[1]2026 január'!Y5
)</f>
        <v/>
      </c>
      <c r="AC7" s="293" t="str">
        <f>IF('[1]2026 január'!Z5=0,
    "",
    '[1]2026 január'!Z5
)</f>
        <v/>
      </c>
      <c r="AD7" s="245" t="str">
        <f>IF('[1]2026 január'!AA5=0,
    "",
    '[1]2026 január'!AA5
)</f>
        <v/>
      </c>
      <c r="AE7" s="245" t="str">
        <f>IF('[1]2026 január'!AB$5=0,
    "",
    '[1]2026 január'!AB$5
)</f>
        <v/>
      </c>
      <c r="AF7" s="245" t="str">
        <f>IF('[1]2026 január'!AC$5=0,
    "",
    '[1]2026 január'!AC$5
)</f>
        <v/>
      </c>
      <c r="AG7" s="245" t="str">
        <f>IF('[1]2026 január'!AD$5=0,
    "",
    '[1]2026 január'!AD$5
)</f>
        <v/>
      </c>
      <c r="AH7" s="245" t="str">
        <f>IF('[1]2026 január'!AE5=0,
    "",
    '[1]2026 január'!AE5
)</f>
        <v/>
      </c>
      <c r="AI7" s="245" t="str">
        <f>IF('[1]2026 január'!AF5=0,
    "",
    '[1]2026 január'!AF5
)</f>
        <v/>
      </c>
      <c r="AJ7" s="245" t="str">
        <f>IF('[1]2026 január'!AG5=0,
    "",
    '[1]2026 január'!AG5
)</f>
        <v/>
      </c>
      <c r="AK7" s="245" t="str">
        <f>IF('[1]2026 január'!AH5=0,
    "",
    '[1]2026 január'!AH5
)</f>
        <v/>
      </c>
    </row>
    <row r="8" spans="1:37">
      <c r="A8" s="5">
        <v>46027</v>
      </c>
      <c r="B8" s="11">
        <v>366030</v>
      </c>
      <c r="C8" s="11"/>
      <c r="D8" s="11"/>
      <c r="E8" s="11"/>
      <c r="F8" s="11">
        <v>4700</v>
      </c>
      <c r="G8" s="11"/>
      <c r="H8" s="11">
        <v>4700</v>
      </c>
      <c r="I8" s="11"/>
      <c r="J8" s="44" t="s">
        <v>88</v>
      </c>
      <c r="K8" s="87">
        <v>212693126</v>
      </c>
      <c r="L8" s="284"/>
      <c r="M8" s="9"/>
      <c r="N8" s="9"/>
      <c r="P8" s="293">
        <f>IF('[1]2026 január'!B$6=0,
    "",
    '[1]2026 január'!B$6
)</f>
        <v>348080</v>
      </c>
      <c r="Q8" s="293" t="str">
        <f>IF(OR('[1]2026 január'!G6=0,
       ISBLANK('[1]2026 január'!G6)),
    "",
    '[1]2026 január'!G6
)</f>
        <v/>
      </c>
      <c r="R8" s="11">
        <f>'[1]2026 január'!W6</f>
        <v>0</v>
      </c>
      <c r="S8" s="11"/>
      <c r="T8" s="11"/>
      <c r="U8" s="10"/>
      <c r="V8" s="293">
        <f>IF('[1]2026 január'!S6=0,
    "",
    '[1]2026 január'!S6
)</f>
        <v>119577</v>
      </c>
      <c r="W8" s="293">
        <f>IF('[1]2026 január'!T6=0,
    "",
    '[1]2026 január'!T6
)</f>
        <v>33775</v>
      </c>
      <c r="X8" s="293" t="str">
        <f>IF('[1]2026 január'!U6=0,
    "",
    '[1]2026 január'!U6
)</f>
        <v/>
      </c>
      <c r="Y8" s="293" t="str">
        <f>IF('[1]2026 január'!V6=0,
    "",
    '[1]2026 január'!V6
)</f>
        <v/>
      </c>
      <c r="Z8" s="293" t="str">
        <f>IF('[1]2026 január'!W6=0,
    "",
    '[1]2026 január'!W6
)</f>
        <v/>
      </c>
      <c r="AA8" s="293" t="str">
        <f>IF('[1]2026 január'!X6=0,
    "",
    '[1]2026 január'!X6
)</f>
        <v/>
      </c>
      <c r="AB8" s="293">
        <f>IF('[1]2026 január'!Y6=0,
    "",
    '[1]2026 január'!Y6
)</f>
        <v>153352</v>
      </c>
      <c r="AC8" s="293" t="str">
        <f>IF('[1]2026 január'!Z6=0,
    "",
    '[1]2026 január'!Z6
)</f>
        <v/>
      </c>
      <c r="AD8" s="245" t="str">
        <f>IF('[1]2026 január'!AA6=0,
    "",
    '[1]2026 január'!AA6
)</f>
        <v/>
      </c>
      <c r="AE8" s="245" t="str">
        <f>IF('[1]2026 január'!AB$6=0,
    "",
    '[1]2026 január'!AB$6
)</f>
        <v/>
      </c>
      <c r="AF8" s="245" t="str">
        <f>IF('[1]2026 január'!AC$6=0,
    "",
    '[1]2026 január'!AC$6
)</f>
        <v/>
      </c>
      <c r="AG8" s="245" t="str">
        <f>IF('[1]2026 január'!AD$6=0,
    "",
    '[1]2026 január'!AD$6
)</f>
        <v/>
      </c>
      <c r="AH8" s="245" t="str">
        <f>IF('[1]2026 január'!AE6=0,
    "",
    '[1]2026 január'!AE6
)</f>
        <v/>
      </c>
      <c r="AI8" s="245" t="str">
        <f>IF('[1]2026 január'!AF6=0,
    "",
    '[1]2026 január'!AF6
)</f>
        <v/>
      </c>
      <c r="AJ8" s="245" t="str">
        <f>IF('[1]2026 január'!AG6=0,
    "",
    '[1]2026 január'!AG6
)</f>
        <v/>
      </c>
      <c r="AK8" s="245" t="str">
        <f>IF('[1]2026 január'!AH6=0,
    "",
    '[1]2026 január'!AH6
)</f>
        <v/>
      </c>
    </row>
    <row r="9" spans="1:37">
      <c r="A9" s="5">
        <v>46028</v>
      </c>
      <c r="B9" s="11">
        <v>412300</v>
      </c>
      <c r="C9" s="11">
        <v>750</v>
      </c>
      <c r="D9" s="11">
        <v>242410</v>
      </c>
      <c r="E9" s="11"/>
      <c r="F9" s="11">
        <v>199650</v>
      </c>
      <c r="G9" s="11">
        <v>16720</v>
      </c>
      <c r="H9" s="11">
        <v>426090</v>
      </c>
      <c r="I9" s="11">
        <v>426090</v>
      </c>
      <c r="J9" s="44" t="s">
        <v>89</v>
      </c>
      <c r="K9" s="87">
        <v>213135936</v>
      </c>
      <c r="L9" s="284"/>
      <c r="M9" s="9"/>
      <c r="N9" s="9"/>
      <c r="P9" s="293">
        <f>IF('[1]2026 január'!B$7=0,
    "",
    '[1]2026 január'!B$7
)</f>
        <v>402810</v>
      </c>
      <c r="Q9" s="293" t="str">
        <f>IF(OR('[1]2026 január'!G7=0,
       ISBLANK('[1]2026 január'!G7)),
    "",
    '[1]2026 január'!G7
)</f>
        <v/>
      </c>
      <c r="R9" s="11">
        <f>'[1]2026 január'!W7</f>
        <v>0</v>
      </c>
      <c r="S9" s="11"/>
      <c r="T9" s="11"/>
      <c r="U9" s="10"/>
      <c r="V9" s="293">
        <f>IF('[1]2026 január'!S7=0,
    "",
    '[1]2026 január'!S7
)</f>
        <v>153352</v>
      </c>
      <c r="W9" s="293">
        <f>IF('[1]2026 január'!T7=0,
    "",
    '[1]2026 január'!T7
)</f>
        <v>-23280</v>
      </c>
      <c r="X9" s="293">
        <f>IF('[1]2026 január'!U7=0,
    "",
    '[1]2026 január'!U7
)</f>
        <v>44985</v>
      </c>
      <c r="Y9" s="293">
        <f>IF('[1]2026 január'!V7=0,
    "",
    '[1]2026 január'!V7
)</f>
        <v>3600</v>
      </c>
      <c r="Z9" s="293" t="str">
        <f>IF('[1]2026 január'!W7=0,
    "",
    '[1]2026 január'!W7
)</f>
        <v/>
      </c>
      <c r="AA9" s="293" t="str">
        <f>IF('[1]2026 január'!X7=0,
    "",
    '[1]2026 január'!X7
)</f>
        <v/>
      </c>
      <c r="AB9" s="293">
        <f>IF('[1]2026 január'!Y7=0,
    "",
    '[1]2026 január'!Y7
)</f>
        <v>171457</v>
      </c>
      <c r="AC9" s="293" t="str">
        <f>IF('[1]2026 január'!Z7=0,
    "",
    '[1]2026 január'!Z7
)</f>
        <v/>
      </c>
      <c r="AD9" s="245" t="str">
        <f>IF('[1]2026 január'!AA7=0,
    "",
    '[1]2026 január'!AA7
)</f>
        <v>Vásárlás</v>
      </c>
      <c r="AE9" s="245" t="str">
        <f>IF('[1]2026 január'!AB$7=0,
    "",
    '[1]2026 január'!AB$7
)</f>
        <v>Vip töltés</v>
      </c>
      <c r="AF9" s="245" t="str">
        <f>IF('[1]2026 január'!AC$7=0,
    "",
    '[1]2026 január'!AC$7
)</f>
        <v/>
      </c>
      <c r="AG9" s="245" t="str">
        <f>IF('[1]2026 január'!AD$7=0,
    "",
    '[1]2026 január'!AD$7
)</f>
        <v/>
      </c>
      <c r="AH9" s="245" t="str">
        <f>IF('[1]2026 január'!AE7=0,
    "",
    '[1]2026 január'!AE7
)</f>
        <v/>
      </c>
      <c r="AI9" s="245" t="str">
        <f>IF('[1]2026 január'!AF7=0,
    "",
    '[1]2026 január'!AF7
)</f>
        <v/>
      </c>
      <c r="AJ9" s="245" t="str">
        <f>IF('[1]2026 január'!AG7=0,
    "",
    '[1]2026 január'!AG7
)</f>
        <v/>
      </c>
      <c r="AK9" s="245" t="str">
        <f>IF('[1]2026 január'!AH7=0,
    "",
    '[1]2026 január'!AH7
)</f>
        <v/>
      </c>
    </row>
    <row r="10" spans="1:37">
      <c r="A10" s="5">
        <v>46029</v>
      </c>
      <c r="B10" s="11">
        <v>423525</v>
      </c>
      <c r="C10" s="11">
        <v>850</v>
      </c>
      <c r="D10" s="11">
        <v>247930</v>
      </c>
      <c r="E10" s="11"/>
      <c r="F10" s="11">
        <v>161945</v>
      </c>
      <c r="G10" s="11">
        <v>20510</v>
      </c>
      <c r="H10" s="11">
        <v>390215</v>
      </c>
      <c r="I10" s="11">
        <v>390215</v>
      </c>
      <c r="J10" s="44" t="s">
        <v>90</v>
      </c>
      <c r="K10" s="87">
        <v>213546661</v>
      </c>
      <c r="L10" s="284"/>
      <c r="M10" s="9"/>
      <c r="N10" s="9"/>
      <c r="P10" s="293">
        <f>IF('[1]2026 január'!B$8=0,
    "",
    '[1]2026 január'!B$8
)</f>
        <v>410725</v>
      </c>
      <c r="Q10" s="293" t="str">
        <f>IF(OR('[1]2026 január'!G8=0,
       ISBLANK('[1]2026 január'!G8)),
    "",
    '[1]2026 január'!G8
)</f>
        <v/>
      </c>
      <c r="R10" s="11">
        <f>'[1]2026 január'!W8</f>
        <v>7190</v>
      </c>
      <c r="S10" s="11"/>
      <c r="T10" s="11"/>
      <c r="U10" s="10"/>
      <c r="V10" s="293">
        <f>IF('[1]2026 január'!S8=0,
    "",
    '[1]2026 január'!S8
)</f>
        <v>171457</v>
      </c>
      <c r="W10" s="293">
        <f>IF('[1]2026 január'!T8=0,
    "",
    '[1]2026 január'!T8
)</f>
        <v>20510</v>
      </c>
      <c r="X10" s="293" t="str">
        <f>IF('[1]2026 január'!U8=0,
    "",
    '[1]2026 január'!U8
)</f>
        <v/>
      </c>
      <c r="Y10" s="293" t="str">
        <f>IF('[1]2026 január'!V8=0,
    "",
    '[1]2026 január'!V8
)</f>
        <v/>
      </c>
      <c r="Z10" s="293">
        <f>IF('[1]2026 január'!W8=0,
    "",
    '[1]2026 január'!W8
)</f>
        <v>7190</v>
      </c>
      <c r="AA10" s="293" t="str">
        <f>IF('[1]2026 január'!X8=0,
    "",
    '[1]2026 január'!X8
)</f>
        <v/>
      </c>
      <c r="AB10" s="293">
        <f>IF('[1]2026 január'!Y8=0,
    "",
    '[1]2026 január'!Y8
)</f>
        <v>184777</v>
      </c>
      <c r="AC10" s="293" t="str">
        <f>IF('[1]2026 január'!Z8=0,
    "",
    '[1]2026 január'!Z8
)</f>
        <v/>
      </c>
      <c r="AD10" s="245" t="str">
        <f>IF('[1]2026 január'!AA8=0,
    "",
    '[1]2026 január'!AA8
)</f>
        <v>Matrica</v>
      </c>
      <c r="AE10" s="245" t="str">
        <f>IF('[1]2026 január'!AB$8=0,
    "",
    '[1]2026 január'!AB$8
)</f>
        <v/>
      </c>
      <c r="AF10" s="245" t="str">
        <f>IF('[1]2026 január'!AC$8=0,
    "",
    '[1]2026 január'!AC$8
)</f>
        <v/>
      </c>
      <c r="AG10" s="245" t="str">
        <f>IF('[1]2026 január'!AD$8=0,
    "",
    '[1]2026 január'!AD$8
)</f>
        <v/>
      </c>
      <c r="AH10" s="245" t="str">
        <f>IF('[1]2026 január'!AE8=0,
    "",
    '[1]2026 január'!AE8
)</f>
        <v/>
      </c>
      <c r="AI10" s="245" t="str">
        <f>IF('[1]2026 január'!AF8=0,
    "",
    '[1]2026 január'!AF8
)</f>
        <v/>
      </c>
      <c r="AJ10" s="245" t="str">
        <f>IF('[1]2026 január'!AG8=0,
    "",
    '[1]2026 január'!AG8
)</f>
        <v/>
      </c>
      <c r="AK10" s="245" t="str">
        <f>IF('[1]2026 január'!AH8=0,
    "",
    '[1]2026 január'!AH8
)</f>
        <v/>
      </c>
    </row>
    <row r="11" spans="1:37">
      <c r="A11" s="5">
        <v>46030</v>
      </c>
      <c r="B11" s="11">
        <v>459800</v>
      </c>
      <c r="C11" s="11">
        <v>1150</v>
      </c>
      <c r="D11" s="11">
        <v>275605</v>
      </c>
      <c r="E11" s="11"/>
      <c r="F11" s="11">
        <v>196505</v>
      </c>
      <c r="G11" s="11">
        <v>28825</v>
      </c>
      <c r="H11" s="11">
        <v>444435</v>
      </c>
      <c r="I11" s="11">
        <v>444435</v>
      </c>
      <c r="J11" s="44" t="s">
        <v>91</v>
      </c>
      <c r="K11" s="87">
        <v>214019921</v>
      </c>
      <c r="L11" s="284"/>
      <c r="M11" s="9"/>
      <c r="N11" s="9"/>
      <c r="P11" s="293">
        <f>IF('[1]2026 január'!B$9=0,
    "",
    '[1]2026 január'!B$9
)</f>
        <v>443260</v>
      </c>
      <c r="Q11" s="293" t="str">
        <f>IF(OR('[1]2026 január'!G9=0,
       ISBLANK('[1]2026 január'!G9)),
    "",
    '[1]2026 január'!G9
)</f>
        <v/>
      </c>
      <c r="R11" s="11">
        <f>'[1]2026 január'!W9</f>
        <v>0</v>
      </c>
      <c r="S11" s="11"/>
      <c r="T11" s="11"/>
      <c r="U11" s="10"/>
      <c r="V11" s="293">
        <f>IF('[1]2026 január'!S9=0,
    "",
    '[1]2026 január'!S9
)</f>
        <v>184777</v>
      </c>
      <c r="W11" s="293">
        <f>IF('[1]2026 január'!T9=0,
    "",
    '[1]2026 január'!T9
)</f>
        <v>-1175</v>
      </c>
      <c r="X11" s="293" t="str">
        <f>IF('[1]2026 január'!U9=0,
    "",
    '[1]2026 január'!U9
)</f>
        <v/>
      </c>
      <c r="Y11" s="293">
        <f>IF('[1]2026 január'!V9=0,
    "",
    '[1]2026 január'!V9
)</f>
        <v>22997</v>
      </c>
      <c r="Z11" s="293" t="str">
        <f>IF('[1]2026 január'!W9=0,
    "",
    '[1]2026 január'!W9
)</f>
        <v/>
      </c>
      <c r="AA11" s="293" t="str">
        <f>IF('[1]2026 január'!X9=0,
    "",
    '[1]2026 január'!X9
)</f>
        <v/>
      </c>
      <c r="AB11" s="293">
        <f>IF('[1]2026 január'!Y9=0,
    "",
    '[1]2026 január'!Y9
)</f>
        <v>160605</v>
      </c>
      <c r="AC11" s="293" t="str">
        <f>IF('[1]2026 január'!Z9=0,
    "",
    '[1]2026 január'!Z9
)</f>
        <v/>
      </c>
      <c r="AD11" s="245" t="str">
        <f>IF('[1]2026 január'!AA9=0,
    "",
    '[1]2026 január'!AA9
)</f>
        <v>Media Markt</v>
      </c>
      <c r="AE11" s="245" t="str">
        <f>IF('[1]2026 január'!AB$9=0,
    "",
    '[1]2026 január'!AB$9
)</f>
        <v/>
      </c>
      <c r="AF11" s="245" t="str">
        <f>IF('[1]2026 január'!AC$9=0,
    "",
    '[1]2026 január'!AC$9
)</f>
        <v/>
      </c>
      <c r="AG11" s="245" t="str">
        <f>IF('[1]2026 január'!AD$9=0,
    "",
    '[1]2026 január'!AD$9
)</f>
        <v/>
      </c>
      <c r="AH11" s="245" t="str">
        <f>IF('[1]2026 január'!AE9=0,
    "",
    '[1]2026 január'!AE9
)</f>
        <v/>
      </c>
      <c r="AI11" s="245" t="str">
        <f>IF('[1]2026 január'!AF9=0,
    "",
    '[1]2026 január'!AF9
)</f>
        <v/>
      </c>
      <c r="AJ11" s="245" t="str">
        <f>IF('[1]2026 január'!AG9=0,
    "",
    '[1]2026 január'!AG9
)</f>
        <v/>
      </c>
      <c r="AK11" s="245" t="str">
        <f>IF('[1]2026 január'!AH9=0,
    "",
    '[1]2026 január'!AH9
)</f>
        <v/>
      </c>
    </row>
    <row r="12" spans="1:37">
      <c r="A12" s="5">
        <v>46031</v>
      </c>
      <c r="B12" s="11">
        <v>377780</v>
      </c>
      <c r="C12" s="11">
        <v>700</v>
      </c>
      <c r="D12" s="11">
        <v>301850</v>
      </c>
      <c r="E12" s="11"/>
      <c r="F12" s="11">
        <v>108675</v>
      </c>
      <c r="G12" s="11">
        <v>12365</v>
      </c>
      <c r="H12" s="11">
        <v>398860</v>
      </c>
      <c r="I12" s="11">
        <v>398860</v>
      </c>
      <c r="J12" s="44" t="s">
        <v>92</v>
      </c>
      <c r="K12" s="87">
        <v>214431146</v>
      </c>
      <c r="L12" s="284"/>
      <c r="M12" s="9"/>
      <c r="N12" s="9"/>
      <c r="P12" s="293">
        <f>IF('[1]2026 január'!B$10=0,
    "",
    '[1]2026 január'!B$10
)</f>
        <v>361225</v>
      </c>
      <c r="Q12" s="293" t="str">
        <f>IF(OR('[1]2026 január'!G10=0,
       ISBLANK('[1]2026 január'!G10)),
    "",
    '[1]2026 január'!G10
)</f>
        <v/>
      </c>
      <c r="R12" s="11">
        <f>'[1]2026 január'!W10</f>
        <v>0</v>
      </c>
      <c r="S12" s="11"/>
      <c r="T12" s="11"/>
      <c r="U12" s="10"/>
      <c r="V12" s="293">
        <f>IF('[1]2026 január'!S10=0,
    "",
    '[1]2026 január'!S10
)</f>
        <v>160605</v>
      </c>
      <c r="W12" s="293">
        <f>IF('[1]2026 január'!T10=0,
    "",
    '[1]2026 január'!T10
)</f>
        <v>-37735</v>
      </c>
      <c r="X12" s="293">
        <f>IF('[1]2026 január'!U10=0,
    "",
    '[1]2026 január'!U10
)</f>
        <v>104000</v>
      </c>
      <c r="Y12" s="293">
        <f>IF('[1]2026 január'!V10=0,
    "",
    '[1]2026 január'!V10
)</f>
        <v>79850</v>
      </c>
      <c r="Z12" s="293" t="str">
        <f>IF('[1]2026 január'!W10=0,
    "",
    '[1]2026 január'!W10
)</f>
        <v/>
      </c>
      <c r="AA12" s="293" t="str">
        <f>IF('[1]2026 január'!X10=0,
    "",
    '[1]2026 január'!X10
)</f>
        <v/>
      </c>
      <c r="AB12" s="293">
        <f>IF('[1]2026 január'!Y10=0,
    "",
    '[1]2026 január'!Y10
)</f>
        <v>147020</v>
      </c>
      <c r="AC12" s="293" t="str">
        <f>IF('[1]2026 január'!Z10=0,
    "",
    '[1]2026 január'!Z10
)</f>
        <v/>
      </c>
      <c r="AD12" s="245" t="str">
        <f>IF('[1]2026 január'!AA10=0,
    "",
    '[1]2026 január'!AA10
)</f>
        <v>Vásárlás, Vip töltés, Melinda, Parkolás</v>
      </c>
      <c r="AE12" s="245" t="str">
        <f>IF('[1]2026 január'!AB$10=0,
    "",
    '[1]2026 január'!AB$10
)</f>
        <v/>
      </c>
      <c r="AF12" s="245" t="str">
        <f>IF('[1]2026 január'!AC$10=0,
    "",
    '[1]2026 január'!AC$10
)</f>
        <v/>
      </c>
      <c r="AG12" s="245" t="str">
        <f>IF('[1]2026 január'!AD$10=0,
    "",
    '[1]2026 január'!AD$10
)</f>
        <v/>
      </c>
      <c r="AH12" s="245" t="str">
        <f>IF('[1]2026 január'!AE10=0,
    "",
    '[1]2026 január'!AE10
)</f>
        <v/>
      </c>
      <c r="AI12" s="245" t="str">
        <f>IF('[1]2026 január'!AF10=0,
    "",
    '[1]2026 január'!AF10
)</f>
        <v/>
      </c>
      <c r="AJ12" s="245" t="str">
        <f>IF('[1]2026 január'!AG10=0,
    "",
    '[1]2026 január'!AG10
)</f>
        <v/>
      </c>
      <c r="AK12" s="245" t="str">
        <f>IF('[1]2026 január'!AH10=0,
    "",
    '[1]2026 január'!AH10
)</f>
        <v/>
      </c>
    </row>
    <row r="13" spans="1:37">
      <c r="A13" s="162">
        <v>46032</v>
      </c>
      <c r="B13" s="163"/>
      <c r="C13" s="163"/>
      <c r="D13" s="163"/>
      <c r="E13" s="163"/>
      <c r="F13" s="163"/>
      <c r="G13" s="163"/>
      <c r="H13" s="163"/>
      <c r="I13" s="163"/>
      <c r="J13" s="164"/>
      <c r="K13" s="167"/>
      <c r="L13" s="283"/>
      <c r="M13" s="179"/>
      <c r="N13" s="179"/>
      <c r="P13" s="293" t="str">
        <f>IF('[1]2026 január'!B$11=0,
    "",
    '[1]2026 január'!B$11
)</f>
        <v/>
      </c>
      <c r="Q13" s="293" t="str">
        <f>IF(OR('[1]2026 január'!G11=0,
       ISBLANK('[1]2026 január'!G11)),
    "",
    '[1]2026 január'!G11
)</f>
        <v/>
      </c>
      <c r="R13" s="11">
        <f>'[1]2026 január'!W11</f>
        <v>0</v>
      </c>
      <c r="S13" s="11"/>
      <c r="T13" s="11"/>
      <c r="U13" s="10"/>
      <c r="V13" s="293">
        <f>IF('[1]2026 január'!S11=0,
    "",
    '[1]2026 január'!S11
)</f>
        <v>147020</v>
      </c>
      <c r="W13" s="293" t="str">
        <f>IF('[1]2026 január'!T11=0,
    "",
    '[1]2026 január'!T11
)</f>
        <v/>
      </c>
      <c r="X13" s="293" t="str">
        <f>IF('[1]2026 január'!U11=0,
    "",
    '[1]2026 január'!U11
)</f>
        <v/>
      </c>
      <c r="Y13" s="293" t="str">
        <f>IF('[1]2026 január'!V11=0,
    "",
    '[1]2026 január'!V11
)</f>
        <v/>
      </c>
      <c r="Z13" s="293" t="str">
        <f>IF('[1]2026 január'!W11=0,
    "",
    '[1]2026 január'!W11
)</f>
        <v/>
      </c>
      <c r="AA13" s="293" t="str">
        <f>IF('[1]2026 január'!X11=0,
    "",
    '[1]2026 január'!X11
)</f>
        <v/>
      </c>
      <c r="AB13" s="293">
        <f>IF('[1]2026 január'!Y11=0,
    "",
    '[1]2026 január'!Y11
)</f>
        <v>147020</v>
      </c>
      <c r="AC13" s="293" t="str">
        <f>IF('[1]2026 január'!Z11=0,
    "",
    '[1]2026 január'!Z11
)</f>
        <v/>
      </c>
      <c r="AD13" s="245" t="str">
        <f>IF('[1]2026 január'!AA11=0,
    "",
    '[1]2026 január'!AA11
)</f>
        <v/>
      </c>
      <c r="AE13" s="245" t="str">
        <f>IF('[1]2026 január'!AB$11=0,
    "",
    '[1]2026 január'!AB$11
)</f>
        <v/>
      </c>
      <c r="AF13" s="245" t="str">
        <f>IF('[1]2026 január'!AC$11=0,
    "",
    '[1]2026 január'!AC$11
)</f>
        <v/>
      </c>
      <c r="AG13" s="245" t="str">
        <f>IF('[1]2026 január'!AD$11=0,
    "",
    '[1]2026 január'!AD$11
)</f>
        <v/>
      </c>
      <c r="AH13" s="245" t="str">
        <f>IF('[1]2026 január'!AE11=0,
    "",
    '[1]2026 január'!AE11
)</f>
        <v/>
      </c>
      <c r="AI13" s="245" t="str">
        <f>IF('[1]2026 január'!AF11=0,
    "",
    '[1]2026 január'!AF11
)</f>
        <v/>
      </c>
      <c r="AJ13" s="245" t="str">
        <f>IF('[1]2026 január'!AG11=0,
    "",
    '[1]2026 január'!AG11
)</f>
        <v/>
      </c>
      <c r="AK13" s="245" t="str">
        <f>IF('[1]2026 január'!AH11=0,
    "",
    '[1]2026 január'!AH11
)</f>
        <v/>
      </c>
    </row>
    <row r="14" spans="1:37">
      <c r="A14" s="162">
        <v>46033</v>
      </c>
      <c r="B14" s="163"/>
      <c r="C14" s="163"/>
      <c r="D14" s="163"/>
      <c r="E14" s="163"/>
      <c r="F14" s="163"/>
      <c r="G14" s="163"/>
      <c r="H14" s="163"/>
      <c r="I14" s="163"/>
      <c r="J14" s="164"/>
      <c r="K14" s="167"/>
      <c r="L14" s="283"/>
      <c r="M14" s="179"/>
      <c r="N14" s="179"/>
      <c r="P14" s="293" t="str">
        <f>IF('[1]2026 január'!B$12=0,
    "",
    '[1]2026 január'!B$12
)</f>
        <v/>
      </c>
      <c r="Q14" s="293" t="str">
        <f>IF(OR('[1]2026 január'!G12=0,
       ISBLANK('[1]2026 január'!G12)),
    "",
    '[1]2026 január'!G12
)</f>
        <v/>
      </c>
      <c r="R14" s="11">
        <f>'[1]2026 január'!W12</f>
        <v>0</v>
      </c>
      <c r="S14" s="11"/>
      <c r="T14" s="11"/>
      <c r="U14" s="10"/>
      <c r="V14" s="293">
        <f>IF('[1]2026 január'!S12=0,
    "",
    '[1]2026 január'!S12
)</f>
        <v>147020</v>
      </c>
      <c r="W14" s="293" t="str">
        <f>IF('[1]2026 január'!T12=0,
    "",
    '[1]2026 január'!T12
)</f>
        <v/>
      </c>
      <c r="X14" s="293" t="str">
        <f>IF('[1]2026 január'!U12=0,
    "",
    '[1]2026 január'!U12
)</f>
        <v/>
      </c>
      <c r="Y14" s="293" t="str">
        <f>IF('[1]2026 január'!V12=0,
    "",
    '[1]2026 január'!V12
)</f>
        <v/>
      </c>
      <c r="Z14" s="293" t="str">
        <f>IF('[1]2026 január'!W12=0,
    "",
    '[1]2026 január'!W12
)</f>
        <v/>
      </c>
      <c r="AA14" s="293" t="str">
        <f>IF('[1]2026 január'!X12=0,
    "",
    '[1]2026 január'!X12
)</f>
        <v/>
      </c>
      <c r="AB14" s="293">
        <f>IF('[1]2026 január'!Y12=0,
    "",
    '[1]2026 január'!Y12
)</f>
        <v>147020</v>
      </c>
      <c r="AC14" s="293" t="str">
        <f>IF('[1]2026 január'!Z12=0,
    "",
    '[1]2026 január'!Z12
)</f>
        <v/>
      </c>
      <c r="AD14" s="245" t="str">
        <f>IF('[1]2026 január'!AA12=0,
    "",
    '[1]2026 január'!AA12
)</f>
        <v/>
      </c>
      <c r="AE14" s="245" t="str">
        <f>IF('[1]2026 január'!AB$12=0,
    "",
    '[1]2026 január'!AB$12
)</f>
        <v/>
      </c>
      <c r="AF14" s="245" t="str">
        <f>IF('[1]2026 január'!AC$12=0,
    "",
    '[1]2026 január'!AC$12
)</f>
        <v/>
      </c>
      <c r="AG14" s="245" t="str">
        <f>IF('[1]2026 január'!AD$12=0,
    "",
    '[1]2026 január'!AD$12
)</f>
        <v/>
      </c>
      <c r="AH14" s="245" t="str">
        <f>IF('[1]2026 január'!AE12=0,
    "",
    '[1]2026 január'!AE12
)</f>
        <v/>
      </c>
      <c r="AI14" s="245" t="str">
        <f>IF('[1]2026 január'!AF12=0,
    "",
    '[1]2026 január'!AF12
)</f>
        <v/>
      </c>
      <c r="AJ14" s="245" t="str">
        <f>IF('[1]2026 január'!AG12=0,
    "",
    '[1]2026 január'!AG12
)</f>
        <v/>
      </c>
      <c r="AK14" s="245" t="str">
        <f>IF('[1]2026 január'!AH12=0,
    "",
    '[1]2026 január'!AH12
)</f>
        <v/>
      </c>
    </row>
    <row r="15" spans="1:37">
      <c r="A15" s="5">
        <v>46034</v>
      </c>
      <c r="B15" s="11">
        <v>359915</v>
      </c>
      <c r="C15" s="11">
        <v>1000</v>
      </c>
      <c r="D15" s="11">
        <v>203450</v>
      </c>
      <c r="E15" s="11"/>
      <c r="F15" s="11">
        <v>148695</v>
      </c>
      <c r="G15" s="11">
        <v>18725</v>
      </c>
      <c r="H15" s="11">
        <v>332630</v>
      </c>
      <c r="I15" s="11">
        <v>332630</v>
      </c>
      <c r="J15" s="44" t="s">
        <v>93</v>
      </c>
      <c r="K15" s="87">
        <v>214784291</v>
      </c>
      <c r="L15" s="284"/>
      <c r="M15" s="405">
        <v>1790</v>
      </c>
      <c r="N15" s="9"/>
      <c r="P15" s="293">
        <f>IF('[1]2026 január'!B$13=0,
    "",
    '[1]2026 január'!B$13
)</f>
        <v>351355</v>
      </c>
      <c r="Q15" s="293" t="str">
        <f>IF(OR('[1]2026 január'!G13=0,
       ISBLANK('[1]2026 január'!G13)),
    "",
    '[1]2026 január'!G13
)</f>
        <v/>
      </c>
      <c r="R15" s="11">
        <f>'[1]2026 január'!W13</f>
        <v>0</v>
      </c>
      <c r="S15" s="11"/>
      <c r="T15" s="11"/>
      <c r="U15" s="10"/>
      <c r="V15" s="293">
        <f>IF('[1]2026 január'!S13=0,
    "",
    '[1]2026 január'!S13
)</f>
        <v>147020</v>
      </c>
      <c r="W15" s="293">
        <f>IF('[1]2026 január'!T13=0,
    "",
    '[1]2026 január'!T13
)</f>
        <v>18725</v>
      </c>
      <c r="X15" s="293" t="str">
        <f>IF('[1]2026 január'!U13=0,
    "",
    '[1]2026 január'!U13
)</f>
        <v/>
      </c>
      <c r="Y15" s="293" t="str">
        <f>IF('[1]2026 január'!V13=0,
    "",
    '[1]2026 január'!V13
)</f>
        <v/>
      </c>
      <c r="Z15" s="293" t="str">
        <f>IF('[1]2026 január'!W13=0,
    "",
    '[1]2026 január'!W13
)</f>
        <v/>
      </c>
      <c r="AA15" s="293" t="str">
        <f>IF('[1]2026 január'!X13=0,
    "",
    '[1]2026 január'!X13
)</f>
        <v/>
      </c>
      <c r="AB15" s="293">
        <f>IF('[1]2026 január'!Y13=0,
    "",
    '[1]2026 január'!Y13
)</f>
        <v>165745</v>
      </c>
      <c r="AC15" s="293" t="str">
        <f>IF('[1]2026 január'!Z13=0,
    "",
    '[1]2026 január'!Z13
)</f>
        <v/>
      </c>
      <c r="AD15" s="245" t="str">
        <f>IF('[1]2026 január'!AA13=0,
    "",
    '[1]2026 január'!AA13
)</f>
        <v/>
      </c>
      <c r="AE15" s="245" t="str">
        <f>IF('[1]2026 január'!AB$13=0,
    "",
    '[1]2026 január'!AB$13
)</f>
        <v/>
      </c>
      <c r="AF15" s="245" t="str">
        <f>IF('[1]2026 január'!AC$13=0,
    "",
    '[1]2026 január'!AC$13
)</f>
        <v/>
      </c>
      <c r="AG15" s="245" t="str">
        <f>IF('[1]2026 január'!AD$13=0,
    "",
    '[1]2026 január'!AD$13
)</f>
        <v/>
      </c>
      <c r="AH15" s="245" t="str">
        <f>IF('[1]2026 január'!AE13=0,
    "",
    '[1]2026 január'!AE13
)</f>
        <v/>
      </c>
      <c r="AI15" s="245" t="str">
        <f>IF('[1]2026 január'!AF13=0,
    "",
    '[1]2026 január'!AF13
)</f>
        <v/>
      </c>
      <c r="AJ15" s="245" t="str">
        <f>IF('[1]2026 január'!AG13=0,
    "",
    '[1]2026 január'!AG13
)</f>
        <v/>
      </c>
      <c r="AK15" s="245" t="str">
        <f>IF('[1]2026 január'!AH13=0,
    "",
    '[1]2026 január'!AH13
)</f>
        <v/>
      </c>
    </row>
    <row r="16" spans="1:37">
      <c r="A16" s="5">
        <v>46035</v>
      </c>
      <c r="B16" s="11">
        <v>479540</v>
      </c>
      <c r="C16" s="11">
        <v>950</v>
      </c>
      <c r="D16" s="11">
        <v>312260</v>
      </c>
      <c r="E16" s="11"/>
      <c r="F16" s="11">
        <v>153045</v>
      </c>
      <c r="G16" s="11">
        <v>23625</v>
      </c>
      <c r="H16" s="11">
        <v>442630</v>
      </c>
      <c r="I16" s="11">
        <v>442630</v>
      </c>
      <c r="J16" s="44" t="s">
        <v>94</v>
      </c>
      <c r="K16" s="87">
        <v>215250546</v>
      </c>
      <c r="L16" s="284"/>
      <c r="M16" s="9"/>
      <c r="N16" s="9"/>
      <c r="P16" s="293">
        <f>IF('[1]2026 január'!B$14=0,
    "",
    '[1]2026 január'!B$14
)</f>
        <v>466255</v>
      </c>
      <c r="Q16" s="293" t="str">
        <f>IF(OR('[1]2026 január'!G14=0,
       ISBLANK('[1]2026 január'!G14)),
    "",
    '[1]2026 január'!G14
)</f>
        <v/>
      </c>
      <c r="R16" s="11">
        <f>'[1]2026 január'!W14</f>
        <v>0</v>
      </c>
      <c r="S16" s="11"/>
      <c r="T16" s="11"/>
      <c r="U16" s="10"/>
      <c r="V16" s="293">
        <f>IF('[1]2026 január'!S14=0,
    "",
    '[1]2026 január'!S14
)</f>
        <v>165745</v>
      </c>
      <c r="W16" s="293">
        <f>IF('[1]2026 január'!T14=0,
    "",
    '[1]2026 január'!T14
)</f>
        <v>23625</v>
      </c>
      <c r="X16" s="293" t="str">
        <f>IF('[1]2026 január'!U14=0,
    "",
    '[1]2026 január'!U14
)</f>
        <v/>
      </c>
      <c r="Y16" s="293" t="str">
        <f>IF('[1]2026 január'!V14=0,
    "",
    '[1]2026 január'!V14
)</f>
        <v/>
      </c>
      <c r="Z16" s="293" t="str">
        <f>IF('[1]2026 január'!W14=0,
    "",
    '[1]2026 január'!W14
)</f>
        <v/>
      </c>
      <c r="AA16" s="293" t="str">
        <f>IF('[1]2026 január'!X14=0,
    "",
    '[1]2026 január'!X14
)</f>
        <v/>
      </c>
      <c r="AB16" s="293">
        <f>IF('[1]2026 január'!Y14=0,
    "",
    '[1]2026 január'!Y14
)</f>
        <v>189370</v>
      </c>
      <c r="AC16" s="293" t="str">
        <f>IF('[1]2026 január'!Z14=0,
    "",
    '[1]2026 január'!Z14
)</f>
        <v/>
      </c>
      <c r="AD16" s="245" t="str">
        <f>IF('[1]2026 január'!AA14=0,
    "",
    '[1]2026 január'!AA14
)</f>
        <v/>
      </c>
      <c r="AE16" s="245" t="str">
        <f>IF('[1]2026 január'!AB$14=0,
    "",
    '[1]2026 január'!AB$14
)</f>
        <v/>
      </c>
      <c r="AF16" s="245" t="str">
        <f>IF('[1]2026 január'!AC$14=0,
    "",
    '[1]2026 január'!AC$14
)</f>
        <v/>
      </c>
      <c r="AG16" s="245" t="str">
        <f>IF('[1]2026 január'!AD$14=0,
    "",
    '[1]2026 január'!AD$14
)</f>
        <v/>
      </c>
      <c r="AH16" s="245" t="str">
        <f>IF('[1]2026 január'!AE14=0,
    "",
    '[1]2026 január'!AE14
)</f>
        <v/>
      </c>
      <c r="AI16" s="245" t="str">
        <f>IF('[1]2026 január'!AF14=0,
    "",
    '[1]2026 január'!AF14
)</f>
        <v/>
      </c>
      <c r="AJ16" s="245" t="str">
        <f>IF('[1]2026 január'!AG14=0,
    "",
    '[1]2026 január'!AG14
)</f>
        <v/>
      </c>
      <c r="AK16" s="245" t="str">
        <f>IF('[1]2026 január'!AH14=0,
    "",
    '[1]2026 január'!AH14
)</f>
        <v/>
      </c>
    </row>
    <row r="17" spans="1:37">
      <c r="A17" s="5">
        <v>46036</v>
      </c>
      <c r="B17" s="11">
        <v>363510</v>
      </c>
      <c r="C17" s="11">
        <v>700</v>
      </c>
      <c r="D17" s="11">
        <v>240091</v>
      </c>
      <c r="E17" s="11"/>
      <c r="F17" s="11">
        <v>110000</v>
      </c>
      <c r="G17" s="11">
        <v>20045</v>
      </c>
      <c r="H17" s="91">
        <v>330745</v>
      </c>
      <c r="I17" s="91">
        <v>371745</v>
      </c>
      <c r="J17" s="44" t="s">
        <v>95</v>
      </c>
      <c r="K17" s="87">
        <v>215601337</v>
      </c>
      <c r="L17" s="284"/>
      <c r="M17" s="9"/>
      <c r="N17" s="9"/>
      <c r="P17" s="293">
        <f>IF('[1]2026 január'!B$15=0,
    "",
    '[1]2026 január'!B$15
)</f>
        <v>350790</v>
      </c>
      <c r="Q17" s="293" t="str">
        <f>IF(OR('[1]2026 január'!G15=0,
       ISBLANK('[1]2026 január'!G15)),
    "",
    '[1]2026 január'!G15
)</f>
        <v/>
      </c>
      <c r="R17" s="11">
        <f>'[1]2026 január'!W15</f>
        <v>0</v>
      </c>
      <c r="S17" s="11"/>
      <c r="T17" s="11"/>
      <c r="U17" s="10"/>
      <c r="V17" s="293">
        <f>IF('[1]2026 január'!S15=0,
    "",
    '[1]2026 január'!S15
)</f>
        <v>189370</v>
      </c>
      <c r="W17" s="293">
        <f>IF('[1]2026 január'!T15=0,
    "",
    '[1]2026 január'!T15
)</f>
        <v>-20955</v>
      </c>
      <c r="X17" s="293">
        <f>IF('[1]2026 január'!U15=0,
    "",
    '[1]2026 január'!U15
)</f>
        <v>41000</v>
      </c>
      <c r="Y17" s="293">
        <f>IF('[1]2026 január'!V15=0,
    "",
    '[1]2026 január'!V15
)</f>
        <v>63000</v>
      </c>
      <c r="Z17" s="293" t="str">
        <f>IF('[1]2026 január'!W15=0,
    "",
    '[1]2026 január'!W15
)</f>
        <v/>
      </c>
      <c r="AA17" s="293" t="str">
        <f>IF('[1]2026 január'!X15=0,
    "",
    '[1]2026 január'!X15
)</f>
        <v/>
      </c>
      <c r="AB17" s="293">
        <f>IF('[1]2026 január'!Y15=0,
    "",
    '[1]2026 január'!Y15
)</f>
        <v>146415</v>
      </c>
      <c r="AC17" s="293" t="str">
        <f>IF('[1]2026 január'!Z15=0,
    "",
    '[1]2026 január'!Z15
)</f>
        <v/>
      </c>
      <c r="AD17" s="245" t="str">
        <f>IF('[1]2026 január'!AA15=0,
    "",
    '[1]2026 január'!AA15
)</f>
        <v>Márk, Vip töltés</v>
      </c>
      <c r="AE17" s="245" t="str">
        <f>IF('[1]2026 január'!AB$15=0,
    "",
    '[1]2026 január'!AB$15
)</f>
        <v/>
      </c>
      <c r="AF17" s="245" t="str">
        <f>IF('[1]2026 január'!AC$15=0,
    "",
    '[1]2026 január'!AC$15
)</f>
        <v/>
      </c>
      <c r="AG17" s="245" t="str">
        <f>IF('[1]2026 január'!AD$15=0,
    "",
    '[1]2026 január'!AD$15
)</f>
        <v/>
      </c>
      <c r="AH17" s="245" t="str">
        <f>IF('[1]2026 január'!AE15=0,
    "",
    '[1]2026 január'!AE15
)</f>
        <v/>
      </c>
      <c r="AI17" s="245" t="str">
        <f>IF('[1]2026 január'!AF15=0,
    "",
    '[1]2026 január'!AF15
)</f>
        <v/>
      </c>
      <c r="AJ17" s="245" t="str">
        <f>IF('[1]2026 január'!AG15=0,
    "",
    '[1]2026 január'!AG15
)</f>
        <v/>
      </c>
      <c r="AK17" s="245" t="str">
        <f>IF('[1]2026 január'!AH15=0,
    "",
    '[1]2026 január'!AH15
)</f>
        <v/>
      </c>
    </row>
    <row r="18" spans="1:37">
      <c r="A18" s="5">
        <v>46037</v>
      </c>
      <c r="B18" s="11">
        <v>335270</v>
      </c>
      <c r="C18" s="11">
        <v>800</v>
      </c>
      <c r="D18" s="11">
        <v>245235</v>
      </c>
      <c r="E18" s="11"/>
      <c r="F18" s="11">
        <v>107715</v>
      </c>
      <c r="G18" s="11">
        <v>27940</v>
      </c>
      <c r="H18" s="11">
        <v>325810</v>
      </c>
      <c r="I18" s="11">
        <v>325810</v>
      </c>
      <c r="J18" s="44" t="s">
        <v>96</v>
      </c>
      <c r="K18" s="87">
        <v>215955087</v>
      </c>
      <c r="L18" s="284"/>
      <c r="M18" s="9"/>
      <c r="N18" s="9"/>
      <c r="P18" s="293">
        <f>IF('[1]2026 január'!B$16=0,
    "",
    '[1]2026 január'!B$16
)</f>
        <v>323750</v>
      </c>
      <c r="Q18" s="293" t="str">
        <f>IF(OR('[1]2026 január'!G16=0,
       ISBLANK('[1]2026 január'!G16)),
    "",
    '[1]2026 január'!G16
)</f>
        <v/>
      </c>
      <c r="R18" s="11">
        <f>'[1]2026 január'!W16</f>
        <v>0</v>
      </c>
      <c r="S18" s="11"/>
      <c r="T18" s="11"/>
      <c r="U18" s="10"/>
      <c r="V18" s="293">
        <f>IF('[1]2026 január'!S16=0,
    "",
    '[1]2026 január'!S16
)</f>
        <v>146415</v>
      </c>
      <c r="W18" s="293">
        <f>IF('[1]2026 január'!T16=0,
    "",
    '[1]2026 január'!T16
)</f>
        <v>-2060</v>
      </c>
      <c r="X18" s="293">
        <f>IF('[1]2026 január'!U16=0,
    "",
    '[1]2026 január'!U16
)</f>
        <v>30000</v>
      </c>
      <c r="Y18" s="293" t="str">
        <f>IF('[1]2026 január'!V16=0,
    "",
    '[1]2026 január'!V16
)</f>
        <v/>
      </c>
      <c r="Z18" s="293" t="str">
        <f>IF('[1]2026 január'!W16=0,
    "",
    '[1]2026 január'!W16
)</f>
        <v/>
      </c>
      <c r="AA18" s="293" t="str">
        <f>IF('[1]2026 január'!X16=0,
    "",
    '[1]2026 január'!X16
)</f>
        <v/>
      </c>
      <c r="AB18" s="293">
        <f>IF('[1]2026 január'!Y16=0,
    "",
    '[1]2026 január'!Y16
)</f>
        <v>174355</v>
      </c>
      <c r="AC18" s="293" t="str">
        <f>IF('[1]2026 január'!Z16=0,
    "",
    '[1]2026 január'!Z16
)</f>
        <v/>
      </c>
      <c r="AD18" s="245" t="str">
        <f>IF('[1]2026 január'!AA16=0,
    "",
    '[1]2026 január'!AA16
)</f>
        <v>Vip töltés</v>
      </c>
      <c r="AE18" s="245" t="str">
        <f>IF('[1]2026 január'!AB$16=0,
    "",
    '[1]2026 január'!AB$16
)</f>
        <v/>
      </c>
      <c r="AF18" s="245" t="str">
        <f>IF('[1]2026 január'!AC$16=0,
    "",
    '[1]2026 január'!AC$16
)</f>
        <v/>
      </c>
      <c r="AG18" s="245" t="str">
        <f>IF('[1]2026 január'!AD$16=0,
    "",
    '[1]2026 január'!AD$16
)</f>
        <v/>
      </c>
      <c r="AH18" s="245" t="str">
        <f>IF('[1]2026 január'!AE16=0,
    "",
    '[1]2026 január'!AE16
)</f>
        <v/>
      </c>
      <c r="AI18" s="245" t="str">
        <f>IF('[1]2026 január'!AF16=0,
    "",
    '[1]2026 január'!AF16
)</f>
        <v/>
      </c>
      <c r="AJ18" s="245" t="str">
        <f>IF('[1]2026 január'!AG16=0,
    "",
    '[1]2026 január'!AG16
)</f>
        <v/>
      </c>
      <c r="AK18" s="245" t="str">
        <f>IF('[1]2026 január'!AH16=0,
    "",
    '[1]2026 január'!AH16
)</f>
        <v/>
      </c>
    </row>
    <row r="19" spans="1:37">
      <c r="A19" s="5">
        <v>46038</v>
      </c>
      <c r="B19" s="11">
        <v>284595</v>
      </c>
      <c r="C19" s="11">
        <v>550</v>
      </c>
      <c r="D19" s="11">
        <v>160155</v>
      </c>
      <c r="E19" s="11"/>
      <c r="F19" s="11">
        <v>120070</v>
      </c>
      <c r="G19" s="11">
        <v>24505</v>
      </c>
      <c r="H19" s="11">
        <v>256270</v>
      </c>
      <c r="I19" s="11">
        <v>256270</v>
      </c>
      <c r="J19" s="44" t="s">
        <v>97</v>
      </c>
      <c r="K19" s="87">
        <v>216235862</v>
      </c>
      <c r="L19" s="284"/>
      <c r="M19" s="9"/>
      <c r="N19" s="9"/>
      <c r="P19" s="293">
        <f>IF('[1]2026 január'!B$17=0,
    "",
    '[1]2026 január'!B$17
)</f>
        <v>280775</v>
      </c>
      <c r="Q19" s="293" t="str">
        <f>IF(OR('[1]2026 január'!G17=0,
       ISBLANK('[1]2026 január'!G17)),
    "",
    '[1]2026 január'!G17
)</f>
        <v/>
      </c>
      <c r="R19" s="11">
        <f>'[1]2026 január'!W17</f>
        <v>0</v>
      </c>
      <c r="S19" s="11"/>
      <c r="T19" s="11"/>
      <c r="U19" s="10"/>
      <c r="V19" s="293">
        <f>IF('[1]2026 január'!S17=0,
    "",
    '[1]2026 január'!S17
)</f>
        <v>174355</v>
      </c>
      <c r="W19" s="293">
        <f>IF('[1]2026 január'!T17=0,
    "",
    '[1]2026 január'!T17
)</f>
        <v>24505</v>
      </c>
      <c r="X19" s="293" t="str">
        <f>IF('[1]2026 január'!U17=0,
    "",
    '[1]2026 január'!U17
)</f>
        <v/>
      </c>
      <c r="Y19" s="293">
        <f>IF('[1]2026 január'!V17=0,
    "",
    '[1]2026 január'!V17
)</f>
        <v>99015</v>
      </c>
      <c r="Z19" s="293" t="str">
        <f>IF('[1]2026 január'!W17=0,
    "",
    '[1]2026 január'!W17
)</f>
        <v/>
      </c>
      <c r="AA19" s="293" t="str">
        <f>IF('[1]2026 január'!X17=0,
    "",
    '[1]2026 január'!X17
)</f>
        <v/>
      </c>
      <c r="AB19" s="293">
        <f>IF('[1]2026 január'!Y17=0,
    "",
    '[1]2026 január'!Y17
)</f>
        <v>99845</v>
      </c>
      <c r="AC19" s="293" t="str">
        <f>IF('[1]2026 január'!Z17=0,
    "",
    '[1]2026 január'!Z17
)</f>
        <v/>
      </c>
      <c r="AD19" s="245" t="str">
        <f>IF('[1]2026 január'!AA17=0,
    "",
    '[1]2026 január'!AA17
)</f>
        <v>Melinda</v>
      </c>
      <c r="AE19" s="245" t="str">
        <f>IF('[1]2026 január'!AB$17=0,
    "",
    '[1]2026 január'!AB$17
)</f>
        <v/>
      </c>
      <c r="AF19" s="245" t="str">
        <f>IF('[1]2026 január'!AC$17=0,
    "",
    '[1]2026 január'!AC$17
)</f>
        <v/>
      </c>
      <c r="AG19" s="245" t="str">
        <f>IF('[1]2026 január'!AD$17=0,
    "",
    '[1]2026 január'!AD$17
)</f>
        <v/>
      </c>
      <c r="AH19" s="245" t="str">
        <f>IF('[1]2026 január'!AE17=0,
    "",
    '[1]2026 január'!AE17
)</f>
        <v/>
      </c>
      <c r="AI19" s="245" t="str">
        <f>IF('[1]2026 január'!AF17=0,
    "",
    '[1]2026 január'!AF17
)</f>
        <v/>
      </c>
      <c r="AJ19" s="245" t="str">
        <f>IF('[1]2026 január'!AG17=0,
    "",
    '[1]2026 január'!AG17
)</f>
        <v/>
      </c>
      <c r="AK19" s="245" t="str">
        <f>IF('[1]2026 január'!AH17=0,
    "",
    '[1]2026 január'!AH17
)</f>
        <v/>
      </c>
    </row>
    <row r="20" spans="1:37">
      <c r="A20" s="162">
        <v>46039</v>
      </c>
      <c r="B20" s="163"/>
      <c r="C20" s="163"/>
      <c r="D20" s="163"/>
      <c r="E20" s="163"/>
      <c r="F20" s="163"/>
      <c r="G20" s="163"/>
      <c r="H20" s="163"/>
      <c r="I20" s="163"/>
      <c r="J20" s="164"/>
      <c r="K20" s="167"/>
      <c r="L20" s="283"/>
      <c r="M20" s="179"/>
      <c r="N20" s="179"/>
      <c r="P20" s="293" t="str">
        <f>IF('[1]2026 január'!B$18=0,
    "",
    '[1]2026 január'!B$18
)</f>
        <v/>
      </c>
      <c r="Q20" s="293" t="str">
        <f>IF(OR('[1]2026 január'!G18=0,
       ISBLANK('[1]2026 január'!G18)),
    "",
    '[1]2026 január'!G18
)</f>
        <v/>
      </c>
      <c r="R20" s="11">
        <f>'[1]2026 január'!W18</f>
        <v>0</v>
      </c>
      <c r="S20" s="11"/>
      <c r="T20" s="11"/>
      <c r="U20" s="10"/>
      <c r="V20" s="293">
        <f>IF('[1]2026 január'!S18=0,
    "",
    '[1]2026 január'!S18
)</f>
        <v>99845</v>
      </c>
      <c r="W20" s="293" t="str">
        <f>IF('[1]2026 január'!T18=0,
    "",
    '[1]2026 január'!T18
)</f>
        <v/>
      </c>
      <c r="X20" s="293" t="str">
        <f>IF('[1]2026 január'!U18=0,
    "",
    '[1]2026 január'!U18
)</f>
        <v/>
      </c>
      <c r="Y20" s="293" t="str">
        <f>IF('[1]2026 január'!V18=0,
    "",
    '[1]2026 január'!V18
)</f>
        <v/>
      </c>
      <c r="Z20" s="293" t="str">
        <f>IF('[1]2026 január'!W18=0,
    "",
    '[1]2026 január'!W18
)</f>
        <v/>
      </c>
      <c r="AA20" s="293" t="str">
        <f>IF('[1]2026 január'!X18=0,
    "",
    '[1]2026 január'!X18
)</f>
        <v/>
      </c>
      <c r="AB20" s="293">
        <f>IF('[1]2026 január'!Y18=0,
    "",
    '[1]2026 január'!Y18
)</f>
        <v>99845</v>
      </c>
      <c r="AC20" s="293" t="str">
        <f>IF('[1]2026 január'!Z18=0,
    "",
    '[1]2026 január'!Z18
)</f>
        <v/>
      </c>
      <c r="AD20" s="245" t="str">
        <f>IF('[1]2026 január'!AA18=0,
    "",
    '[1]2026 január'!AA18
)</f>
        <v/>
      </c>
      <c r="AE20" s="245" t="str">
        <f>IF('[1]2026 január'!AB$18=0,
    "",
    '[1]2026 január'!AB$18
)</f>
        <v/>
      </c>
      <c r="AF20" s="245" t="str">
        <f>IF('[1]2026 január'!AC$18=0,
    "",
    '[1]2026 január'!AC$18
)</f>
        <v/>
      </c>
      <c r="AG20" s="245" t="str">
        <f>IF('[1]2026 január'!AD$18=0,
    "",
    '[1]2026 január'!AD$18
)</f>
        <v/>
      </c>
      <c r="AH20" s="245" t="str">
        <f>IF('[1]2026 január'!AE18=0,
    "",
    '[1]2026 január'!AE18
)</f>
        <v/>
      </c>
      <c r="AI20" s="245" t="str">
        <f>IF('[1]2026 január'!AF18=0,
    "",
    '[1]2026 január'!AF18
)</f>
        <v/>
      </c>
      <c r="AJ20" s="245" t="str">
        <f>IF('[1]2026 január'!AG18=0,
    "",
    '[1]2026 január'!AG18
)</f>
        <v/>
      </c>
      <c r="AK20" s="245" t="str">
        <f>IF('[1]2026 január'!AH18=0,
    "",
    '[1]2026 január'!AH18
)</f>
        <v/>
      </c>
    </row>
    <row r="21" spans="1:37">
      <c r="A21" s="453">
        <v>46040</v>
      </c>
      <c r="B21" s="454"/>
      <c r="C21" s="454"/>
      <c r="D21" s="454"/>
      <c r="E21" s="454"/>
      <c r="F21" s="454"/>
      <c r="G21" s="454"/>
      <c r="H21" s="454"/>
      <c r="I21" s="454"/>
      <c r="J21" s="455"/>
      <c r="K21" s="456"/>
      <c r="L21" s="457"/>
      <c r="M21" s="458"/>
      <c r="N21" s="458"/>
      <c r="P21" s="293" t="str">
        <f>IF('[1]2026 január'!B$19=0,
    "",
    '[1]2026 január'!B$19
)</f>
        <v/>
      </c>
      <c r="Q21" s="293" t="str">
        <f>IF(OR('[1]2026 január'!G19=0,
       ISBLANK('[1]2026 január'!G19)),
    "",
    '[1]2026 január'!G19
)</f>
        <v/>
      </c>
      <c r="R21" s="11">
        <f>'[1]2026 január'!W19</f>
        <v>0</v>
      </c>
      <c r="S21" s="11"/>
      <c r="T21" s="11"/>
      <c r="U21" s="10"/>
      <c r="V21" s="293">
        <f>IF('[1]2026 január'!S19=0,
    "",
    '[1]2026 január'!S19
)</f>
        <v>99845</v>
      </c>
      <c r="W21" s="293" t="str">
        <f>IF('[1]2026 január'!T19=0,
    "",
    '[1]2026 január'!T19
)</f>
        <v/>
      </c>
      <c r="X21" s="293" t="str">
        <f>IF('[1]2026 január'!U19=0,
    "",
    '[1]2026 január'!U19
)</f>
        <v/>
      </c>
      <c r="Y21" s="293" t="str">
        <f>IF('[1]2026 január'!V19=0,
    "",
    '[1]2026 január'!V19
)</f>
        <v/>
      </c>
      <c r="Z21" s="293" t="str">
        <f>IF('[1]2026 január'!W19=0,
    "",
    '[1]2026 január'!W19
)</f>
        <v/>
      </c>
      <c r="AA21" s="293" t="str">
        <f>IF('[1]2026 január'!X19=0,
    "",
    '[1]2026 január'!X19
)</f>
        <v/>
      </c>
      <c r="AB21" s="293">
        <f>IF('[1]2026 január'!Y19=0,
    "",
    '[1]2026 január'!Y19
)</f>
        <v>99845</v>
      </c>
      <c r="AC21" s="293" t="str">
        <f>IF('[1]2026 január'!Z19=0,
    "",
    '[1]2026 január'!Z19
)</f>
        <v/>
      </c>
      <c r="AD21" s="245" t="str">
        <f>IF('[1]2026 január'!AA19=0,
    "",
    '[1]2026 január'!AA19
)</f>
        <v/>
      </c>
      <c r="AE21" s="245" t="str">
        <f>IF('[1]2026 január'!AB$19=0,
    "",
    '[1]2026 január'!AB$19
)</f>
        <v/>
      </c>
      <c r="AF21" s="245" t="str">
        <f>IF('[1]2026 január'!AC$19=0,
    "",
    '[1]2026 január'!AC$19
)</f>
        <v/>
      </c>
      <c r="AG21" s="245" t="str">
        <f>IF('[1]2026 január'!AD$19=0,
    "",
    '[1]2026 január'!AD$19
)</f>
        <v/>
      </c>
      <c r="AH21" s="245" t="str">
        <f>IF('[1]2026 január'!AE19=0,
    "",
    '[1]2026 január'!AE19
)</f>
        <v/>
      </c>
      <c r="AI21" s="245" t="str">
        <f>IF('[1]2026 január'!AF19=0,
    "",
    '[1]2026 január'!AF19
)</f>
        <v/>
      </c>
      <c r="AJ21" s="245" t="str">
        <f>IF('[1]2026 január'!AG19=0,
    "",
    '[1]2026 január'!AG19
)</f>
        <v/>
      </c>
      <c r="AK21" s="245" t="str">
        <f>IF('[1]2026 január'!AH19=0,
    "",
    '[1]2026 január'!AH19
)</f>
        <v/>
      </c>
    </row>
    <row r="22" spans="1:37">
      <c r="A22" s="5">
        <v>46041</v>
      </c>
      <c r="B22" s="11">
        <v>311770</v>
      </c>
      <c r="C22" s="11">
        <v>650</v>
      </c>
      <c r="D22" s="11">
        <v>139715</v>
      </c>
      <c r="E22" s="11"/>
      <c r="F22" s="11">
        <v>154705</v>
      </c>
      <c r="G22" s="11">
        <v>24775</v>
      </c>
      <c r="H22" s="11">
        <v>270295</v>
      </c>
      <c r="I22" s="11">
        <v>270295</v>
      </c>
      <c r="J22" s="44" t="s">
        <v>98</v>
      </c>
      <c r="K22" s="87">
        <v>216530932</v>
      </c>
      <c r="L22" s="284"/>
      <c r="M22" s="9"/>
      <c r="N22" s="9"/>
      <c r="P22" s="293">
        <f>IF('[1]2026 január'!B$20=0,
    "",
    '[1]2026 január'!B$20
)</f>
        <v>295070</v>
      </c>
      <c r="Q22" s="293" t="str">
        <f>IF(OR('[1]2026 január'!G20=0,
       ISBLANK('[1]2026 január'!G20)),
    "",
    '[1]2026 január'!G20
)</f>
        <v/>
      </c>
      <c r="R22" s="11">
        <f>'[1]2026 január'!W20</f>
        <v>0</v>
      </c>
      <c r="S22" s="11"/>
      <c r="T22" s="11"/>
      <c r="U22" s="10"/>
      <c r="V22" s="293">
        <f>IF('[1]2026 január'!S20=0,
    "",
    '[1]2026 január'!S20
)</f>
        <v>99845</v>
      </c>
      <c r="W22" s="293">
        <f>IF('[1]2026 január'!T20=0,
    "",
    '[1]2026 január'!T20
)</f>
        <v>24775</v>
      </c>
      <c r="X22" s="293" t="str">
        <f>IF('[1]2026 január'!U20=0,
    "",
    '[1]2026 január'!U20
)</f>
        <v/>
      </c>
      <c r="Y22" s="293" t="str">
        <f>IF('[1]2026 január'!V20=0,
    "",
    '[1]2026 január'!V20
)</f>
        <v/>
      </c>
      <c r="Z22" s="293" t="str">
        <f>IF('[1]2026 január'!W20=0,
    "",
    '[1]2026 január'!W20
)</f>
        <v/>
      </c>
      <c r="AA22" s="293" t="str">
        <f>IF('[1]2026 január'!X20=0,
    "",
    '[1]2026 január'!X20
)</f>
        <v/>
      </c>
      <c r="AB22" s="293">
        <f>IF('[1]2026 január'!Y20=0,
    "",
    '[1]2026 január'!Y20
)</f>
        <v>124620</v>
      </c>
      <c r="AC22" s="293" t="str">
        <f>IF('[1]2026 január'!Z20=0,
    "",
    '[1]2026 január'!Z20
)</f>
        <v/>
      </c>
      <c r="AD22" s="245" t="str">
        <f>IF('[1]2026 január'!AA20=0,
    "",
    '[1]2026 január'!AA20
)</f>
        <v/>
      </c>
      <c r="AE22" s="245" t="str">
        <f>IF('[1]2026 január'!AB$20=0,
    "",
    '[1]2026 január'!AB$20
)</f>
        <v/>
      </c>
      <c r="AF22" s="245" t="str">
        <f>IF('[1]2026 január'!AC$20=0,
    "",
    '[1]2026 január'!AC$20
)</f>
        <v/>
      </c>
      <c r="AG22" s="245" t="str">
        <f>IF('[1]2026 január'!AD$20=0,
    "",
    '[1]2026 január'!AD$20
)</f>
        <v/>
      </c>
      <c r="AH22" s="245" t="str">
        <f>IF('[1]2026 január'!AE20=0,
    "",
    '[1]2026 január'!AE20
)</f>
        <v/>
      </c>
      <c r="AI22" s="245" t="str">
        <f>IF('[1]2026 január'!AF20=0,
    "",
    '[1]2026 január'!AF20
)</f>
        <v/>
      </c>
      <c r="AJ22" s="245" t="str">
        <f>IF('[1]2026 január'!AG20=0,
    "",
    '[1]2026 január'!AG20
)</f>
        <v/>
      </c>
      <c r="AK22" s="245" t="str">
        <f>IF('[1]2026 január'!AH20=0,
    "",
    '[1]2026 január'!AH20
)</f>
        <v/>
      </c>
    </row>
    <row r="23" spans="1:37">
      <c r="A23" s="5">
        <v>46042</v>
      </c>
      <c r="B23" s="11">
        <v>401625</v>
      </c>
      <c r="C23" s="11">
        <v>700</v>
      </c>
      <c r="D23" s="11">
        <v>244105</v>
      </c>
      <c r="E23" s="11"/>
      <c r="F23" s="11">
        <v>140370</v>
      </c>
      <c r="G23" s="11">
        <v>28320</v>
      </c>
      <c r="H23" s="11">
        <v>356855</v>
      </c>
      <c r="I23" s="11">
        <v>356855</v>
      </c>
      <c r="J23" s="44" t="s">
        <v>99</v>
      </c>
      <c r="K23" s="87">
        <v>216916107</v>
      </c>
      <c r="L23" s="284"/>
      <c r="M23" s="9"/>
      <c r="N23" s="9"/>
      <c r="P23" s="293">
        <f>IF('[1]2026 január'!B$21=0,
    "",
    '[1]2026 január'!B$21
)</f>
        <v>385175</v>
      </c>
      <c r="Q23" s="293" t="str">
        <f>IF(OR('[1]2026 január'!G21=0,
       ISBLANK('[1]2026 január'!G21)),
    "",
    '[1]2026 január'!G21
)</f>
        <v/>
      </c>
      <c r="R23" s="11">
        <f>'[1]2026 január'!W21</f>
        <v>0</v>
      </c>
      <c r="S23" s="11"/>
      <c r="T23" s="11"/>
      <c r="U23" s="10"/>
      <c r="V23" s="293">
        <f>IF('[1]2026 január'!S21=0,
    "",
    '[1]2026 január'!S21
)</f>
        <v>124620</v>
      </c>
      <c r="W23" s="293">
        <f>IF('[1]2026 január'!T21=0,
    "",
    '[1]2026 január'!T21
)</f>
        <v>28320</v>
      </c>
      <c r="X23" s="293" t="str">
        <f>IF('[1]2026 január'!U21=0,
    "",
    '[1]2026 január'!U21
)</f>
        <v/>
      </c>
      <c r="Y23" s="293" t="str">
        <f>IF('[1]2026 január'!V21=0,
    "",
    '[1]2026 január'!V21
)</f>
        <v/>
      </c>
      <c r="Z23" s="293" t="str">
        <f>IF('[1]2026 január'!W21=0,
    "",
    '[1]2026 január'!W21
)</f>
        <v/>
      </c>
      <c r="AA23" s="293" t="str">
        <f>IF('[1]2026 január'!X21=0,
    "",
    '[1]2026 január'!X21
)</f>
        <v/>
      </c>
      <c r="AB23" s="293">
        <f>IF('[1]2026 január'!Y21=0,
    "",
    '[1]2026 január'!Y21
)</f>
        <v>152940</v>
      </c>
      <c r="AC23" s="293" t="str">
        <f>IF('[1]2026 január'!Z21=0,
    "",
    '[1]2026 január'!Z21
)</f>
        <v/>
      </c>
      <c r="AD23" s="245" t="str">
        <f>IF('[1]2026 január'!AA21=0,
    "",
    '[1]2026 január'!AA21
)</f>
        <v/>
      </c>
      <c r="AE23" s="245" t="str">
        <f>IF('[1]2026 január'!AB$21=0,
    "",
    '[1]2026 január'!AB$21
)</f>
        <v/>
      </c>
      <c r="AF23" s="245" t="str">
        <f>IF('[1]2026 január'!AC$21=0,
    "",
    '[1]2026 január'!AC$21
)</f>
        <v/>
      </c>
      <c r="AG23" s="245" t="str">
        <f>IF('[1]2026 január'!AD$21=0,
    "",
    '[1]2026 január'!AD$21
)</f>
        <v/>
      </c>
      <c r="AH23" s="245" t="str">
        <f>IF('[1]2026 január'!AE21=0,
    "",
    '[1]2026 január'!AE21
)</f>
        <v/>
      </c>
      <c r="AI23" s="245" t="str">
        <f>IF('[1]2026 január'!AF21=0,
    "",
    '[1]2026 január'!AF21
)</f>
        <v/>
      </c>
      <c r="AJ23" s="245" t="str">
        <f>IF('[1]2026 január'!AG21=0,
    "",
    '[1]2026 január'!AG21
)</f>
        <v/>
      </c>
      <c r="AK23" s="245" t="str">
        <f>IF('[1]2026 január'!AH21=0,
    "",
    '[1]2026 január'!AH21
)</f>
        <v/>
      </c>
    </row>
    <row r="24" spans="1:37">
      <c r="A24" s="5">
        <v>46043</v>
      </c>
      <c r="B24" s="11">
        <v>305995</v>
      </c>
      <c r="C24" s="11">
        <v>1250</v>
      </c>
      <c r="D24" s="11">
        <v>158570</v>
      </c>
      <c r="E24" s="11"/>
      <c r="F24" s="11">
        <v>133445</v>
      </c>
      <c r="G24" s="11">
        <v>25800</v>
      </c>
      <c r="H24" s="11">
        <v>267465</v>
      </c>
      <c r="I24" s="11">
        <v>267465</v>
      </c>
      <c r="J24" s="44" t="s">
        <v>100</v>
      </c>
      <c r="K24" s="87">
        <v>217209372</v>
      </c>
      <c r="L24" s="284"/>
      <c r="M24" s="9"/>
      <c r="N24" s="9"/>
      <c r="P24" s="293">
        <f>IF('[1]2026 január'!B$22=0,
    "",
    '[1]2026 január'!B$22
)</f>
        <v>293265</v>
      </c>
      <c r="Q24" s="293" t="str">
        <f>IF(OR('[1]2026 január'!G22=0,
       ISBLANK('[1]2026 január'!G22)),
    "",
    '[1]2026 január'!G22
)</f>
        <v/>
      </c>
      <c r="R24" s="11">
        <f>'[1]2026 január'!W22</f>
        <v>0</v>
      </c>
      <c r="S24" s="11"/>
      <c r="T24" s="11"/>
      <c r="U24" s="10"/>
      <c r="V24" s="293">
        <f>IF('[1]2026 január'!S22=0,
    "",
    '[1]2026 január'!S22
)</f>
        <v>152940</v>
      </c>
      <c r="W24" s="293">
        <f>IF('[1]2026 január'!T22=0,
    "",
    '[1]2026 január'!T22
)</f>
        <v>25800</v>
      </c>
      <c r="X24" s="293" t="str">
        <f>IF('[1]2026 január'!U22=0,
    "",
    '[1]2026 január'!U22
)</f>
        <v/>
      </c>
      <c r="Y24" s="293" t="str">
        <f>IF('[1]2026 január'!V22=0,
    "",
    '[1]2026 január'!V22
)</f>
        <v/>
      </c>
      <c r="Z24" s="293" t="str">
        <f>IF('[1]2026 január'!W22=0,
    "",
    '[1]2026 január'!W22
)</f>
        <v/>
      </c>
      <c r="AA24" s="293" t="str">
        <f>IF('[1]2026 január'!X22=0,
    "",
    '[1]2026 január'!X22
)</f>
        <v/>
      </c>
      <c r="AB24" s="293">
        <f>IF('[1]2026 január'!Y22=0,
    "",
    '[1]2026 január'!Y22
)</f>
        <v>178740</v>
      </c>
      <c r="AC24" s="293" t="str">
        <f>IF('[1]2026 január'!Z22=0,
    "",
    '[1]2026 január'!Z22
)</f>
        <v/>
      </c>
      <c r="AD24" s="245" t="str">
        <f>IF('[1]2026 január'!AA22=0,
    "",
    '[1]2026 január'!AA22
)</f>
        <v/>
      </c>
      <c r="AE24" s="245" t="str">
        <f>IF('[1]2026 január'!AB$22=0,
    "",
    '[1]2026 január'!AB$22
)</f>
        <v/>
      </c>
      <c r="AF24" s="245" t="str">
        <f>IF('[1]2026 január'!AC$22=0,
    "",
    '[1]2026 január'!AC$22
)</f>
        <v/>
      </c>
      <c r="AG24" s="245" t="str">
        <f>IF('[1]2026 január'!AD$22=0,
    "",
    '[1]2026 január'!AD$22
)</f>
        <v/>
      </c>
      <c r="AH24" s="245" t="str">
        <f>IF('[1]2026 január'!AE22=0,
    "",
    '[1]2026 január'!AE22
)</f>
        <v/>
      </c>
      <c r="AI24" s="245" t="str">
        <f>IF('[1]2026 január'!AF22=0,
    "",
    '[1]2026 január'!AF22
)</f>
        <v/>
      </c>
      <c r="AJ24" s="245" t="str">
        <f>IF('[1]2026 január'!AG22=0,
    "",
    '[1]2026 január'!AG22
)</f>
        <v/>
      </c>
      <c r="AK24" s="245" t="str">
        <f>IF('[1]2026 január'!AH22=0,
    "",
    '[1]2026 január'!AH22
)</f>
        <v/>
      </c>
    </row>
    <row r="25" spans="1:37">
      <c r="A25" s="5">
        <v>46044</v>
      </c>
      <c r="B25" s="11">
        <v>387015</v>
      </c>
      <c r="C25" s="11">
        <v>900</v>
      </c>
      <c r="D25" s="11">
        <v>201465</v>
      </c>
      <c r="E25" s="11"/>
      <c r="F25" s="11">
        <v>158810</v>
      </c>
      <c r="G25" s="11">
        <v>26950</v>
      </c>
      <c r="H25" s="11">
        <v>334255</v>
      </c>
      <c r="I25" s="11">
        <v>334255</v>
      </c>
      <c r="J25" s="44" t="s">
        <v>101</v>
      </c>
      <c r="K25" s="87">
        <v>217570547</v>
      </c>
      <c r="L25" s="284"/>
      <c r="M25" s="9"/>
      <c r="N25" s="9"/>
      <c r="P25" s="293">
        <f>IF('[1]2026 január'!B$23=0,
    "",
    '[1]2026 január'!B$23
)</f>
        <v>361175</v>
      </c>
      <c r="Q25" s="293" t="str">
        <f>IF(OR('[1]2026 január'!G23=0,
       ISBLANK('[1]2026 január'!G23)),
    "",
    '[1]2026 január'!G23
)</f>
        <v/>
      </c>
      <c r="R25" s="11">
        <f>'[1]2026 január'!W23</f>
        <v>0</v>
      </c>
      <c r="S25" s="11"/>
      <c r="T25" s="11"/>
      <c r="U25" s="10"/>
      <c r="V25" s="293">
        <f>IF('[1]2026 január'!S23=0,
    "",
    '[1]2026 január'!S23
)</f>
        <v>178740</v>
      </c>
      <c r="W25" s="293">
        <f>IF('[1]2026 január'!T23=0,
    "",
    '[1]2026 január'!T23
)</f>
        <v>26950</v>
      </c>
      <c r="X25" s="293" t="str">
        <f>IF('[1]2026 január'!U23=0,
    "",
    '[1]2026 január'!U23
)</f>
        <v/>
      </c>
      <c r="Y25" s="293" t="str">
        <f>IF('[1]2026 január'!V23=0,
    "",
    '[1]2026 január'!V23
)</f>
        <v/>
      </c>
      <c r="Z25" s="293" t="str">
        <f>IF('[1]2026 január'!W23=0,
    "",
    '[1]2026 január'!W23
)</f>
        <v/>
      </c>
      <c r="AA25" s="293" t="str">
        <f>IF('[1]2026 január'!X23=0,
    "",
    '[1]2026 január'!X23
)</f>
        <v/>
      </c>
      <c r="AB25" s="293">
        <f>IF('[1]2026 január'!Y23=0,
    "",
    '[1]2026 január'!Y23
)</f>
        <v>205690</v>
      </c>
      <c r="AC25" s="293" t="str">
        <f>IF('[1]2026 január'!Z23=0,
    "",
    '[1]2026 január'!Z23
)</f>
        <v/>
      </c>
      <c r="AD25" s="245" t="str">
        <f>IF('[1]2026 január'!AA23=0,
    "",
    '[1]2026 január'!AA23
)</f>
        <v/>
      </c>
      <c r="AE25" s="245" t="str">
        <f>IF('[1]2026 január'!AB$23=0,
    "",
    '[1]2026 január'!AB$23
)</f>
        <v/>
      </c>
      <c r="AF25" s="245" t="str">
        <f>IF('[1]2026 január'!AC$23=0,
    "",
    '[1]2026 január'!AC$23
)</f>
        <v/>
      </c>
      <c r="AG25" s="245" t="str">
        <f>IF('[1]2026 január'!AD$23=0,
    "",
    '[1]2026 január'!AD$23
)</f>
        <v/>
      </c>
      <c r="AH25" s="245" t="str">
        <f>IF('[1]2026 január'!AE23=0,
    "",
    '[1]2026 január'!AE23
)</f>
        <v/>
      </c>
      <c r="AI25" s="245" t="str">
        <f>IF('[1]2026 január'!AF23=0,
    "",
    '[1]2026 január'!AF23
)</f>
        <v/>
      </c>
      <c r="AJ25" s="245" t="str">
        <f>IF('[1]2026 január'!AG23=0,
    "",
    '[1]2026 január'!AG23
)</f>
        <v/>
      </c>
      <c r="AK25" s="245" t="str">
        <f>IF('[1]2026 január'!AH23=0,
    "",
    '[1]2026 január'!AH23
)</f>
        <v/>
      </c>
    </row>
    <row r="26" spans="1:37">
      <c r="A26" s="5">
        <v>46045</v>
      </c>
      <c r="B26" s="11">
        <v>309170</v>
      </c>
      <c r="C26" s="11">
        <v>750</v>
      </c>
      <c r="D26" s="11">
        <v>194725</v>
      </c>
      <c r="E26" s="11"/>
      <c r="F26" s="11">
        <v>97045</v>
      </c>
      <c r="G26" s="11">
        <v>8790</v>
      </c>
      <c r="H26" s="11">
        <v>283730</v>
      </c>
      <c r="I26" s="11">
        <v>283730</v>
      </c>
      <c r="J26" s="44" t="s">
        <v>102</v>
      </c>
      <c r="K26" s="87">
        <v>217863067</v>
      </c>
      <c r="L26" s="284"/>
      <c r="M26" s="9"/>
      <c r="N26" s="9"/>
      <c r="P26" s="293">
        <f>IF('[1]2026 január'!B$24=0,
    "",
    '[1]2026 január'!B$24
)</f>
        <v>292520</v>
      </c>
      <c r="Q26" s="293" t="str">
        <f>IF(OR('[1]2026 január'!G24=0,
       ISBLANK('[1]2026 január'!G24)),
    "",
    '[1]2026 január'!G24
)</f>
        <v/>
      </c>
      <c r="R26" s="11">
        <f>'[1]2026 január'!W24</f>
        <v>0</v>
      </c>
      <c r="S26" s="11"/>
      <c r="T26" s="11"/>
      <c r="U26" s="10"/>
      <c r="V26" s="293">
        <f>IF('[1]2026 január'!S24=0,
    "",
    '[1]2026 január'!S24
)</f>
        <v>205690</v>
      </c>
      <c r="W26" s="293">
        <f>IF('[1]2026 január'!T24=0,
    "",
    '[1]2026 január'!T24
)</f>
        <v>8790</v>
      </c>
      <c r="X26" s="293" t="str">
        <f>IF('[1]2026 január'!U24=0,
    "",
    '[1]2026 január'!U24
)</f>
        <v/>
      </c>
      <c r="Y26" s="293">
        <f>IF('[1]2026 január'!V24=0,
    "",
    '[1]2026 január'!V24
)</f>
        <v>64015</v>
      </c>
      <c r="Z26" s="293" t="str">
        <f>IF('[1]2026 január'!W24=0,
    "",
    '[1]2026 január'!W24
)</f>
        <v/>
      </c>
      <c r="AA26" s="293" t="str">
        <f>IF('[1]2026 január'!X24=0,
    "",
    '[1]2026 január'!X24
)</f>
        <v/>
      </c>
      <c r="AB26" s="293">
        <f>IF('[1]2026 január'!Y24=0,
    "",
    '[1]2026 január'!Y24
)</f>
        <v>150465</v>
      </c>
      <c r="AC26" s="293" t="str">
        <f>IF('[1]2026 január'!Z24=0,
    "",
    '[1]2026 január'!Z24
)</f>
        <v/>
      </c>
      <c r="AD26" s="245" t="str">
        <f>IF('[1]2026 január'!AA24=0,
    "",
    '[1]2026 január'!AA24
)</f>
        <v>Melinda</v>
      </c>
      <c r="AE26" s="245" t="str">
        <f>IF('[1]2026 január'!AB$24=0,
    "",
    '[1]2026 január'!AB$24
)</f>
        <v/>
      </c>
      <c r="AF26" s="245" t="str">
        <f>IF('[1]2026 január'!AC$24=0,
    "",
    '[1]2026 január'!AC$24
)</f>
        <v/>
      </c>
      <c r="AG26" s="245" t="str">
        <f>IF('[1]2026 január'!AD$24=0,
    "",
    '[1]2026 január'!AD$24
)</f>
        <v/>
      </c>
      <c r="AH26" s="245" t="str">
        <f>IF('[1]2026 január'!AE24=0,
    "",
    '[1]2026 január'!AE24
)</f>
        <v/>
      </c>
      <c r="AI26" s="245" t="str">
        <f>IF('[1]2026 január'!AF24=0,
    "",
    '[1]2026 január'!AF24
)</f>
        <v/>
      </c>
      <c r="AJ26" s="245" t="str">
        <f>IF('[1]2026 január'!AG24=0,
    "",
    '[1]2026 január'!AG24
)</f>
        <v/>
      </c>
      <c r="AK26" s="245" t="str">
        <f>IF('[1]2026 január'!AH24=0,
    "",
    '[1]2026 január'!AH24
)</f>
        <v/>
      </c>
    </row>
    <row r="27" spans="1:37">
      <c r="A27" s="162">
        <v>46046</v>
      </c>
      <c r="B27" s="163"/>
      <c r="C27" s="163"/>
      <c r="D27" s="163"/>
      <c r="E27" s="163"/>
      <c r="F27" s="163"/>
      <c r="G27" s="163"/>
      <c r="H27" s="163"/>
      <c r="I27" s="163"/>
      <c r="J27" s="164"/>
      <c r="K27" s="167"/>
      <c r="L27" s="283"/>
      <c r="M27" s="179"/>
      <c r="N27" s="179"/>
      <c r="P27" s="293" t="str">
        <f>IF('[1]2026 január'!B$25=0,
    "",
    '[1]2026 január'!B$25
)</f>
        <v/>
      </c>
      <c r="Q27" s="293" t="str">
        <f>IF(OR('[1]2026 január'!G25=0,
       ISBLANK('[1]2026 január'!G25)),
    "",
    '[1]2026 január'!G25
)</f>
        <v/>
      </c>
      <c r="R27" s="11">
        <f>'[1]2026 január'!W25</f>
        <v>0</v>
      </c>
      <c r="S27" s="11"/>
      <c r="T27" s="11"/>
      <c r="U27" s="10"/>
      <c r="V27" s="293">
        <f>IF('[1]2026 január'!S25=0,
    "",
    '[1]2026 január'!S25
)</f>
        <v>150465</v>
      </c>
      <c r="W27" s="293" t="str">
        <f>IF('[1]2026 január'!T25=0,
    "",
    '[1]2026 január'!T25
)</f>
        <v/>
      </c>
      <c r="X27" s="293" t="str">
        <f>IF('[1]2026 január'!U25=0,
    "",
    '[1]2026 január'!U25
)</f>
        <v/>
      </c>
      <c r="Y27" s="293" t="str">
        <f>IF('[1]2026 január'!V25=0,
    "",
    '[1]2026 január'!V25
)</f>
        <v/>
      </c>
      <c r="Z27" s="293" t="str">
        <f>IF('[1]2026 január'!W25=0,
    "",
    '[1]2026 január'!W25
)</f>
        <v/>
      </c>
      <c r="AA27" s="293" t="str">
        <f>IF('[1]2026 január'!X25=0,
    "",
    '[1]2026 január'!X25
)</f>
        <v/>
      </c>
      <c r="AB27" s="293">
        <f>IF('[1]2026 január'!Y25=0,
    "",
    '[1]2026 január'!Y25
)</f>
        <v>150465</v>
      </c>
      <c r="AC27" s="293" t="str">
        <f>IF('[1]2026 január'!Z25=0,
    "",
    '[1]2026 január'!Z25
)</f>
        <v/>
      </c>
      <c r="AD27" s="245" t="str">
        <f>IF('[1]2026 január'!AA25=0,
    "",
    '[1]2026 január'!AA25
)</f>
        <v/>
      </c>
      <c r="AE27" s="245" t="str">
        <f>IF('[1]2026 január'!AB$25=0,
    "",
    '[1]2026 január'!AB$25
)</f>
        <v/>
      </c>
      <c r="AF27" s="245" t="str">
        <f>IF('[1]2026 január'!AC$25=0,
    "",
    '[1]2026 január'!AC$25
)</f>
        <v/>
      </c>
      <c r="AG27" s="245" t="str">
        <f>IF('[1]2026 január'!AD$25=0,
    "",
    '[1]2026 január'!AD$25
)</f>
        <v/>
      </c>
      <c r="AH27" s="245" t="str">
        <f>IF('[1]2026 január'!AE25=0,
    "",
    '[1]2026 január'!AE25
)</f>
        <v/>
      </c>
      <c r="AI27" s="245" t="str">
        <f>IF('[1]2026 január'!AF25=0,
    "",
    '[1]2026 január'!AF25
)</f>
        <v/>
      </c>
      <c r="AJ27" s="245" t="str">
        <f>IF('[1]2026 január'!AG25=0,
    "",
    '[1]2026 január'!AG25
)</f>
        <v/>
      </c>
      <c r="AK27" s="245" t="str">
        <f>IF('[1]2026 január'!AH25=0,
    "",
    '[1]2026 január'!AH25
)</f>
        <v/>
      </c>
    </row>
    <row r="28" spans="1:37">
      <c r="A28" s="162">
        <v>46047</v>
      </c>
      <c r="B28" s="163"/>
      <c r="C28" s="163"/>
      <c r="D28" s="163"/>
      <c r="E28" s="163"/>
      <c r="F28" s="163"/>
      <c r="G28" s="163"/>
      <c r="H28" s="163"/>
      <c r="I28" s="163"/>
      <c r="J28" s="164"/>
      <c r="K28" s="167"/>
      <c r="L28" s="283"/>
      <c r="M28" s="179"/>
      <c r="N28" s="179"/>
      <c r="P28" s="293" t="str">
        <f>IF('[1]2026 január'!B$26=0,
    "",
    '[1]2026 január'!B$26
)</f>
        <v/>
      </c>
      <c r="Q28" s="293" t="str">
        <f>IF(OR('[1]2026 január'!G26=0,
       ISBLANK('[1]2026 január'!G26)),
    "",
    '[1]2026 január'!G26
)</f>
        <v/>
      </c>
      <c r="R28" s="11">
        <f>'[1]2026 január'!W26</f>
        <v>0</v>
      </c>
      <c r="S28" s="11"/>
      <c r="T28" s="11"/>
      <c r="U28" s="10"/>
      <c r="V28" s="293">
        <f>IF('[1]2026 január'!S26=0,
    "",
    '[1]2026 január'!S26
)</f>
        <v>150465</v>
      </c>
      <c r="W28" s="293" t="str">
        <f>IF('[1]2026 január'!T26=0,
    "",
    '[1]2026 január'!T26
)</f>
        <v/>
      </c>
      <c r="X28" s="293" t="str">
        <f>IF('[1]2026 január'!U26=0,
    "",
    '[1]2026 január'!U26
)</f>
        <v/>
      </c>
      <c r="Y28" s="293" t="str">
        <f>IF('[1]2026 január'!V26=0,
    "",
    '[1]2026 január'!V26
)</f>
        <v/>
      </c>
      <c r="Z28" s="293" t="str">
        <f>IF('[1]2026 január'!W26=0,
    "",
    '[1]2026 január'!W26
)</f>
        <v/>
      </c>
      <c r="AA28" s="293" t="str">
        <f>IF('[1]2026 január'!X26=0,
    "",
    '[1]2026 január'!X26
)</f>
        <v/>
      </c>
      <c r="AB28" s="293">
        <f>IF('[1]2026 január'!Y26=0,
    "",
    '[1]2026 január'!Y26
)</f>
        <v>150465</v>
      </c>
      <c r="AC28" s="293" t="str">
        <f>IF('[1]2026 január'!Z26=0,
    "",
    '[1]2026 január'!Z26
)</f>
        <v/>
      </c>
      <c r="AD28" s="245" t="str">
        <f>IF('[1]2026 január'!AA26=0,
    "",
    '[1]2026 január'!AA26
)</f>
        <v/>
      </c>
      <c r="AE28" s="245" t="str">
        <f>IF('[1]2026 január'!AB$26=0,
    "",
    '[1]2026 január'!AB$26
)</f>
        <v/>
      </c>
      <c r="AF28" s="245" t="str">
        <f>IF('[1]2026 január'!AC$26=0,
    "",
    '[1]2026 január'!AC$26
)</f>
        <v/>
      </c>
      <c r="AG28" s="245" t="str">
        <f>IF('[1]2026 január'!AD$26=0,
    "",
    '[1]2026 január'!AD$26
)</f>
        <v/>
      </c>
      <c r="AH28" s="245" t="str">
        <f>IF('[1]2026 január'!AE26=0,
    "",
    '[1]2026 január'!AE26
)</f>
        <v/>
      </c>
      <c r="AI28" s="245" t="str">
        <f>IF('[1]2026 január'!AF26=0,
    "",
    '[1]2026 január'!AF26
)</f>
        <v/>
      </c>
      <c r="AJ28" s="245" t="str">
        <f>IF('[1]2026 január'!AG26=0,
    "",
    '[1]2026 január'!AG26
)</f>
        <v/>
      </c>
      <c r="AK28" s="245" t="str">
        <f>IF('[1]2026 január'!AH26=0,
    "",
    '[1]2026 január'!AH26
)</f>
        <v/>
      </c>
    </row>
    <row r="29" spans="1:37">
      <c r="A29" s="5">
        <v>46048</v>
      </c>
      <c r="B29" s="11">
        <v>304025</v>
      </c>
      <c r="C29" s="11">
        <v>850</v>
      </c>
      <c r="D29" s="11">
        <v>170825</v>
      </c>
      <c r="E29" s="11"/>
      <c r="F29" s="11">
        <v>124060</v>
      </c>
      <c r="G29" s="11">
        <v>20560</v>
      </c>
      <c r="H29" s="11">
        <v>272830</v>
      </c>
      <c r="I29" s="11">
        <v>272830</v>
      </c>
      <c r="J29" s="44" t="s">
        <v>103</v>
      </c>
      <c r="K29" s="87">
        <v>218158802</v>
      </c>
      <c r="L29" s="284"/>
      <c r="M29" s="405">
        <v>2340</v>
      </c>
      <c r="N29" s="9"/>
      <c r="P29" s="293">
        <f>IF('[1]2026 január'!B$27=0,
    "",
    '[1]2026 január'!B$27
)</f>
        <v>293395</v>
      </c>
      <c r="Q29" s="293" t="str">
        <f>IF(OR('[1]2026 január'!G27=0,
       ISBLANK('[1]2026 január'!G27)),
    "",
    '[1]2026 január'!G27
)</f>
        <v/>
      </c>
      <c r="R29" s="11">
        <f>'[1]2026 január'!W27</f>
        <v>0</v>
      </c>
      <c r="S29" s="11"/>
      <c r="T29" s="11"/>
      <c r="U29" s="10"/>
      <c r="V29" s="293">
        <f>IF('[1]2026 január'!S27=0,
    "",
    '[1]2026 január'!S27
)</f>
        <v>150465</v>
      </c>
      <c r="W29" s="293">
        <f>IF('[1]2026 január'!T27=0,
    "",
    '[1]2026 január'!T27
)</f>
        <v>20565</v>
      </c>
      <c r="X29" s="293" t="str">
        <f>IF('[1]2026 január'!U27=0,
    "",
    '[1]2026 január'!U27
)</f>
        <v/>
      </c>
      <c r="Y29" s="293" t="str">
        <f>IF('[1]2026 január'!V27=0,
    "",
    '[1]2026 január'!V27
)</f>
        <v/>
      </c>
      <c r="Z29" s="293" t="str">
        <f>IF('[1]2026 január'!W27=0,
    "",
    '[1]2026 január'!W27
)</f>
        <v/>
      </c>
      <c r="AA29" s="293" t="str">
        <f>IF('[1]2026 január'!X27=0,
    "",
    '[1]2026 január'!X27
)</f>
        <v/>
      </c>
      <c r="AB29" s="293">
        <f>IF('[1]2026 január'!Y27=0,
    "",
    '[1]2026 január'!Y27
)</f>
        <v>171030</v>
      </c>
      <c r="AC29" s="293" t="str">
        <f>IF('[1]2026 január'!Z27=0,
    "",
    '[1]2026 január'!Z27
)</f>
        <v/>
      </c>
      <c r="AD29" s="245" t="str">
        <f>IF('[1]2026 január'!AA27=0,
    "",
    '[1]2026 január'!AA27
)</f>
        <v/>
      </c>
      <c r="AE29" s="245" t="str">
        <f>IF('[1]2026 január'!AB$27=0,
    "",
    '[1]2026 január'!AB$27
)</f>
        <v/>
      </c>
      <c r="AF29" s="245" t="str">
        <f>IF('[1]2026 január'!AC$27=0,
    "",
    '[1]2026 január'!AC$27
)</f>
        <v/>
      </c>
      <c r="AG29" s="245" t="str">
        <f>IF('[1]2026 január'!AD$27=0,
    "",
    '[1]2026 január'!AD$27
)</f>
        <v/>
      </c>
      <c r="AH29" s="245" t="str">
        <f>IF('[1]2026 január'!AE27=0,
    "",
    '[1]2026 január'!AE27
)</f>
        <v/>
      </c>
      <c r="AI29" s="245" t="str">
        <f>IF('[1]2026 január'!AF27=0,
    "",
    '[1]2026 január'!AF27
)</f>
        <v/>
      </c>
      <c r="AJ29" s="245" t="str">
        <f>IF('[1]2026 január'!AG27=0,
    "",
    '[1]2026 január'!AG27
)</f>
        <v/>
      </c>
      <c r="AK29" s="245" t="str">
        <f>IF('[1]2026 január'!AH27=0,
    "",
    '[1]2026 január'!AH27
)</f>
        <v/>
      </c>
    </row>
    <row r="30" spans="1:37">
      <c r="A30" s="5">
        <v>46049</v>
      </c>
      <c r="B30" s="11">
        <v>362210</v>
      </c>
      <c r="C30" s="11">
        <v>800</v>
      </c>
      <c r="D30" s="11">
        <v>214315</v>
      </c>
      <c r="E30" s="11"/>
      <c r="F30" s="11">
        <v>135480</v>
      </c>
      <c r="G30" s="11">
        <v>26430</v>
      </c>
      <c r="H30" s="11">
        <v>324165</v>
      </c>
      <c r="I30" s="11">
        <v>324165</v>
      </c>
      <c r="J30" s="44" t="s">
        <v>104</v>
      </c>
      <c r="K30" s="87">
        <v>218509397</v>
      </c>
      <c r="L30" s="284"/>
      <c r="M30" s="9"/>
      <c r="N30" s="9"/>
      <c r="P30" s="293">
        <f>IF('[1]2026 január'!B$28=0,
    "",
    '[1]2026 január'!B$28
)</f>
        <v>350595</v>
      </c>
      <c r="Q30" s="293" t="str">
        <f>IF(OR('[1]2026 január'!G28=0,
       ISBLANK('[1]2026 január'!G28)),
    "",
    '[1]2026 január'!G28
)</f>
        <v/>
      </c>
      <c r="R30" s="11">
        <f>'[1]2026 január'!W28</f>
        <v>0</v>
      </c>
      <c r="S30" s="11"/>
      <c r="T30" s="11"/>
      <c r="U30" s="10"/>
      <c r="V30" s="293">
        <f>IF('[1]2026 január'!S28=0,
    "",
    '[1]2026 január'!S28
)</f>
        <v>171030</v>
      </c>
      <c r="W30" s="293">
        <f>IF('[1]2026 január'!T28=0,
    "",
    '[1]2026 január'!T28
)</f>
        <v>26430</v>
      </c>
      <c r="X30" s="293" t="str">
        <f>IF('[1]2026 január'!U28=0,
    "",
    '[1]2026 január'!U28
)</f>
        <v/>
      </c>
      <c r="Y30" s="293" t="str">
        <f>IF('[1]2026 január'!V28=0,
    "",
    '[1]2026 január'!V28
)</f>
        <v/>
      </c>
      <c r="Z30" s="293" t="str">
        <f>IF('[1]2026 január'!W28=0,
    "",
    '[1]2026 január'!W28
)</f>
        <v/>
      </c>
      <c r="AA30" s="293" t="str">
        <f>IF('[1]2026 január'!X28=0,
    "",
    '[1]2026 január'!X28
)</f>
        <v/>
      </c>
      <c r="AB30" s="293">
        <f>IF('[1]2026 január'!Y28=0,
    "",
    '[1]2026 január'!Y28
)</f>
        <v>197460</v>
      </c>
      <c r="AC30" s="293" t="str">
        <f>IF('[1]2026 január'!Z28=0,
    "",
    '[1]2026 január'!Z28
)</f>
        <v/>
      </c>
      <c r="AD30" s="245" t="str">
        <f>IF('[1]2026 január'!AA28=0,
    "",
    '[1]2026 január'!AA28
)</f>
        <v/>
      </c>
      <c r="AE30" s="245" t="str">
        <f>IF('[1]2026 január'!AB$28=0,
    "",
    '[1]2026 január'!AB$28
)</f>
        <v/>
      </c>
      <c r="AF30" s="245" t="str">
        <f>IF('[1]2026 január'!AC$28=0,
    "",
    '[1]2026 január'!AC$28
)</f>
        <v/>
      </c>
      <c r="AG30" s="245" t="str">
        <f>IF('[1]2026 január'!AD$28=0,
    "",
    '[1]2026 január'!AD$28
)</f>
        <v/>
      </c>
      <c r="AH30" s="245" t="str">
        <f>IF('[1]2026 január'!AE28=0,
    "",
    '[1]2026 január'!AE28
)</f>
        <v/>
      </c>
      <c r="AI30" s="245" t="str">
        <f>IF('[1]2026 január'!AF28=0,
    "",
    '[1]2026 január'!AF28
)</f>
        <v/>
      </c>
      <c r="AJ30" s="245" t="str">
        <f>IF('[1]2026 január'!AG28=0,
    "",
    '[1]2026 január'!AG28
)</f>
        <v/>
      </c>
      <c r="AK30" s="245" t="str">
        <f>IF('[1]2026 január'!AH28=0,
    "",
    '[1]2026 január'!AH28
)</f>
        <v/>
      </c>
    </row>
    <row r="31" spans="1:37">
      <c r="A31" s="5">
        <v>46050</v>
      </c>
      <c r="B31" s="11">
        <v>321215</v>
      </c>
      <c r="C31" s="11">
        <v>1050</v>
      </c>
      <c r="D31" s="11">
        <v>159435</v>
      </c>
      <c r="E31" s="11"/>
      <c r="F31" s="11">
        <v>150590</v>
      </c>
      <c r="G31" s="11">
        <v>27800</v>
      </c>
      <c r="H31" s="11">
        <v>283275</v>
      </c>
      <c r="I31" s="11">
        <v>283275</v>
      </c>
      <c r="J31" s="44" t="s">
        <v>105</v>
      </c>
      <c r="K31" s="87">
        <v>218820478</v>
      </c>
      <c r="L31" s="284"/>
      <c r="M31" s="9"/>
      <c r="N31" s="9"/>
      <c r="P31" s="293">
        <f>IF('[1]2026 január'!B$29=0,
    "",
    '[1]2026 január'!B$29
)</f>
        <v>311075</v>
      </c>
      <c r="Q31" s="293" t="str">
        <f>IF(OR('[1]2026 január'!G29=0,
       ISBLANK('[1]2026 január'!G29)),
    "",
    '[1]2026 január'!G29
)</f>
        <v/>
      </c>
      <c r="R31" s="11">
        <f>'[1]2026 január'!W29</f>
        <v>0</v>
      </c>
      <c r="S31" s="11"/>
      <c r="T31" s="11"/>
      <c r="U31" s="10"/>
      <c r="V31" s="293">
        <f>IF('[1]2026 január'!S29=0,
    "",
    '[1]2026 január'!S29
)</f>
        <v>197460</v>
      </c>
      <c r="W31" s="293">
        <f>IF('[1]2026 január'!T29=0,
    "",
    '[1]2026 január'!T29
)</f>
        <v>27800</v>
      </c>
      <c r="X31" s="293" t="str">
        <f>IF('[1]2026 január'!U29=0,
    "",
    '[1]2026 január'!U29
)</f>
        <v/>
      </c>
      <c r="Y31" s="293" t="str">
        <f>IF('[1]2026 január'!V29=0,
    "",
    '[1]2026 január'!V29
)</f>
        <v/>
      </c>
      <c r="Z31" s="293" t="str">
        <f>IF('[1]2026 január'!W29=0,
    "",
    '[1]2026 január'!W29
)</f>
        <v/>
      </c>
      <c r="AA31" s="293" t="str">
        <f>IF('[1]2026 január'!X29=0,
    "",
    '[1]2026 január'!X29
)</f>
        <v/>
      </c>
      <c r="AB31" s="293">
        <f>IF('[1]2026 január'!Y29=0,
    "",
    '[1]2026 január'!Y29
)</f>
        <v>225260</v>
      </c>
      <c r="AC31" s="293" t="str">
        <f>IF('[1]2026 január'!Z29=0,
    "",
    '[1]2026 január'!Z29
)</f>
        <v/>
      </c>
      <c r="AD31" s="245" t="str">
        <f>IF('[1]2026 január'!AA29=0,
    "",
    '[1]2026 január'!AA29
)</f>
        <v/>
      </c>
      <c r="AE31" s="245" t="str">
        <f>IF('[1]2026 január'!AB$29=0,
    "",
    '[1]2026 január'!AB$29
)</f>
        <v/>
      </c>
      <c r="AF31" s="245" t="str">
        <f>IF('[1]2026 január'!AC$29=0,
    "",
    '[1]2026 január'!AC$29
)</f>
        <v/>
      </c>
      <c r="AG31" s="245" t="str">
        <f>IF('[1]2026 január'!AD$29=0,
    "",
    '[1]2026 január'!AD$29
)</f>
        <v/>
      </c>
      <c r="AH31" s="245" t="str">
        <f>IF('[1]2026 január'!AE29=0,
    "",
    '[1]2026 január'!AE29
)</f>
        <v/>
      </c>
      <c r="AI31" s="245" t="str">
        <f>IF('[1]2026 január'!AF29=0,
    "",
    '[1]2026 január'!AF29
)</f>
        <v/>
      </c>
      <c r="AJ31" s="245" t="str">
        <f>IF('[1]2026 január'!AG29=0,
    "",
    '[1]2026 január'!AG29
)</f>
        <v/>
      </c>
      <c r="AK31" s="245" t="str">
        <f>IF('[1]2026 január'!AH29=0,
    "",
    '[1]2026 január'!AH29
)</f>
        <v/>
      </c>
    </row>
    <row r="32" spans="1:37">
      <c r="A32" s="5">
        <v>46051</v>
      </c>
      <c r="B32" s="11">
        <v>350505</v>
      </c>
      <c r="C32" s="11">
        <v>950</v>
      </c>
      <c r="D32" s="11">
        <v>234076</v>
      </c>
      <c r="E32" s="11"/>
      <c r="F32" s="11">
        <v>142204</v>
      </c>
      <c r="G32" s="11">
        <v>26835</v>
      </c>
      <c r="H32" s="11">
        <v>348405</v>
      </c>
      <c r="I32" s="11">
        <v>348405</v>
      </c>
      <c r="J32" s="44" t="s">
        <v>106</v>
      </c>
      <c r="K32" s="87">
        <v>219197702</v>
      </c>
      <c r="L32" s="284"/>
      <c r="M32" s="405">
        <v>1990</v>
      </c>
      <c r="N32" s="9"/>
      <c r="P32" s="293">
        <f>IF('[1]2026 január'!B$30=0,
    "",
    '[1]2026 január'!B$30
)</f>
        <v>335240</v>
      </c>
      <c r="Q32" s="293" t="str">
        <f>IF(OR('[1]2026 január'!G30=0,
       ISBLANK('[1]2026 január'!G30)),
    "",
    '[1]2026 január'!G30
)</f>
        <v/>
      </c>
      <c r="R32" s="11">
        <f>'[1]2026 január'!W30</f>
        <v>0</v>
      </c>
      <c r="S32" s="11"/>
      <c r="T32" s="11"/>
      <c r="U32" s="10"/>
      <c r="V32" s="293">
        <f>IF('[1]2026 január'!S30=0,
    "",
    '[1]2026 január'!S30
)</f>
        <v>225260</v>
      </c>
      <c r="W32" s="293">
        <f>IF('[1]2026 január'!T30=0,
    "",
    '[1]2026 január'!T30
)</f>
        <v>-13165</v>
      </c>
      <c r="X32" s="293">
        <f>IF('[1]2026 január'!U30=0,
    "",
    '[1]2026 január'!U30
)</f>
        <v>40000</v>
      </c>
      <c r="Y32" s="293" t="str">
        <f>IF('[1]2026 január'!V30=0,
    "",
    '[1]2026 január'!V30
)</f>
        <v/>
      </c>
      <c r="Z32" s="293" t="str">
        <f>IF('[1]2026 január'!W30=0,
    "",
    '[1]2026 január'!W30
)</f>
        <v/>
      </c>
      <c r="AA32" s="293" t="str">
        <f>IF('[1]2026 január'!X30=0,
    "",
    '[1]2026 január'!X30
)</f>
        <v/>
      </c>
      <c r="AB32" s="293">
        <f>IF('[1]2026 január'!Y30=0,
    "",
    '[1]2026 január'!Y30
)</f>
        <v>252095</v>
      </c>
      <c r="AC32" s="293" t="str">
        <f>IF('[1]2026 január'!Z30=0,
    "",
    '[1]2026 január'!Z30
)</f>
        <v/>
      </c>
      <c r="AD32" s="245" t="str">
        <f>IF('[1]2026 január'!AA30=0,
    "",
    '[1]2026 január'!AA30
)</f>
        <v>Vip töltés</v>
      </c>
      <c r="AE32" s="245" t="str">
        <f>IF('[1]2026 január'!AB$30=0,
    "",
    '[1]2026 január'!AB$30
)</f>
        <v/>
      </c>
      <c r="AF32" s="245" t="str">
        <f>IF('[1]2026 január'!AC$30=0,
    "",
    '[1]2026 január'!AC$30
)</f>
        <v/>
      </c>
      <c r="AG32" s="245" t="str">
        <f>IF('[1]2026 január'!AD$30=0,
    "",
    '[1]2026 január'!AD$30
)</f>
        <v/>
      </c>
      <c r="AH32" s="245" t="str">
        <f>IF('[1]2026 január'!AE30=0,
    "",
    '[1]2026 január'!AE30
)</f>
        <v/>
      </c>
      <c r="AI32" s="245" t="str">
        <f>IF('[1]2026 január'!AF30=0,
    "",
    '[1]2026 január'!AF30
)</f>
        <v/>
      </c>
      <c r="AJ32" s="245" t="str">
        <f>IF('[1]2026 január'!AG30=0,
    "",
    '[1]2026 január'!AG30
)</f>
        <v/>
      </c>
      <c r="AK32" s="245" t="str">
        <f>IF('[1]2026 január'!AH30=0,
    "",
    '[1]2026 január'!AH30
)</f>
        <v/>
      </c>
    </row>
    <row r="33" spans="1:37">
      <c r="A33" s="5">
        <v>46052</v>
      </c>
      <c r="B33" s="11">
        <v>330590</v>
      </c>
      <c r="C33" s="11">
        <v>750</v>
      </c>
      <c r="D33" s="11">
        <v>217820</v>
      </c>
      <c r="E33" s="11"/>
      <c r="F33" s="11">
        <v>100025</v>
      </c>
      <c r="G33" s="11">
        <v>16220</v>
      </c>
      <c r="H33" s="11">
        <v>302375</v>
      </c>
      <c r="I33" s="11">
        <v>302375</v>
      </c>
      <c r="J33" s="44" t="s">
        <v>107</v>
      </c>
      <c r="K33" s="87">
        <v>219516297</v>
      </c>
      <c r="L33" s="284"/>
      <c r="M33" s="9"/>
      <c r="N33" s="9"/>
      <c r="P33" s="293">
        <f>IF('[1]2026 január'!B$31=0,
    "",
    '[1]2026 január'!B$31
)</f>
        <v>318595</v>
      </c>
      <c r="Q33" s="293" t="str">
        <f>IF(OR('[1]2026 január'!G31=0,
       ISBLANK('[1]2026 január'!G31)),
    "",
    '[1]2026 január'!G31
)</f>
        <v/>
      </c>
      <c r="R33" s="11">
        <f>'[1]2026 január'!W31</f>
        <v>0</v>
      </c>
      <c r="S33" s="11"/>
      <c r="T33" s="11"/>
      <c r="U33" s="10"/>
      <c r="V33" s="293">
        <f>IF('[1]2026 január'!S31=0,
    "",
    '[1]2026 január'!S31
)</f>
        <v>252095</v>
      </c>
      <c r="W33" s="293">
        <f>IF('[1]2026 január'!T31=0,
    "",
    '[1]2026 január'!T31
)</f>
        <v>16220</v>
      </c>
      <c r="X33" s="293" t="str">
        <f>IF('[1]2026 január'!U31=0,
    "",
    '[1]2026 január'!U31
)</f>
        <v/>
      </c>
      <c r="Y33" s="293">
        <f>IF('[1]2026 január'!V31=0,
    "",
    '[1]2026 január'!V31
)</f>
        <v>64015</v>
      </c>
      <c r="Z33" s="293" t="str">
        <f>IF('[1]2026 január'!W31=0,
    "",
    '[1]2026 január'!W31
)</f>
        <v/>
      </c>
      <c r="AA33" s="293" t="str">
        <f>IF('[1]2026 január'!X31=0,
    "",
    '[1]2026 január'!X31
)</f>
        <v/>
      </c>
      <c r="AB33" s="293">
        <f>IF('[1]2026 január'!Y31=0,
    "",
    '[1]2026 január'!Y31
)</f>
        <v>204300</v>
      </c>
      <c r="AC33" s="293" t="str">
        <f>IF('[1]2026 január'!Z31=0,
    "",
    '[1]2026 január'!Z31
)</f>
        <v/>
      </c>
      <c r="AD33" s="245" t="str">
        <f>IF('[1]2026 január'!AA31=0,
    "",
    '[1]2026 január'!AA31
)</f>
        <v>Melinda</v>
      </c>
      <c r="AE33" s="245" t="str">
        <f>IF('[1]2026 január'!AB$31=0,
    "",
    '[1]2026 január'!AB$31
)</f>
        <v/>
      </c>
      <c r="AF33" s="245" t="str">
        <f>IF('[1]2026 január'!AC$31=0,
    "",
    '[1]2026 január'!AC$31
)</f>
        <v/>
      </c>
      <c r="AG33" s="245" t="str">
        <f>IF('[1]2026 január'!AD$31=0,
    "",
    '[1]2026 január'!AD$31
)</f>
        <v/>
      </c>
      <c r="AH33" s="245" t="str">
        <f>IF('[1]2026 január'!AE31=0,
    "",
    '[1]2026 január'!AE31
)</f>
        <v/>
      </c>
      <c r="AI33" s="245" t="str">
        <f>IF('[1]2026 január'!AF31=0,
    "",
    '[1]2026 január'!AF31
)</f>
        <v/>
      </c>
      <c r="AJ33" s="245" t="str">
        <f>IF('[1]2026 január'!AG31=0,
    "",
    '[1]2026 január'!AG31
)</f>
        <v/>
      </c>
      <c r="AK33" s="245" t="str">
        <f>IF('[1]2026 január'!AH31=0,
    "",
    '[1]2026 január'!AH31
)</f>
        <v/>
      </c>
    </row>
    <row r="34" spans="1:37">
      <c r="A34" s="162">
        <v>46053</v>
      </c>
      <c r="B34" s="163"/>
      <c r="C34" s="163"/>
      <c r="D34" s="163"/>
      <c r="E34" s="163"/>
      <c r="F34" s="163"/>
      <c r="G34" s="163"/>
      <c r="H34" s="163"/>
      <c r="I34" s="163"/>
      <c r="J34" s="209"/>
      <c r="K34" s="210"/>
      <c r="L34" s="285"/>
      <c r="M34" s="212"/>
      <c r="N34" s="179"/>
      <c r="P34" s="293" t="str">
        <f>IF('[1]2026 január'!B$32=0,
    "",
    '[1]2026 január'!B$32
)</f>
        <v/>
      </c>
      <c r="Q34" s="293" t="str">
        <f>IF(OR('[1]2026 január'!G32=0,
       ISBLANK('[1]2026 január'!G32)),
    "",
    '[1]2026 január'!G32
)</f>
        <v/>
      </c>
      <c r="R34" s="11">
        <f>'[1]2026 január'!W32</f>
        <v>0</v>
      </c>
      <c r="S34" s="11"/>
      <c r="T34" s="11"/>
      <c r="U34" s="10"/>
      <c r="V34" s="293">
        <f>IF('[1]2026 január'!S32=0,
    "",
    '[1]2026 január'!S32
)</f>
        <v>204300</v>
      </c>
      <c r="W34" s="293" t="str">
        <f>IF('[1]2026 január'!T32=0,
    "",
    '[1]2026 január'!T32
)</f>
        <v/>
      </c>
      <c r="X34" s="293" t="str">
        <f>IF('[1]2026 január'!U32=0,
    "",
    '[1]2026 január'!U32
)</f>
        <v/>
      </c>
      <c r="Y34" s="293" t="str">
        <f>IF('[1]2026 január'!V32=0,
    "",
    '[1]2026 január'!V32
)</f>
        <v/>
      </c>
      <c r="Z34" s="293" t="str">
        <f>IF('[1]2026 január'!W32=0,
    "",
    '[1]2026 január'!W32
)</f>
        <v/>
      </c>
      <c r="AA34" s="293" t="str">
        <f>IF('[1]2026 január'!X32=0,
    "",
    '[1]2026 január'!X32
)</f>
        <v/>
      </c>
      <c r="AB34" s="293">
        <f>IF('[1]2026 január'!Y32=0,
    "",
    '[1]2026 január'!Y32
)</f>
        <v>204300</v>
      </c>
      <c r="AC34" s="293" t="str">
        <f>IF('[1]2026 január'!Z32=0,
    "",
    '[1]2026 január'!Z32
)</f>
        <v/>
      </c>
      <c r="AD34" s="245" t="str">
        <f>IF('[1]2026 január'!AA32=0,
    "",
    '[1]2026 január'!AA32
)</f>
        <v/>
      </c>
      <c r="AE34" s="245" t="str">
        <f>IF('[1]2026 január'!AB$32=0,
    "",
    '[1]2026 január'!AB$32
)</f>
        <v/>
      </c>
      <c r="AF34" s="245" t="str">
        <f>IF('[1]2026 január'!AC$32=0,
    "",
    '[1]2026 január'!AC$32
)</f>
        <v/>
      </c>
      <c r="AG34" s="245" t="str">
        <f>IF('[1]2026 január'!AD$32=0,
    "",
    '[1]2026 január'!AD$32
)</f>
        <v/>
      </c>
      <c r="AH34" s="245" t="str">
        <f>IF('[1]2026 január'!AE32=0,
    "",
    '[1]2026 január'!AE32
)</f>
        <v/>
      </c>
      <c r="AI34" s="245" t="str">
        <f>IF('[1]2026 január'!AF32=0,
    "",
    '[1]2026 január'!AF32
)</f>
        <v/>
      </c>
      <c r="AJ34" s="245" t="str">
        <f>IF('[1]2026 január'!AG32=0,
    "",
    '[1]2026 január'!AG32
)</f>
        <v/>
      </c>
      <c r="AK34" s="245" t="str">
        <f>IF('[1]2026 január'!AH32=0,
    "",
    '[1]2026 január'!AH32
)</f>
        <v/>
      </c>
    </row>
    <row r="35" spans="1:37" ht="22.5" customHeight="1">
      <c r="A35" s="21" t="s">
        <v>43</v>
      </c>
      <c r="B35" s="389"/>
      <c r="C35" s="22">
        <f>SUM(C1:C34)</f>
        <v>17250</v>
      </c>
      <c r="D35" s="22">
        <f>SUM(D1:D34)</f>
        <v>4328426.05</v>
      </c>
      <c r="E35" s="22">
        <f>SUM(E1:E34)</f>
        <v>0.18</v>
      </c>
      <c r="F35" s="22">
        <f>SUM(F1:F34)</f>
        <v>2825575.27</v>
      </c>
      <c r="G35" s="23">
        <f>SUM(G1:G34)</f>
        <v>459515</v>
      </c>
      <c r="H35" s="23">
        <f>SUM(H3:H34)</f>
        <v>6705640</v>
      </c>
      <c r="I35" s="47">
        <f>SUM(I3:I34)</f>
        <v>6746640</v>
      </c>
      <c r="J35" s="37"/>
      <c r="K35" s="452">
        <v>219216297</v>
      </c>
      <c r="L35" s="452">
        <v>7171251</v>
      </c>
      <c r="M35" s="9"/>
      <c r="N35" s="208"/>
      <c r="P35" s="293">
        <f>IF('[1]2026 január'!B$33=0,
    "",
    '[1]2026 január'!B$33
)</f>
        <v>6975130</v>
      </c>
      <c r="Q35" s="293" t="str">
        <f>IF(OR('[1]2026 január'!G33=0,
       ISBLANK('[1]2026 január'!G33)),
    "",
    '[1]2026 január'!G33
)</f>
        <v/>
      </c>
      <c r="R35" s="259">
        <f>'[1]2026 január'!W33</f>
        <v>0</v>
      </c>
      <c r="S35" s="10"/>
      <c r="T35" s="10"/>
      <c r="U35" s="10"/>
      <c r="V35" s="294" t="str">
        <f>IF('[1]2026 január'!S33=0,
    "",
    '[1]2026 január'!S33
)</f>
        <v/>
      </c>
      <c r="W35" s="294">
        <f>IF('[1]2026 január'!T33=0,
    "",
    '[1]2026 január'!T33
)</f>
        <v>228420</v>
      </c>
      <c r="X35" s="294">
        <f>IF('[1]2026 január'!U33=0,
    "",
    '[1]2026 január'!U33
)</f>
        <v>259985</v>
      </c>
      <c r="Y35" s="294" t="str">
        <f>IF('[1]2026 január'!V33=0,
    "",
    '[1]2026 január'!V33
)</f>
        <v/>
      </c>
      <c r="Z35" s="294" t="str">
        <f>IF('[1]2026 január'!W33=0,
    "",
    '[1]2026 január'!W33
)</f>
        <v/>
      </c>
      <c r="AA35" s="294" t="str">
        <f>IF('[1]2026 január'!X33=0,
    "",
    '[1]2026 január'!X33
)</f>
        <v/>
      </c>
      <c r="AB35" s="294" t="str">
        <f>IF('[1]2026 január'!Y33=0,
    "",
    '[1]2026 január'!Y33
)</f>
        <v/>
      </c>
      <c r="AC35" s="294" t="str">
        <f>IF('[1]2026 január'!Z33=0,
    "",
    '[1]2026 január'!Z33
)</f>
        <v/>
      </c>
      <c r="AD35" s="260" t="str">
        <f>IF('[1]2026 január'!AA33=0,
    "",
    '[1]2026 január'!AA33
)</f>
        <v/>
      </c>
      <c r="AE35" s="260" t="str">
        <f>IF('[1]2026 január'!AB$33=0,
    "",
    '[1]2026 január'!AB$33
)</f>
        <v/>
      </c>
      <c r="AF35" s="260" t="str">
        <f>IF('[1]2026 január'!AC$33=0,
    "",
    '[1]2026 január'!AC$33
)</f>
        <v/>
      </c>
      <c r="AG35" s="260" t="str">
        <f>IF('[1]2026 január'!AD$33=0,
    "",
    '[1]2026 január'!AD$33
)</f>
        <v/>
      </c>
      <c r="AH35" s="260" t="str">
        <f>IF('[1]2026 január'!AE33=0,
    "",
    '[1]2026 január'!AE33
)</f>
        <v/>
      </c>
      <c r="AI35" s="260" t="str">
        <f>IF('[1]2026 január'!AF33=0,
    "",
    '[1]2026 január'!AF33
)</f>
        <v/>
      </c>
      <c r="AJ35" s="260" t="str">
        <f>IF('[1]2026 január'!AG33=0,
    "",
    '[1]2026 január'!AG33
)</f>
        <v/>
      </c>
      <c r="AK35" s="260" t="str">
        <f>IF('[1]2026 január'!AH33=0,
    "",
    '[1]2026 január'!AH33
)</f>
        <v/>
      </c>
    </row>
    <row r="36" spans="1:37" ht="19.5" customHeight="1">
      <c r="A36" s="5"/>
      <c r="B36" s="11"/>
      <c r="C36" s="34">
        <f>C35+D35+E35+F35</f>
        <v>7171251.5</v>
      </c>
      <c r="D36" s="10"/>
      <c r="E36" s="10"/>
      <c r="F36" s="10"/>
      <c r="G36" s="62">
        <f>G35+H35</f>
        <v>7165155</v>
      </c>
      <c r="H36" s="10"/>
      <c r="I36" s="10"/>
      <c r="J36" s="38"/>
      <c r="K36" s="11"/>
      <c r="L36" s="286"/>
      <c r="M36" s="9"/>
      <c r="N36" s="208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8" spans="1:37" ht="15" customHeight="1">
      <c r="H38" s="49"/>
    </row>
    <row r="40" spans="1:37" ht="15" customHeight="1">
      <c r="A40" s="436" t="s">
        <v>108</v>
      </c>
      <c r="B40" s="437"/>
      <c r="C40" s="438"/>
      <c r="D40" s="438"/>
      <c r="E40" s="438"/>
      <c r="F40" s="439"/>
      <c r="G40" s="439"/>
      <c r="H40" s="439"/>
      <c r="I40" s="439"/>
      <c r="J40" s="440"/>
      <c r="K40" s="441"/>
    </row>
    <row r="41" spans="1:37" ht="15" customHeight="1">
      <c r="A41" s="442"/>
      <c r="B41" s="435"/>
      <c r="C41" s="435"/>
      <c r="D41" s="435"/>
      <c r="E41" s="435"/>
      <c r="F41" s="435"/>
      <c r="G41" s="429"/>
      <c r="H41" s="429"/>
      <c r="I41" s="429"/>
      <c r="J41" s="429"/>
      <c r="K41" s="443"/>
    </row>
    <row r="42" spans="1:37" ht="15" customHeight="1">
      <c r="A42" s="477"/>
      <c r="B42" s="478"/>
      <c r="C42" s="478"/>
      <c r="D42" s="478"/>
      <c r="E42" s="478"/>
      <c r="F42" s="478"/>
      <c r="G42" s="444"/>
      <c r="H42" s="444"/>
      <c r="I42" s="444"/>
      <c r="J42" s="444"/>
      <c r="K42" s="445"/>
    </row>
    <row r="44" spans="1:37" ht="15" customHeight="1">
      <c r="A44" s="81" t="s">
        <v>4</v>
      </c>
      <c r="B44" s="378"/>
      <c r="C44" s="30"/>
      <c r="D44" s="30"/>
      <c r="E44" s="30"/>
      <c r="F44" s="30"/>
      <c r="G44" s="30"/>
      <c r="H44" s="30"/>
      <c r="I44" s="30"/>
      <c r="J44" s="39"/>
      <c r="K44" s="376"/>
      <c r="L44" s="281"/>
      <c r="M44" s="178"/>
      <c r="N44" s="178"/>
      <c r="O44" s="31"/>
      <c r="P44" s="299">
        <f>'[1]2026 január'!B42</f>
        <v>0</v>
      </c>
      <c r="Q44" s="299">
        <f>'[1]2026 január'!G42</f>
        <v>0</v>
      </c>
      <c r="R44" s="299">
        <f>'[1]2026 január'!W42</f>
        <v>0</v>
      </c>
      <c r="S44" s="299" t="s">
        <v>86</v>
      </c>
      <c r="T44" s="300"/>
      <c r="U44" s="301"/>
      <c r="V44" s="299">
        <f>'[1]2026 január'!S42</f>
        <v>0</v>
      </c>
      <c r="W44" s="299">
        <f>'[1]2026 január'!T42</f>
        <v>0</v>
      </c>
      <c r="X44" s="299">
        <f>'[1]2026 január'!U42</f>
        <v>0</v>
      </c>
      <c r="Y44" s="299">
        <f>'[1]2026 január'!V42</f>
        <v>0</v>
      </c>
      <c r="Z44" s="299">
        <f>'[1]2026 január'!W42</f>
        <v>0</v>
      </c>
      <c r="AA44" s="299">
        <f>'[1]2026 január'!X42</f>
        <v>0</v>
      </c>
      <c r="AB44" s="299">
        <f>'[1]2026 január'!Y42</f>
        <v>0</v>
      </c>
      <c r="AC44" s="299">
        <f>'[1]2026 január'!Z42</f>
        <v>0</v>
      </c>
      <c r="AD44" s="303">
        <f>'[1]2026 január'!AA42</f>
        <v>0</v>
      </c>
      <c r="AE44" s="303">
        <f>'[1]2026 január'!AB42</f>
        <v>0</v>
      </c>
      <c r="AF44" s="303">
        <f>'[1]2026 január'!AC42</f>
        <v>0</v>
      </c>
      <c r="AG44" s="303">
        <f>'[1]2026 január'!AD42</f>
        <v>0</v>
      </c>
      <c r="AH44" s="31"/>
      <c r="AI44" s="31"/>
      <c r="AJ44" s="31"/>
      <c r="AK44" s="31"/>
    </row>
    <row r="45" spans="1:37" ht="15" customHeight="1">
      <c r="A45" s="162">
        <v>46054</v>
      </c>
      <c r="B45" s="163"/>
      <c r="C45" s="163"/>
      <c r="D45" s="163"/>
      <c r="E45" s="163"/>
      <c r="F45" s="163"/>
      <c r="G45" s="163"/>
      <c r="H45" s="163"/>
      <c r="I45" s="163"/>
      <c r="J45" s="164"/>
      <c r="K45" s="165"/>
      <c r="L45" s="282"/>
      <c r="M45" s="179"/>
      <c r="N45" s="179"/>
      <c r="Q45" s="293" t="str">
        <f>IF(OR('[1]2026 február'!G43=0,
       ISBLANK('[1]2026 február'!G43)),
    "",
    '[1]2026 február'!G43
)</f>
        <v/>
      </c>
      <c r="R45" s="11">
        <f>'[1]2026 február'!W43</f>
        <v>0</v>
      </c>
      <c r="S45" s="11" t="e">
        <f>P46-Q45-R45-G45-H45</f>
        <v>#VALUE!</v>
      </c>
      <c r="T45" s="11"/>
      <c r="U45" s="10"/>
      <c r="V45" s="293" t="str">
        <f>IF('[1]2026 február'!S43=0,
    "",
    '[1]2026 február'!S43
)</f>
        <v/>
      </c>
      <c r="W45" s="293" t="str">
        <f>IF('[1]2026 február'!T43=0,
    "",
    '[1]2026 február'!T43
)</f>
        <v/>
      </c>
      <c r="X45" s="293" t="str">
        <f>IF('[1]2026 február'!U43=0,
    "",
    '[1]2026 február'!U43
)</f>
        <v/>
      </c>
      <c r="Y45" s="293" t="str">
        <f>IF('[1]2026 február'!V43=0,
    "",
    '[1]2026 február'!V43
)</f>
        <v/>
      </c>
      <c r="Z45" s="293" t="str">
        <f>IF('[1]2026 február'!W43=0,
    "",
    '[1]2026 február'!W43
)</f>
        <v/>
      </c>
      <c r="AA45" s="293" t="str">
        <f>IF('[1]2026 február'!X43=0,
    "",
    '[1]2026 február'!X43
)</f>
        <v/>
      </c>
      <c r="AB45" s="293" t="str">
        <f>IF('[1]2026 február'!Y43=0,
    "",
    '[1]2026 február'!Y43
)</f>
        <v/>
      </c>
      <c r="AC45" s="293" t="str">
        <f>IF('[1]2026 február'!Z43=0,
    "",
    '[1]2026 február'!Z43
)</f>
        <v/>
      </c>
      <c r="AD45" s="245" t="str">
        <f>IF('[1]2026 február'!AA43=0,
    "",
    '[1]2026 február'!AA43
)</f>
        <v/>
      </c>
      <c r="AE45" s="245" t="str">
        <f>IF('[1]2026 február'!AB$2=0,
    "",
    '[1]2026 február'!AB$2
)</f>
        <v/>
      </c>
      <c r="AF45" s="245" t="str">
        <f>IF('[1]2026 február'!AC$2=0,
    "",
    '[1]2026 február'!AC$2
)</f>
        <v/>
      </c>
      <c r="AG45" s="245" t="str">
        <f>IF('[1]2026 február'!AD$2=0,
    "",
    '[1]2026 február'!AD$2
)</f>
        <v/>
      </c>
      <c r="AH45" s="245" t="str">
        <f>IF('[1]2026 február'!AE43=0,
    "",
    '[1]2026 február'!AE43
)</f>
        <v/>
      </c>
      <c r="AI45" s="245" t="str">
        <f>IF('[1]2026 február'!AF43=0,
    "",
    '[1]2026 február'!AF43
)</f>
        <v/>
      </c>
      <c r="AJ45" s="245" t="str">
        <f>IF('[1]2026 február'!AG43=0,
    "",
    '[1]2026 február'!AG43
)</f>
        <v/>
      </c>
      <c r="AK45" s="245" t="str">
        <f>IF('[1]2026 február'!AH43=0,
    "",
    '[1]2026 február'!AH43
)</f>
        <v/>
      </c>
    </row>
    <row r="46" spans="1:37" ht="15" customHeight="1">
      <c r="A46" s="162">
        <v>46055</v>
      </c>
      <c r="B46" s="11">
        <v>335525</v>
      </c>
      <c r="C46" s="11">
        <v>1350</v>
      </c>
      <c r="D46" s="11">
        <v>299592</v>
      </c>
      <c r="E46" s="11">
        <v>1750</v>
      </c>
      <c r="F46" s="11">
        <v>16480</v>
      </c>
      <c r="G46" s="11">
        <v>28090</v>
      </c>
      <c r="H46" s="11">
        <v>291082</v>
      </c>
      <c r="I46" s="11">
        <v>291082</v>
      </c>
      <c r="J46" s="44" t="s">
        <v>109</v>
      </c>
      <c r="K46" s="86">
        <v>219835469</v>
      </c>
      <c r="L46" s="410"/>
      <c r="M46" s="9"/>
      <c r="N46" s="9"/>
      <c r="P46" s="293">
        <f>IF('[1]2026 február'!B$2=0,
    "",
    '[1]2026 február'!B$2
)</f>
        <v>319570</v>
      </c>
      <c r="Q46" s="293" t="str">
        <f>IF(OR('[1]2026 február'!G44=0,
       ISBLANK('[1]2026 február'!G44)),
    "",
    '[1]2026 február'!G44
)</f>
        <v/>
      </c>
      <c r="R46" s="11">
        <f>'[1]2026 február'!W44</f>
        <v>0</v>
      </c>
      <c r="S46" s="11"/>
      <c r="T46" s="11"/>
      <c r="U46" s="10"/>
      <c r="V46" s="293" t="str">
        <f>IF('[1]2026 február'!S44=0,
    "",
    '[1]2026 február'!S44
)</f>
        <v/>
      </c>
      <c r="W46" s="293" t="str">
        <f>IF('[1]2026 február'!T44=0,
    "",
    '[1]2026 február'!T44
)</f>
        <v/>
      </c>
      <c r="X46" s="293" t="str">
        <f>IF('[1]2026 február'!U44=0,
    "",
    '[1]2026 február'!U44
)</f>
        <v/>
      </c>
      <c r="Y46" s="293" t="str">
        <f>IF('[1]2026 február'!V44=0,
    "",
    '[1]2026 február'!V44
)</f>
        <v/>
      </c>
      <c r="Z46" s="293" t="str">
        <f>IF('[1]2026 február'!W44=0,
    "",
    '[1]2026 február'!W44
)</f>
        <v/>
      </c>
      <c r="AA46" s="293" t="str">
        <f>IF('[1]2026 február'!X44=0,
    "",
    '[1]2026 február'!X44
)</f>
        <v/>
      </c>
      <c r="AB46" s="293" t="str">
        <f>IF('[1]2026 február'!Y44=0,
    "",
    '[1]2026 február'!Y44
)</f>
        <v/>
      </c>
      <c r="AC46" s="293" t="str">
        <f>IF('[1]2026 február'!Z44=0,
    "",
    '[1]2026 február'!Z44
)</f>
        <v/>
      </c>
      <c r="AD46" s="245" t="str">
        <f>IF('[1]2026 február'!AA44=0,
    "",
    '[1]2026 február'!AA44
)</f>
        <v/>
      </c>
      <c r="AE46" s="245" t="str">
        <f>IF('[1]2026 február'!AB$3=0,
    "",
    '[1]2026 február'!AB$3
)</f>
        <v/>
      </c>
      <c r="AF46" s="245" t="str">
        <f>IF('[1]2026 február'!AC$3=0,
    "",
    '[1]2026 február'!AC$3
)</f>
        <v/>
      </c>
      <c r="AG46" s="245" t="str">
        <f>IF('[1]2026 február'!AD$3=0,
    "",
    '[1]2026 február'!AD$3
)</f>
        <v/>
      </c>
      <c r="AH46" s="245" t="str">
        <f>IF('[1]2026 február'!AE44=0,
    "",
    '[1]2026 február'!AE44
)</f>
        <v/>
      </c>
      <c r="AI46" s="245" t="str">
        <f>IF('[1]2026 február'!AF44=0,
    "",
    '[1]2026 február'!AF44
)</f>
        <v/>
      </c>
      <c r="AJ46" s="245" t="str">
        <f>IF('[1]2026 február'!AG44=0,
    "",
    '[1]2026 február'!AG44
)</f>
        <v/>
      </c>
      <c r="AK46" s="245" t="str">
        <f>IF('[1]2026 február'!AH44=0,
    "",
    '[1]2026 február'!AH44
)</f>
        <v/>
      </c>
    </row>
    <row r="47" spans="1:37" ht="15" customHeight="1">
      <c r="A47" s="162">
        <v>46056</v>
      </c>
      <c r="B47" s="11">
        <v>415350</v>
      </c>
      <c r="C47" s="11">
        <v>950</v>
      </c>
      <c r="D47" s="11">
        <v>368665</v>
      </c>
      <c r="E47" s="11">
        <v>1054</v>
      </c>
      <c r="F47" s="11">
        <v>5720</v>
      </c>
      <c r="G47" s="11">
        <v>28000</v>
      </c>
      <c r="H47" s="11">
        <v>348389</v>
      </c>
      <c r="I47" s="11">
        <v>348389</v>
      </c>
      <c r="J47" s="44" t="s">
        <v>110</v>
      </c>
      <c r="K47" s="87">
        <v>220211858</v>
      </c>
      <c r="L47" s="284"/>
      <c r="M47" s="9"/>
      <c r="N47" s="9"/>
      <c r="P47" s="293">
        <f>IF('[1]2026 február'!B$3=0,
    "",
    '[1]2026 február'!B$3
)</f>
        <v>398070</v>
      </c>
      <c r="Q47" s="293" t="str">
        <f>IF(OR('[1]2026 február'!G45=0,
       ISBLANK('[1]2026 február'!G45)),
    "",
    '[1]2026 február'!G45
)</f>
        <v/>
      </c>
      <c r="R47" s="11">
        <f>'[1]2026 február'!W45</f>
        <v>0</v>
      </c>
      <c r="S47" s="11"/>
      <c r="T47" s="11"/>
      <c r="U47" s="10"/>
      <c r="V47" s="293" t="str">
        <f>IF('[1]2026 február'!S45=0,
    "",
    '[1]2026 február'!S45
)</f>
        <v/>
      </c>
      <c r="W47" s="293" t="str">
        <f>IF('[1]2026 február'!T45=0,
    "",
    '[1]2026 február'!T45
)</f>
        <v/>
      </c>
      <c r="X47" s="293" t="str">
        <f>IF('[1]2026 február'!U45=0,
    "",
    '[1]2026 február'!U45
)</f>
        <v/>
      </c>
      <c r="Y47" s="293" t="str">
        <f>IF('[1]2026 február'!V45=0,
    "",
    '[1]2026 február'!V45
)</f>
        <v/>
      </c>
      <c r="Z47" s="293" t="str">
        <f>IF('[1]2026 február'!W45=0,
    "",
    '[1]2026 február'!W45
)</f>
        <v/>
      </c>
      <c r="AA47" s="293" t="str">
        <f>IF('[1]2026 február'!X45=0,
    "",
    '[1]2026 február'!X45
)</f>
        <v/>
      </c>
      <c r="AB47" s="293" t="str">
        <f>IF('[1]2026 február'!Y45=0,
    "",
    '[1]2026 február'!Y45
)</f>
        <v/>
      </c>
      <c r="AC47" s="293" t="str">
        <f>IF('[1]2026 február'!Z45=0,
    "",
    '[1]2026 február'!Z45
)</f>
        <v/>
      </c>
      <c r="AD47" s="245" t="str">
        <f>IF('[1]2026 február'!AA45=0,
    "",
    '[1]2026 február'!AA45
)</f>
        <v/>
      </c>
      <c r="AE47" s="245" t="str">
        <f>IF('[1]2026 február'!AB$4=0,
    "",
    '[1]2026 február'!AB$4
)</f>
        <v/>
      </c>
      <c r="AF47" s="245" t="str">
        <f>IF('[1]2026 február'!AC$4=0,
    "",
    '[1]2026 február'!AC$4
)</f>
        <v/>
      </c>
      <c r="AG47" s="245" t="str">
        <f>IF('[1]2026 február'!AD$4=0,
    "",
    '[1]2026 február'!AD$4
)</f>
        <v/>
      </c>
      <c r="AH47" s="245" t="str">
        <f>IF('[1]2026 február'!AE45=0,
    "",
    '[1]2026 február'!AE45
)</f>
        <v/>
      </c>
      <c r="AI47" s="245" t="str">
        <f>IF('[1]2026 február'!AF45=0,
    "",
    '[1]2026 február'!AF45
)</f>
        <v/>
      </c>
      <c r="AJ47" s="245" t="str">
        <f>IF('[1]2026 február'!AG45=0,
    "",
    '[1]2026 február'!AG45
)</f>
        <v/>
      </c>
      <c r="AK47" s="245" t="str">
        <f>IF('[1]2026 február'!AH45=0,
    "",
    '[1]2026 február'!AH45
)</f>
        <v/>
      </c>
    </row>
    <row r="48" spans="1:37" ht="15" customHeight="1">
      <c r="A48" s="162">
        <v>46057</v>
      </c>
      <c r="B48" s="11">
        <v>409875</v>
      </c>
      <c r="C48" s="11">
        <v>850</v>
      </c>
      <c r="D48" s="11">
        <v>379601</v>
      </c>
      <c r="E48" s="11">
        <v>700</v>
      </c>
      <c r="F48" s="11">
        <v>12500</v>
      </c>
      <c r="G48" s="11">
        <v>16970</v>
      </c>
      <c r="H48" s="11">
        <v>376681</v>
      </c>
      <c r="I48" s="11">
        <v>376681</v>
      </c>
      <c r="J48" s="44" t="s">
        <v>111</v>
      </c>
      <c r="K48" s="87">
        <v>220606509</v>
      </c>
      <c r="L48" s="284"/>
      <c r="M48" s="9"/>
      <c r="N48" s="9"/>
      <c r="P48" s="293">
        <f>IF('[1]2026 február'!B$4=0,
    "",
    '[1]2026 február'!B$4
)</f>
        <v>398925</v>
      </c>
      <c r="Q48" s="293" t="str">
        <f>IF(OR('[1]2026 február'!G46=0,
       ISBLANK('[1]2026 február'!G46)),
    "",
    '[1]2026 február'!G46
)</f>
        <v/>
      </c>
      <c r="R48" s="11">
        <f>'[1]2026 február'!W46</f>
        <v>0</v>
      </c>
      <c r="S48" s="11"/>
      <c r="T48" s="11"/>
      <c r="U48" s="10"/>
      <c r="V48" s="293" t="str">
        <f>IF('[1]2026 február'!S46=0,
    "",
    '[1]2026 február'!S46
)</f>
        <v/>
      </c>
      <c r="W48" s="293" t="str">
        <f>IF('[1]2026 február'!T46=0,
    "",
    '[1]2026 február'!T46
)</f>
        <v/>
      </c>
      <c r="X48" s="293" t="str">
        <f>IF('[1]2026 február'!U46=0,
    "",
    '[1]2026 február'!U46
)</f>
        <v/>
      </c>
      <c r="Y48" s="293" t="str">
        <f>IF('[1]2026 február'!V46=0,
    "",
    '[1]2026 február'!V46
)</f>
        <v/>
      </c>
      <c r="Z48" s="293" t="str">
        <f>IF('[1]2026 február'!W46=0,
    "",
    '[1]2026 február'!W46
)</f>
        <v/>
      </c>
      <c r="AA48" s="293" t="str">
        <f>IF('[1]2026 február'!X46=0,
    "",
    '[1]2026 február'!X46
)</f>
        <v/>
      </c>
      <c r="AB48" s="293" t="str">
        <f>IF('[1]2026 február'!Y46=0,
    "",
    '[1]2026 február'!Y46
)</f>
        <v/>
      </c>
      <c r="AC48" s="293" t="str">
        <f>IF('[1]2026 február'!Z46=0,
    "",
    '[1]2026 február'!Z46
)</f>
        <v/>
      </c>
      <c r="AD48" s="245" t="str">
        <f>IF('[1]2026 február'!AA46=0,
    "",
    '[1]2026 február'!AA46
)</f>
        <v/>
      </c>
      <c r="AE48" s="245" t="str">
        <f>IF('[1]2026 február'!AB$5=0,
    "",
    '[1]2026 február'!AB$5
)</f>
        <v/>
      </c>
      <c r="AF48" s="245" t="str">
        <f>IF('[1]2026 február'!AC$5=0,
    "",
    '[1]2026 február'!AC$5
)</f>
        <v/>
      </c>
      <c r="AG48" s="245" t="str">
        <f>IF('[1]2026 február'!AD$5=0,
    "",
    '[1]2026 február'!AD$5
)</f>
        <v/>
      </c>
      <c r="AH48" s="245" t="str">
        <f>IF('[1]2026 február'!AE46=0,
    "",
    '[1]2026 február'!AE46
)</f>
        <v/>
      </c>
      <c r="AI48" s="245" t="str">
        <f>IF('[1]2026 február'!AF46=0,
    "",
    '[1]2026 február'!AF46
)</f>
        <v/>
      </c>
      <c r="AJ48" s="245" t="str">
        <f>IF('[1]2026 február'!AG46=0,
    "",
    '[1]2026 február'!AG46
)</f>
        <v/>
      </c>
      <c r="AK48" s="245" t="str">
        <f>IF('[1]2026 február'!AH46=0,
    "",
    '[1]2026 február'!AH46
)</f>
        <v/>
      </c>
    </row>
    <row r="49" spans="1:37" ht="15" customHeight="1">
      <c r="A49" s="162">
        <v>46058</v>
      </c>
      <c r="B49" s="11">
        <v>396615</v>
      </c>
      <c r="C49" s="11">
        <v>1300</v>
      </c>
      <c r="D49" s="11">
        <v>173155</v>
      </c>
      <c r="E49" s="11"/>
      <c r="F49" s="11">
        <v>209850</v>
      </c>
      <c r="G49" s="11">
        <v>17245</v>
      </c>
      <c r="H49" s="11">
        <v>367060</v>
      </c>
      <c r="I49" s="11">
        <v>367060</v>
      </c>
      <c r="J49" s="44" t="s">
        <v>112</v>
      </c>
      <c r="K49" s="87">
        <v>220989814</v>
      </c>
      <c r="L49" s="284"/>
      <c r="M49" s="9"/>
      <c r="N49" s="9"/>
      <c r="P49" s="293">
        <f>IF('[1]2026 február'!B$5=0,
    "",
    '[1]2026 február'!B$5
)</f>
        <v>384305</v>
      </c>
      <c r="Q49" s="293" t="str">
        <f>IF(OR('[1]2026 február'!G47=0,
       ISBLANK('[1]2026 február'!G47)),
    "",
    '[1]2026 február'!G47
)</f>
        <v/>
      </c>
      <c r="R49" s="11">
        <f>'[1]2026 február'!W47</f>
        <v>0</v>
      </c>
      <c r="S49" s="11"/>
      <c r="T49" s="11"/>
      <c r="U49" s="10"/>
      <c r="V49" s="293" t="str">
        <f>IF('[1]2026 február'!S47=0,
    "",
    '[1]2026 február'!S47
)</f>
        <v/>
      </c>
      <c r="W49" s="293" t="str">
        <f>IF('[1]2026 február'!T47=0,
    "",
    '[1]2026 február'!T47
)</f>
        <v/>
      </c>
      <c r="X49" s="293" t="str">
        <f>IF('[1]2026 február'!U47=0,
    "",
    '[1]2026 február'!U47
)</f>
        <v/>
      </c>
      <c r="Y49" s="293" t="str">
        <f>IF('[1]2026 február'!V47=0,
    "",
    '[1]2026 február'!V47
)</f>
        <v/>
      </c>
      <c r="Z49" s="293" t="str">
        <f>IF('[1]2026 február'!W47=0,
    "",
    '[1]2026 február'!W47
)</f>
        <v/>
      </c>
      <c r="AA49" s="293" t="str">
        <f>IF('[1]2026 február'!X47=0,
    "",
    '[1]2026 február'!X47
)</f>
        <v/>
      </c>
      <c r="AB49" s="293" t="str">
        <f>IF('[1]2026 február'!Y47=0,
    "",
    '[1]2026 február'!Y47
)</f>
        <v/>
      </c>
      <c r="AC49" s="293" t="str">
        <f>IF('[1]2026 február'!Z47=0,
    "",
    '[1]2026 február'!Z47
)</f>
        <v/>
      </c>
      <c r="AD49" s="245" t="str">
        <f>IF('[1]2026 február'!AA47=0,
    "",
    '[1]2026 február'!AA47
)</f>
        <v/>
      </c>
      <c r="AE49" s="245" t="str">
        <f>IF('[1]2026 február'!AB$6=0,
    "",
    '[1]2026 február'!AB$6
)</f>
        <v/>
      </c>
      <c r="AF49" s="245" t="str">
        <f>IF('[1]2026 február'!AC$6=0,
    "",
    '[1]2026 február'!AC$6
)</f>
        <v/>
      </c>
      <c r="AG49" s="245" t="str">
        <f>IF('[1]2026 február'!AD$6=0,
    "",
    '[1]2026 február'!AD$6
)</f>
        <v/>
      </c>
      <c r="AH49" s="245" t="str">
        <f>IF('[1]2026 február'!AE47=0,
    "",
    '[1]2026 február'!AE47
)</f>
        <v/>
      </c>
      <c r="AI49" s="245" t="str">
        <f>IF('[1]2026 február'!AF47=0,
    "",
    '[1]2026 február'!AF47
)</f>
        <v/>
      </c>
      <c r="AJ49" s="245" t="str">
        <f>IF('[1]2026 február'!AG47=0,
    "",
    '[1]2026 február'!AG47
)</f>
        <v/>
      </c>
      <c r="AK49" s="245" t="str">
        <f>IF('[1]2026 február'!AH47=0,
    "",
    '[1]2026 február'!AH47
)</f>
        <v/>
      </c>
    </row>
    <row r="50" spans="1:37" ht="15" customHeight="1">
      <c r="A50" s="162">
        <v>46059</v>
      </c>
      <c r="B50" s="11">
        <v>333895</v>
      </c>
      <c r="C50" s="11">
        <v>850</v>
      </c>
      <c r="D50" s="11">
        <v>205120</v>
      </c>
      <c r="E50" s="11"/>
      <c r="F50" s="11">
        <v>105805</v>
      </c>
      <c r="G50" s="11">
        <v>55835</v>
      </c>
      <c r="H50" s="11">
        <v>255940</v>
      </c>
      <c r="I50" s="11">
        <v>255940</v>
      </c>
      <c r="J50" s="44" t="s">
        <v>113</v>
      </c>
      <c r="K50" s="87">
        <v>221301589</v>
      </c>
      <c r="L50" s="284"/>
      <c r="M50" s="9"/>
      <c r="N50" s="9"/>
      <c r="P50" s="293">
        <f>IF('[1]2026 február'!B$6=0,
    "",
    '[1]2026 február'!B$6
)</f>
        <v>311755</v>
      </c>
      <c r="Q50" s="293" t="str">
        <f>IF(OR('[1]2026 február'!G48=0,
       ISBLANK('[1]2026 február'!G48)),
    "",
    '[1]2026 február'!G48
)</f>
        <v/>
      </c>
      <c r="R50" s="11">
        <f>'[1]2026 február'!W48</f>
        <v>0</v>
      </c>
      <c r="S50" s="11"/>
      <c r="T50" s="11"/>
      <c r="U50" s="10"/>
      <c r="V50" s="293" t="str">
        <f>IF('[1]2026 február'!S48=0,
    "",
    '[1]2026 február'!S48
)</f>
        <v/>
      </c>
      <c r="W50" s="293" t="str">
        <f>IF('[1]2026 február'!T48=0,
    "",
    '[1]2026 február'!T48
)</f>
        <v/>
      </c>
      <c r="X50" s="293" t="str">
        <f>IF('[1]2026 február'!U48=0,
    "",
    '[1]2026 február'!U48
)</f>
        <v/>
      </c>
      <c r="Y50" s="293" t="str">
        <f>IF('[1]2026 február'!V48=0,
    "",
    '[1]2026 február'!V48
)</f>
        <v/>
      </c>
      <c r="Z50" s="293" t="str">
        <f>IF('[1]2026 február'!W48=0,
    "",
    '[1]2026 február'!W48
)</f>
        <v/>
      </c>
      <c r="AA50" s="293" t="str">
        <f>IF('[1]2026 február'!X48=0,
    "",
    '[1]2026 február'!X48
)</f>
        <v/>
      </c>
      <c r="AB50" s="293" t="str">
        <f>IF('[1]2026 február'!Y48=0,
    "",
    '[1]2026 február'!Y48
)</f>
        <v/>
      </c>
      <c r="AC50" s="293" t="str">
        <f>IF('[1]2026 február'!Z48=0,
    "",
    '[1]2026 február'!Z48
)</f>
        <v/>
      </c>
      <c r="AD50" s="245" t="str">
        <f>IF('[1]2026 február'!AA48=0,
    "",
    '[1]2026 február'!AA48
)</f>
        <v/>
      </c>
      <c r="AE50" s="245" t="str">
        <f>IF('[1]2026 február'!AB$7=0,
    "",
    '[1]2026 február'!AB$7
)</f>
        <v/>
      </c>
      <c r="AF50" s="245" t="str">
        <f>IF('[1]2026 február'!AC$7=0,
    "",
    '[1]2026 február'!AC$7
)</f>
        <v/>
      </c>
      <c r="AG50" s="245" t="str">
        <f>IF('[1]2026 február'!AD$7=0,
    "",
    '[1]2026 február'!AD$7
)</f>
        <v/>
      </c>
      <c r="AH50" s="245" t="str">
        <f>IF('[1]2026 február'!AE48=0,
    "",
    '[1]2026 február'!AE48
)</f>
        <v/>
      </c>
      <c r="AI50" s="245" t="str">
        <f>IF('[1]2026 február'!AF48=0,
    "",
    '[1]2026 február'!AF48
)</f>
        <v/>
      </c>
      <c r="AJ50" s="245" t="str">
        <f>IF('[1]2026 február'!AG48=0,
    "",
    '[1]2026 február'!AG48
)</f>
        <v/>
      </c>
      <c r="AK50" s="245" t="str">
        <f>IF('[1]2026 február'!AH48=0,
    "",
    '[1]2026 február'!AH48
)</f>
        <v/>
      </c>
    </row>
    <row r="51" spans="1:37" ht="15" customHeight="1">
      <c r="A51" s="162">
        <v>46060</v>
      </c>
      <c r="B51" s="163"/>
      <c r="C51" s="163"/>
      <c r="D51" s="163"/>
      <c r="E51" s="163"/>
      <c r="F51" s="163"/>
      <c r="G51" s="163"/>
      <c r="H51" s="163"/>
      <c r="I51" s="163"/>
      <c r="J51" s="164"/>
      <c r="K51" s="167"/>
      <c r="L51" s="283"/>
      <c r="M51" s="179"/>
      <c r="N51" s="179"/>
      <c r="P51" s="293" t="str">
        <f>IF('[1]2026 február'!B$7=0,
    "",
    '[1]2026 február'!B$7
)</f>
        <v/>
      </c>
      <c r="Q51" s="293" t="str">
        <f>IF(OR('[1]2026 február'!G49=0,
       ISBLANK('[1]2026 február'!G49)),
    "",
    '[1]2026 február'!G49
)</f>
        <v/>
      </c>
      <c r="R51" s="11">
        <f>'[1]2026 február'!W49</f>
        <v>0</v>
      </c>
      <c r="S51" s="11"/>
      <c r="T51" s="11"/>
      <c r="U51" s="10"/>
      <c r="V51" s="293" t="str">
        <f>IF('[1]2026 február'!S49=0,
    "",
    '[1]2026 február'!S49
)</f>
        <v/>
      </c>
      <c r="W51" s="293" t="str">
        <f>IF('[1]2026 február'!T49=0,
    "",
    '[1]2026 február'!T49
)</f>
        <v/>
      </c>
      <c r="X51" s="293" t="str">
        <f>IF('[1]2026 február'!U49=0,
    "",
    '[1]2026 február'!U49
)</f>
        <v/>
      </c>
      <c r="Y51" s="293" t="str">
        <f>IF('[1]2026 február'!V49=0,
    "",
    '[1]2026 február'!V49
)</f>
        <v/>
      </c>
      <c r="Z51" s="293" t="str">
        <f>IF('[1]2026 február'!W49=0,
    "",
    '[1]2026 február'!W49
)</f>
        <v/>
      </c>
      <c r="AA51" s="293" t="str">
        <f>IF('[1]2026 február'!X49=0,
    "",
    '[1]2026 február'!X49
)</f>
        <v/>
      </c>
      <c r="AB51" s="293" t="str">
        <f>IF('[1]2026 február'!Y49=0,
    "",
    '[1]2026 február'!Y49
)</f>
        <v/>
      </c>
      <c r="AC51" s="293" t="str">
        <f>IF('[1]2026 február'!Z49=0,
    "",
    '[1]2026 február'!Z49
)</f>
        <v/>
      </c>
      <c r="AD51" s="245" t="str">
        <f>IF('[1]2026 február'!AA49=0,
    "",
    '[1]2026 február'!AA49
)</f>
        <v/>
      </c>
      <c r="AE51" s="245" t="str">
        <f>IF('[1]2026 február'!AB$8=0,
    "",
    '[1]2026 február'!AB$8
)</f>
        <v/>
      </c>
      <c r="AF51" s="245" t="str">
        <f>IF('[1]2026 február'!AC$8=0,
    "",
    '[1]2026 február'!AC$8
)</f>
        <v/>
      </c>
      <c r="AG51" s="245" t="str">
        <f>IF('[1]2026 február'!AD$8=0,
    "",
    '[1]2026 február'!AD$8
)</f>
        <v/>
      </c>
      <c r="AH51" s="245" t="str">
        <f>IF('[1]2026 február'!AE49=0,
    "",
    '[1]2026 február'!AE49
)</f>
        <v/>
      </c>
      <c r="AI51" s="245" t="str">
        <f>IF('[1]2026 február'!AF49=0,
    "",
    '[1]2026 február'!AF49
)</f>
        <v/>
      </c>
      <c r="AJ51" s="245" t="str">
        <f>IF('[1]2026 február'!AG49=0,
    "",
    '[1]2026 február'!AG49
)</f>
        <v/>
      </c>
      <c r="AK51" s="245" t="str">
        <f>IF('[1]2026 február'!AH49=0,
    "",
    '[1]2026 február'!AH49
)</f>
        <v/>
      </c>
    </row>
    <row r="52" spans="1:37" ht="15" customHeight="1">
      <c r="A52" s="162">
        <v>46061</v>
      </c>
      <c r="B52" s="163"/>
      <c r="C52" s="163"/>
      <c r="D52" s="163"/>
      <c r="E52" s="163"/>
      <c r="F52" s="163"/>
      <c r="G52" s="163"/>
      <c r="H52" s="163"/>
      <c r="I52" s="163"/>
      <c r="J52" s="164"/>
      <c r="K52" s="167"/>
      <c r="L52" s="283"/>
      <c r="M52" s="179"/>
      <c r="N52" s="179"/>
      <c r="P52" s="293" t="str">
        <f>IF('[1]2026 február'!B$8=0,
    "",
    '[1]2026 február'!B$8
)</f>
        <v/>
      </c>
      <c r="Q52" s="293" t="str">
        <f>IF(OR('[1]2026 február'!G50=0,
       ISBLANK('[1]2026 február'!G50)),
    "",
    '[1]2026 február'!G50
)</f>
        <v/>
      </c>
      <c r="R52" s="11">
        <f>'[1]2026 február'!W50</f>
        <v>0</v>
      </c>
      <c r="S52" s="11"/>
      <c r="T52" s="11"/>
      <c r="U52" s="10"/>
      <c r="V52" s="293" t="str">
        <f>IF('[1]2026 február'!S50=0,
    "",
    '[1]2026 február'!S50
)</f>
        <v/>
      </c>
      <c r="W52" s="293" t="str">
        <f>IF('[1]2026 február'!T50=0,
    "",
    '[1]2026 február'!T50
)</f>
        <v/>
      </c>
      <c r="X52" s="293" t="str">
        <f>IF('[1]2026 február'!U50=0,
    "",
    '[1]2026 február'!U50
)</f>
        <v/>
      </c>
      <c r="Y52" s="293" t="str">
        <f>IF('[1]2026 február'!V50=0,
    "",
    '[1]2026 február'!V50
)</f>
        <v/>
      </c>
      <c r="Z52" s="293" t="str">
        <f>IF('[1]2026 február'!W50=0,
    "",
    '[1]2026 február'!W50
)</f>
        <v/>
      </c>
      <c r="AA52" s="293" t="str">
        <f>IF('[1]2026 február'!X50=0,
    "",
    '[1]2026 február'!X50
)</f>
        <v/>
      </c>
      <c r="AB52" s="293" t="str">
        <f>IF('[1]2026 február'!Y50=0,
    "",
    '[1]2026 február'!Y50
)</f>
        <v/>
      </c>
      <c r="AC52" s="293" t="str">
        <f>IF('[1]2026 február'!Z50=0,
    "",
    '[1]2026 február'!Z50
)</f>
        <v/>
      </c>
      <c r="AD52" s="245" t="str">
        <f>IF('[1]2026 február'!AA50=0,
    "",
    '[1]2026 február'!AA50
)</f>
        <v/>
      </c>
      <c r="AE52" s="245" t="str">
        <f>IF('[1]2026 február'!AB$9=0,
    "",
    '[1]2026 február'!AB$9
)</f>
        <v/>
      </c>
      <c r="AF52" s="245" t="str">
        <f>IF('[1]2026 február'!AC$9=0,
    "",
    '[1]2026 február'!AC$9
)</f>
        <v/>
      </c>
      <c r="AG52" s="245" t="str">
        <f>IF('[1]2026 február'!AD$9=0,
    "",
    '[1]2026 február'!AD$9
)</f>
        <v/>
      </c>
      <c r="AH52" s="245" t="str">
        <f>IF('[1]2026 február'!AE50=0,
    "",
    '[1]2026 február'!AE50
)</f>
        <v/>
      </c>
      <c r="AI52" s="245" t="str">
        <f>IF('[1]2026 február'!AF50=0,
    "",
    '[1]2026 február'!AF50
)</f>
        <v/>
      </c>
      <c r="AJ52" s="245" t="str">
        <f>IF('[1]2026 február'!AG50=0,
    "",
    '[1]2026 február'!AG50
)</f>
        <v/>
      </c>
      <c r="AK52" s="245" t="str">
        <f>IF('[1]2026 február'!AH50=0,
    "",
    '[1]2026 február'!AH50
)</f>
        <v/>
      </c>
    </row>
    <row r="53" spans="1:37" ht="15" customHeight="1">
      <c r="A53" s="162">
        <v>46062</v>
      </c>
      <c r="B53" s="11"/>
      <c r="C53" s="11"/>
      <c r="D53" s="11"/>
      <c r="E53" s="11"/>
      <c r="F53" s="11"/>
      <c r="G53" s="11"/>
      <c r="H53" s="11"/>
      <c r="I53" s="11"/>
      <c r="J53" s="44"/>
      <c r="K53" s="87"/>
      <c r="L53" s="284"/>
      <c r="M53" s="9"/>
      <c r="N53" s="9"/>
      <c r="P53" s="293" t="str">
        <f>IF('[1]2026 február'!B$9=0,
    "",
    '[1]2026 február'!B$9
)</f>
        <v/>
      </c>
      <c r="Q53" s="293" t="str">
        <f>IF(OR('[1]2026 február'!G51=0,
       ISBLANK('[1]2026 február'!G51)),
    "",
    '[1]2026 február'!G51
)</f>
        <v/>
      </c>
      <c r="R53" s="11">
        <f>'[1]2026 február'!W51</f>
        <v>0</v>
      </c>
      <c r="S53" s="11"/>
      <c r="T53" s="11"/>
      <c r="U53" s="10"/>
      <c r="V53" s="293" t="str">
        <f>IF('[1]2026 február'!S51=0,
    "",
    '[1]2026 február'!S51
)</f>
        <v/>
      </c>
      <c r="W53" s="293" t="str">
        <f>IF('[1]2026 február'!T51=0,
    "",
    '[1]2026 február'!T51
)</f>
        <v/>
      </c>
      <c r="X53" s="293" t="str">
        <f>IF('[1]2026 február'!U51=0,
    "",
    '[1]2026 február'!U51
)</f>
        <v/>
      </c>
      <c r="Y53" s="293" t="str">
        <f>IF('[1]2026 február'!V51=0,
    "",
    '[1]2026 február'!V51
)</f>
        <v/>
      </c>
      <c r="Z53" s="293" t="str">
        <f>IF('[1]2026 február'!W51=0,
    "",
    '[1]2026 február'!W51
)</f>
        <v/>
      </c>
      <c r="AA53" s="293" t="str">
        <f>IF('[1]2026 február'!X51=0,
    "",
    '[1]2026 február'!X51
)</f>
        <v/>
      </c>
      <c r="AB53" s="293" t="str">
        <f>IF('[1]2026 február'!Y51=0,
    "",
    '[1]2026 február'!Y51
)</f>
        <v/>
      </c>
      <c r="AC53" s="293" t="str">
        <f>IF('[1]2026 február'!Z51=0,
    "",
    '[1]2026 február'!Z51
)</f>
        <v/>
      </c>
      <c r="AD53" s="245" t="str">
        <f>IF('[1]2026 február'!AA51=0,
    "",
    '[1]2026 február'!AA51
)</f>
        <v/>
      </c>
      <c r="AE53" s="245" t="str">
        <f>IF('[1]2026 február'!AB$10=0,
    "",
    '[1]2026 február'!AB$10
)</f>
        <v/>
      </c>
      <c r="AF53" s="245" t="str">
        <f>IF('[1]2026 február'!AC$10=0,
    "",
    '[1]2026 február'!AC$10
)</f>
        <v/>
      </c>
      <c r="AG53" s="245" t="str">
        <f>IF('[1]2026 február'!AD$10=0,
    "",
    '[1]2026 február'!AD$10
)</f>
        <v/>
      </c>
      <c r="AH53" s="245" t="str">
        <f>IF('[1]2026 február'!AE51=0,
    "",
    '[1]2026 február'!AE51
)</f>
        <v/>
      </c>
      <c r="AI53" s="245" t="str">
        <f>IF('[1]2026 február'!AF51=0,
    "",
    '[1]2026 február'!AF51
)</f>
        <v/>
      </c>
      <c r="AJ53" s="245" t="str">
        <f>IF('[1]2026 február'!AG51=0,
    "",
    '[1]2026 február'!AG51
)</f>
        <v/>
      </c>
      <c r="AK53" s="245" t="str">
        <f>IF('[1]2026 február'!AH51=0,
    "",
    '[1]2026 február'!AH51
)</f>
        <v/>
      </c>
    </row>
    <row r="54" spans="1:37" ht="15" customHeight="1">
      <c r="A54" s="162">
        <v>46063</v>
      </c>
      <c r="B54" s="11"/>
      <c r="C54" s="11"/>
      <c r="D54" s="11"/>
      <c r="E54" s="11"/>
      <c r="F54" s="11"/>
      <c r="G54" s="11"/>
      <c r="H54" s="11"/>
      <c r="I54" s="11"/>
      <c r="J54" s="44"/>
      <c r="K54" s="87"/>
      <c r="L54" s="284"/>
      <c r="M54" s="9"/>
      <c r="N54" s="9"/>
      <c r="P54" s="293" t="str">
        <f>IF('[1]2026 február'!B$10=0,
    "",
    '[1]2026 február'!B$10
)</f>
        <v/>
      </c>
      <c r="Q54" s="293" t="str">
        <f>IF(OR('[1]2026 február'!G52=0,
       ISBLANK('[1]2026 február'!G52)),
    "",
    '[1]2026 február'!G52
)</f>
        <v/>
      </c>
      <c r="R54" s="11">
        <f>'[1]2026 február'!W52</f>
        <v>0</v>
      </c>
      <c r="S54" s="11"/>
      <c r="T54" s="11"/>
      <c r="U54" s="10"/>
      <c r="V54" s="293" t="str">
        <f>IF('[1]2026 február'!S52=0,
    "",
    '[1]2026 február'!S52
)</f>
        <v/>
      </c>
      <c r="W54" s="293" t="str">
        <f>IF('[1]2026 február'!T52=0,
    "",
    '[1]2026 február'!T52
)</f>
        <v/>
      </c>
      <c r="X54" s="293" t="str">
        <f>IF('[1]2026 február'!U52=0,
    "",
    '[1]2026 február'!U52
)</f>
        <v/>
      </c>
      <c r="Y54" s="293" t="str">
        <f>IF('[1]2026 február'!V52=0,
    "",
    '[1]2026 február'!V52
)</f>
        <v/>
      </c>
      <c r="Z54" s="293" t="str">
        <f>IF('[1]2026 február'!W52=0,
    "",
    '[1]2026 február'!W52
)</f>
        <v/>
      </c>
      <c r="AA54" s="293" t="str">
        <f>IF('[1]2026 február'!X52=0,
    "",
    '[1]2026 február'!X52
)</f>
        <v/>
      </c>
      <c r="AB54" s="293" t="str">
        <f>IF('[1]2026 február'!Y52=0,
    "",
    '[1]2026 február'!Y52
)</f>
        <v/>
      </c>
      <c r="AC54" s="293" t="str">
        <f>IF('[1]2026 február'!Z52=0,
    "",
    '[1]2026 február'!Z52
)</f>
        <v/>
      </c>
      <c r="AD54" s="245" t="str">
        <f>IF('[1]2026 február'!AA52=0,
    "",
    '[1]2026 február'!AA52
)</f>
        <v/>
      </c>
      <c r="AE54" s="245" t="str">
        <f>IF('[1]2026 február'!AB$11=0,
    "",
    '[1]2026 február'!AB$11
)</f>
        <v/>
      </c>
      <c r="AF54" s="245" t="str">
        <f>IF('[1]2026 február'!AC$11=0,
    "",
    '[1]2026 február'!AC$11
)</f>
        <v/>
      </c>
      <c r="AG54" s="245" t="str">
        <f>IF('[1]2026 február'!AD$11=0,
    "",
    '[1]2026 február'!AD$11
)</f>
        <v/>
      </c>
      <c r="AH54" s="245" t="str">
        <f>IF('[1]2026 február'!AE52=0,
    "",
    '[1]2026 február'!AE52
)</f>
        <v/>
      </c>
      <c r="AI54" s="245" t="str">
        <f>IF('[1]2026 február'!AF52=0,
    "",
    '[1]2026 február'!AF52
)</f>
        <v/>
      </c>
      <c r="AJ54" s="245" t="str">
        <f>IF('[1]2026 február'!AG52=0,
    "",
    '[1]2026 február'!AG52
)</f>
        <v/>
      </c>
      <c r="AK54" s="245" t="str">
        <f>IF('[1]2026 február'!AH52=0,
    "",
    '[1]2026 február'!AH52
)</f>
        <v/>
      </c>
    </row>
    <row r="55" spans="1:37" ht="15" customHeight="1">
      <c r="A55" s="162">
        <v>46064</v>
      </c>
      <c r="B55" s="11"/>
      <c r="C55" s="11"/>
      <c r="D55" s="11"/>
      <c r="E55" s="11"/>
      <c r="F55" s="11"/>
      <c r="G55" s="11"/>
      <c r="H55" s="11"/>
      <c r="I55" s="11"/>
      <c r="J55" s="44"/>
      <c r="K55" s="87"/>
      <c r="L55" s="284"/>
      <c r="M55" s="9"/>
      <c r="N55" s="9"/>
      <c r="P55" s="293" t="str">
        <f>IF('[1]2026 február'!B$11=0,
    "",
    '[1]2026 február'!B$11
)</f>
        <v/>
      </c>
      <c r="Q55" s="293" t="str">
        <f>IF(OR('[1]2026 február'!G53=0,
       ISBLANK('[1]2026 február'!G53)),
    "",
    '[1]2026 február'!G53
)</f>
        <v/>
      </c>
      <c r="R55" s="11">
        <f>'[1]2026 február'!W53</f>
        <v>0</v>
      </c>
      <c r="S55" s="11"/>
      <c r="T55" s="11"/>
      <c r="U55" s="10"/>
      <c r="V55" s="293" t="str">
        <f>IF('[1]2026 február'!S53=0,
    "",
    '[1]2026 február'!S53
)</f>
        <v/>
      </c>
      <c r="W55" s="293" t="str">
        <f>IF('[1]2026 február'!T53=0,
    "",
    '[1]2026 február'!T53
)</f>
        <v/>
      </c>
      <c r="X55" s="293" t="str">
        <f>IF('[1]2026 február'!U53=0,
    "",
    '[1]2026 február'!U53
)</f>
        <v/>
      </c>
      <c r="Y55" s="293" t="str">
        <f>IF('[1]2026 február'!V53=0,
    "",
    '[1]2026 február'!V53
)</f>
        <v/>
      </c>
      <c r="Z55" s="293" t="str">
        <f>IF('[1]2026 február'!W53=0,
    "",
    '[1]2026 február'!W53
)</f>
        <v/>
      </c>
      <c r="AA55" s="293" t="str">
        <f>IF('[1]2026 február'!X53=0,
    "",
    '[1]2026 február'!X53
)</f>
        <v/>
      </c>
      <c r="AB55" s="293" t="str">
        <f>IF('[1]2026 február'!Y53=0,
    "",
    '[1]2026 február'!Y53
)</f>
        <v/>
      </c>
      <c r="AC55" s="293" t="str">
        <f>IF('[1]2026 február'!Z53=0,
    "",
    '[1]2026 február'!Z53
)</f>
        <v/>
      </c>
      <c r="AD55" s="245" t="str">
        <f>IF('[1]2026 február'!AA53=0,
    "",
    '[1]2026 február'!AA53
)</f>
        <v/>
      </c>
      <c r="AE55" s="245" t="str">
        <f>IF('[1]2026 február'!AB$12=0,
    "",
    '[1]2026 február'!AB$12
)</f>
        <v/>
      </c>
      <c r="AF55" s="245" t="str">
        <f>IF('[1]2026 február'!AC$12=0,
    "",
    '[1]2026 február'!AC$12
)</f>
        <v/>
      </c>
      <c r="AG55" s="245" t="str">
        <f>IF('[1]2026 február'!AD$12=0,
    "",
    '[1]2026 február'!AD$12
)</f>
        <v/>
      </c>
      <c r="AH55" s="245" t="str">
        <f>IF('[1]2026 február'!AE53=0,
    "",
    '[1]2026 február'!AE53
)</f>
        <v/>
      </c>
      <c r="AI55" s="245" t="str">
        <f>IF('[1]2026 február'!AF53=0,
    "",
    '[1]2026 február'!AF53
)</f>
        <v/>
      </c>
      <c r="AJ55" s="245" t="str">
        <f>IF('[1]2026 február'!AG53=0,
    "",
    '[1]2026 február'!AG53
)</f>
        <v/>
      </c>
      <c r="AK55" s="245" t="str">
        <f>IF('[1]2026 február'!AH53=0,
    "",
    '[1]2026 február'!AH53
)</f>
        <v/>
      </c>
    </row>
    <row r="56" spans="1:37" ht="15" customHeight="1">
      <c r="A56" s="162">
        <v>46065</v>
      </c>
      <c r="B56" s="11"/>
      <c r="C56" s="11"/>
      <c r="D56" s="11"/>
      <c r="E56" s="11"/>
      <c r="F56" s="11"/>
      <c r="G56" s="11"/>
      <c r="H56" s="11"/>
      <c r="I56" s="11"/>
      <c r="J56" s="44"/>
      <c r="K56" s="87"/>
      <c r="L56" s="284"/>
      <c r="M56" s="411"/>
      <c r="N56" s="9"/>
      <c r="P56" s="293" t="str">
        <f>IF('[1]2026 február'!B$12=0,
    "",
    '[1]2026 február'!B$12
)</f>
        <v/>
      </c>
      <c r="Q56" s="293" t="str">
        <f>IF(OR('[1]2026 február'!G54=0,
       ISBLANK('[1]2026 február'!G54)),
    "",
    '[1]2026 február'!G54
)</f>
        <v/>
      </c>
      <c r="R56" s="11">
        <f>'[1]2026 február'!W54</f>
        <v>0</v>
      </c>
      <c r="S56" s="11"/>
      <c r="T56" s="11"/>
      <c r="U56" s="10"/>
      <c r="V56" s="293" t="str">
        <f>IF('[1]2026 február'!S54=0,
    "",
    '[1]2026 február'!S54
)</f>
        <v/>
      </c>
      <c r="W56" s="293" t="str">
        <f>IF('[1]2026 február'!T54=0,
    "",
    '[1]2026 február'!T54
)</f>
        <v/>
      </c>
      <c r="X56" s="293" t="str">
        <f>IF('[1]2026 február'!U54=0,
    "",
    '[1]2026 február'!U54
)</f>
        <v/>
      </c>
      <c r="Y56" s="293" t="str">
        <f>IF('[1]2026 február'!V54=0,
    "",
    '[1]2026 február'!V54
)</f>
        <v/>
      </c>
      <c r="Z56" s="293" t="str">
        <f>IF('[1]2026 február'!W54=0,
    "",
    '[1]2026 február'!W54
)</f>
        <v/>
      </c>
      <c r="AA56" s="293" t="str">
        <f>IF('[1]2026 február'!X54=0,
    "",
    '[1]2026 február'!X54
)</f>
        <v/>
      </c>
      <c r="AB56" s="293" t="str">
        <f>IF('[1]2026 február'!Y54=0,
    "",
    '[1]2026 február'!Y54
)</f>
        <v/>
      </c>
      <c r="AC56" s="293" t="str">
        <f>IF('[1]2026 február'!Z54=0,
    "",
    '[1]2026 február'!Z54
)</f>
        <v/>
      </c>
      <c r="AD56" s="245" t="str">
        <f>IF('[1]2026 február'!AA54=0,
    "",
    '[1]2026 február'!AA54
)</f>
        <v/>
      </c>
      <c r="AE56" s="245" t="str">
        <f>IF('[1]2026 február'!AB$13=0,
    "",
    '[1]2026 február'!AB$13
)</f>
        <v/>
      </c>
      <c r="AF56" s="245" t="str">
        <f>IF('[1]2026 február'!AC$13=0,
    "",
    '[1]2026 február'!AC$13
)</f>
        <v/>
      </c>
      <c r="AG56" s="245" t="str">
        <f>IF('[1]2026 február'!AD$13=0,
    "",
    '[1]2026 február'!AD$13
)</f>
        <v/>
      </c>
      <c r="AH56" s="245" t="str">
        <f>IF('[1]2026 február'!AE54=0,
    "",
    '[1]2026 február'!AE54
)</f>
        <v/>
      </c>
      <c r="AI56" s="245" t="str">
        <f>IF('[1]2026 február'!AF54=0,
    "",
    '[1]2026 február'!AF54
)</f>
        <v/>
      </c>
      <c r="AJ56" s="245" t="str">
        <f>IF('[1]2026 február'!AG54=0,
    "",
    '[1]2026 február'!AG54
)</f>
        <v/>
      </c>
      <c r="AK56" s="245" t="str">
        <f>IF('[1]2026 február'!AH54=0,
    "",
    '[1]2026 február'!AH54
)</f>
        <v/>
      </c>
    </row>
    <row r="57" spans="1:37" ht="15" customHeight="1">
      <c r="A57" s="162">
        <v>46066</v>
      </c>
      <c r="B57" s="11"/>
      <c r="C57" s="11"/>
      <c r="D57" s="11"/>
      <c r="E57" s="11"/>
      <c r="F57" s="11"/>
      <c r="G57" s="11"/>
      <c r="H57" s="11"/>
      <c r="I57" s="11"/>
      <c r="J57" s="44"/>
      <c r="K57" s="87"/>
      <c r="L57" s="284"/>
      <c r="M57" s="9"/>
      <c r="N57" s="9"/>
      <c r="P57" s="293" t="str">
        <f>IF('[1]2026 február'!B$13=0,
    "",
    '[1]2026 február'!B$13
)</f>
        <v/>
      </c>
      <c r="Q57" s="293" t="str">
        <f>IF(OR('[1]2026 február'!G55=0,
       ISBLANK('[1]2026 február'!G55)),
    "",
    '[1]2026 február'!G55
)</f>
        <v/>
      </c>
      <c r="R57" s="11">
        <f>'[1]2026 február'!W55</f>
        <v>0</v>
      </c>
      <c r="S57" s="11"/>
      <c r="T57" s="11"/>
      <c r="U57" s="10"/>
      <c r="V57" s="293" t="str">
        <f>IF('[1]2026 február'!S55=0,
    "",
    '[1]2026 február'!S55
)</f>
        <v/>
      </c>
      <c r="W57" s="293" t="str">
        <f>IF('[1]2026 február'!T55=0,
    "",
    '[1]2026 február'!T55
)</f>
        <v/>
      </c>
      <c r="X57" s="293" t="str">
        <f>IF('[1]2026 február'!U55=0,
    "",
    '[1]2026 február'!U55
)</f>
        <v/>
      </c>
      <c r="Y57" s="293" t="str">
        <f>IF('[1]2026 február'!V55=0,
    "",
    '[1]2026 február'!V55
)</f>
        <v/>
      </c>
      <c r="Z57" s="293" t="str">
        <f>IF('[1]2026 február'!W55=0,
    "",
    '[1]2026 február'!W55
)</f>
        <v/>
      </c>
      <c r="AA57" s="293" t="str">
        <f>IF('[1]2026 február'!X55=0,
    "",
    '[1]2026 február'!X55
)</f>
        <v/>
      </c>
      <c r="AB57" s="293" t="str">
        <f>IF('[1]2026 február'!Y55=0,
    "",
    '[1]2026 február'!Y55
)</f>
        <v/>
      </c>
      <c r="AC57" s="293" t="str">
        <f>IF('[1]2026 február'!Z55=0,
    "",
    '[1]2026 február'!Z55
)</f>
        <v/>
      </c>
      <c r="AD57" s="245" t="str">
        <f>IF('[1]2026 február'!AA55=0,
    "",
    '[1]2026 február'!AA55
)</f>
        <v/>
      </c>
      <c r="AE57" s="245" t="str">
        <f>IF('[1]2026 február'!AB$14=0,
    "",
    '[1]2026 február'!AB$14
)</f>
        <v/>
      </c>
      <c r="AF57" s="245" t="str">
        <f>IF('[1]2026 február'!AC$14=0,
    "",
    '[1]2026 február'!AC$14
)</f>
        <v/>
      </c>
      <c r="AG57" s="245" t="str">
        <f>IF('[1]2026 február'!AD$14=0,
    "",
    '[1]2026 február'!AD$14
)</f>
        <v/>
      </c>
      <c r="AH57" s="245" t="str">
        <f>IF('[1]2026 február'!AE55=0,
    "",
    '[1]2026 február'!AE55
)</f>
        <v/>
      </c>
      <c r="AI57" s="245" t="str">
        <f>IF('[1]2026 február'!AF55=0,
    "",
    '[1]2026 február'!AF55
)</f>
        <v/>
      </c>
      <c r="AJ57" s="245" t="str">
        <f>IF('[1]2026 február'!AG55=0,
    "",
    '[1]2026 február'!AG55
)</f>
        <v/>
      </c>
      <c r="AK57" s="245" t="str">
        <f>IF('[1]2026 február'!AH55=0,
    "",
    '[1]2026 február'!AH55
)</f>
        <v/>
      </c>
    </row>
    <row r="58" spans="1:37" ht="15" customHeight="1">
      <c r="A58" s="162">
        <v>46067</v>
      </c>
      <c r="B58" s="163"/>
      <c r="C58" s="163"/>
      <c r="D58" s="163"/>
      <c r="E58" s="163"/>
      <c r="F58" s="163"/>
      <c r="G58" s="163"/>
      <c r="H58" s="163"/>
      <c r="I58" s="163"/>
      <c r="J58" s="164"/>
      <c r="K58" s="167"/>
      <c r="L58" s="283"/>
      <c r="M58" s="179"/>
      <c r="N58" s="179"/>
      <c r="P58" s="293" t="str">
        <f>IF('[1]2026 február'!B$14=0,
    "",
    '[1]2026 február'!B$14
)</f>
        <v/>
      </c>
      <c r="Q58" s="293" t="str">
        <f>IF(OR('[1]2026 február'!G56=0,
       ISBLANK('[1]2026 február'!G56)),
    "",
    '[1]2026 február'!G56
)</f>
        <v/>
      </c>
      <c r="R58" s="11">
        <f>'[1]2026 február'!W56</f>
        <v>0</v>
      </c>
      <c r="S58" s="11"/>
      <c r="T58" s="11"/>
      <c r="U58" s="10"/>
      <c r="V58" s="293" t="str">
        <f>IF('[1]2026 február'!S56=0,
    "",
    '[1]2026 február'!S56
)</f>
        <v/>
      </c>
      <c r="W58" s="293" t="str">
        <f>IF('[1]2026 február'!T56=0,
    "",
    '[1]2026 február'!T56
)</f>
        <v/>
      </c>
      <c r="X58" s="293" t="str">
        <f>IF('[1]2026 február'!U56=0,
    "",
    '[1]2026 február'!U56
)</f>
        <v/>
      </c>
      <c r="Y58" s="293" t="str">
        <f>IF('[1]2026 február'!V56=0,
    "",
    '[1]2026 február'!V56
)</f>
        <v/>
      </c>
      <c r="Z58" s="293" t="str">
        <f>IF('[1]2026 február'!W56=0,
    "",
    '[1]2026 február'!W56
)</f>
        <v/>
      </c>
      <c r="AA58" s="293" t="str">
        <f>IF('[1]2026 február'!X56=0,
    "",
    '[1]2026 február'!X56
)</f>
        <v/>
      </c>
      <c r="AB58" s="293" t="str">
        <f>IF('[1]2026 február'!Y56=0,
    "",
    '[1]2026 február'!Y56
)</f>
        <v/>
      </c>
      <c r="AC58" s="293" t="str">
        <f>IF('[1]2026 február'!Z56=0,
    "",
    '[1]2026 február'!Z56
)</f>
        <v/>
      </c>
      <c r="AD58" s="245" t="str">
        <f>IF('[1]2026 február'!AA56=0,
    "",
    '[1]2026 február'!AA56
)</f>
        <v/>
      </c>
      <c r="AE58" s="245" t="str">
        <f>IF('[1]2026 február'!AB$15=0,
    "",
    '[1]2026 február'!AB$15
)</f>
        <v/>
      </c>
      <c r="AF58" s="245" t="str">
        <f>IF('[1]2026 február'!AC$15=0,
    "",
    '[1]2026 február'!AC$15
)</f>
        <v/>
      </c>
      <c r="AG58" s="245" t="str">
        <f>IF('[1]2026 február'!AD$15=0,
    "",
    '[1]2026 február'!AD$15
)</f>
        <v/>
      </c>
      <c r="AH58" s="245" t="str">
        <f>IF('[1]2026 február'!AE56=0,
    "",
    '[1]2026 február'!AE56
)</f>
        <v/>
      </c>
      <c r="AI58" s="245" t="str">
        <f>IF('[1]2026 február'!AF56=0,
    "",
    '[1]2026 február'!AF56
)</f>
        <v/>
      </c>
      <c r="AJ58" s="245" t="str">
        <f>IF('[1]2026 február'!AG56=0,
    "",
    '[1]2026 február'!AG56
)</f>
        <v/>
      </c>
      <c r="AK58" s="245" t="str">
        <f>IF('[1]2026 február'!AH56=0,
    "",
    '[1]2026 február'!AH56
)</f>
        <v/>
      </c>
    </row>
    <row r="59" spans="1:37" ht="15" customHeight="1">
      <c r="A59" s="162">
        <v>46068</v>
      </c>
      <c r="B59" s="163"/>
      <c r="C59" s="163"/>
      <c r="D59" s="163"/>
      <c r="E59" s="163"/>
      <c r="F59" s="163"/>
      <c r="G59" s="163"/>
      <c r="H59" s="163"/>
      <c r="I59" s="163"/>
      <c r="J59" s="164"/>
      <c r="K59" s="167"/>
      <c r="L59" s="283"/>
      <c r="M59" s="179"/>
      <c r="N59" s="179"/>
      <c r="P59" s="293" t="str">
        <f>IF('[1]2026 február'!B$15=0,
    "",
    '[1]2026 február'!B$15
)</f>
        <v/>
      </c>
      <c r="Q59" s="293" t="str">
        <f>IF(OR('[1]2026 február'!G57=0,
       ISBLANK('[1]2026 február'!G57)),
    "",
    '[1]2026 február'!G57
)</f>
        <v/>
      </c>
      <c r="R59" s="11">
        <f>'[1]2026 február'!W57</f>
        <v>0</v>
      </c>
      <c r="S59" s="11"/>
      <c r="T59" s="11"/>
      <c r="U59" s="10"/>
      <c r="V59" s="293" t="str">
        <f>IF('[1]2026 február'!S57=0,
    "",
    '[1]2026 február'!S57
)</f>
        <v/>
      </c>
      <c r="W59" s="293" t="str">
        <f>IF('[1]2026 február'!T57=0,
    "",
    '[1]2026 február'!T57
)</f>
        <v/>
      </c>
      <c r="X59" s="293" t="str">
        <f>IF('[1]2026 február'!U57=0,
    "",
    '[1]2026 február'!U57
)</f>
        <v/>
      </c>
      <c r="Y59" s="293" t="str">
        <f>IF('[1]2026 február'!V57=0,
    "",
    '[1]2026 február'!V57
)</f>
        <v/>
      </c>
      <c r="Z59" s="293" t="str">
        <f>IF('[1]2026 február'!W57=0,
    "",
    '[1]2026 február'!W57
)</f>
        <v/>
      </c>
      <c r="AA59" s="293" t="str">
        <f>IF('[1]2026 február'!X57=0,
    "",
    '[1]2026 február'!X57
)</f>
        <v/>
      </c>
      <c r="AB59" s="293" t="str">
        <f>IF('[1]2026 február'!Y57=0,
    "",
    '[1]2026 február'!Y57
)</f>
        <v/>
      </c>
      <c r="AC59" s="293" t="str">
        <f>IF('[1]2026 február'!Z57=0,
    "",
    '[1]2026 február'!Z57
)</f>
        <v/>
      </c>
      <c r="AD59" s="245" t="str">
        <f>IF('[1]2026 február'!AA57=0,
    "",
    '[1]2026 február'!AA57
)</f>
        <v/>
      </c>
      <c r="AE59" s="245" t="str">
        <f>IF('[1]2026 február'!AB$16=0,
    "",
    '[1]2026 február'!AB$16
)</f>
        <v/>
      </c>
      <c r="AF59" s="245" t="str">
        <f>IF('[1]2026 február'!AC$16=0,
    "",
    '[1]2026 február'!AC$16
)</f>
        <v/>
      </c>
      <c r="AG59" s="245" t="str">
        <f>IF('[1]2026 február'!AD$16=0,
    "",
    '[1]2026 február'!AD$16
)</f>
        <v/>
      </c>
      <c r="AH59" s="245" t="str">
        <f>IF('[1]2026 február'!AE57=0,
    "",
    '[1]2026 február'!AE57
)</f>
        <v/>
      </c>
      <c r="AI59" s="245" t="str">
        <f>IF('[1]2026 február'!AF57=0,
    "",
    '[1]2026 február'!AF57
)</f>
        <v/>
      </c>
      <c r="AJ59" s="245" t="str">
        <f>IF('[1]2026 február'!AG57=0,
    "",
    '[1]2026 február'!AG57
)</f>
        <v/>
      </c>
      <c r="AK59" s="245" t="str">
        <f>IF('[1]2026 február'!AH57=0,
    "",
    '[1]2026 február'!AH57
)</f>
        <v/>
      </c>
    </row>
    <row r="60" spans="1:37" ht="15" customHeight="1">
      <c r="A60" s="162">
        <v>46069</v>
      </c>
      <c r="B60" s="11"/>
      <c r="C60" s="11"/>
      <c r="D60" s="11"/>
      <c r="E60" s="11"/>
      <c r="F60" s="11"/>
      <c r="G60" s="11"/>
      <c r="H60" s="11"/>
      <c r="I60" s="11"/>
      <c r="J60" s="44"/>
      <c r="K60" s="87"/>
      <c r="L60" s="284"/>
      <c r="M60" s="9"/>
      <c r="N60" s="9"/>
      <c r="P60" s="293" t="str">
        <f>IF('[1]2026 február'!B$16=0,
    "",
    '[1]2026 február'!B$16
)</f>
        <v/>
      </c>
      <c r="Q60" s="293" t="str">
        <f>IF(OR('[1]2026 február'!G58=0,
       ISBLANK('[1]2026 február'!G58)),
    "",
    '[1]2026 február'!G58
)</f>
        <v/>
      </c>
      <c r="R60" s="11">
        <f>'[1]2026 február'!W58</f>
        <v>0</v>
      </c>
      <c r="S60" s="11"/>
      <c r="T60" s="11"/>
      <c r="U60" s="10"/>
      <c r="V60" s="293" t="str">
        <f>IF('[1]2026 február'!S58=0,
    "",
    '[1]2026 február'!S58
)</f>
        <v/>
      </c>
      <c r="W60" s="293" t="str">
        <f>IF('[1]2026 február'!T58=0,
    "",
    '[1]2026 február'!T58
)</f>
        <v/>
      </c>
      <c r="X60" s="293" t="str">
        <f>IF('[1]2026 február'!U58=0,
    "",
    '[1]2026 február'!U58
)</f>
        <v/>
      </c>
      <c r="Y60" s="293" t="str">
        <f>IF('[1]2026 február'!V58=0,
    "",
    '[1]2026 február'!V58
)</f>
        <v/>
      </c>
      <c r="Z60" s="293" t="str">
        <f>IF('[1]2026 február'!W58=0,
    "",
    '[1]2026 február'!W58
)</f>
        <v/>
      </c>
      <c r="AA60" s="293" t="str">
        <f>IF('[1]2026 február'!X58=0,
    "",
    '[1]2026 február'!X58
)</f>
        <v/>
      </c>
      <c r="AB60" s="293" t="str">
        <f>IF('[1]2026 február'!Y58=0,
    "",
    '[1]2026 február'!Y58
)</f>
        <v/>
      </c>
      <c r="AC60" s="293" t="str">
        <f>IF('[1]2026 február'!Z58=0,
    "",
    '[1]2026 február'!Z58
)</f>
        <v/>
      </c>
      <c r="AD60" s="245" t="str">
        <f>IF('[1]2026 február'!AA58=0,
    "",
    '[1]2026 február'!AA58
)</f>
        <v/>
      </c>
      <c r="AE60" s="245" t="str">
        <f>IF('[1]2026 február'!AB$17=0,
    "",
    '[1]2026 február'!AB$17
)</f>
        <v/>
      </c>
      <c r="AF60" s="245" t="str">
        <f>IF('[1]2026 február'!AC$17=0,
    "",
    '[1]2026 február'!AC$17
)</f>
        <v/>
      </c>
      <c r="AG60" s="245" t="str">
        <f>IF('[1]2026 február'!AD$17=0,
    "",
    '[1]2026 február'!AD$17
)</f>
        <v/>
      </c>
      <c r="AH60" s="245" t="str">
        <f>IF('[1]2026 február'!AE58=0,
    "",
    '[1]2026 február'!AE58
)</f>
        <v/>
      </c>
      <c r="AI60" s="245" t="str">
        <f>IF('[1]2026 február'!AF58=0,
    "",
    '[1]2026 február'!AF58
)</f>
        <v/>
      </c>
      <c r="AJ60" s="245" t="str">
        <f>IF('[1]2026 február'!AG58=0,
    "",
    '[1]2026 február'!AG58
)</f>
        <v/>
      </c>
      <c r="AK60" s="245" t="str">
        <f>IF('[1]2026 február'!AH58=0,
    "",
    '[1]2026 február'!AH58
)</f>
        <v/>
      </c>
    </row>
    <row r="61" spans="1:37" ht="15" customHeight="1">
      <c r="A61" s="162">
        <v>46070</v>
      </c>
      <c r="B61" s="11"/>
      <c r="C61" s="11"/>
      <c r="D61" s="11"/>
      <c r="E61" s="11"/>
      <c r="F61" s="11"/>
      <c r="G61" s="11"/>
      <c r="H61" s="11"/>
      <c r="I61" s="11"/>
      <c r="J61" s="44"/>
      <c r="K61" s="87"/>
      <c r="L61" s="284"/>
      <c r="M61" s="9"/>
      <c r="N61" s="9"/>
      <c r="P61" s="293" t="str">
        <f>IF('[1]2026 február'!B$17=0,
    "",
    '[1]2026 február'!B$17
)</f>
        <v/>
      </c>
      <c r="Q61" s="293" t="str">
        <f>IF(OR('[1]2026 február'!G59=0,
       ISBLANK('[1]2026 február'!G59)),
    "",
    '[1]2026 február'!G59
)</f>
        <v/>
      </c>
      <c r="R61" s="11">
        <f>'[1]2026 február'!W59</f>
        <v>0</v>
      </c>
      <c r="S61" s="11"/>
      <c r="T61" s="11"/>
      <c r="U61" s="10"/>
      <c r="V61" s="293" t="str">
        <f>IF('[1]2026 február'!S59=0,
    "",
    '[1]2026 február'!S59
)</f>
        <v/>
      </c>
      <c r="W61" s="293" t="str">
        <f>IF('[1]2026 február'!T59=0,
    "",
    '[1]2026 február'!T59
)</f>
        <v/>
      </c>
      <c r="X61" s="293" t="str">
        <f>IF('[1]2026 február'!U59=0,
    "",
    '[1]2026 február'!U59
)</f>
        <v/>
      </c>
      <c r="Y61" s="293" t="str">
        <f>IF('[1]2026 február'!V59=0,
    "",
    '[1]2026 február'!V59
)</f>
        <v/>
      </c>
      <c r="Z61" s="293" t="str">
        <f>IF('[1]2026 február'!W59=0,
    "",
    '[1]2026 február'!W59
)</f>
        <v/>
      </c>
      <c r="AA61" s="293" t="str">
        <f>IF('[1]2026 február'!X59=0,
    "",
    '[1]2026 február'!X59
)</f>
        <v/>
      </c>
      <c r="AB61" s="293" t="str">
        <f>IF('[1]2026 február'!Y59=0,
    "",
    '[1]2026 február'!Y59
)</f>
        <v/>
      </c>
      <c r="AC61" s="293" t="str">
        <f>IF('[1]2026 február'!Z59=0,
    "",
    '[1]2026 február'!Z59
)</f>
        <v/>
      </c>
      <c r="AD61" s="245" t="str">
        <f>IF('[1]2026 február'!AA59=0,
    "",
    '[1]2026 február'!AA59
)</f>
        <v/>
      </c>
      <c r="AE61" s="245" t="str">
        <f>IF('[1]2026 február'!AB$18=0,
    "",
    '[1]2026 február'!AB$18
)</f>
        <v/>
      </c>
      <c r="AF61" s="245" t="str">
        <f>IF('[1]2026 február'!AC$18=0,
    "",
    '[1]2026 február'!AC$18
)</f>
        <v/>
      </c>
      <c r="AG61" s="245" t="str">
        <f>IF('[1]2026 február'!AD$18=0,
    "",
    '[1]2026 február'!AD$18
)</f>
        <v/>
      </c>
      <c r="AH61" s="245" t="str">
        <f>IF('[1]2026 február'!AE59=0,
    "",
    '[1]2026 február'!AE59
)</f>
        <v/>
      </c>
      <c r="AI61" s="245" t="str">
        <f>IF('[1]2026 február'!AF59=0,
    "",
    '[1]2026 február'!AF59
)</f>
        <v/>
      </c>
      <c r="AJ61" s="245" t="str">
        <f>IF('[1]2026 február'!AG59=0,
    "",
    '[1]2026 február'!AG59
)</f>
        <v/>
      </c>
      <c r="AK61" s="245" t="str">
        <f>IF('[1]2026 február'!AH59=0,
    "",
    '[1]2026 február'!AH59
)</f>
        <v/>
      </c>
    </row>
    <row r="62" spans="1:37" ht="15" customHeight="1">
      <c r="A62" s="162">
        <v>46071</v>
      </c>
      <c r="B62" s="11"/>
      <c r="C62" s="11"/>
      <c r="D62" s="11"/>
      <c r="E62" s="11"/>
      <c r="F62" s="11"/>
      <c r="G62" s="11"/>
      <c r="H62" s="11"/>
      <c r="I62" s="11"/>
      <c r="J62" s="44"/>
      <c r="K62" s="87"/>
      <c r="L62" s="284"/>
      <c r="M62" s="9"/>
      <c r="N62" s="9"/>
      <c r="P62" s="293" t="str">
        <f>IF('[1]2026 február'!B$18=0,
    "",
    '[1]2026 február'!B$18
)</f>
        <v/>
      </c>
      <c r="Q62" s="293" t="str">
        <f>IF(OR('[1]2026 február'!G60=0,
       ISBLANK('[1]2026 február'!G60)),
    "",
    '[1]2026 február'!G60
)</f>
        <v/>
      </c>
      <c r="R62" s="11">
        <f>'[1]2026 február'!W60</f>
        <v>0</v>
      </c>
      <c r="S62" s="11"/>
      <c r="T62" s="11"/>
      <c r="U62" s="10"/>
      <c r="V62" s="293" t="str">
        <f>IF('[1]2026 február'!S60=0,
    "",
    '[1]2026 február'!S60
)</f>
        <v/>
      </c>
      <c r="W62" s="293" t="str">
        <f>IF('[1]2026 február'!T60=0,
    "",
    '[1]2026 február'!T60
)</f>
        <v/>
      </c>
      <c r="X62" s="293" t="str">
        <f>IF('[1]2026 február'!U60=0,
    "",
    '[1]2026 február'!U60
)</f>
        <v/>
      </c>
      <c r="Y62" s="293" t="str">
        <f>IF('[1]2026 február'!V60=0,
    "",
    '[1]2026 február'!V60
)</f>
        <v/>
      </c>
      <c r="Z62" s="293" t="str">
        <f>IF('[1]2026 február'!W60=0,
    "",
    '[1]2026 február'!W60
)</f>
        <v/>
      </c>
      <c r="AA62" s="293" t="str">
        <f>IF('[1]2026 február'!X60=0,
    "",
    '[1]2026 február'!X60
)</f>
        <v/>
      </c>
      <c r="AB62" s="293" t="str">
        <f>IF('[1]2026 február'!Y60=0,
    "",
    '[1]2026 február'!Y60
)</f>
        <v/>
      </c>
      <c r="AC62" s="293" t="str">
        <f>IF('[1]2026 február'!Z60=0,
    "",
    '[1]2026 február'!Z60
)</f>
        <v/>
      </c>
      <c r="AD62" s="245" t="str">
        <f>IF('[1]2026 február'!AA60=0,
    "",
    '[1]2026 február'!AA60
)</f>
        <v/>
      </c>
      <c r="AE62" s="245" t="str">
        <f>IF('[1]2026 február'!AB$19=0,
    "",
    '[1]2026 február'!AB$19
)</f>
        <v/>
      </c>
      <c r="AF62" s="245" t="str">
        <f>IF('[1]2026 február'!AC$19=0,
    "",
    '[1]2026 február'!AC$19
)</f>
        <v/>
      </c>
      <c r="AG62" s="245" t="str">
        <f>IF('[1]2026 február'!AD$19=0,
    "",
    '[1]2026 február'!AD$19
)</f>
        <v/>
      </c>
      <c r="AH62" s="245" t="str">
        <f>IF('[1]2026 február'!AE60=0,
    "",
    '[1]2026 február'!AE60
)</f>
        <v/>
      </c>
      <c r="AI62" s="245" t="str">
        <f>IF('[1]2026 február'!AF60=0,
    "",
    '[1]2026 február'!AF60
)</f>
        <v/>
      </c>
      <c r="AJ62" s="245" t="str">
        <f>IF('[1]2026 február'!AG60=0,
    "",
    '[1]2026 február'!AG60
)</f>
        <v/>
      </c>
      <c r="AK62" s="245" t="str">
        <f>IF('[1]2026 február'!AH60=0,
    "",
    '[1]2026 február'!AH60
)</f>
        <v/>
      </c>
    </row>
    <row r="63" spans="1:37" ht="15" customHeight="1">
      <c r="A63" s="162">
        <v>46072</v>
      </c>
      <c r="B63" s="11"/>
      <c r="C63" s="11"/>
      <c r="D63" s="11"/>
      <c r="E63" s="11"/>
      <c r="F63" s="11"/>
      <c r="G63" s="11"/>
      <c r="H63" s="11"/>
      <c r="I63" s="11"/>
      <c r="J63" s="44"/>
      <c r="K63" s="87"/>
      <c r="L63" s="284"/>
      <c r="M63" s="9"/>
      <c r="N63" s="9"/>
      <c r="P63" s="293" t="str">
        <f>IF('[1]2026 február'!B$19=0,
    "",
    '[1]2026 február'!B$19
)</f>
        <v/>
      </c>
      <c r="Q63" s="293" t="str">
        <f>IF(OR('[1]2026 február'!G61=0,
       ISBLANK('[1]2026 február'!G61)),
    "",
    '[1]2026 február'!G61
)</f>
        <v/>
      </c>
      <c r="R63" s="11">
        <f>'[1]2026 február'!W61</f>
        <v>0</v>
      </c>
      <c r="S63" s="11"/>
      <c r="T63" s="11"/>
      <c r="U63" s="10"/>
      <c r="V63" s="293" t="str">
        <f>IF('[1]2026 február'!S61=0,
    "",
    '[1]2026 február'!S61
)</f>
        <v/>
      </c>
      <c r="W63" s="293" t="str">
        <f>IF('[1]2026 február'!T61=0,
    "",
    '[1]2026 február'!T61
)</f>
        <v/>
      </c>
      <c r="X63" s="293" t="str">
        <f>IF('[1]2026 február'!U61=0,
    "",
    '[1]2026 február'!U61
)</f>
        <v/>
      </c>
      <c r="Y63" s="293" t="str">
        <f>IF('[1]2026 február'!V61=0,
    "",
    '[1]2026 február'!V61
)</f>
        <v/>
      </c>
      <c r="Z63" s="293" t="str">
        <f>IF('[1]2026 február'!W61=0,
    "",
    '[1]2026 február'!W61
)</f>
        <v/>
      </c>
      <c r="AA63" s="293" t="str">
        <f>IF('[1]2026 február'!X61=0,
    "",
    '[1]2026 február'!X61
)</f>
        <v/>
      </c>
      <c r="AB63" s="293" t="str">
        <f>IF('[1]2026 február'!Y61=0,
    "",
    '[1]2026 február'!Y61
)</f>
        <v/>
      </c>
      <c r="AC63" s="293" t="str">
        <f>IF('[1]2026 február'!Z61=0,
    "",
    '[1]2026 február'!Z61
)</f>
        <v/>
      </c>
      <c r="AD63" s="245" t="str">
        <f>IF('[1]2026 február'!AA61=0,
    "",
    '[1]2026 február'!AA61
)</f>
        <v/>
      </c>
      <c r="AE63" s="245" t="str">
        <f>IF('[1]2026 február'!AB$20=0,
    "",
    '[1]2026 február'!AB$20
)</f>
        <v/>
      </c>
      <c r="AF63" s="245" t="str">
        <f>IF('[1]2026 február'!AC$20=0,
    "",
    '[1]2026 február'!AC$20
)</f>
        <v/>
      </c>
      <c r="AG63" s="245" t="str">
        <f>IF('[1]2026 február'!AD$20=0,
    "",
    '[1]2026 február'!AD$20
)</f>
        <v/>
      </c>
      <c r="AH63" s="245" t="str">
        <f>IF('[1]2026 február'!AE61=0,
    "",
    '[1]2026 február'!AE61
)</f>
        <v/>
      </c>
      <c r="AI63" s="245" t="str">
        <f>IF('[1]2026 február'!AF61=0,
    "",
    '[1]2026 február'!AF61
)</f>
        <v/>
      </c>
      <c r="AJ63" s="245" t="str">
        <f>IF('[1]2026 február'!AG61=0,
    "",
    '[1]2026 február'!AG61
)</f>
        <v/>
      </c>
      <c r="AK63" s="245" t="str">
        <f>IF('[1]2026 február'!AH61=0,
    "",
    '[1]2026 február'!AH61
)</f>
        <v/>
      </c>
    </row>
    <row r="64" spans="1:37" ht="15" customHeight="1">
      <c r="A64" s="162">
        <v>46073</v>
      </c>
      <c r="B64" s="11"/>
      <c r="C64" s="11"/>
      <c r="D64" s="11"/>
      <c r="E64" s="11"/>
      <c r="F64" s="11"/>
      <c r="G64" s="11"/>
      <c r="H64" s="11"/>
      <c r="I64" s="11"/>
      <c r="J64" s="44"/>
      <c r="K64" s="87"/>
      <c r="L64" s="284"/>
      <c r="M64" s="9"/>
      <c r="N64" s="9"/>
      <c r="P64" s="293" t="str">
        <f>IF('[1]2026 február'!B$20=0,
    "",
    '[1]2026 február'!B$20
)</f>
        <v/>
      </c>
      <c r="Q64" s="293" t="str">
        <f>IF(OR('[1]2026 február'!G62=0,
       ISBLANK('[1]2026 február'!G62)),
    "",
    '[1]2026 február'!G62
)</f>
        <v/>
      </c>
      <c r="R64" s="11">
        <f>'[1]2026 február'!W62</f>
        <v>0</v>
      </c>
      <c r="S64" s="11"/>
      <c r="T64" s="11"/>
      <c r="U64" s="10"/>
      <c r="V64" s="293" t="str">
        <f>IF('[1]2026 február'!S62=0,
    "",
    '[1]2026 február'!S62
)</f>
        <v/>
      </c>
      <c r="W64" s="293" t="str">
        <f>IF('[1]2026 február'!T62=0,
    "",
    '[1]2026 február'!T62
)</f>
        <v/>
      </c>
      <c r="X64" s="293" t="str">
        <f>IF('[1]2026 február'!U62=0,
    "",
    '[1]2026 február'!U62
)</f>
        <v/>
      </c>
      <c r="Y64" s="293" t="str">
        <f>IF('[1]2026 február'!V62=0,
    "",
    '[1]2026 február'!V62
)</f>
        <v/>
      </c>
      <c r="Z64" s="293" t="str">
        <f>IF('[1]2026 február'!W62=0,
    "",
    '[1]2026 február'!W62
)</f>
        <v/>
      </c>
      <c r="AA64" s="293" t="str">
        <f>IF('[1]2026 február'!X62=0,
    "",
    '[1]2026 február'!X62
)</f>
        <v/>
      </c>
      <c r="AB64" s="293" t="str">
        <f>IF('[1]2026 február'!Y62=0,
    "",
    '[1]2026 február'!Y62
)</f>
        <v/>
      </c>
      <c r="AC64" s="293" t="str">
        <f>IF('[1]2026 február'!Z62=0,
    "",
    '[1]2026 február'!Z62
)</f>
        <v/>
      </c>
      <c r="AD64" s="245" t="str">
        <f>IF('[1]2026 február'!AA62=0,
    "",
    '[1]2026 február'!AA62
)</f>
        <v/>
      </c>
      <c r="AE64" s="245" t="str">
        <f>IF('[1]2026 február'!AB$21=0,
    "",
    '[1]2026 február'!AB$21
)</f>
        <v/>
      </c>
      <c r="AF64" s="245" t="str">
        <f>IF('[1]2026 február'!AC$21=0,
    "",
    '[1]2026 február'!AC$21
)</f>
        <v/>
      </c>
      <c r="AG64" s="245" t="str">
        <f>IF('[1]2026 február'!AD$21=0,
    "",
    '[1]2026 február'!AD$21
)</f>
        <v/>
      </c>
      <c r="AH64" s="245" t="str">
        <f>IF('[1]2026 február'!AE62=0,
    "",
    '[1]2026 február'!AE62
)</f>
        <v/>
      </c>
      <c r="AI64" s="245" t="str">
        <f>IF('[1]2026 február'!AF62=0,
    "",
    '[1]2026 február'!AF62
)</f>
        <v/>
      </c>
      <c r="AJ64" s="245" t="str">
        <f>IF('[1]2026 február'!AG62=0,
    "",
    '[1]2026 február'!AG62
)</f>
        <v/>
      </c>
      <c r="AK64" s="245" t="str">
        <f>IF('[1]2026 február'!AH62=0,
    "",
    '[1]2026 február'!AH62
)</f>
        <v/>
      </c>
    </row>
    <row r="65" spans="1:37" ht="15" customHeight="1">
      <c r="A65" s="162">
        <v>46074</v>
      </c>
      <c r="B65" s="163"/>
      <c r="C65" s="163"/>
      <c r="D65" s="163"/>
      <c r="E65" s="163"/>
      <c r="F65" s="163"/>
      <c r="G65" s="163"/>
      <c r="H65" s="163"/>
      <c r="I65" s="163"/>
      <c r="J65" s="164"/>
      <c r="K65" s="167"/>
      <c r="L65" s="283"/>
      <c r="M65" s="179"/>
      <c r="N65" s="179"/>
      <c r="P65" s="293" t="str">
        <f>IF('[1]2026 február'!B$21=0,
    "",
    '[1]2026 február'!B$21
)</f>
        <v/>
      </c>
      <c r="Q65" s="293" t="str">
        <f>IF(OR('[1]2026 február'!G63=0,
       ISBLANK('[1]2026 február'!G63)),
    "",
    '[1]2026 február'!G63
)</f>
        <v/>
      </c>
      <c r="R65" s="11">
        <f>'[1]2026 február'!W63</f>
        <v>0</v>
      </c>
      <c r="S65" s="11"/>
      <c r="T65" s="11"/>
      <c r="U65" s="10"/>
      <c r="V65" s="293" t="str">
        <f>IF('[1]2026 február'!S63=0,
    "",
    '[1]2026 február'!S63
)</f>
        <v/>
      </c>
      <c r="W65" s="293" t="str">
        <f>IF('[1]2026 február'!T63=0,
    "",
    '[1]2026 február'!T63
)</f>
        <v/>
      </c>
      <c r="X65" s="293" t="str">
        <f>IF('[1]2026 február'!U63=0,
    "",
    '[1]2026 február'!U63
)</f>
        <v/>
      </c>
      <c r="Y65" s="293" t="str">
        <f>IF('[1]2026 február'!V63=0,
    "",
    '[1]2026 február'!V63
)</f>
        <v/>
      </c>
      <c r="Z65" s="293" t="str">
        <f>IF('[1]2026 február'!W63=0,
    "",
    '[1]2026 február'!W63
)</f>
        <v/>
      </c>
      <c r="AA65" s="293" t="str">
        <f>IF('[1]2026 február'!X63=0,
    "",
    '[1]2026 február'!X63
)</f>
        <v/>
      </c>
      <c r="AB65" s="293" t="str">
        <f>IF('[1]2026 február'!Y63=0,
    "",
    '[1]2026 február'!Y63
)</f>
        <v/>
      </c>
      <c r="AC65" s="293" t="str">
        <f>IF('[1]2026 február'!Z63=0,
    "",
    '[1]2026 február'!Z63
)</f>
        <v/>
      </c>
      <c r="AD65" s="245" t="str">
        <f>IF('[1]2026 február'!AA63=0,
    "",
    '[1]2026 február'!AA63
)</f>
        <v/>
      </c>
      <c r="AE65" s="245" t="str">
        <f>IF('[1]2026 február'!AB$22=0,
    "",
    '[1]2026 február'!AB$22
)</f>
        <v/>
      </c>
      <c r="AF65" s="245" t="str">
        <f>IF('[1]2026 február'!AC$22=0,
    "",
    '[1]2026 február'!AC$22
)</f>
        <v/>
      </c>
      <c r="AG65" s="245" t="str">
        <f>IF('[1]2026 február'!AD$22=0,
    "",
    '[1]2026 február'!AD$22
)</f>
        <v/>
      </c>
      <c r="AH65" s="245" t="str">
        <f>IF('[1]2026 február'!AE63=0,
    "",
    '[1]2026 február'!AE63
)</f>
        <v/>
      </c>
      <c r="AI65" s="245" t="str">
        <f>IF('[1]2026 február'!AF63=0,
    "",
    '[1]2026 február'!AF63
)</f>
        <v/>
      </c>
      <c r="AJ65" s="245" t="str">
        <f>IF('[1]2026 február'!AG63=0,
    "",
    '[1]2026 február'!AG63
)</f>
        <v/>
      </c>
      <c r="AK65" s="245" t="str">
        <f>IF('[1]2026 február'!AH63=0,
    "",
    '[1]2026 február'!AH63
)</f>
        <v/>
      </c>
    </row>
    <row r="66" spans="1:37" ht="15" customHeight="1">
      <c r="A66" s="162">
        <v>46075</v>
      </c>
      <c r="B66" s="163"/>
      <c r="C66" s="163"/>
      <c r="D66" s="163"/>
      <c r="E66" s="163"/>
      <c r="F66" s="163"/>
      <c r="G66" s="163"/>
      <c r="H66" s="163"/>
      <c r="I66" s="163"/>
      <c r="J66" s="164"/>
      <c r="K66" s="167"/>
      <c r="L66" s="283"/>
      <c r="M66" s="179"/>
      <c r="N66" s="179"/>
      <c r="P66" s="293" t="str">
        <f>IF('[1]2026 február'!B$22=0,
    "",
    '[1]2026 február'!B$22
)</f>
        <v/>
      </c>
      <c r="Q66" s="293" t="str">
        <f>IF(OR('[1]2026 február'!G64=0,
       ISBLANK('[1]2026 február'!G64)),
    "",
    '[1]2026 február'!G64
)</f>
        <v/>
      </c>
      <c r="R66" s="11">
        <f>'[1]2026 február'!W64</f>
        <v>0</v>
      </c>
      <c r="S66" s="11"/>
      <c r="T66" s="11"/>
      <c r="U66" s="10"/>
      <c r="V66" s="293" t="str">
        <f>IF('[1]2026 február'!S64=0,
    "",
    '[1]2026 február'!S64
)</f>
        <v/>
      </c>
      <c r="W66" s="293" t="str">
        <f>IF('[1]2026 február'!T64=0,
    "",
    '[1]2026 február'!T64
)</f>
        <v/>
      </c>
      <c r="X66" s="293" t="str">
        <f>IF('[1]2026 február'!U64=0,
    "",
    '[1]2026 február'!U64
)</f>
        <v/>
      </c>
      <c r="Y66" s="293" t="str">
        <f>IF('[1]2026 február'!V64=0,
    "",
    '[1]2026 február'!V64
)</f>
        <v/>
      </c>
      <c r="Z66" s="293" t="str">
        <f>IF('[1]2026 február'!W64=0,
    "",
    '[1]2026 február'!W64
)</f>
        <v/>
      </c>
      <c r="AA66" s="293" t="str">
        <f>IF('[1]2026 február'!X64=0,
    "",
    '[1]2026 február'!X64
)</f>
        <v/>
      </c>
      <c r="AB66" s="293" t="str">
        <f>IF('[1]2026 február'!Y64=0,
    "",
    '[1]2026 február'!Y64
)</f>
        <v/>
      </c>
      <c r="AC66" s="293" t="str">
        <f>IF('[1]2026 február'!Z64=0,
    "",
    '[1]2026 február'!Z64
)</f>
        <v/>
      </c>
      <c r="AD66" s="245" t="str">
        <f>IF('[1]2026 február'!AA64=0,
    "",
    '[1]2026 február'!AA64
)</f>
        <v/>
      </c>
      <c r="AE66" s="245" t="str">
        <f>IF('[1]2026 február'!AB$23=0,
    "",
    '[1]2026 február'!AB$23
)</f>
        <v/>
      </c>
      <c r="AF66" s="245" t="str">
        <f>IF('[1]2026 február'!AC$23=0,
    "",
    '[1]2026 február'!AC$23
)</f>
        <v/>
      </c>
      <c r="AG66" s="245" t="str">
        <f>IF('[1]2026 február'!AD$23=0,
    "",
    '[1]2026 február'!AD$23
)</f>
        <v/>
      </c>
      <c r="AH66" s="245" t="str">
        <f>IF('[1]2026 február'!AE64=0,
    "",
    '[1]2026 február'!AE64
)</f>
        <v/>
      </c>
      <c r="AI66" s="245" t="str">
        <f>IF('[1]2026 február'!AF64=0,
    "",
    '[1]2026 február'!AF64
)</f>
        <v/>
      </c>
      <c r="AJ66" s="245" t="str">
        <f>IF('[1]2026 február'!AG64=0,
    "",
    '[1]2026 február'!AG64
)</f>
        <v/>
      </c>
      <c r="AK66" s="245" t="str">
        <f>IF('[1]2026 február'!AH64=0,
    "",
    '[1]2026 február'!AH64
)</f>
        <v/>
      </c>
    </row>
    <row r="67" spans="1:37" ht="15" customHeight="1">
      <c r="A67" s="162">
        <v>46076</v>
      </c>
      <c r="B67" s="11"/>
      <c r="C67" s="11"/>
      <c r="D67" s="11"/>
      <c r="E67" s="11"/>
      <c r="F67" s="11"/>
      <c r="G67" s="11"/>
      <c r="H67" s="11"/>
      <c r="I67" s="11"/>
      <c r="J67" s="44"/>
      <c r="K67" s="87"/>
      <c r="L67" s="284"/>
      <c r="M67" s="9"/>
      <c r="N67" s="9"/>
      <c r="P67" s="293" t="str">
        <f>IF('[1]2026 február'!B$23=0,
    "",
    '[1]2026 február'!B$23
)</f>
        <v/>
      </c>
      <c r="Q67" s="293" t="str">
        <f>IF(OR('[1]2026 február'!G65=0,
       ISBLANK('[1]2026 február'!G65)),
    "",
    '[1]2026 február'!G65
)</f>
        <v/>
      </c>
      <c r="R67" s="11">
        <f>'[1]2026 február'!W65</f>
        <v>0</v>
      </c>
      <c r="S67" s="11"/>
      <c r="T67" s="11"/>
      <c r="U67" s="10"/>
      <c r="V67" s="293" t="str">
        <f>IF('[1]2026 február'!S65=0,
    "",
    '[1]2026 február'!S65
)</f>
        <v/>
      </c>
      <c r="W67" s="293" t="str">
        <f>IF('[1]2026 február'!T65=0,
    "",
    '[1]2026 február'!T65
)</f>
        <v/>
      </c>
      <c r="X67" s="293" t="str">
        <f>IF('[1]2026 február'!U65=0,
    "",
    '[1]2026 február'!U65
)</f>
        <v/>
      </c>
      <c r="Y67" s="293" t="str">
        <f>IF('[1]2026 február'!V65=0,
    "",
    '[1]2026 február'!V65
)</f>
        <v/>
      </c>
      <c r="Z67" s="293" t="str">
        <f>IF('[1]2026 február'!W65=0,
    "",
    '[1]2026 február'!W65
)</f>
        <v/>
      </c>
      <c r="AA67" s="293" t="str">
        <f>IF('[1]2026 február'!X65=0,
    "",
    '[1]2026 február'!X65
)</f>
        <v/>
      </c>
      <c r="AB67" s="293" t="str">
        <f>IF('[1]2026 február'!Y65=0,
    "",
    '[1]2026 február'!Y65
)</f>
        <v/>
      </c>
      <c r="AC67" s="293" t="str">
        <f>IF('[1]2026 február'!Z65=0,
    "",
    '[1]2026 február'!Z65
)</f>
        <v/>
      </c>
      <c r="AD67" s="245" t="str">
        <f>IF('[1]2026 február'!AA65=0,
    "",
    '[1]2026 február'!AA65
)</f>
        <v/>
      </c>
      <c r="AE67" s="245" t="str">
        <f>IF('[1]2026 február'!AB$24=0,
    "",
    '[1]2026 február'!AB$24
)</f>
        <v/>
      </c>
      <c r="AF67" s="245" t="str">
        <f>IF('[1]2026 február'!AC$24=0,
    "",
    '[1]2026 február'!AC$24
)</f>
        <v/>
      </c>
      <c r="AG67" s="245" t="str">
        <f>IF('[1]2026 február'!AD$24=0,
    "",
    '[1]2026 február'!AD$24
)</f>
        <v/>
      </c>
      <c r="AH67" s="245" t="str">
        <f>IF('[1]2026 február'!AE65=0,
    "",
    '[1]2026 február'!AE65
)</f>
        <v/>
      </c>
      <c r="AI67" s="245" t="str">
        <f>IF('[1]2026 február'!AF65=0,
    "",
    '[1]2026 február'!AF65
)</f>
        <v/>
      </c>
      <c r="AJ67" s="245" t="str">
        <f>IF('[1]2026 február'!AG65=0,
    "",
    '[1]2026 február'!AG65
)</f>
        <v/>
      </c>
      <c r="AK67" s="245" t="str">
        <f>IF('[1]2026 február'!AH65=0,
    "",
    '[1]2026 február'!AH65
)</f>
        <v/>
      </c>
    </row>
    <row r="68" spans="1:37" ht="15" customHeight="1">
      <c r="A68" s="162">
        <v>46077</v>
      </c>
      <c r="B68" s="11"/>
      <c r="C68" s="11"/>
      <c r="D68" s="11"/>
      <c r="E68" s="11"/>
      <c r="F68" s="11"/>
      <c r="G68" s="11"/>
      <c r="H68" s="11"/>
      <c r="I68" s="11"/>
      <c r="J68" s="44"/>
      <c r="K68" s="87"/>
      <c r="L68" s="284"/>
      <c r="M68" s="9"/>
      <c r="N68" s="9"/>
      <c r="P68" s="293" t="str">
        <f>IF('[1]2026 február'!B$24=0,
    "",
    '[1]2026 február'!B$24
)</f>
        <v/>
      </c>
      <c r="Q68" s="293" t="str">
        <f>IF(OR('[1]2026 február'!G66=0,
       ISBLANK('[1]2026 február'!G66)),
    "",
    '[1]2026 február'!G66
)</f>
        <v/>
      </c>
      <c r="R68" s="11">
        <f>'[1]2026 február'!W66</f>
        <v>0</v>
      </c>
      <c r="S68" s="11"/>
      <c r="T68" s="11"/>
      <c r="U68" s="10"/>
      <c r="V68" s="293" t="str">
        <f>IF('[1]2026 február'!S66=0,
    "",
    '[1]2026 február'!S66
)</f>
        <v/>
      </c>
      <c r="W68" s="293" t="str">
        <f>IF('[1]2026 február'!T66=0,
    "",
    '[1]2026 február'!T66
)</f>
        <v/>
      </c>
      <c r="X68" s="293" t="str">
        <f>IF('[1]2026 február'!U66=0,
    "",
    '[1]2026 február'!U66
)</f>
        <v/>
      </c>
      <c r="Y68" s="293" t="str">
        <f>IF('[1]2026 február'!V66=0,
    "",
    '[1]2026 február'!V66
)</f>
        <v/>
      </c>
      <c r="Z68" s="293" t="str">
        <f>IF('[1]2026 február'!W66=0,
    "",
    '[1]2026 február'!W66
)</f>
        <v/>
      </c>
      <c r="AA68" s="293" t="str">
        <f>IF('[1]2026 február'!X66=0,
    "",
    '[1]2026 február'!X66
)</f>
        <v/>
      </c>
      <c r="AB68" s="293" t="str">
        <f>IF('[1]2026 február'!Y66=0,
    "",
    '[1]2026 február'!Y66
)</f>
        <v/>
      </c>
      <c r="AC68" s="293" t="str">
        <f>IF('[1]2026 február'!Z66=0,
    "",
    '[1]2026 február'!Z66
)</f>
        <v/>
      </c>
      <c r="AD68" s="245" t="str">
        <f>IF('[1]2026 február'!AA66=0,
    "",
    '[1]2026 február'!AA66
)</f>
        <v/>
      </c>
      <c r="AE68" s="245" t="str">
        <f>IF('[1]2026 február'!AB$25=0,
    "",
    '[1]2026 február'!AB$25
)</f>
        <v/>
      </c>
      <c r="AF68" s="245" t="str">
        <f>IF('[1]2026 február'!AC$25=0,
    "",
    '[1]2026 február'!AC$25
)</f>
        <v/>
      </c>
      <c r="AG68" s="245" t="str">
        <f>IF('[1]2026 február'!AD$25=0,
    "",
    '[1]2026 február'!AD$25
)</f>
        <v/>
      </c>
      <c r="AH68" s="245" t="str">
        <f>IF('[1]2026 február'!AE66=0,
    "",
    '[1]2026 február'!AE66
)</f>
        <v/>
      </c>
      <c r="AI68" s="245" t="str">
        <f>IF('[1]2026 február'!AF66=0,
    "",
    '[1]2026 február'!AF66
)</f>
        <v/>
      </c>
      <c r="AJ68" s="245" t="str">
        <f>IF('[1]2026 február'!AG66=0,
    "",
    '[1]2026 február'!AG66
)</f>
        <v/>
      </c>
      <c r="AK68" s="245" t="str">
        <f>IF('[1]2026 február'!AH66=0,
    "",
    '[1]2026 február'!AH66
)</f>
        <v/>
      </c>
    </row>
    <row r="69" spans="1:37" ht="15" customHeight="1">
      <c r="A69" s="162">
        <v>46078</v>
      </c>
      <c r="B69" s="11"/>
      <c r="C69" s="11"/>
      <c r="D69" s="11"/>
      <c r="E69" s="11"/>
      <c r="F69" s="11"/>
      <c r="G69" s="11"/>
      <c r="H69" s="11"/>
      <c r="I69" s="11"/>
      <c r="J69" s="44"/>
      <c r="K69" s="87"/>
      <c r="L69" s="284"/>
      <c r="M69" s="9"/>
      <c r="N69" s="9"/>
      <c r="P69" s="293" t="str">
        <f>IF('[1]2026 február'!B$25=0,
    "",
    '[1]2026 február'!B$25
)</f>
        <v/>
      </c>
      <c r="Q69" s="293" t="str">
        <f>IF(OR('[1]2026 február'!G67=0,
       ISBLANK('[1]2026 február'!G67)),
    "",
    '[1]2026 február'!G67
)</f>
        <v/>
      </c>
      <c r="R69" s="11">
        <f>'[1]2026 február'!W67</f>
        <v>0</v>
      </c>
      <c r="S69" s="11"/>
      <c r="T69" s="11"/>
      <c r="U69" s="10"/>
      <c r="V69" s="293" t="str">
        <f>IF('[1]2026 február'!S67=0,
    "",
    '[1]2026 február'!S67
)</f>
        <v/>
      </c>
      <c r="W69" s="293" t="str">
        <f>IF('[1]2026 február'!T67=0,
    "",
    '[1]2026 február'!T67
)</f>
        <v/>
      </c>
      <c r="X69" s="293" t="str">
        <f>IF('[1]2026 február'!U67=0,
    "",
    '[1]2026 február'!U67
)</f>
        <v/>
      </c>
      <c r="Y69" s="293" t="str">
        <f>IF('[1]2026 február'!V67=0,
    "",
    '[1]2026 február'!V67
)</f>
        <v/>
      </c>
      <c r="Z69" s="293" t="str">
        <f>IF('[1]2026 február'!W67=0,
    "",
    '[1]2026 február'!W67
)</f>
        <v/>
      </c>
      <c r="AA69" s="293" t="str">
        <f>IF('[1]2026 február'!X67=0,
    "",
    '[1]2026 február'!X67
)</f>
        <v/>
      </c>
      <c r="AB69" s="293" t="str">
        <f>IF('[1]2026 február'!Y67=0,
    "",
    '[1]2026 február'!Y67
)</f>
        <v/>
      </c>
      <c r="AC69" s="293" t="str">
        <f>IF('[1]2026 február'!Z67=0,
    "",
    '[1]2026 február'!Z67
)</f>
        <v/>
      </c>
      <c r="AD69" s="245" t="str">
        <f>IF('[1]2026 február'!AA67=0,
    "",
    '[1]2026 február'!AA67
)</f>
        <v/>
      </c>
      <c r="AE69" s="245" t="str">
        <f>IF('[1]2026 február'!AB$26=0,
    "",
    '[1]2026 február'!AB$26
)</f>
        <v/>
      </c>
      <c r="AF69" s="245" t="str">
        <f>IF('[1]2026 február'!AC$26=0,
    "",
    '[1]2026 február'!AC$26
)</f>
        <v/>
      </c>
      <c r="AG69" s="245" t="str">
        <f>IF('[1]2026 február'!AD$26=0,
    "",
    '[1]2026 február'!AD$26
)</f>
        <v/>
      </c>
      <c r="AH69" s="245" t="str">
        <f>IF('[1]2026 február'!AE67=0,
    "",
    '[1]2026 február'!AE67
)</f>
        <v/>
      </c>
      <c r="AI69" s="245" t="str">
        <f>IF('[1]2026 február'!AF67=0,
    "",
    '[1]2026 február'!AF67
)</f>
        <v/>
      </c>
      <c r="AJ69" s="245" t="str">
        <f>IF('[1]2026 február'!AG67=0,
    "",
    '[1]2026 február'!AG67
)</f>
        <v/>
      </c>
      <c r="AK69" s="245" t="str">
        <f>IF('[1]2026 február'!AH67=0,
    "",
    '[1]2026 február'!AH67
)</f>
        <v/>
      </c>
    </row>
    <row r="70" spans="1:37" ht="15" customHeight="1">
      <c r="A70" s="162">
        <v>46079</v>
      </c>
      <c r="B70" s="11"/>
      <c r="C70" s="11"/>
      <c r="D70" s="11"/>
      <c r="E70" s="11"/>
      <c r="F70" s="11"/>
      <c r="G70" s="11"/>
      <c r="H70" s="11"/>
      <c r="I70" s="11"/>
      <c r="J70" s="44"/>
      <c r="K70" s="87"/>
      <c r="L70" s="284"/>
      <c r="M70" s="9"/>
      <c r="N70" s="9"/>
      <c r="P70" s="293" t="str">
        <f>IF('[1]2026 február'!B$26=0,
    "",
    '[1]2026 február'!B$26
)</f>
        <v/>
      </c>
      <c r="Q70" s="293" t="str">
        <f>IF(OR('[1]2026 február'!G68=0,
       ISBLANK('[1]2026 február'!G68)),
    "",
    '[1]2026 február'!G68
)</f>
        <v/>
      </c>
      <c r="R70" s="11">
        <f>'[1]2026 február'!W68</f>
        <v>0</v>
      </c>
      <c r="S70" s="11"/>
      <c r="T70" s="11"/>
      <c r="U70" s="10"/>
      <c r="V70" s="293" t="str">
        <f>IF('[1]2026 február'!S68=0,
    "",
    '[1]2026 február'!S68
)</f>
        <v/>
      </c>
      <c r="W70" s="293" t="str">
        <f>IF('[1]2026 február'!T68=0,
    "",
    '[1]2026 február'!T68
)</f>
        <v/>
      </c>
      <c r="X70" s="293" t="str">
        <f>IF('[1]2026 február'!U68=0,
    "",
    '[1]2026 február'!U68
)</f>
        <v/>
      </c>
      <c r="Y70" s="293" t="str">
        <f>IF('[1]2026 február'!V68=0,
    "",
    '[1]2026 február'!V68
)</f>
        <v/>
      </c>
      <c r="Z70" s="293" t="str">
        <f>IF('[1]2026 február'!W68=0,
    "",
    '[1]2026 február'!W68
)</f>
        <v/>
      </c>
      <c r="AA70" s="293" t="str">
        <f>IF('[1]2026 február'!X68=0,
    "",
    '[1]2026 február'!X68
)</f>
        <v/>
      </c>
      <c r="AB70" s="293" t="str">
        <f>IF('[1]2026 február'!Y68=0,
    "",
    '[1]2026 február'!Y68
)</f>
        <v/>
      </c>
      <c r="AC70" s="293" t="str">
        <f>IF('[1]2026 február'!Z68=0,
    "",
    '[1]2026 február'!Z68
)</f>
        <v/>
      </c>
      <c r="AD70" s="245" t="str">
        <f>IF('[1]2026 február'!AA68=0,
    "",
    '[1]2026 február'!AA68
)</f>
        <v/>
      </c>
      <c r="AE70" s="245" t="str">
        <f>IF('[1]2026 február'!AB$27=0,
    "",
    '[1]2026 február'!AB$27
)</f>
        <v/>
      </c>
      <c r="AF70" s="245" t="str">
        <f>IF('[1]2026 február'!AC$27=0,
    "",
    '[1]2026 február'!AC$27
)</f>
        <v/>
      </c>
      <c r="AG70" s="245" t="str">
        <f>IF('[1]2026 február'!AD$27=0,
    "",
    '[1]2026 február'!AD$27
)</f>
        <v/>
      </c>
      <c r="AH70" s="245" t="str">
        <f>IF('[1]2026 február'!AE68=0,
    "",
    '[1]2026 február'!AE68
)</f>
        <v/>
      </c>
      <c r="AI70" s="245" t="str">
        <f>IF('[1]2026 február'!AF68=0,
    "",
    '[1]2026 február'!AF68
)</f>
        <v/>
      </c>
      <c r="AJ70" s="245" t="str">
        <f>IF('[1]2026 február'!AG68=0,
    "",
    '[1]2026 február'!AG68
)</f>
        <v/>
      </c>
      <c r="AK70" s="245" t="str">
        <f>IF('[1]2026 február'!AH68=0,
    "",
    '[1]2026 február'!AH68
)</f>
        <v/>
      </c>
    </row>
    <row r="71" spans="1:37" ht="15" customHeight="1">
      <c r="A71" s="162">
        <v>46080</v>
      </c>
      <c r="B71" s="11"/>
      <c r="C71" s="11"/>
      <c r="D71" s="11"/>
      <c r="E71" s="11"/>
      <c r="F71" s="11"/>
      <c r="G71" s="11"/>
      <c r="H71" s="11"/>
      <c r="I71" s="11"/>
      <c r="J71" s="44"/>
      <c r="K71" s="87"/>
      <c r="L71" s="284"/>
      <c r="M71" s="9"/>
      <c r="N71" s="9"/>
      <c r="P71" s="293" t="str">
        <f>IF('[1]2026 február'!B$27=0,
    "",
    '[1]2026 február'!B$27
)</f>
        <v/>
      </c>
      <c r="Q71" s="293" t="str">
        <f>IF(OR('[1]2026 február'!G69=0,
       ISBLANK('[1]2026 február'!G69)),
    "",
    '[1]2026 február'!G69
)</f>
        <v/>
      </c>
      <c r="R71" s="11">
        <f>'[1]2026 február'!W69</f>
        <v>0</v>
      </c>
      <c r="S71" s="11"/>
      <c r="T71" s="11"/>
      <c r="U71" s="10"/>
      <c r="V71" s="293" t="str">
        <f>IF('[1]2026 február'!S69=0,
    "",
    '[1]2026 február'!S69
)</f>
        <v/>
      </c>
      <c r="W71" s="293" t="str">
        <f>IF('[1]2026 február'!T69=0,
    "",
    '[1]2026 február'!T69
)</f>
        <v/>
      </c>
      <c r="X71" s="293" t="str">
        <f>IF('[1]2026 február'!U69=0,
    "",
    '[1]2026 február'!U69
)</f>
        <v/>
      </c>
      <c r="Y71" s="293" t="str">
        <f>IF('[1]2026 február'!V69=0,
    "",
    '[1]2026 február'!V69
)</f>
        <v/>
      </c>
      <c r="Z71" s="293" t="str">
        <f>IF('[1]2026 február'!W69=0,
    "",
    '[1]2026 február'!W69
)</f>
        <v/>
      </c>
      <c r="AA71" s="293" t="str">
        <f>IF('[1]2026 február'!X69=0,
    "",
    '[1]2026 február'!X69
)</f>
        <v/>
      </c>
      <c r="AB71" s="293" t="str">
        <f>IF('[1]2026 február'!Y69=0,
    "",
    '[1]2026 február'!Y69
)</f>
        <v/>
      </c>
      <c r="AC71" s="293" t="str">
        <f>IF('[1]2026 február'!Z69=0,
    "",
    '[1]2026 február'!Z69
)</f>
        <v/>
      </c>
      <c r="AD71" s="245" t="str">
        <f>IF('[1]2026 február'!AA69=0,
    "",
    '[1]2026 február'!AA69
)</f>
        <v/>
      </c>
      <c r="AE71" s="245" t="str">
        <f>IF('[1]2026 február'!AB$28=0,
    "",
    '[1]2026 február'!AB$28
)</f>
        <v/>
      </c>
      <c r="AF71" s="245" t="str">
        <f>IF('[1]2026 február'!AC$28=0,
    "",
    '[1]2026 február'!AC$28
)</f>
        <v/>
      </c>
      <c r="AG71" s="245" t="str">
        <f>IF('[1]2026 február'!AD$28=0,
    "",
    '[1]2026 február'!AD$28
)</f>
        <v/>
      </c>
      <c r="AH71" s="245" t="str">
        <f>IF('[1]2026 február'!AE69=0,
    "",
    '[1]2026 február'!AE69
)</f>
        <v/>
      </c>
      <c r="AI71" s="245" t="str">
        <f>IF('[1]2026 február'!AF69=0,
    "",
    '[1]2026 február'!AF69
)</f>
        <v/>
      </c>
      <c r="AJ71" s="245" t="str">
        <f>IF('[1]2026 február'!AG69=0,
    "",
    '[1]2026 február'!AG69
)</f>
        <v/>
      </c>
      <c r="AK71" s="245" t="str">
        <f>IF('[1]2026 február'!AH69=0,
    "",
    '[1]2026 február'!AH69
)</f>
        <v/>
      </c>
    </row>
    <row r="72" spans="1:37" ht="15" customHeight="1">
      <c r="A72" s="162">
        <v>46081</v>
      </c>
      <c r="B72" s="163"/>
      <c r="C72" s="163"/>
      <c r="D72" s="163"/>
      <c r="E72" s="163"/>
      <c r="F72" s="163"/>
      <c r="G72" s="163"/>
      <c r="H72" s="163"/>
      <c r="I72" s="163"/>
      <c r="J72" s="164"/>
      <c r="K72" s="167"/>
      <c r="L72" s="283"/>
      <c r="M72" s="179"/>
      <c r="N72" s="179"/>
      <c r="P72" s="293" t="str">
        <f>IF('[1]2026 február'!B$28=0,
    "",
    '[1]2026 február'!B$28
)</f>
        <v/>
      </c>
      <c r="Q72" s="293" t="str">
        <f>IF(OR('[1]2026 február'!G70=0,
       ISBLANK('[1]2026 február'!G70)),
    "",
    '[1]2026 február'!G70
)</f>
        <v/>
      </c>
      <c r="R72" s="11">
        <f>'[1]2026 február'!W70</f>
        <v>0</v>
      </c>
      <c r="S72" s="11"/>
      <c r="T72" s="11"/>
      <c r="U72" s="10"/>
      <c r="V72" s="293" t="str">
        <f>IF('[1]2026 február'!S70=0,
    "",
    '[1]2026 február'!S70
)</f>
        <v/>
      </c>
      <c r="W72" s="293" t="str">
        <f>IF('[1]2026 február'!T70=0,
    "",
    '[1]2026 február'!T70
)</f>
        <v/>
      </c>
      <c r="X72" s="293" t="str">
        <f>IF('[1]2026 február'!U70=0,
    "",
    '[1]2026 február'!U70
)</f>
        <v/>
      </c>
      <c r="Y72" s="293" t="str">
        <f>IF('[1]2026 február'!V70=0,
    "",
    '[1]2026 február'!V70
)</f>
        <v/>
      </c>
      <c r="Z72" s="293" t="str">
        <f>IF('[1]2026 február'!W70=0,
    "",
    '[1]2026 február'!W70
)</f>
        <v/>
      </c>
      <c r="AA72" s="293" t="str">
        <f>IF('[1]2026 február'!X70=0,
    "",
    '[1]2026 február'!X70
)</f>
        <v/>
      </c>
      <c r="AB72" s="293" t="str">
        <f>IF('[1]2026 február'!Y70=0,
    "",
    '[1]2026 február'!Y70
)</f>
        <v/>
      </c>
      <c r="AC72" s="293" t="str">
        <f>IF('[1]2026 február'!Z70=0,
    "",
    '[1]2026 február'!Z70
)</f>
        <v/>
      </c>
      <c r="AD72" s="245" t="str">
        <f>IF('[1]2026 február'!AA70=0,
    "",
    '[1]2026 február'!AA70
)</f>
        <v/>
      </c>
      <c r="AE72" s="245" t="str">
        <f>IF('[1]2026 február'!AB$29=0,
    "",
    '[1]2026 február'!AB$29
)</f>
        <v/>
      </c>
      <c r="AF72" s="245" t="str">
        <f>IF('[1]2026 február'!AC$29=0,
    "",
    '[1]2026 február'!AC$29
)</f>
        <v/>
      </c>
      <c r="AG72" s="245" t="str">
        <f>IF('[1]2026 február'!AD$29=0,
    "",
    '[1]2026 február'!AD$29
)</f>
        <v/>
      </c>
      <c r="AH72" s="245" t="str">
        <f>IF('[1]2026 február'!AE70=0,
    "",
    '[1]2026 február'!AE70
)</f>
        <v/>
      </c>
      <c r="AI72" s="245" t="str">
        <f>IF('[1]2026 február'!AF70=0,
    "",
    '[1]2026 február'!AF70
)</f>
        <v/>
      </c>
      <c r="AJ72" s="245" t="str">
        <f>IF('[1]2026 február'!AG70=0,
    "",
    '[1]2026 február'!AG70
)</f>
        <v/>
      </c>
      <c r="AK72" s="245" t="str">
        <f>IF('[1]2026 február'!AH70=0,
    "",
    '[1]2026 február'!AH70
)</f>
        <v/>
      </c>
    </row>
    <row r="73" spans="1:37" ht="15" customHeight="1">
      <c r="A73" s="5"/>
      <c r="B73" s="11"/>
      <c r="C73" s="11"/>
      <c r="D73" s="11"/>
      <c r="E73" s="11"/>
      <c r="F73" s="11"/>
      <c r="G73" s="11"/>
      <c r="H73" s="11"/>
      <c r="I73" s="11"/>
      <c r="J73" s="44"/>
      <c r="K73" s="87"/>
      <c r="L73" s="284"/>
      <c r="M73" s="9"/>
      <c r="N73" s="9"/>
      <c r="P73" s="293" t="str">
        <f>IF('[1]2026 február'!B$29=0,
    "",
    '[1]2026 február'!B$29
)</f>
        <v/>
      </c>
      <c r="Q73" s="293" t="str">
        <f>IF(OR('[1]2026 február'!G71=0,
       ISBLANK('[1]2026 február'!G71)),
    "",
    '[1]2026 február'!G71
)</f>
        <v/>
      </c>
      <c r="R73" s="11">
        <f>'[1]2026 február'!W71</f>
        <v>0</v>
      </c>
      <c r="S73" s="11"/>
      <c r="T73" s="11"/>
      <c r="U73" s="10"/>
      <c r="V73" s="293" t="str">
        <f>IF('[1]2026 február'!S71=0,
    "",
    '[1]2026 február'!S71
)</f>
        <v/>
      </c>
      <c r="W73" s="293" t="str">
        <f>IF('[1]2026 február'!T71=0,
    "",
    '[1]2026 február'!T71
)</f>
        <v/>
      </c>
      <c r="X73" s="293" t="str">
        <f>IF('[1]2026 február'!U71=0,
    "",
    '[1]2026 február'!U71
)</f>
        <v/>
      </c>
      <c r="Y73" s="293" t="str">
        <f>IF('[1]2026 február'!V71=0,
    "",
    '[1]2026 február'!V71
)</f>
        <v/>
      </c>
      <c r="Z73" s="293" t="str">
        <f>IF('[1]2026 február'!W71=0,
    "",
    '[1]2026 február'!W71
)</f>
        <v/>
      </c>
      <c r="AA73" s="293" t="str">
        <f>IF('[1]2026 február'!X71=0,
    "",
    '[1]2026 február'!X71
)</f>
        <v/>
      </c>
      <c r="AB73" s="293" t="str">
        <f>IF('[1]2026 február'!Y71=0,
    "",
    '[1]2026 február'!Y71
)</f>
        <v/>
      </c>
      <c r="AC73" s="293" t="str">
        <f>IF('[1]2026 február'!Z71=0,
    "",
    '[1]2026 február'!Z71
)</f>
        <v/>
      </c>
      <c r="AD73" s="245" t="str">
        <f>IF('[1]2026 február'!AA71=0,
    "",
    '[1]2026 február'!AA71
)</f>
        <v/>
      </c>
      <c r="AE73" s="245" t="str">
        <f>IF('[1]2026 február'!AB$30=0,
    "",
    '[1]2026 február'!AB$30
)</f>
        <v/>
      </c>
      <c r="AF73" s="245" t="str">
        <f>IF('[1]2026 február'!AC$30=0,
    "",
    '[1]2026 február'!AC$30
)</f>
        <v/>
      </c>
      <c r="AG73" s="245" t="str">
        <f>IF('[1]2026 február'!AD$30=0,
    "",
    '[1]2026 február'!AD$30
)</f>
        <v/>
      </c>
      <c r="AH73" s="245" t="str">
        <f>IF('[1]2026 február'!AE71=0,
    "",
    '[1]2026 február'!AE71
)</f>
        <v/>
      </c>
      <c r="AI73" s="245" t="str">
        <f>IF('[1]2026 február'!AF71=0,
    "",
    '[1]2026 február'!AF71
)</f>
        <v/>
      </c>
      <c r="AJ73" s="245" t="str">
        <f>IF('[1]2026 február'!AG71=0,
    "",
    '[1]2026 február'!AG71
)</f>
        <v/>
      </c>
      <c r="AK73" s="245" t="str">
        <f>IF('[1]2026 február'!AH71=0,
    "",
    '[1]2026 február'!AH71
)</f>
        <v/>
      </c>
    </row>
    <row r="74" spans="1:37" ht="15" customHeight="1">
      <c r="A74" s="5"/>
      <c r="B74" s="11"/>
      <c r="C74" s="11"/>
      <c r="D74" s="11"/>
      <c r="E74" s="11"/>
      <c r="F74" s="11"/>
      <c r="G74" s="11"/>
      <c r="H74" s="11"/>
      <c r="I74" s="11"/>
      <c r="J74" s="44"/>
      <c r="K74" s="87"/>
      <c r="L74" s="284"/>
      <c r="M74" s="9"/>
      <c r="N74" s="9"/>
      <c r="P74" s="293" t="str">
        <f>IF('[1]2026 február'!B$30=0,
    "",
    '[1]2026 február'!B$30
)</f>
        <v/>
      </c>
      <c r="Q74" s="293" t="str">
        <f>IF(OR('[1]2026 február'!G72=0,
       ISBLANK('[1]2026 február'!G72)),
    "",
    '[1]2026 február'!G72
)</f>
        <v/>
      </c>
      <c r="R74" s="11">
        <f>'[1]2026 február'!W72</f>
        <v>0</v>
      </c>
      <c r="S74" s="11"/>
      <c r="T74" s="11"/>
      <c r="U74" s="10"/>
      <c r="V74" s="293" t="str">
        <f>IF('[1]2026 február'!S72=0,
    "",
    '[1]2026 február'!S72
)</f>
        <v/>
      </c>
      <c r="W74" s="293" t="str">
        <f>IF('[1]2026 február'!T72=0,
    "",
    '[1]2026 február'!T72
)</f>
        <v/>
      </c>
      <c r="X74" s="293" t="str">
        <f>IF('[1]2026 február'!U72=0,
    "",
    '[1]2026 február'!U72
)</f>
        <v/>
      </c>
      <c r="Y74" s="293" t="str">
        <f>IF('[1]2026 február'!V72=0,
    "",
    '[1]2026 február'!V72
)</f>
        <v/>
      </c>
      <c r="Z74" s="293" t="str">
        <f>IF('[1]2026 február'!W72=0,
    "",
    '[1]2026 február'!W72
)</f>
        <v/>
      </c>
      <c r="AA74" s="293" t="str">
        <f>IF('[1]2026 február'!X72=0,
    "",
    '[1]2026 február'!X72
)</f>
        <v/>
      </c>
      <c r="AB74" s="293" t="str">
        <f>IF('[1]2026 február'!Y72=0,
    "",
    '[1]2026 február'!Y72
)</f>
        <v/>
      </c>
      <c r="AC74" s="293" t="str">
        <f>IF('[1]2026 február'!Z72=0,
    "",
    '[1]2026 február'!Z72
)</f>
        <v/>
      </c>
      <c r="AD74" s="245" t="str">
        <f>IF('[1]2026 február'!AA72=0,
    "",
    '[1]2026 február'!AA72
)</f>
        <v/>
      </c>
      <c r="AE74" s="245" t="str">
        <f>IF('[1]2026 február'!AB$31=0,
    "",
    '[1]2026 február'!AB$31
)</f>
        <v/>
      </c>
      <c r="AF74" s="245" t="str">
        <f>IF('[1]2026 február'!AC$31=0,
    "",
    '[1]2026 február'!AC$31
)</f>
        <v/>
      </c>
      <c r="AG74" s="245" t="str">
        <f>IF('[1]2026 február'!AD$31=0,
    "",
    '[1]2026 február'!AD$31
)</f>
        <v/>
      </c>
      <c r="AH74" s="245" t="str">
        <f>IF('[1]2026 február'!AE72=0,
    "",
    '[1]2026 február'!AE72
)</f>
        <v/>
      </c>
      <c r="AI74" s="245" t="str">
        <f>IF('[1]2026 február'!AF72=0,
    "",
    '[1]2026 február'!AF72
)</f>
        <v/>
      </c>
      <c r="AJ74" s="245" t="str">
        <f>IF('[1]2026 február'!AG72=0,
    "",
    '[1]2026 február'!AG72
)</f>
        <v/>
      </c>
      <c r="AK74" s="245" t="str">
        <f>IF('[1]2026 február'!AH72=0,
    "",
    '[1]2026 február'!AH72
)</f>
        <v/>
      </c>
    </row>
    <row r="75" spans="1:37" ht="15" customHeight="1">
      <c r="A75" s="162"/>
      <c r="B75" s="11"/>
      <c r="C75" s="11"/>
      <c r="D75" s="11"/>
      <c r="E75" s="11"/>
      <c r="F75" s="11"/>
      <c r="G75" s="11"/>
      <c r="H75" s="11"/>
      <c r="I75" s="11"/>
      <c r="J75" s="229"/>
      <c r="K75" s="230"/>
      <c r="L75" s="412"/>
      <c r="M75" s="413"/>
      <c r="N75" s="9"/>
      <c r="P75" s="293" t="str">
        <f>IF('[1]2026 február'!B$31=0,
    "",
    '[1]2026 február'!B$31
)</f>
        <v/>
      </c>
      <c r="Q75" s="293" t="str">
        <f>IF(OR('[1]2026 február'!G73=0,
       ISBLANK('[1]2026 február'!G73)),
    "",
    '[1]2026 február'!G73
)</f>
        <v/>
      </c>
      <c r="R75" s="11">
        <f>'[1]2026 február'!W73</f>
        <v>0</v>
      </c>
      <c r="S75" s="11"/>
      <c r="T75" s="11"/>
      <c r="U75" s="10"/>
      <c r="V75" s="293" t="str">
        <f>IF('[1]2026 február'!S73=0,
    "",
    '[1]2026 február'!S73
)</f>
        <v/>
      </c>
      <c r="W75" s="293" t="str">
        <f>IF('[1]2026 február'!T73=0,
    "",
    '[1]2026 február'!T73
)</f>
        <v/>
      </c>
      <c r="X75" s="293" t="str">
        <f>IF('[1]2026 február'!U73=0,
    "",
    '[1]2026 február'!U73
)</f>
        <v/>
      </c>
      <c r="Y75" s="293" t="str">
        <f>IF('[1]2026 február'!V73=0,
    "",
    '[1]2026 február'!V73
)</f>
        <v/>
      </c>
      <c r="Z75" s="293" t="str">
        <f>IF('[1]2026 február'!W73=0,
    "",
    '[1]2026 február'!W73
)</f>
        <v/>
      </c>
      <c r="AA75" s="293" t="str">
        <f>IF('[1]2026 február'!X73=0,
    "",
    '[1]2026 február'!X73
)</f>
        <v/>
      </c>
      <c r="AB75" s="293" t="str">
        <f>IF('[1]2026 február'!Y73=0,
    "",
    '[1]2026 február'!Y73
)</f>
        <v/>
      </c>
      <c r="AC75" s="293" t="str">
        <f>IF('[1]2026 február'!Z73=0,
    "",
    '[1]2026 február'!Z73
)</f>
        <v/>
      </c>
      <c r="AD75" s="245" t="str">
        <f>IF('[1]2026 február'!AA73=0,
    "",
    '[1]2026 február'!AA73
)</f>
        <v/>
      </c>
      <c r="AE75" s="245" t="str">
        <f>IF('[1]2026 február'!AB$32=0,
    "",
    '[1]2026 február'!AB$32
)</f>
        <v/>
      </c>
      <c r="AF75" s="245" t="str">
        <f>IF('[1]2026 február'!AC$32=0,
    "",
    '[1]2026 február'!AC$32
)</f>
        <v/>
      </c>
      <c r="AG75" s="245" t="str">
        <f>IF('[1]2026 február'!AD$32=0,
    "",
    '[1]2026 február'!AD$32
)</f>
        <v/>
      </c>
      <c r="AH75" s="245" t="str">
        <f>IF('[1]2026 február'!AE73=0,
    "",
    '[1]2026 február'!AE73
)</f>
        <v/>
      </c>
      <c r="AI75" s="245" t="str">
        <f>IF('[1]2026 február'!AF73=0,
    "",
    '[1]2026 február'!AF73
)</f>
        <v/>
      </c>
      <c r="AJ75" s="245" t="str">
        <f>IF('[1]2026 február'!AG73=0,
    "",
    '[1]2026 február'!AG73
)</f>
        <v/>
      </c>
      <c r="AK75" s="245" t="str">
        <f>IF('[1]2026 február'!AH73=0,
    "",
    '[1]2026 február'!AH73
)</f>
        <v/>
      </c>
    </row>
    <row r="76" spans="1:37" ht="15" customHeight="1">
      <c r="A76" s="21" t="s">
        <v>43</v>
      </c>
      <c r="B76" s="389"/>
      <c r="C76" s="22">
        <f>SUM(C43:C75)</f>
        <v>5300</v>
      </c>
      <c r="D76" s="22">
        <f>SUM(D43:D75)</f>
        <v>1426133</v>
      </c>
      <c r="E76" s="22">
        <f>SUM(E43:E75)</f>
        <v>3504</v>
      </c>
      <c r="F76" s="22">
        <f>SUM(F43:F75)</f>
        <v>350355</v>
      </c>
      <c r="G76" s="23">
        <f>SUM(G43:G75)</f>
        <v>146140</v>
      </c>
      <c r="H76" s="23">
        <f>SUM(H45:H75)</f>
        <v>1639152</v>
      </c>
      <c r="I76" s="47"/>
      <c r="J76" s="37"/>
      <c r="K76" s="19"/>
      <c r="L76" s="278"/>
      <c r="M76" s="9"/>
      <c r="N76" s="208"/>
      <c r="P76" s="293" t="str">
        <f>IF('[1]2026 február'!B$32=0,
    "",
    '[1]2026 február'!B$32
)</f>
        <v/>
      </c>
      <c r="Q76" s="293" t="str">
        <f>IF(OR('[1]2026 február'!G74=0,
       ISBLANK('[1]2026 február'!G74)),
    "",
    '[1]2026 február'!G74
)</f>
        <v/>
      </c>
      <c r="R76" s="259">
        <f>'[1]2026 február'!W74</f>
        <v>0</v>
      </c>
      <c r="S76" s="10"/>
      <c r="T76" s="10"/>
      <c r="U76" s="10"/>
      <c r="V76" s="294" t="str">
        <f>IF('[1]2026 február'!S74=0,
    "",
    '[1]2026 február'!S74
)</f>
        <v/>
      </c>
      <c r="W76" s="294" t="str">
        <f>IF('[1]2026 február'!T74=0,
    "",
    '[1]2026 február'!T74
)</f>
        <v/>
      </c>
      <c r="X76" s="294" t="str">
        <f>IF('[1]2026 február'!U74=0,
    "",
    '[1]2026 február'!U74
)</f>
        <v/>
      </c>
      <c r="Y76" s="294" t="str">
        <f>IF('[1]2026 február'!V74=0,
    "",
    '[1]2026 február'!V74
)</f>
        <v/>
      </c>
      <c r="Z76" s="294" t="str">
        <f>IF('[1]2026 február'!W74=0,
    "",
    '[1]2026 február'!W74
)</f>
        <v/>
      </c>
      <c r="AA76" s="294" t="str">
        <f>IF('[1]2026 február'!X74=0,
    "",
    '[1]2026 február'!X74
)</f>
        <v/>
      </c>
      <c r="AB76" s="294" t="str">
        <f>IF('[1]2026 február'!Y74=0,
    "",
    '[1]2026 február'!Y74
)</f>
        <v/>
      </c>
      <c r="AC76" s="294" t="str">
        <f>IF('[1]2026 február'!Z74=0,
    "",
    '[1]2026 február'!Z74
)</f>
        <v/>
      </c>
      <c r="AD76" s="260" t="str">
        <f>IF('[1]2026 február'!AA74=0,
    "",
    '[1]2026 február'!AA74
)</f>
        <v/>
      </c>
      <c r="AE76" s="260" t="str">
        <f>IF('[1]2026 február'!AB$33=0,
    "",
    '[1]2026 február'!AB$33
)</f>
        <v/>
      </c>
      <c r="AF76" s="260" t="str">
        <f>IF('[1]2026 február'!AC$33=0,
    "",
    '[1]2026 február'!AC$33
)</f>
        <v/>
      </c>
      <c r="AG76" s="260" t="str">
        <f>IF('[1]2026 február'!AD$33=0,
    "",
    '[1]2026 február'!AD$33
)</f>
        <v/>
      </c>
      <c r="AH76" s="260" t="str">
        <f>IF('[1]2026 február'!AE74=0,
    "",
    '[1]2026 február'!AE74
)</f>
        <v/>
      </c>
      <c r="AI76" s="260" t="str">
        <f>IF('[1]2026 február'!AF74=0,
    "",
    '[1]2026 február'!AF74
)</f>
        <v/>
      </c>
      <c r="AJ76" s="260" t="str">
        <f>IF('[1]2026 február'!AG74=0,
    "",
    '[1]2026 február'!AG74
)</f>
        <v/>
      </c>
      <c r="AK76" s="260" t="str">
        <f>IF('[1]2026 február'!AH74=0,
    "",
    '[1]2026 február'!AH74
)</f>
        <v/>
      </c>
    </row>
    <row r="77" spans="1:37" ht="15" customHeight="1">
      <c r="A77" s="5"/>
      <c r="B77" s="11"/>
      <c r="C77" s="34">
        <f>C76+D76+E76+F76</f>
        <v>1785292</v>
      </c>
      <c r="D77" s="10"/>
      <c r="E77" s="10"/>
      <c r="F77" s="10"/>
      <c r="G77" s="62">
        <f>G76+H76</f>
        <v>1785292</v>
      </c>
      <c r="H77" s="10"/>
      <c r="I77" s="10"/>
      <c r="J77" s="38"/>
      <c r="K77" s="11"/>
      <c r="L77" s="286"/>
      <c r="M77" s="9"/>
      <c r="N77" s="208"/>
      <c r="P77" s="293">
        <f>IF('[1]2026 február'!B$33=0,
    "",
    '[1]2026 február'!B$33
)</f>
        <v>1812625</v>
      </c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81" spans="1:11" ht="15" customHeight="1">
      <c r="A81" s="436" t="s">
        <v>108</v>
      </c>
      <c r="B81" s="437"/>
      <c r="C81" s="438"/>
      <c r="D81" s="438"/>
      <c r="E81" s="438"/>
      <c r="F81" s="439"/>
      <c r="G81" s="439"/>
      <c r="H81" s="439"/>
      <c r="I81" s="439"/>
      <c r="J81" s="440"/>
      <c r="K81" s="441"/>
    </row>
    <row r="82" spans="1:11" ht="15" customHeight="1">
      <c r="A82" s="442"/>
      <c r="B82" s="435"/>
      <c r="C82" s="435"/>
      <c r="D82" s="435"/>
      <c r="E82" s="435"/>
      <c r="F82" s="435"/>
      <c r="G82" s="429"/>
      <c r="H82" s="429"/>
      <c r="I82" s="429"/>
      <c r="J82" s="429"/>
      <c r="K82" s="443"/>
    </row>
    <row r="83" spans="1:11" ht="15" customHeight="1">
      <c r="A83" s="477"/>
      <c r="B83" s="478"/>
      <c r="C83" s="478"/>
      <c r="D83" s="478"/>
      <c r="E83" s="478"/>
      <c r="F83" s="478"/>
      <c r="G83" s="444"/>
      <c r="H83" s="444"/>
      <c r="I83" s="444"/>
      <c r="J83" s="444"/>
      <c r="K83" s="445"/>
    </row>
  </sheetData>
  <sheetProtection formatCells="0" formatColumns="0" formatRows="0"/>
  <protectedRanges>
    <protectedRange sqref="A1 J1:K1 O1 C1:H1 Q1:IA1" name="Range2"/>
    <protectedRange sqref="I1" name="Range2_1"/>
    <protectedRange sqref="T2:AK2 T44:AK44" name="Range1_2_1_2"/>
    <protectedRange sqref="B37:B39 B43 B84:B502 B78:B80" name="Range1"/>
    <protectedRange sqref="B1" name="Range1_1"/>
  </protectedRanges>
  <mergeCells count="2">
    <mergeCell ref="A42:F42"/>
    <mergeCell ref="A83:F83"/>
  </mergeCells>
  <conditionalFormatting sqref="L40:AN42 O1 F40:K40 A1:A39 AL2:AN35 C2:O35 C1:L1 C43:AN43 Q1:AN1 C84:AN19558 AL44:AN83 A84:A19558 L81:AK83 C44:O76 C77:AK80 A43:A80 C36:AN39 F81:K81">
    <cfRule type="containsText" dxfId="518" priority="27" stopIfTrue="1" operator="containsText" text="ELTÉRÉS!">
      <formula>NOT(ISERROR(SEARCH("ELTÉRÉS!",A1)))</formula>
    </cfRule>
    <cfRule type="containsText" dxfId="517" priority="28" stopIfTrue="1" operator="containsText" text="STIMMEL!">
      <formula>NOT(ISERROR(SEARCH("STIMMEL!",A1)))</formula>
    </cfRule>
  </conditionalFormatting>
  <conditionalFormatting sqref="L40:AN42 O1 F40:K40 A1:A39 AL2:AN35 C2:O35 C1:L1 C43:AN43 Q1:AN1 C84:AN558 AL44:AN83 A84:A558 L81:AK83 C44:O76 C77:AK80 A43:A80 C36:AN39 F81:K81">
    <cfRule type="cellIs" dxfId="516" priority="26" operator="equal">
      <formula>0.01</formula>
    </cfRule>
  </conditionalFormatting>
  <conditionalFormatting sqref="A40">
    <cfRule type="containsText" dxfId="515" priority="23" stopIfTrue="1" operator="containsText" text="ELTÉRÉS!">
      <formula>NOT(ISERROR(SEARCH("ELTÉRÉS!",A40)))</formula>
    </cfRule>
    <cfRule type="containsText" dxfId="514" priority="24" stopIfTrue="1" operator="containsText" text="STIMMEL!">
      <formula>NOT(ISERROR(SEARCH("STIMMEL!",A40)))</formula>
    </cfRule>
  </conditionalFormatting>
  <conditionalFormatting sqref="A40">
    <cfRule type="cellIs" dxfId="513" priority="22" operator="equal">
      <formula>0.01</formula>
    </cfRule>
  </conditionalFormatting>
  <conditionalFormatting sqref="B2:B34">
    <cfRule type="containsText" dxfId="512" priority="20" stopIfTrue="1" operator="containsText" text="ELTÉRÉS!">
      <formula>NOT(ISERROR(SEARCH("ELTÉRÉS!",B2)))</formula>
    </cfRule>
    <cfRule type="containsText" dxfId="511" priority="21" stopIfTrue="1" operator="containsText" text="STIMMEL!">
      <formula>NOT(ISERROR(SEARCH("STIMMEL!",B2)))</formula>
    </cfRule>
  </conditionalFormatting>
  <conditionalFormatting sqref="B2:B34">
    <cfRule type="cellIs" dxfId="510" priority="19" operator="equal">
      <formula>0.01</formula>
    </cfRule>
  </conditionalFormatting>
  <conditionalFormatting sqref="B40">
    <cfRule type="containsText" dxfId="509" priority="17" stopIfTrue="1" operator="containsText" text="ELTÉRÉS!">
      <formula>NOT(ISERROR(SEARCH("ELTÉRÉS!",B40)))</formula>
    </cfRule>
    <cfRule type="containsText" dxfId="508" priority="18" stopIfTrue="1" operator="containsText" text="STIMMEL!">
      <formula>NOT(ISERROR(SEARCH("STIMMEL!",B40)))</formula>
    </cfRule>
  </conditionalFormatting>
  <conditionalFormatting sqref="B40">
    <cfRule type="cellIs" dxfId="507" priority="16" operator="equal">
      <formula>0.01</formula>
    </cfRule>
  </conditionalFormatting>
  <conditionalFormatting sqref="B44:B75">
    <cfRule type="containsText" dxfId="506" priority="11" stopIfTrue="1" operator="containsText" text="ELTÉRÉS!">
      <formula>NOT(ISERROR(SEARCH("ELTÉRÉS!",B44)))</formula>
    </cfRule>
    <cfRule type="containsText" dxfId="505" priority="12" stopIfTrue="1" operator="containsText" text="STIMMEL!">
      <formula>NOT(ISERROR(SEARCH("STIMMEL!",B44)))</formula>
    </cfRule>
  </conditionalFormatting>
  <conditionalFormatting sqref="B44:B75">
    <cfRule type="cellIs" dxfId="504" priority="10" operator="equal">
      <formula>0.01</formula>
    </cfRule>
  </conditionalFormatting>
  <conditionalFormatting sqref="A81">
    <cfRule type="containsText" dxfId="503" priority="5" stopIfTrue="1" operator="containsText" text="ELTÉRÉS!">
      <formula>NOT(ISERROR(SEARCH("ELTÉRÉS!",A81)))</formula>
    </cfRule>
    <cfRule type="containsText" dxfId="502" priority="6" stopIfTrue="1" operator="containsText" text="STIMMEL!">
      <formula>NOT(ISERROR(SEARCH("STIMMEL!",A81)))</formula>
    </cfRule>
  </conditionalFormatting>
  <conditionalFormatting sqref="A81">
    <cfRule type="cellIs" dxfId="501" priority="4" operator="equal">
      <formula>0.01</formula>
    </cfRule>
  </conditionalFormatting>
  <conditionalFormatting sqref="B81">
    <cfRule type="containsText" dxfId="500" priority="2" stopIfTrue="1" operator="containsText" text="ELTÉRÉS!">
      <formula>NOT(ISERROR(SEARCH("ELTÉRÉS!",B81)))</formula>
    </cfRule>
    <cfRule type="containsText" dxfId="499" priority="3" stopIfTrue="1" operator="containsText" text="STIMMEL!">
      <formula>NOT(ISERROR(SEARCH("STIMMEL!",B81)))</formula>
    </cfRule>
  </conditionalFormatting>
  <conditionalFormatting sqref="B81">
    <cfRule type="cellIs" dxfId="498" priority="1" operator="equal">
      <formula>0.01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82AA-7EF3-47A7-A56C-BD11F8D87960}">
  <dimension ref="A1:CT459"/>
  <sheetViews>
    <sheetView workbookViewId="0">
      <pane ySplit="1" topLeftCell="BU39" activePane="bottomLeft" state="frozen"/>
      <selection pane="bottomLeft" activeCell="BU50" sqref="BU50"/>
    </sheetView>
  </sheetViews>
  <sheetFormatPr defaultRowHeight="15" customHeight="1"/>
  <cols>
    <col min="1" max="1" width="14.140625" style="82" customWidth="1"/>
    <col min="2" max="2" width="16" style="383" customWidth="1"/>
    <col min="3" max="3" width="12" customWidth="1"/>
    <col min="4" max="4" width="13" customWidth="1"/>
    <col min="5" max="5" width="11.140625" customWidth="1"/>
    <col min="6" max="6" width="11" customWidth="1"/>
    <col min="7" max="7" width="12" customWidth="1"/>
    <col min="8" max="8" width="12.85546875" bestFit="1" customWidth="1"/>
    <col min="9" max="10" width="12.85546875" customWidth="1"/>
    <col min="11" max="11" width="11.85546875" customWidth="1"/>
    <col min="12" max="12" width="20.28515625" style="287" customWidth="1"/>
    <col min="13" max="13" width="16" style="287" customWidth="1"/>
    <col min="14" max="14" width="9.28515625" style="157" customWidth="1"/>
    <col min="15" max="15" width="16.5703125" style="155" customWidth="1"/>
    <col min="16" max="16" width="6.28515625" style="155" customWidth="1"/>
    <col min="17" max="17" width="14.28515625" style="4" customWidth="1"/>
    <col min="18" max="18" width="16" style="383" customWidth="1"/>
    <col min="19" max="19" width="12.140625" style="4" customWidth="1"/>
    <col min="20" max="20" width="12.85546875" style="4" bestFit="1" customWidth="1"/>
    <col min="21" max="21" width="10.7109375" style="4" bestFit="1" customWidth="1"/>
    <col min="22" max="22" width="10.85546875" style="4" customWidth="1"/>
    <col min="23" max="23" width="12.28515625" style="4" customWidth="1"/>
    <col min="24" max="24" width="15.42578125" style="4" customWidth="1"/>
    <col min="25" max="26" width="12.85546875" style="4" customWidth="1"/>
    <col min="27" max="27" width="10" style="4" customWidth="1"/>
    <col min="28" max="28" width="18" style="4" customWidth="1"/>
    <col min="29" max="29" width="15" style="4" customWidth="1"/>
    <col min="30" max="30" width="9" customWidth="1"/>
    <col min="31" max="31" width="15.42578125" customWidth="1"/>
    <col min="32" max="32" width="11" customWidth="1"/>
    <col min="33" max="34" width="14" style="4" customWidth="1"/>
    <col min="35" max="35" width="13.5703125" style="4" customWidth="1"/>
    <col min="36" max="36" width="12.85546875" style="4" bestFit="1" customWidth="1"/>
    <col min="37" max="37" width="11.85546875" style="4" customWidth="1"/>
    <col min="38" max="38" width="11.7109375" style="4" customWidth="1"/>
    <col min="39" max="39" width="12.42578125" style="4" customWidth="1"/>
    <col min="40" max="40" width="17.140625" style="4" bestFit="1" customWidth="1"/>
    <col min="41" max="42" width="12.85546875" style="4" customWidth="1"/>
    <col min="43" max="43" width="12.140625" style="4" customWidth="1"/>
    <col min="44" max="44" width="18.5703125" style="4" customWidth="1"/>
    <col min="45" max="45" width="14.5703125" customWidth="1"/>
    <col min="46" max="46" width="9.42578125" customWidth="1"/>
    <col min="47" max="47" width="16.28515625" hidden="1" customWidth="1"/>
    <col min="48" max="48" width="12.140625" hidden="1" customWidth="1"/>
    <col min="49" max="49" width="13.140625" hidden="1" customWidth="1"/>
    <col min="50" max="50" width="14.85546875" hidden="1" customWidth="1"/>
    <col min="51" max="51" width="12.5703125" hidden="1" customWidth="1"/>
    <col min="52" max="52" width="11.42578125" hidden="1" customWidth="1"/>
    <col min="53" max="53" width="13.42578125" hidden="1" customWidth="1"/>
    <col min="54" max="54" width="10.28515625" hidden="1" customWidth="1"/>
    <col min="55" max="55" width="12" hidden="1" customWidth="1"/>
    <col min="56" max="56" width="16.5703125" hidden="1" customWidth="1"/>
    <col min="57" max="57" width="16" hidden="1" customWidth="1"/>
    <col min="58" max="58" width="0" hidden="1" customWidth="1"/>
    <col min="59" max="59" width="18.42578125" customWidth="1"/>
    <col min="61" max="61" width="17.7109375" customWidth="1"/>
    <col min="62" max="62" width="16" style="383" customWidth="1"/>
    <col min="63" max="63" width="12.42578125" customWidth="1"/>
    <col min="64" max="64" width="15.85546875" customWidth="1"/>
    <col min="65" max="65" width="10.7109375" customWidth="1"/>
    <col min="66" max="66" width="17.140625" customWidth="1"/>
    <col min="67" max="67" width="13.140625" customWidth="1"/>
    <col min="68" max="68" width="13.28515625" customWidth="1"/>
    <col min="69" max="69" width="15" customWidth="1"/>
    <col min="70" max="70" width="12.85546875" style="4" customWidth="1"/>
    <col min="72" max="72" width="18.140625" customWidth="1"/>
    <col min="73" max="73" width="14.28515625" customWidth="1"/>
    <col min="74" max="74" width="9.28515625" customWidth="1"/>
    <col min="75" max="75" width="15.5703125" customWidth="1"/>
    <col min="77" max="77" width="16" customWidth="1"/>
    <col min="78" max="78" width="15.42578125" hidden="1" customWidth="1"/>
    <col min="79" max="79" width="13.140625" hidden="1" customWidth="1"/>
    <col min="80" max="80" width="10.28515625" hidden="1" customWidth="1"/>
    <col min="81" max="82" width="0" hidden="1" customWidth="1"/>
    <col min="83" max="83" width="11.28515625" hidden="1" customWidth="1"/>
    <col min="84" max="84" width="17.28515625" hidden="1" customWidth="1"/>
    <col min="85" max="85" width="14.28515625" hidden="1" customWidth="1"/>
    <col min="86" max="89" width="0" hidden="1" customWidth="1"/>
    <col min="90" max="90" width="12.85546875" hidden="1" customWidth="1"/>
    <col min="91" max="93" width="0" hidden="1" customWidth="1"/>
    <col min="94" max="94" width="13.5703125" hidden="1" customWidth="1"/>
  </cols>
  <sheetData>
    <row r="1" spans="1:98" ht="31.5" customHeight="1">
      <c r="A1" s="83" t="s">
        <v>114</v>
      </c>
      <c r="B1" s="377" t="s">
        <v>77</v>
      </c>
      <c r="C1" s="3">
        <v>0</v>
      </c>
      <c r="D1" s="3">
        <v>0.05</v>
      </c>
      <c r="E1" s="3">
        <v>0.18</v>
      </c>
      <c r="F1" s="3">
        <v>0.27</v>
      </c>
      <c r="G1" s="2" t="s">
        <v>78</v>
      </c>
      <c r="H1" s="2" t="s">
        <v>79</v>
      </c>
      <c r="I1" s="48" t="s">
        <v>80</v>
      </c>
      <c r="J1" s="147" t="s">
        <v>115</v>
      </c>
      <c r="K1" s="2" t="s">
        <v>116</v>
      </c>
      <c r="L1" s="272" t="s">
        <v>82</v>
      </c>
      <c r="M1" s="280" t="s">
        <v>83</v>
      </c>
      <c r="N1" s="236" t="s">
        <v>84</v>
      </c>
      <c r="O1" s="238" t="s">
        <v>117</v>
      </c>
      <c r="P1" s="153"/>
      <c r="Q1" s="149" t="s">
        <v>118</v>
      </c>
      <c r="R1" s="377" t="s">
        <v>77</v>
      </c>
      <c r="S1" s="3">
        <v>0</v>
      </c>
      <c r="T1" s="3">
        <v>0.05</v>
      </c>
      <c r="U1" s="3">
        <v>0.18</v>
      </c>
      <c r="V1" s="3">
        <v>0.27</v>
      </c>
      <c r="W1" s="2" t="s">
        <v>78</v>
      </c>
      <c r="X1" s="2" t="s">
        <v>79</v>
      </c>
      <c r="Y1" s="48" t="s">
        <v>80</v>
      </c>
      <c r="Z1" s="152" t="s">
        <v>115</v>
      </c>
      <c r="AA1" s="2" t="s">
        <v>116</v>
      </c>
      <c r="AB1" s="2" t="s">
        <v>82</v>
      </c>
      <c r="AC1" s="75" t="s">
        <v>83</v>
      </c>
      <c r="AD1" s="235" t="s">
        <v>84</v>
      </c>
      <c r="AE1" s="206" t="s">
        <v>117</v>
      </c>
      <c r="AF1" s="1"/>
      <c r="AG1" s="304" t="s">
        <v>119</v>
      </c>
      <c r="AH1" s="377" t="s">
        <v>77</v>
      </c>
      <c r="AI1" s="305">
        <v>0</v>
      </c>
      <c r="AJ1" s="305">
        <v>0.05</v>
      </c>
      <c r="AK1" s="305">
        <v>0.18</v>
      </c>
      <c r="AL1" s="305">
        <v>0.27</v>
      </c>
      <c r="AM1" s="304" t="s">
        <v>78</v>
      </c>
      <c r="AN1" s="304" t="s">
        <v>79</v>
      </c>
      <c r="AO1" s="306" t="s">
        <v>80</v>
      </c>
      <c r="AP1" s="307" t="s">
        <v>115</v>
      </c>
      <c r="AQ1" s="308" t="s">
        <v>116</v>
      </c>
      <c r="AR1" s="304" t="s">
        <v>82</v>
      </c>
      <c r="AS1" s="309" t="s">
        <v>83</v>
      </c>
      <c r="AT1" s="310" t="s">
        <v>84</v>
      </c>
      <c r="AU1" s="311" t="s">
        <v>120</v>
      </c>
      <c r="AV1" s="312">
        <v>0</v>
      </c>
      <c r="AW1" s="312">
        <v>0</v>
      </c>
      <c r="AX1" s="312">
        <v>0</v>
      </c>
      <c r="AY1" s="312">
        <v>0</v>
      </c>
      <c r="AZ1" s="313">
        <v>0</v>
      </c>
      <c r="BA1" s="313">
        <v>0</v>
      </c>
      <c r="BB1" s="314" t="s">
        <v>80</v>
      </c>
      <c r="BC1" s="313">
        <v>0</v>
      </c>
      <c r="BD1" s="313">
        <v>0</v>
      </c>
      <c r="BE1" s="315" t="s">
        <v>83</v>
      </c>
      <c r="BF1" s="316"/>
      <c r="BG1" s="313" t="s">
        <v>117</v>
      </c>
      <c r="BH1" s="317"/>
      <c r="BI1" s="304" t="s">
        <v>21</v>
      </c>
      <c r="BJ1" s="377" t="s">
        <v>77</v>
      </c>
      <c r="BK1" s="305">
        <v>0</v>
      </c>
      <c r="BL1" s="305">
        <v>0.05</v>
      </c>
      <c r="BM1" s="305">
        <v>0.18</v>
      </c>
      <c r="BN1" s="305">
        <v>0.27</v>
      </c>
      <c r="BO1" s="304" t="s">
        <v>78</v>
      </c>
      <c r="BP1" s="304" t="s">
        <v>79</v>
      </c>
      <c r="BQ1" s="306" t="s">
        <v>80</v>
      </c>
      <c r="BR1" s="307" t="s">
        <v>115</v>
      </c>
      <c r="BS1" s="308" t="s">
        <v>121</v>
      </c>
      <c r="BT1" s="318" t="s">
        <v>122</v>
      </c>
      <c r="BU1" s="319" t="s">
        <v>83</v>
      </c>
      <c r="BV1" s="313" t="s">
        <v>84</v>
      </c>
      <c r="BW1" s="313" t="s">
        <v>85</v>
      </c>
      <c r="BY1" s="299" t="str">
        <f>'[2]2026 január'!B$1</f>
        <v>Novohost</v>
      </c>
    </row>
    <row r="2" spans="1:98" s="31" customFormat="1" ht="21">
      <c r="A2" s="81" t="s">
        <v>3</v>
      </c>
      <c r="B2" s="378"/>
      <c r="C2" s="30"/>
      <c r="D2" s="30"/>
      <c r="E2" s="30"/>
      <c r="F2" s="30"/>
      <c r="G2" s="30"/>
      <c r="H2" s="30"/>
      <c r="I2" s="30"/>
      <c r="J2" s="30"/>
      <c r="K2" s="39"/>
      <c r="L2" s="273"/>
      <c r="M2" s="281"/>
      <c r="N2" s="237"/>
      <c r="O2" s="154"/>
      <c r="P2" s="154"/>
      <c r="Q2" s="81" t="s">
        <v>3</v>
      </c>
      <c r="R2" s="378"/>
      <c r="S2" s="30"/>
      <c r="T2" s="30"/>
      <c r="U2" s="30"/>
      <c r="V2" s="30"/>
      <c r="W2" s="30"/>
      <c r="X2" s="30"/>
      <c r="Y2" s="30"/>
      <c r="Z2" s="30"/>
      <c r="AA2" s="39"/>
      <c r="AB2" s="30"/>
      <c r="AG2" s="320" t="s">
        <v>3</v>
      </c>
      <c r="AH2" s="378"/>
      <c r="AI2" s="321"/>
      <c r="AJ2" s="321"/>
      <c r="AK2" s="321"/>
      <c r="AL2" s="321"/>
      <c r="AM2" s="321"/>
      <c r="AN2" s="321"/>
      <c r="AO2" s="321"/>
      <c r="AP2" s="321"/>
      <c r="AQ2" s="322"/>
      <c r="AR2" s="321"/>
      <c r="AS2" s="323"/>
      <c r="AT2" s="323"/>
      <c r="AU2" s="320" t="s">
        <v>3</v>
      </c>
      <c r="AV2" s="323"/>
      <c r="AW2" s="323"/>
      <c r="AX2" s="323"/>
      <c r="AY2" s="323"/>
      <c r="AZ2" s="323"/>
      <c r="BA2" s="323"/>
      <c r="BB2" s="323"/>
      <c r="BC2" s="323"/>
      <c r="BD2" s="322"/>
      <c r="BE2" s="323"/>
      <c r="BF2" s="323"/>
      <c r="BG2" s="323"/>
      <c r="BH2" s="323"/>
      <c r="BI2" s="324" t="s">
        <v>3</v>
      </c>
      <c r="BJ2" s="378"/>
      <c r="BK2" s="323"/>
      <c r="BL2" s="323"/>
      <c r="BM2" s="323"/>
      <c r="BN2" s="323"/>
      <c r="BO2" s="323"/>
      <c r="BP2" s="323"/>
      <c r="BQ2" s="323"/>
      <c r="BR2" s="321"/>
      <c r="BS2" s="323"/>
      <c r="BT2" s="323"/>
      <c r="BU2" s="323"/>
      <c r="BV2" s="323"/>
      <c r="BW2" s="323"/>
      <c r="BY2" s="299" t="str">
        <f>'[2]2026 január'!B$1</f>
        <v>Novohost</v>
      </c>
      <c r="BZ2" s="299" t="str">
        <f>'[2]2026 január'!G1</f>
        <v>Tartalék Kiadás</v>
      </c>
      <c r="CA2" s="299" t="str">
        <f>'[2]2026 január'!W1</f>
        <v>Kivét</v>
      </c>
      <c r="CB2" s="299" t="s">
        <v>86</v>
      </c>
      <c r="CC2" s="300"/>
      <c r="CD2" s="301"/>
      <c r="CE2" s="299" t="str">
        <f>'[2]2026 január'!S1</f>
        <v>Pénztár nyitó</v>
      </c>
      <c r="CF2" s="299" t="str">
        <f>'[2]2026 január'!T1</f>
        <v>Pénztár kp bevétel</v>
      </c>
      <c r="CG2" s="299" t="str">
        <f>'[2]2026 január'!U1</f>
        <v>Egyéb bevétel</v>
      </c>
      <c r="CH2" s="299" t="str">
        <f>'[2]2026 január'!V1</f>
        <v>Költött</v>
      </c>
      <c r="CI2" s="299" t="str">
        <f>'[2]2026 január'!W1</f>
        <v>Kivét</v>
      </c>
      <c r="CJ2" s="299" t="str">
        <f>'[2]2026 január'!X1</f>
        <v>Eltérés</v>
      </c>
      <c r="CK2" s="299" t="str">
        <f>'[2]2026 január'!Y1</f>
        <v>Záró</v>
      </c>
      <c r="CL2" s="302" t="str">
        <f>'[2]2026 január'!Z1</f>
        <v>Megjegyzések</v>
      </c>
      <c r="CM2" s="299">
        <f>'[2]2026 január'!AA1</f>
        <v>0</v>
      </c>
      <c r="CN2" s="299">
        <f>'[2]2026 január'!AB1</f>
        <v>0</v>
      </c>
      <c r="CO2" s="299">
        <f>'[2]2026 január'!AC1</f>
        <v>0</v>
      </c>
      <c r="CP2" s="299" t="str">
        <f>'[2]2026 január'!AD1</f>
        <v>Egyéb kiadás</v>
      </c>
    </row>
    <row r="3" spans="1:98" ht="14.25" customHeight="1">
      <c r="A3" s="162">
        <v>46023</v>
      </c>
      <c r="B3" s="379"/>
      <c r="C3" s="163"/>
      <c r="D3" s="163"/>
      <c r="E3" s="163"/>
      <c r="F3" s="163"/>
      <c r="G3" s="163"/>
      <c r="H3" s="163"/>
      <c r="I3" s="163"/>
      <c r="J3" s="217"/>
      <c r="K3" s="209"/>
      <c r="L3" s="290"/>
      <c r="M3" s="291"/>
      <c r="N3" s="174"/>
      <c r="O3" s="242"/>
      <c r="Q3" s="162">
        <v>46023</v>
      </c>
      <c r="R3" s="379"/>
      <c r="S3" s="163"/>
      <c r="T3" s="163"/>
      <c r="U3" s="163"/>
      <c r="V3" s="163"/>
      <c r="W3" s="163"/>
      <c r="X3" s="163"/>
      <c r="Y3" s="163"/>
      <c r="Z3" s="163"/>
      <c r="AA3" s="164"/>
      <c r="AB3" s="165"/>
      <c r="AC3" s="171"/>
      <c r="AD3" s="174"/>
      <c r="AE3" s="179"/>
      <c r="AG3" s="325">
        <v>46023</v>
      </c>
      <c r="AH3" s="379"/>
      <c r="AI3" s="326"/>
      <c r="AJ3" s="326"/>
      <c r="AK3" s="326"/>
      <c r="AL3" s="326"/>
      <c r="AM3" s="326"/>
      <c r="AN3" s="326"/>
      <c r="AO3" s="326"/>
      <c r="AP3" s="326"/>
      <c r="AQ3" s="327"/>
      <c r="AR3" s="328"/>
      <c r="AS3" s="329"/>
      <c r="AT3" s="330"/>
      <c r="AU3" s="331">
        <v>45658</v>
      </c>
      <c r="AV3" s="332"/>
      <c r="AW3" s="332"/>
      <c r="AX3" s="332"/>
      <c r="AY3" s="332"/>
      <c r="AZ3" s="332"/>
      <c r="BA3" s="332"/>
      <c r="BB3" s="332"/>
      <c r="BC3" s="333"/>
      <c r="BD3" s="334"/>
      <c r="BE3" s="334"/>
      <c r="BF3" s="335"/>
      <c r="BG3" s="336"/>
      <c r="BH3" s="317"/>
      <c r="BI3" s="325">
        <v>46023</v>
      </c>
      <c r="BJ3" s="379"/>
      <c r="BK3" s="326"/>
      <c r="BL3" s="326"/>
      <c r="BM3" s="326"/>
      <c r="BN3" s="326"/>
      <c r="BO3" s="326"/>
      <c r="BP3" s="326"/>
      <c r="BQ3" s="326"/>
      <c r="BR3" s="326"/>
      <c r="BS3" s="327"/>
      <c r="BT3" s="328"/>
      <c r="BU3" s="329"/>
      <c r="BV3" s="337"/>
      <c r="BW3" s="336"/>
      <c r="BY3" s="293" t="str">
        <f>IF('[2]2026 január'!B$2=0,
    "",
    '[2]2026 január'!B$2
)</f>
        <v/>
      </c>
      <c r="BZ3" s="293" t="str">
        <f>IF(OR('[2]2026 január'!G2=0,
       ISBLANK('[2]2026 január'!G2)),
    "",
    '[2]2026 január'!G2
)</f>
        <v/>
      </c>
      <c r="CA3" s="11">
        <f>'[2]2026 január'!W2</f>
        <v>0</v>
      </c>
      <c r="CB3" s="11">
        <f>P3-Q3-S3-G3-H3</f>
        <v>-46023</v>
      </c>
      <c r="CC3" s="11"/>
      <c r="CD3" s="10"/>
      <c r="CE3" s="293" t="str">
        <f>IF('[2]2026 január'!S2=0,
    "",
    '[2]2026 január'!S2
)</f>
        <v/>
      </c>
      <c r="CF3" s="293" t="str">
        <f>IF('[2]2026 január'!T2=0,
    "",
    '[2]2026 január'!T2
)</f>
        <v/>
      </c>
      <c r="CG3" s="293" t="str">
        <f>IF('[2]2026 január'!U2=0,
    "",
    '[2]2026 január'!U2
)</f>
        <v/>
      </c>
      <c r="CH3" s="293" t="str">
        <f>IF('[2]2026 január'!V2=0,
    "",
    '[2]2026 január'!V2
)</f>
        <v/>
      </c>
      <c r="CI3" s="293" t="str">
        <f>IF('[2]2026 január'!W2=0,
    "",
    '[2]2026 január'!W2
)</f>
        <v/>
      </c>
      <c r="CJ3" s="293" t="str">
        <f>IF('[2]2026 január'!X2=0,
    "",
    '[2]2026 január'!X2
)</f>
        <v/>
      </c>
      <c r="CK3" s="293" t="str">
        <f>IF('[2]2026 január'!Y2=0,
    "",
    '[2]2026 január'!Y2
)</f>
        <v/>
      </c>
      <c r="CL3" s="296" t="str">
        <f>IF('[2]2026 január'!Z2=0,
    "",
    '[2]2026 január'!Z2
)</f>
        <v/>
      </c>
      <c r="CM3" s="293" t="str">
        <f>IF('[2]2026 január'!AA2=0,
    "",
    '[2]2026 január'!AA2
)</f>
        <v/>
      </c>
      <c r="CN3" s="293" t="str">
        <f>IF('[2]2026 január'!AB2=0,
    "",
    '[2]2026 január'!AB2
)</f>
        <v/>
      </c>
      <c r="CO3" s="293" t="str">
        <f>IF('[2]2026 január'!AC2=0,
    "",
    '[2]2026 január'!AC2
)</f>
        <v/>
      </c>
      <c r="CP3" s="293" t="str">
        <f>IF('[2]2026 január'!AD2=0,
    "",
    '[2]2026 január'!AD2
)</f>
        <v/>
      </c>
      <c r="CQ3" s="245" t="str">
        <f>IF('[2]2026 január'!AE$2=0,
    "",
    '[2]2026 január'!AE$2
)</f>
        <v/>
      </c>
      <c r="CR3" s="245" t="str">
        <f>IF('[2]2026 január'!AF2=0,
    "",
    '[2]2026 január'!AF2
)</f>
        <v/>
      </c>
      <c r="CS3" s="245" t="str">
        <f>IF('[2]2026 január'!AG2=0,
    "",
    '[2]2026 január'!AG2
)</f>
        <v/>
      </c>
      <c r="CT3" s="245" t="str">
        <f>IF('[2]2026 január'!AH2=0,
    "",
    '[2]2026 január'!AH2
)</f>
        <v/>
      </c>
    </row>
    <row r="4" spans="1:98" ht="14.25" customHeight="1">
      <c r="A4" s="162">
        <v>46024</v>
      </c>
      <c r="B4" s="379"/>
      <c r="C4" s="163"/>
      <c r="D4" s="163"/>
      <c r="E4" s="163"/>
      <c r="F4" s="163"/>
      <c r="G4" s="163"/>
      <c r="H4" s="163"/>
      <c r="I4" s="167"/>
      <c r="J4" s="163"/>
      <c r="K4" s="222"/>
      <c r="L4" s="274"/>
      <c r="M4" s="291"/>
      <c r="N4" s="174"/>
      <c r="O4" s="242"/>
      <c r="Q4" s="162">
        <v>46024</v>
      </c>
      <c r="R4" s="379"/>
      <c r="S4" s="163"/>
      <c r="T4" s="163"/>
      <c r="U4" s="163"/>
      <c r="V4" s="163"/>
      <c r="W4" s="163"/>
      <c r="X4" s="163"/>
      <c r="Y4" s="163"/>
      <c r="Z4" s="163"/>
      <c r="AA4" s="164"/>
      <c r="AB4" s="165"/>
      <c r="AC4" s="171"/>
      <c r="AD4" s="174"/>
      <c r="AE4" s="179"/>
      <c r="AG4" s="325">
        <v>46024</v>
      </c>
      <c r="AH4" s="379"/>
      <c r="AI4" s="326"/>
      <c r="AJ4" s="326"/>
      <c r="AK4" s="326"/>
      <c r="AL4" s="326"/>
      <c r="AM4" s="326"/>
      <c r="AN4" s="326"/>
      <c r="AO4" s="326"/>
      <c r="AP4" s="326"/>
      <c r="AQ4" s="327"/>
      <c r="AR4" s="328"/>
      <c r="AS4" s="329"/>
      <c r="AT4" s="330"/>
      <c r="AU4" s="331">
        <v>45659</v>
      </c>
      <c r="AV4" s="332">
        <v>500</v>
      </c>
      <c r="AW4" s="332">
        <v>108085</v>
      </c>
      <c r="AX4" s="332"/>
      <c r="AY4" s="332"/>
      <c r="AZ4" s="332"/>
      <c r="BA4" s="332">
        <v>108585</v>
      </c>
      <c r="BB4" s="332">
        <v>108585</v>
      </c>
      <c r="BC4" s="333">
        <v>751</v>
      </c>
      <c r="BD4" s="332">
        <v>252809421</v>
      </c>
      <c r="BE4" s="332"/>
      <c r="BF4" s="335"/>
      <c r="BG4" s="336"/>
      <c r="BH4" s="317"/>
      <c r="BI4" s="325">
        <v>46024</v>
      </c>
      <c r="BJ4" s="379"/>
      <c r="BK4" s="326"/>
      <c r="BL4" s="326"/>
      <c r="BM4" s="326"/>
      <c r="BN4" s="326"/>
      <c r="BO4" s="326"/>
      <c r="BP4" s="326"/>
      <c r="BQ4" s="326"/>
      <c r="BR4" s="326"/>
      <c r="BS4" s="327"/>
      <c r="BT4" s="328"/>
      <c r="BU4" s="329"/>
      <c r="BV4" s="337"/>
      <c r="BW4" s="336"/>
      <c r="BY4" s="293" t="str">
        <f>IF('[2]2026 január'!B$3=0,
    "",
    '[2]2026 január'!B$3
)</f>
        <v/>
      </c>
      <c r="BZ4" s="293" t="str">
        <f>IF(OR('[2]2026 január'!G3=0,
       ISBLANK('[2]2026 január'!G3)),
    "",
    '[2]2026 január'!G3
)</f>
        <v/>
      </c>
      <c r="CA4" s="11">
        <f>'[2]2026 január'!W3</f>
        <v>0</v>
      </c>
      <c r="CB4" s="11"/>
      <c r="CC4" s="11"/>
      <c r="CD4" s="10"/>
      <c r="CE4" s="293" t="str">
        <f>IF('[2]2026 január'!S3=0,
    "",
    '[2]2026 január'!S3
)</f>
        <v/>
      </c>
      <c r="CF4" s="293" t="str">
        <f>IF('[2]2026 január'!T3=0,
    "",
    '[2]2026 január'!T3
)</f>
        <v/>
      </c>
      <c r="CG4" s="293" t="str">
        <f>IF('[2]2026 január'!U3=0,
    "",
    '[2]2026 január'!U3
)</f>
        <v/>
      </c>
      <c r="CH4" s="293" t="str">
        <f>IF('[2]2026 január'!V3=0,
    "",
    '[2]2026 január'!V3
)</f>
        <v/>
      </c>
      <c r="CI4" s="293" t="str">
        <f>IF('[2]2026 január'!W3=0,
    "",
    '[2]2026 január'!W3
)</f>
        <v/>
      </c>
      <c r="CJ4" s="293" t="str">
        <f>IF('[2]2026 január'!X3=0,
    "",
    '[2]2026 január'!X3
)</f>
        <v/>
      </c>
      <c r="CK4" s="293" t="str">
        <f>IF('[2]2026 január'!Y3=0,
    "",
    '[2]2026 január'!Y3
)</f>
        <v/>
      </c>
      <c r="CL4" s="296" t="str">
        <f>IF('[2]2026 január'!Z3=0,
    "",
    '[2]2026 január'!Z3
)</f>
        <v/>
      </c>
      <c r="CM4" s="293" t="str">
        <f>IF('[2]2026 január'!AA3=0,
    "",
    '[2]2026 január'!AA3
)</f>
        <v/>
      </c>
      <c r="CN4" s="293" t="str">
        <f>IF('[2]2026 január'!AB3=0,
    "",
    '[2]2026 január'!AB3
)</f>
        <v/>
      </c>
      <c r="CO4" s="293" t="str">
        <f>IF('[2]2026 január'!AC3=0,
    "",
    '[2]2026 január'!AC3
)</f>
        <v/>
      </c>
      <c r="CP4" s="293" t="str">
        <f>IF('[2]2026 január'!AD3=0,
    "",
    '[2]2026 január'!AD3
)</f>
        <v/>
      </c>
      <c r="CQ4" s="245" t="str">
        <f>IF('[2]2026 január'!AE$3=0,
    "",
    '[2]2026 január'!AE$3
)</f>
        <v/>
      </c>
      <c r="CR4" s="245" t="str">
        <f>IF('[2]2026 január'!AF3=0,
    "",
    '[2]2026 január'!AF3
)</f>
        <v/>
      </c>
      <c r="CS4" s="245" t="str">
        <f>IF('[2]2026 január'!AG3=0,
    "",
    '[2]2026 január'!AG3
)</f>
        <v/>
      </c>
      <c r="CT4" s="245" t="str">
        <f>IF('[2]2026 január'!AH3=0,
    "",
    '[2]2026 január'!AH3
)</f>
        <v/>
      </c>
    </row>
    <row r="5" spans="1:98" ht="14.25" customHeight="1">
      <c r="A5" s="162">
        <v>46025</v>
      </c>
      <c r="B5" s="379"/>
      <c r="C5" s="163"/>
      <c r="D5" s="163"/>
      <c r="E5" s="163"/>
      <c r="F5" s="163"/>
      <c r="G5" s="163"/>
      <c r="H5" s="163"/>
      <c r="I5" s="167"/>
      <c r="J5" s="163"/>
      <c r="K5" s="222"/>
      <c r="L5" s="275"/>
      <c r="M5" s="292"/>
      <c r="N5" s="174"/>
      <c r="O5" s="242"/>
      <c r="Q5" s="162">
        <v>46025</v>
      </c>
      <c r="R5" s="379"/>
      <c r="S5" s="163"/>
      <c r="T5" s="163"/>
      <c r="U5" s="163"/>
      <c r="V5" s="163"/>
      <c r="W5" s="163"/>
      <c r="X5" s="163"/>
      <c r="Y5" s="163"/>
      <c r="Z5" s="163"/>
      <c r="AA5" s="164"/>
      <c r="AB5" s="167"/>
      <c r="AC5" s="172"/>
      <c r="AD5" s="174"/>
      <c r="AE5" s="179"/>
      <c r="AG5" s="325">
        <v>46025</v>
      </c>
      <c r="AH5" s="379"/>
      <c r="AI5" s="326"/>
      <c r="AJ5" s="326"/>
      <c r="AK5" s="326"/>
      <c r="AL5" s="326"/>
      <c r="AM5" s="326"/>
      <c r="AN5" s="326"/>
      <c r="AO5" s="326"/>
      <c r="AP5" s="326"/>
      <c r="AQ5" s="327"/>
      <c r="AR5" s="338"/>
      <c r="AS5" s="339"/>
      <c r="AT5" s="330"/>
      <c r="AU5" s="331">
        <v>45660</v>
      </c>
      <c r="AV5" s="332">
        <v>850</v>
      </c>
      <c r="AW5" s="332">
        <v>133854</v>
      </c>
      <c r="AX5" s="332"/>
      <c r="AY5" s="332">
        <v>3050</v>
      </c>
      <c r="AZ5" s="332"/>
      <c r="BA5" s="332">
        <v>137754</v>
      </c>
      <c r="BB5" s="332">
        <v>137754</v>
      </c>
      <c r="BC5" s="333">
        <v>752</v>
      </c>
      <c r="BD5" s="332">
        <v>252947175</v>
      </c>
      <c r="BE5" s="332"/>
      <c r="BF5" s="335"/>
      <c r="BG5" s="336"/>
      <c r="BH5" s="317"/>
      <c r="BI5" s="325">
        <v>46025</v>
      </c>
      <c r="BJ5" s="379"/>
      <c r="BK5" s="326"/>
      <c r="BL5" s="326"/>
      <c r="BM5" s="326"/>
      <c r="BN5" s="326"/>
      <c r="BO5" s="326"/>
      <c r="BP5" s="326"/>
      <c r="BQ5" s="326"/>
      <c r="BR5" s="326"/>
      <c r="BS5" s="327"/>
      <c r="BT5" s="338"/>
      <c r="BU5" s="339"/>
      <c r="BV5" s="337"/>
      <c r="BW5" s="336"/>
      <c r="BY5" s="293" t="str">
        <f>IF('[2]2026 január'!B$4=0,
    "",
    '[2]2026 január'!B$4
)</f>
        <v/>
      </c>
      <c r="BZ5" s="293" t="str">
        <f>IF(OR('[2]2026 január'!G4=0,
       ISBLANK('[2]2026 január'!G4)),
    "",
    '[2]2026 január'!G4
)</f>
        <v/>
      </c>
      <c r="CA5" s="11">
        <f>'[2]2026 január'!W4</f>
        <v>0</v>
      </c>
      <c r="CB5" s="11"/>
      <c r="CC5" s="11"/>
      <c r="CD5" s="10"/>
      <c r="CE5" s="293">
        <f>IF('[2]2026 január'!S4=0,
    "",
    '[2]2026 január'!S4
)</f>
        <v>143114</v>
      </c>
      <c r="CF5" s="293" t="str">
        <f>IF('[2]2026 január'!T4=0,
    "",
    '[2]2026 január'!T4
)</f>
        <v/>
      </c>
      <c r="CG5" s="293" t="str">
        <f>IF('[2]2026 január'!U4=0,
    "",
    '[2]2026 január'!U4
)</f>
        <v/>
      </c>
      <c r="CH5" s="293">
        <f>IF('[2]2026 január'!V4=0,
    "",
    '[2]2026 január'!V4
)</f>
        <v>40000</v>
      </c>
      <c r="CI5" s="293" t="str">
        <f>IF('[2]2026 január'!W4=0,
    "",
    '[2]2026 január'!W4
)</f>
        <v/>
      </c>
      <c r="CJ5" s="293" t="str">
        <f>IF('[2]2026 január'!X4=0,
    "",
    '[2]2026 január'!X4
)</f>
        <v/>
      </c>
      <c r="CK5" s="293">
        <f>IF('[2]2026 január'!Y4=0,
    "",
    '[2]2026 január'!Y4
)</f>
        <v>103114</v>
      </c>
      <c r="CL5" s="296" t="str">
        <f>IF('[2]2026 január'!Z4=0,
    "",
    '[2]2026 január'!Z4
)</f>
        <v/>
      </c>
      <c r="CM5" s="293" t="str">
        <f>IF('[2]2026 január'!AA4=0,
    "",
    '[2]2026 január'!AA4
)</f>
        <v/>
      </c>
      <c r="CN5" s="293" t="str">
        <f>IF('[2]2026 január'!AB4=0,
    "",
    '[2]2026 január'!AB4
)</f>
        <v/>
      </c>
      <c r="CO5" s="293" t="str">
        <f>IF('[2]2026 január'!AC4=0,
    "",
    '[2]2026 január'!AC4
)</f>
        <v/>
      </c>
      <c r="CP5" s="293" t="str">
        <f>IF('[2]2026 január'!AD4=0,
    "",
    '[2]2026 január'!AD4
)</f>
        <v/>
      </c>
      <c r="CQ5" s="245" t="str">
        <f>IF('[2]2026 január'!AE$4=0,
    "",
    '[2]2026 január'!AE$4
)</f>
        <v/>
      </c>
      <c r="CR5" s="245" t="str">
        <f>IF('[2]2026 január'!AF4=0,
    "",
    '[2]2026 január'!AF4
)</f>
        <v/>
      </c>
      <c r="CS5" s="245" t="str">
        <f>IF('[2]2026 január'!AG4=0,
    "",
    '[2]2026 január'!AG4
)</f>
        <v/>
      </c>
      <c r="CT5" s="245" t="str">
        <f>IF('[2]2026 január'!AH4=0,
    "",
    '[2]2026 január'!AH4
)</f>
        <v/>
      </c>
    </row>
    <row r="6" spans="1:98" ht="14.25" customHeight="1">
      <c r="A6" s="162">
        <v>46026</v>
      </c>
      <c r="B6" s="379"/>
      <c r="C6" s="163"/>
      <c r="D6" s="163"/>
      <c r="E6" s="163"/>
      <c r="F6" s="163"/>
      <c r="G6" s="163"/>
      <c r="H6" s="163"/>
      <c r="I6" s="167"/>
      <c r="J6" s="163"/>
      <c r="K6" s="222"/>
      <c r="L6" s="275"/>
      <c r="M6" s="292"/>
      <c r="N6" s="174"/>
      <c r="O6" s="242"/>
      <c r="Q6" s="162">
        <v>46026</v>
      </c>
      <c r="R6" s="379"/>
      <c r="S6" s="163"/>
      <c r="T6" s="163"/>
      <c r="U6" s="163"/>
      <c r="V6" s="163"/>
      <c r="W6" s="163"/>
      <c r="X6" s="163"/>
      <c r="Y6" s="163"/>
      <c r="Z6" s="163"/>
      <c r="AA6" s="164"/>
      <c r="AB6" s="167"/>
      <c r="AC6" s="172"/>
      <c r="AD6" s="174"/>
      <c r="AE6" s="179"/>
      <c r="AG6" s="325">
        <v>46026</v>
      </c>
      <c r="AH6" s="379"/>
      <c r="AI6" s="326"/>
      <c r="AJ6" s="326"/>
      <c r="AK6" s="326"/>
      <c r="AL6" s="326"/>
      <c r="AM6" s="326"/>
      <c r="AN6" s="326"/>
      <c r="AO6" s="326"/>
      <c r="AP6" s="326"/>
      <c r="AQ6" s="327"/>
      <c r="AR6" s="338"/>
      <c r="AS6" s="339"/>
      <c r="AT6" s="330"/>
      <c r="AU6" s="331">
        <v>45661</v>
      </c>
      <c r="AV6" s="332">
        <v>700</v>
      </c>
      <c r="AW6" s="332">
        <v>123630</v>
      </c>
      <c r="AX6" s="332"/>
      <c r="AY6" s="332">
        <v>2435</v>
      </c>
      <c r="AZ6" s="332"/>
      <c r="BA6" s="332"/>
      <c r="BB6" s="332"/>
      <c r="BC6" s="333">
        <v>753</v>
      </c>
      <c r="BD6" s="340">
        <v>253073940</v>
      </c>
      <c r="BE6" s="340">
        <v>373104</v>
      </c>
      <c r="BF6" s="335"/>
      <c r="BG6" s="336"/>
      <c r="BH6" s="317"/>
      <c r="BI6" s="325">
        <v>46026</v>
      </c>
      <c r="BJ6" s="379"/>
      <c r="BK6" s="326"/>
      <c r="BL6" s="326"/>
      <c r="BM6" s="326"/>
      <c r="BN6" s="326"/>
      <c r="BO6" s="326"/>
      <c r="BP6" s="326"/>
      <c r="BQ6" s="326"/>
      <c r="BR6" s="326"/>
      <c r="BS6" s="327"/>
      <c r="BT6" s="338"/>
      <c r="BU6" s="339"/>
      <c r="BV6" s="337"/>
      <c r="BW6" s="336"/>
      <c r="BY6" s="293" t="str">
        <f>IF('[2]2026 január'!B$5=0,
    "",
    '[2]2026 január'!B$5
)</f>
        <v/>
      </c>
      <c r="BZ6" s="293" t="str">
        <f>IF(OR('[2]2026 január'!G5=0,
       ISBLANK('[2]2026 január'!G5)),
    "",
    '[2]2026 január'!G5
)</f>
        <v/>
      </c>
      <c r="CA6" s="11">
        <f>'[2]2026 január'!W5</f>
        <v>0</v>
      </c>
      <c r="CB6" s="11"/>
      <c r="CC6" s="11"/>
      <c r="CD6" s="10"/>
      <c r="CE6" s="293" t="str">
        <f>IF('[2]2026 január'!S5=0,
    "",
    '[2]2026 január'!S5
)</f>
        <v/>
      </c>
      <c r="CF6" s="293" t="str">
        <f>IF('[2]2026 január'!T5=0,
    "",
    '[2]2026 január'!T5
)</f>
        <v/>
      </c>
      <c r="CG6" s="293" t="str">
        <f>IF('[2]2026 január'!U5=0,
    "",
    '[2]2026 január'!U5
)</f>
        <v/>
      </c>
      <c r="CH6" s="293" t="str">
        <f>IF('[2]2026 január'!V5=0,
    "",
    '[2]2026 január'!V5
)</f>
        <v/>
      </c>
      <c r="CI6" s="293" t="str">
        <f>IF('[2]2026 január'!W5=0,
    "",
    '[2]2026 január'!W5
)</f>
        <v/>
      </c>
      <c r="CJ6" s="293" t="str">
        <f>IF('[2]2026 január'!X5=0,
    "",
    '[2]2026 január'!X5
)</f>
        <v/>
      </c>
      <c r="CK6" s="293" t="str">
        <f>IF('[2]2026 január'!Y5=0,
    "",
    '[2]2026 január'!Y5
)</f>
        <v/>
      </c>
      <c r="CL6" s="296" t="str">
        <f>IF('[2]2026 január'!Z5=0,
    "",
    '[2]2026 január'!Z5
)</f>
        <v/>
      </c>
      <c r="CM6" s="293" t="str">
        <f>IF('[2]2026 január'!AA5=0,
    "",
    '[2]2026 január'!AA5
)</f>
        <v/>
      </c>
      <c r="CN6" s="293" t="str">
        <f>IF('[2]2026 január'!AB5=0,
    "",
    '[2]2026 január'!AB5
)</f>
        <v/>
      </c>
      <c r="CO6" s="293" t="str">
        <f>IF('[2]2026 január'!AC5=0,
    "",
    '[2]2026 január'!AC5
)</f>
        <v/>
      </c>
      <c r="CP6" s="293" t="str">
        <f>IF('[2]2026 január'!AD5=0,
    "",
    '[2]2026 január'!AD5
)</f>
        <v/>
      </c>
      <c r="CQ6" s="245" t="str">
        <f>IF('[2]2026 január'!AE$5=0,
    "",
    '[2]2026 január'!AE$5
)</f>
        <v/>
      </c>
      <c r="CR6" s="245" t="str">
        <f>IF('[2]2026 január'!AF5=0,
    "",
    '[2]2026 január'!AF5
)</f>
        <v/>
      </c>
      <c r="CS6" s="245" t="str">
        <f>IF('[2]2026 január'!AG5=0,
    "",
    '[2]2026 január'!AG5
)</f>
        <v/>
      </c>
      <c r="CT6" s="245" t="str">
        <f>IF('[2]2026 január'!AH5=0,
    "",
    '[2]2026 január'!AH5
)</f>
        <v/>
      </c>
    </row>
    <row r="7" spans="1:98" ht="14.25" customHeight="1">
      <c r="A7" s="5">
        <v>46027</v>
      </c>
      <c r="B7" s="380">
        <v>301355</v>
      </c>
      <c r="C7" s="11">
        <v>1200</v>
      </c>
      <c r="D7" s="11">
        <v>276328</v>
      </c>
      <c r="E7" s="11">
        <v>50</v>
      </c>
      <c r="F7" s="11"/>
      <c r="G7" s="11"/>
      <c r="H7" s="11">
        <v>277578</v>
      </c>
      <c r="I7" s="87">
        <v>277578</v>
      </c>
      <c r="J7" s="11">
        <v>1648</v>
      </c>
      <c r="K7" s="38" t="s">
        <v>123</v>
      </c>
      <c r="L7" s="87">
        <v>125380688</v>
      </c>
      <c r="M7" s="286"/>
      <c r="N7" s="169"/>
      <c r="O7" s="239"/>
      <c r="Q7" s="5">
        <v>46027</v>
      </c>
      <c r="R7" s="380">
        <v>432480</v>
      </c>
      <c r="S7" s="11">
        <v>1550</v>
      </c>
      <c r="T7" s="11">
        <v>401645</v>
      </c>
      <c r="U7" s="11"/>
      <c r="V7" s="11"/>
      <c r="W7" s="11">
        <v>4225</v>
      </c>
      <c r="X7" s="11">
        <v>398970</v>
      </c>
      <c r="Y7" s="11">
        <v>398970</v>
      </c>
      <c r="Z7" s="11">
        <v>-110</v>
      </c>
      <c r="AA7" s="44" t="s">
        <v>124</v>
      </c>
      <c r="AB7" s="87">
        <v>153394877</v>
      </c>
      <c r="AC7" s="173"/>
      <c r="AD7" s="169"/>
      <c r="AE7" s="9"/>
      <c r="AG7" s="331">
        <v>46027</v>
      </c>
      <c r="AH7" s="380">
        <v>433425</v>
      </c>
      <c r="AI7" s="332">
        <v>2800</v>
      </c>
      <c r="AJ7" s="332">
        <v>396078</v>
      </c>
      <c r="AK7" s="332"/>
      <c r="AL7" s="332"/>
      <c r="AM7" s="332"/>
      <c r="AN7" s="332">
        <v>398878</v>
      </c>
      <c r="AO7" s="332">
        <v>398878</v>
      </c>
      <c r="AP7" s="332">
        <v>-1557</v>
      </c>
      <c r="AQ7" s="341" t="s">
        <v>125</v>
      </c>
      <c r="AR7" s="342">
        <v>296884456</v>
      </c>
      <c r="AS7" s="343"/>
      <c r="AT7" s="344"/>
      <c r="AU7" s="331">
        <v>45662</v>
      </c>
      <c r="AV7" s="332"/>
      <c r="AW7" s="332"/>
      <c r="AX7" s="332"/>
      <c r="AY7" s="332"/>
      <c r="AZ7" s="332"/>
      <c r="BA7" s="332"/>
      <c r="BB7" s="332"/>
      <c r="BC7" s="333"/>
      <c r="BD7" s="332"/>
      <c r="BE7" s="332"/>
      <c r="BF7" s="335"/>
      <c r="BG7" s="335"/>
      <c r="BH7" s="317"/>
      <c r="BI7" s="331">
        <v>46027</v>
      </c>
      <c r="BJ7" s="380">
        <v>174765</v>
      </c>
      <c r="BK7" s="332">
        <v>850</v>
      </c>
      <c r="BL7" s="332">
        <v>160925</v>
      </c>
      <c r="BM7" s="332"/>
      <c r="BN7" s="332"/>
      <c r="BO7" s="332"/>
      <c r="BP7" s="332">
        <v>161775</v>
      </c>
      <c r="BQ7" s="332">
        <v>161775</v>
      </c>
      <c r="BR7" s="332">
        <v>1850</v>
      </c>
      <c r="BS7" s="341" t="s">
        <v>126</v>
      </c>
      <c r="BT7" s="342">
        <v>166202988</v>
      </c>
      <c r="BU7" s="343"/>
      <c r="BV7" s="345"/>
      <c r="BW7" s="335"/>
      <c r="BY7" s="293">
        <f>IF('[2]2026 január'!B$6=0,
    "",
    '[2]2026 január'!B$6
)</f>
        <v>1342025</v>
      </c>
      <c r="BZ7" s="293" t="str">
        <f>IF(OR('[2]2026 január'!G6=0,
       ISBLANK('[2]2026 január'!G6)),
    "",
    '[2]2026 január'!G6
)</f>
        <v/>
      </c>
      <c r="CA7" s="11">
        <f>'[2]2026 január'!W6</f>
        <v>0</v>
      </c>
      <c r="CB7" s="11"/>
      <c r="CC7" s="11"/>
      <c r="CD7" s="10"/>
      <c r="CE7" s="293">
        <f>IF('[2]2026 január'!S6=0,
    "",
    '[2]2026 január'!S6
)</f>
        <v>103114</v>
      </c>
      <c r="CF7" s="293">
        <f>IF('[2]2026 január'!T6=0,
    "",
    '[2]2026 január'!T6
)</f>
        <v>104824</v>
      </c>
      <c r="CG7" s="293" t="str">
        <f>IF('[2]2026 január'!U6=0,
    "",
    '[2]2026 január'!U6
)</f>
        <v/>
      </c>
      <c r="CH7" s="293">
        <f>IF('[2]2026 január'!V6=0,
    "",
    '[2]2026 január'!V6
)</f>
        <v>14500</v>
      </c>
      <c r="CI7" s="293" t="str">
        <f>IF('[2]2026 január'!W6=0,
    "",
    '[2]2026 január'!W6
)</f>
        <v/>
      </c>
      <c r="CJ7" s="293" t="str">
        <f>IF('[2]2026 január'!X6=0,
    "",
    '[2]2026 január'!X6
)</f>
        <v/>
      </c>
      <c r="CK7" s="293">
        <f>IF('[2]2026 január'!Y6=0,
    "",
    '[2]2026 január'!Y6
)</f>
        <v>193438</v>
      </c>
      <c r="CL7" s="296" t="str">
        <f>IF('[2]2026 január'!Z6=0,
    "",
    '[2]2026 január'!Z6
)</f>
        <v/>
      </c>
      <c r="CM7" s="293" t="str">
        <f>IF('[2]2026 január'!AA6=0,
    "",
    '[2]2026 január'!AA6
)</f>
        <v/>
      </c>
      <c r="CN7" s="293" t="str">
        <f>IF('[2]2026 január'!AB6=0,
    "",
    '[2]2026 január'!AB6
)</f>
        <v/>
      </c>
      <c r="CO7" s="293" t="str">
        <f>IF('[2]2026 január'!AC6=0,
    "",
    '[2]2026 január'!AC6
)</f>
        <v/>
      </c>
      <c r="CP7" s="293" t="str">
        <f>IF('[2]2026 január'!AD6=0,
    "",
    '[2]2026 január'!AD6
)</f>
        <v/>
      </c>
      <c r="CQ7" s="245" t="str">
        <f>IF('[2]2026 január'!AE$6=0,
    "",
    '[2]2026 január'!AE$6
)</f>
        <v/>
      </c>
      <c r="CR7" s="245" t="str">
        <f>IF('[2]2026 január'!AF6=0,
    "",
    '[2]2026 január'!AF6
)</f>
        <v/>
      </c>
      <c r="CS7" s="245" t="str">
        <f>IF('[2]2026 január'!AG6=0,
    "",
    '[2]2026 január'!AG6
)</f>
        <v/>
      </c>
      <c r="CT7" s="245" t="str">
        <f>IF('[2]2026 január'!AH6=0,
    "",
    '[2]2026 január'!AH6
)</f>
        <v/>
      </c>
    </row>
    <row r="8" spans="1:98" ht="14.25" customHeight="1">
      <c r="A8" s="5">
        <v>46028</v>
      </c>
      <c r="B8" s="380">
        <v>426795</v>
      </c>
      <c r="C8" s="11">
        <v>700</v>
      </c>
      <c r="D8" s="11">
        <v>388405</v>
      </c>
      <c r="E8" s="11"/>
      <c r="F8" s="11"/>
      <c r="G8" s="11"/>
      <c r="H8" s="11">
        <v>389105</v>
      </c>
      <c r="I8" s="87">
        <v>389105</v>
      </c>
      <c r="J8" s="11">
        <v>1810</v>
      </c>
      <c r="K8" s="38" t="s">
        <v>127</v>
      </c>
      <c r="L8" s="87">
        <v>125769793</v>
      </c>
      <c r="M8" s="286"/>
      <c r="N8" s="169"/>
      <c r="O8" s="239"/>
      <c r="Q8" s="5">
        <v>46028</v>
      </c>
      <c r="R8" s="380">
        <v>466820</v>
      </c>
      <c r="S8" s="11">
        <v>2600</v>
      </c>
      <c r="T8" s="11">
        <v>431856</v>
      </c>
      <c r="U8" s="11"/>
      <c r="V8" s="11"/>
      <c r="W8" s="11"/>
      <c r="X8" s="11">
        <v>434456</v>
      </c>
      <c r="Y8" s="11">
        <v>434456</v>
      </c>
      <c r="Z8" s="11">
        <v>1006</v>
      </c>
      <c r="AA8" s="44" t="s">
        <v>128</v>
      </c>
      <c r="AB8" s="87">
        <v>153829333</v>
      </c>
      <c r="AC8" s="173"/>
      <c r="AD8" s="169"/>
      <c r="AE8" s="9"/>
      <c r="AG8" s="331">
        <v>46028</v>
      </c>
      <c r="AH8" s="380">
        <v>325960</v>
      </c>
      <c r="AI8" s="332">
        <v>1600</v>
      </c>
      <c r="AJ8" s="332">
        <v>302295</v>
      </c>
      <c r="AK8" s="332"/>
      <c r="AL8" s="332"/>
      <c r="AM8" s="332"/>
      <c r="AN8" s="332">
        <v>303895</v>
      </c>
      <c r="AO8" s="332">
        <v>303895</v>
      </c>
      <c r="AP8" s="332">
        <v>995</v>
      </c>
      <c r="AQ8" s="341" t="s">
        <v>129</v>
      </c>
      <c r="AR8" s="342">
        <v>297188351</v>
      </c>
      <c r="AS8" s="343"/>
      <c r="AT8" s="344"/>
      <c r="AU8" s="331">
        <v>45663</v>
      </c>
      <c r="AV8" s="332"/>
      <c r="AW8" s="332"/>
      <c r="AX8" s="332"/>
      <c r="AY8" s="332"/>
      <c r="AZ8" s="332"/>
      <c r="BA8" s="332"/>
      <c r="BB8" s="332">
        <v>334480</v>
      </c>
      <c r="BC8" s="333"/>
      <c r="BD8" s="332"/>
      <c r="BE8" s="332"/>
      <c r="BF8" s="335"/>
      <c r="BG8" s="335"/>
      <c r="BH8" s="317"/>
      <c r="BI8" s="331">
        <v>46028</v>
      </c>
      <c r="BJ8" s="380">
        <v>237295</v>
      </c>
      <c r="BK8" s="332">
        <v>600</v>
      </c>
      <c r="BL8" s="332">
        <v>221531</v>
      </c>
      <c r="BM8" s="332"/>
      <c r="BN8" s="332"/>
      <c r="BO8" s="332"/>
      <c r="BP8" s="340">
        <v>222131</v>
      </c>
      <c r="BQ8" s="340">
        <v>221011</v>
      </c>
      <c r="BR8" s="332">
        <v>-1584</v>
      </c>
      <c r="BS8" s="341" t="s">
        <v>130</v>
      </c>
      <c r="BT8" s="342">
        <v>166425119</v>
      </c>
      <c r="BU8" s="343"/>
      <c r="BV8" s="345"/>
      <c r="BW8" s="335"/>
      <c r="BY8" s="293">
        <f>IF('[2]2026 január'!B$7=0,
    "",
    '[2]2026 január'!B$7
)</f>
        <v>1456870</v>
      </c>
      <c r="BZ8" s="293" t="str">
        <f>IF(OR('[2]2026 január'!G7=0,
       ISBLANK('[2]2026 január'!G7)),
    "",
    '[2]2026 január'!G7
)</f>
        <v/>
      </c>
      <c r="CA8" s="11">
        <f>'[2]2026 január'!W7</f>
        <v>0</v>
      </c>
      <c r="CB8" s="11"/>
      <c r="CC8" s="11"/>
      <c r="CD8" s="10"/>
      <c r="CE8" s="293">
        <f>IF('[2]2026 január'!S7=0,
    "",
    '[2]2026 január'!S7
)</f>
        <v>193438</v>
      </c>
      <c r="CF8" s="293">
        <f>IF('[2]2026 január'!T7=0,
    "",
    '[2]2026 január'!T7
)</f>
        <v>108403</v>
      </c>
      <c r="CG8" s="293" t="str">
        <f>IF('[2]2026 január'!U7=0,
    "",
    '[2]2026 január'!U7
)</f>
        <v/>
      </c>
      <c r="CH8" s="293">
        <f>IF('[2]2026 január'!V7=0,
    "",
    '[2]2026 január'!V7
)</f>
        <v>34500</v>
      </c>
      <c r="CI8" s="293" t="str">
        <f>IF('[2]2026 január'!W7=0,
    "",
    '[2]2026 január'!W7
)</f>
        <v/>
      </c>
      <c r="CJ8" s="293" t="str">
        <f>IF('[2]2026 január'!X7=0,
    "",
    '[2]2026 január'!X7
)</f>
        <v/>
      </c>
      <c r="CK8" s="293">
        <f>IF('[2]2026 január'!Y7=0,
    "",
    '[2]2026 január'!Y7
)</f>
        <v>267341</v>
      </c>
      <c r="CL8" s="296" t="str">
        <f>IF('[2]2026 január'!Z7=0,
    "",
    '[2]2026 január'!Z7
)</f>
        <v/>
      </c>
      <c r="CM8" s="293" t="str">
        <f>IF('[2]2026 január'!AA7=0,
    "",
    '[2]2026 január'!AA7
)</f>
        <v/>
      </c>
      <c r="CN8" s="293" t="str">
        <f>IF('[2]2026 január'!AB7=0,
    "",
    '[2]2026 január'!AB7
)</f>
        <v/>
      </c>
      <c r="CO8" s="293" t="str">
        <f>IF('[2]2026 január'!AC7=0,
    "",
    '[2]2026 január'!AC7
)</f>
        <v/>
      </c>
      <c r="CP8" s="293" t="str">
        <f>IF('[2]2026 január'!AD7=0,
    "",
    '[2]2026 január'!AD7
)</f>
        <v/>
      </c>
      <c r="CQ8" s="245" t="str">
        <f>IF('[2]2026 január'!AE$7=0,
    "",
    '[2]2026 január'!AE$7
)</f>
        <v/>
      </c>
      <c r="CR8" s="245" t="str">
        <f>IF('[2]2026 január'!AF7=0,
    "",
    '[2]2026 január'!AF7
)</f>
        <v/>
      </c>
      <c r="CS8" s="245" t="str">
        <f>IF('[2]2026 január'!AG7=0,
    "",
    '[2]2026 január'!AG7
)</f>
        <v/>
      </c>
      <c r="CT8" s="245" t="str">
        <f>IF('[2]2026 január'!AH7=0,
    "",
    '[2]2026 január'!AH7
)</f>
        <v/>
      </c>
    </row>
    <row r="9" spans="1:98" ht="14.25" customHeight="1">
      <c r="A9" s="5">
        <v>46029</v>
      </c>
      <c r="B9" s="380">
        <v>362685</v>
      </c>
      <c r="C9" s="11">
        <v>550</v>
      </c>
      <c r="D9" s="11">
        <v>353505</v>
      </c>
      <c r="E9" s="11"/>
      <c r="F9" s="11"/>
      <c r="G9" s="11"/>
      <c r="H9" s="11">
        <v>354055</v>
      </c>
      <c r="I9" s="87">
        <v>354055</v>
      </c>
      <c r="J9" s="11">
        <v>1465</v>
      </c>
      <c r="K9" s="38" t="s">
        <v>131</v>
      </c>
      <c r="L9" s="87">
        <v>126123848</v>
      </c>
      <c r="M9" s="286"/>
      <c r="N9" s="170"/>
      <c r="O9" s="240"/>
      <c r="P9" s="156"/>
      <c r="Q9" s="5">
        <v>46029</v>
      </c>
      <c r="R9" s="380">
        <v>619580</v>
      </c>
      <c r="S9" s="11">
        <v>3200</v>
      </c>
      <c r="T9" s="11">
        <v>564410</v>
      </c>
      <c r="U9" s="11"/>
      <c r="V9" s="11"/>
      <c r="W9" s="11"/>
      <c r="X9" s="91">
        <v>567610</v>
      </c>
      <c r="Y9" s="91">
        <v>564310</v>
      </c>
      <c r="Z9" s="11">
        <v>-125</v>
      </c>
      <c r="AA9" s="44" t="s">
        <v>132</v>
      </c>
      <c r="AB9" s="87">
        <v>154396943</v>
      </c>
      <c r="AC9" s="173"/>
      <c r="AD9" s="170"/>
      <c r="AE9" s="9"/>
      <c r="AG9" s="331">
        <v>46029</v>
      </c>
      <c r="AH9" s="380">
        <v>401285</v>
      </c>
      <c r="AI9" s="332">
        <v>1740</v>
      </c>
      <c r="AJ9" s="332">
        <v>381785</v>
      </c>
      <c r="AK9" s="332"/>
      <c r="AL9" s="332"/>
      <c r="AM9" s="332"/>
      <c r="AN9" s="332">
        <v>383525</v>
      </c>
      <c r="AO9" s="332">
        <v>383525</v>
      </c>
      <c r="AP9" s="332">
        <v>0</v>
      </c>
      <c r="AQ9" s="341" t="s">
        <v>133</v>
      </c>
      <c r="AR9" s="342">
        <v>297571876</v>
      </c>
      <c r="AS9" s="343"/>
      <c r="AT9" s="346"/>
      <c r="AU9" s="335"/>
      <c r="AV9" s="335"/>
      <c r="AW9" s="335"/>
      <c r="AX9" s="335"/>
      <c r="AY9" s="335"/>
      <c r="AZ9" s="335"/>
      <c r="BA9" s="335"/>
      <c r="BB9" s="335"/>
      <c r="BC9" s="335"/>
      <c r="BD9" s="335"/>
      <c r="BE9" s="335"/>
      <c r="BF9" s="335"/>
      <c r="BG9" s="335"/>
      <c r="BH9" s="317"/>
      <c r="BI9" s="331">
        <v>46029</v>
      </c>
      <c r="BJ9" s="380">
        <v>167730</v>
      </c>
      <c r="BK9" s="332">
        <v>500</v>
      </c>
      <c r="BL9" s="332">
        <v>165375</v>
      </c>
      <c r="BM9" s="332"/>
      <c r="BN9" s="332"/>
      <c r="BO9" s="332"/>
      <c r="BP9" s="332">
        <v>165875</v>
      </c>
      <c r="BQ9" s="332">
        <v>165875</v>
      </c>
      <c r="BR9" s="332">
        <v>-200</v>
      </c>
      <c r="BS9" s="341" t="s">
        <v>134</v>
      </c>
      <c r="BT9" s="342">
        <v>166590994</v>
      </c>
      <c r="BU9" s="343"/>
      <c r="BV9" s="347"/>
      <c r="BW9" s="335"/>
      <c r="BY9" s="293">
        <f>IF('[2]2026 január'!B$8=0,
    "",
    '[2]2026 január'!B$8
)</f>
        <v>1551280</v>
      </c>
      <c r="BZ9" s="293" t="str">
        <f>IF(OR('[2]2026 január'!G8=0,
       ISBLANK('[2]2026 január'!G8)),
    "",
    '[2]2026 január'!G8
)</f>
        <v/>
      </c>
      <c r="CA9" s="11">
        <f>'[2]2026 január'!W8</f>
        <v>0</v>
      </c>
      <c r="CB9" s="11"/>
      <c r="CC9" s="11"/>
      <c r="CD9" s="10"/>
      <c r="CE9" s="293">
        <f>IF('[2]2026 január'!S8=0,
    "",
    '[2]2026 január'!S8
)</f>
        <v>267341</v>
      </c>
      <c r="CF9" s="293">
        <f>IF('[2]2026 január'!T8=0,
    "",
    '[2]2026 január'!T8
)</f>
        <v>83515</v>
      </c>
      <c r="CG9" s="293" t="str">
        <f>IF('[2]2026 január'!U8=0,
    "",
    '[2]2026 január'!U8
)</f>
        <v/>
      </c>
      <c r="CH9" s="293">
        <f>IF('[2]2026 január'!V8=0,
    "",
    '[2]2026 január'!V8
)</f>
        <v>167500</v>
      </c>
      <c r="CI9" s="293" t="str">
        <f>IF('[2]2026 január'!W8=0,
    "",
    '[2]2026 január'!W8
)</f>
        <v/>
      </c>
      <c r="CJ9" s="293" t="str">
        <f>IF('[2]2026 január'!X8=0,
    "",
    '[2]2026 január'!X8
)</f>
        <v/>
      </c>
      <c r="CK9" s="293">
        <f>IF('[2]2026 január'!Y8=0,
    "",
    '[2]2026 január'!Y8
)</f>
        <v>183356</v>
      </c>
      <c r="CL9" s="296" t="str">
        <f>IF('[2]2026 január'!Z8=0,
    "",
    '[2]2026 január'!Z8
)</f>
        <v/>
      </c>
      <c r="CM9" s="293" t="str">
        <f>IF('[2]2026 január'!AA8=0,
    "",
    '[2]2026 január'!AA8
)</f>
        <v/>
      </c>
      <c r="CN9" s="293" t="str">
        <f>IF('[2]2026 január'!AB8=0,
    "",
    '[2]2026 január'!AB8
)</f>
        <v/>
      </c>
      <c r="CO9" s="293" t="str">
        <f>IF('[2]2026 január'!AC8=0,
    "",
    '[2]2026 január'!AC8
)</f>
        <v/>
      </c>
      <c r="CP9" s="293" t="str">
        <f>IF('[2]2026 január'!AD8=0,
    "",
    '[2]2026 január'!AD8
)</f>
        <v/>
      </c>
      <c r="CQ9" s="245" t="str">
        <f>IF('[2]2026 január'!AE$8=0,
    "",
    '[2]2026 január'!AE$8
)</f>
        <v/>
      </c>
      <c r="CR9" s="245" t="str">
        <f>IF('[2]2026 január'!AF8=0,
    "",
    '[2]2026 január'!AF8
)</f>
        <v/>
      </c>
      <c r="CS9" s="245" t="str">
        <f>IF('[2]2026 január'!AG8=0,
    "",
    '[2]2026 január'!AG8
)</f>
        <v/>
      </c>
      <c r="CT9" s="245" t="str">
        <f>IF('[2]2026 január'!AH8=0,
    "",
    '[2]2026 január'!AH8
)</f>
        <v/>
      </c>
    </row>
    <row r="10" spans="1:98" ht="14.25" customHeight="1">
      <c r="A10" s="5">
        <v>46030</v>
      </c>
      <c r="B10" s="380">
        <v>449045</v>
      </c>
      <c r="C10" s="11">
        <v>1000</v>
      </c>
      <c r="D10" s="11">
        <v>418293</v>
      </c>
      <c r="E10" s="11"/>
      <c r="F10" s="11"/>
      <c r="G10" s="11"/>
      <c r="H10" s="11">
        <v>419293</v>
      </c>
      <c r="I10" s="87">
        <v>419293</v>
      </c>
      <c r="J10" s="11">
        <v>1548</v>
      </c>
      <c r="K10" s="38" t="s">
        <v>135</v>
      </c>
      <c r="L10" s="87">
        <v>126543141</v>
      </c>
      <c r="M10" s="286"/>
      <c r="N10" s="169"/>
      <c r="O10" s="239"/>
      <c r="Q10" s="5">
        <v>46030</v>
      </c>
      <c r="R10" s="380">
        <v>599650</v>
      </c>
      <c r="S10" s="11">
        <v>2550</v>
      </c>
      <c r="T10" s="11">
        <v>556930</v>
      </c>
      <c r="U10" s="11"/>
      <c r="V10" s="11"/>
      <c r="W10" s="11"/>
      <c r="X10" s="11">
        <v>559480</v>
      </c>
      <c r="Y10" s="11">
        <v>559480</v>
      </c>
      <c r="Z10" s="11">
        <v>140</v>
      </c>
      <c r="AA10" s="44" t="s">
        <v>136</v>
      </c>
      <c r="AB10" s="87">
        <v>154956423</v>
      </c>
      <c r="AC10" s="173"/>
      <c r="AD10" s="169"/>
      <c r="AE10" s="9"/>
      <c r="AG10" s="331">
        <v>46030</v>
      </c>
      <c r="AH10" s="380">
        <v>339615</v>
      </c>
      <c r="AI10" s="332">
        <v>1000</v>
      </c>
      <c r="AJ10" s="332">
        <v>312300</v>
      </c>
      <c r="AK10" s="332"/>
      <c r="AL10" s="332"/>
      <c r="AM10" s="332"/>
      <c r="AN10" s="332">
        <v>313300</v>
      </c>
      <c r="AO10" s="332">
        <v>313300</v>
      </c>
      <c r="AP10" s="332">
        <v>-775</v>
      </c>
      <c r="AQ10" s="341" t="s">
        <v>137</v>
      </c>
      <c r="AR10" s="342">
        <v>297885176</v>
      </c>
      <c r="AS10" s="343"/>
      <c r="AT10" s="344"/>
      <c r="AU10" s="335"/>
      <c r="AV10" s="335"/>
      <c r="AW10" s="335"/>
      <c r="AX10" s="335"/>
      <c r="AY10" s="335"/>
      <c r="AZ10" s="335"/>
      <c r="BA10" s="335"/>
      <c r="BB10" s="335"/>
      <c r="BC10" s="335"/>
      <c r="BD10" s="335"/>
      <c r="BE10" s="335"/>
      <c r="BF10" s="335"/>
      <c r="BG10" s="335"/>
      <c r="BH10" s="317"/>
      <c r="BI10" s="331">
        <v>46030</v>
      </c>
      <c r="BJ10" s="380">
        <v>274035</v>
      </c>
      <c r="BK10" s="332">
        <v>1700</v>
      </c>
      <c r="BL10" s="332">
        <v>264665</v>
      </c>
      <c r="BM10" s="332"/>
      <c r="BN10" s="332"/>
      <c r="BO10" s="332"/>
      <c r="BP10" s="332">
        <v>266365</v>
      </c>
      <c r="BQ10" s="332">
        <v>266365</v>
      </c>
      <c r="BR10" s="332">
        <v>-1045</v>
      </c>
      <c r="BS10" s="341" t="s">
        <v>138</v>
      </c>
      <c r="BT10" s="342">
        <v>166857359</v>
      </c>
      <c r="BU10" s="343"/>
      <c r="BV10" s="345"/>
      <c r="BW10" s="335"/>
      <c r="BY10" s="293">
        <f>IF('[2]2026 január'!B$9=0,
    "",
    '[2]2026 január'!B$9
)</f>
        <v>1662345</v>
      </c>
      <c r="BZ10" s="293" t="str">
        <f>IF(OR('[2]2026 január'!G9=0,
       ISBLANK('[2]2026 január'!G9)),
    "",
    '[2]2026 január'!G9
)</f>
        <v/>
      </c>
      <c r="CA10" s="11">
        <f>'[2]2026 január'!W9</f>
        <v>50000</v>
      </c>
      <c r="CB10" s="11"/>
      <c r="CC10" s="11"/>
      <c r="CD10" s="10"/>
      <c r="CE10" s="293">
        <f>IF('[2]2026 január'!S9=0,
    "",
    '[2]2026 január'!S9
)</f>
        <v>183356</v>
      </c>
      <c r="CF10" s="293">
        <f>IF('[2]2026 január'!T9=0,
    "",
    '[2]2026 január'!T9
)</f>
        <v>103907</v>
      </c>
      <c r="CG10" s="293" t="str">
        <f>IF('[2]2026 január'!U9=0,
    "",
    '[2]2026 január'!U9
)</f>
        <v/>
      </c>
      <c r="CH10" s="293">
        <f>IF('[2]2026 január'!V9=0,
    "",
    '[2]2026 január'!V9
)</f>
        <v>68000</v>
      </c>
      <c r="CI10" s="293">
        <f>IF('[2]2026 január'!W9=0,
    "",
    '[2]2026 január'!W9
)</f>
        <v>50000</v>
      </c>
      <c r="CJ10" s="293" t="str">
        <f>IF('[2]2026 január'!X9=0,
    "",
    '[2]2026 január'!X9
)</f>
        <v/>
      </c>
      <c r="CK10" s="293">
        <f>IF('[2]2026 január'!Y9=0,
    "",
    '[2]2026 január'!Y9
)</f>
        <v>169263</v>
      </c>
      <c r="CL10" s="296" t="str">
        <f>IF('[2]2026 január'!Z9=0,
    "",
    '[2]2026 január'!Z9
)</f>
        <v/>
      </c>
      <c r="CM10" s="293" t="str">
        <f>IF('[2]2026 január'!AA9=0,
    "",
    '[2]2026 január'!AA9
)</f>
        <v/>
      </c>
      <c r="CN10" s="293" t="str">
        <f>IF('[2]2026 január'!AB9=0,
    "",
    '[2]2026 január'!AB9
)</f>
        <v/>
      </c>
      <c r="CO10" s="293" t="str">
        <f>IF('[2]2026 január'!AC9=0,
    "",
    '[2]2026 január'!AC9
)</f>
        <v/>
      </c>
      <c r="CP10" s="293" t="str">
        <f>IF('[2]2026 január'!AD9=0,
    "",
    '[2]2026 január'!AD9
)</f>
        <v/>
      </c>
      <c r="CQ10" s="245" t="str">
        <f>IF('[2]2026 január'!AE$9=0,
    "",
    '[2]2026 január'!AE$9
)</f>
        <v/>
      </c>
      <c r="CR10" s="245" t="str">
        <f>IF('[2]2026 január'!AF9=0,
    "",
    '[2]2026 január'!AF9
)</f>
        <v/>
      </c>
      <c r="CS10" s="245" t="str">
        <f>IF('[2]2026 január'!AG9=0,
    "",
    '[2]2026 január'!AG9
)</f>
        <v/>
      </c>
      <c r="CT10" s="245" t="str">
        <f>IF('[2]2026 január'!AH9=0,
    "",
    '[2]2026 január'!AH9
)</f>
        <v/>
      </c>
    </row>
    <row r="11" spans="1:98" ht="14.25" customHeight="1">
      <c r="A11" s="5">
        <v>46031</v>
      </c>
      <c r="B11" s="380">
        <v>398750</v>
      </c>
      <c r="C11" s="11">
        <v>900</v>
      </c>
      <c r="D11" s="11">
        <v>376820</v>
      </c>
      <c r="E11" s="11"/>
      <c r="F11" s="11"/>
      <c r="G11" s="11"/>
      <c r="H11" s="11">
        <v>377720</v>
      </c>
      <c r="I11" s="87">
        <v>377720</v>
      </c>
      <c r="J11" s="11">
        <v>1740</v>
      </c>
      <c r="K11" s="38" t="s">
        <v>139</v>
      </c>
      <c r="L11" s="87">
        <v>126920861</v>
      </c>
      <c r="M11" s="286"/>
      <c r="N11" s="169"/>
      <c r="O11" s="239"/>
      <c r="Q11" s="5">
        <v>46031</v>
      </c>
      <c r="R11" s="380">
        <v>583625</v>
      </c>
      <c r="S11" s="11">
        <v>3000</v>
      </c>
      <c r="T11" s="11">
        <v>547935</v>
      </c>
      <c r="U11" s="11"/>
      <c r="V11" s="11"/>
      <c r="W11" s="11"/>
      <c r="X11" s="91">
        <v>550935</v>
      </c>
      <c r="Y11" s="91">
        <v>554235</v>
      </c>
      <c r="Z11" s="11">
        <v>480</v>
      </c>
      <c r="AA11" s="44" t="s">
        <v>140</v>
      </c>
      <c r="AB11" s="87">
        <v>155507358</v>
      </c>
      <c r="AC11" s="173"/>
      <c r="AD11" s="169"/>
      <c r="AE11" s="9"/>
      <c r="AG11" s="331">
        <v>46031</v>
      </c>
      <c r="AH11" s="380">
        <v>303390</v>
      </c>
      <c r="AI11" s="332">
        <v>1600</v>
      </c>
      <c r="AJ11" s="332">
        <v>285333</v>
      </c>
      <c r="AK11" s="332"/>
      <c r="AL11" s="332"/>
      <c r="AM11" s="332"/>
      <c r="AN11" s="332">
        <v>286933</v>
      </c>
      <c r="AO11" s="332">
        <v>286933</v>
      </c>
      <c r="AP11" s="332">
        <v>-602</v>
      </c>
      <c r="AQ11" s="341" t="s">
        <v>141</v>
      </c>
      <c r="AR11" s="342">
        <v>298172109</v>
      </c>
      <c r="AS11" s="343"/>
      <c r="AT11" s="344"/>
      <c r="AU11" s="335"/>
      <c r="AV11" s="335"/>
      <c r="AW11" s="335"/>
      <c r="AX11" s="335"/>
      <c r="AY11" s="335"/>
      <c r="AZ11" s="335"/>
      <c r="BA11" s="335"/>
      <c r="BB11" s="335"/>
      <c r="BC11" s="335"/>
      <c r="BD11" s="335"/>
      <c r="BE11" s="335"/>
      <c r="BF11" s="335"/>
      <c r="BG11" s="335"/>
      <c r="BH11" s="317"/>
      <c r="BI11" s="331">
        <v>46031</v>
      </c>
      <c r="BJ11" s="380">
        <v>184070</v>
      </c>
      <c r="BK11" s="332">
        <v>950</v>
      </c>
      <c r="BL11" s="332">
        <v>171500</v>
      </c>
      <c r="BM11" s="332"/>
      <c r="BN11" s="332"/>
      <c r="BO11" s="332"/>
      <c r="BP11" s="340">
        <v>172450</v>
      </c>
      <c r="BQ11" s="340">
        <v>173570</v>
      </c>
      <c r="BR11" s="332">
        <v>1970</v>
      </c>
      <c r="BS11" s="341" t="s">
        <v>142</v>
      </c>
      <c r="BT11" s="342">
        <v>167029809</v>
      </c>
      <c r="BU11" s="343"/>
      <c r="BV11" s="345"/>
      <c r="BW11" s="335"/>
      <c r="BY11" s="293">
        <f>IF('[2]2026 január'!B$10=0,
    "",
    '[2]2026 január'!B$10
)</f>
        <v>1469835</v>
      </c>
      <c r="BZ11" s="293" t="str">
        <f>IF(OR('[2]2026 január'!G10=0,
       ISBLANK('[2]2026 január'!G10)),
    "",
    '[2]2026 január'!G10
)</f>
        <v/>
      </c>
      <c r="CA11" s="11">
        <f>'[2]2026 január'!W10</f>
        <v>0</v>
      </c>
      <c r="CB11" s="11"/>
      <c r="CC11" s="11"/>
      <c r="CD11" s="10"/>
      <c r="CE11" s="293">
        <f>IF('[2]2026 január'!S10=0,
    "",
    '[2]2026 január'!S10
)</f>
        <v>169263</v>
      </c>
      <c r="CF11" s="293">
        <f>IF('[2]2026 január'!T10=0,
    "",
    '[2]2026 január'!T10
)</f>
        <v>77377</v>
      </c>
      <c r="CG11" s="293" t="str">
        <f>IF('[2]2026 január'!U10=0,
    "",
    '[2]2026 január'!U10
)</f>
        <v/>
      </c>
      <c r="CH11" s="293">
        <f>IF('[2]2026 január'!V10=0,
    "",
    '[2]2026 január'!V10
)</f>
        <v>33000</v>
      </c>
      <c r="CI11" s="293" t="str">
        <f>IF('[2]2026 január'!W10=0,
    "",
    '[2]2026 január'!W10
)</f>
        <v/>
      </c>
      <c r="CJ11" s="293" t="str">
        <f>IF('[2]2026 január'!X10=0,
    "",
    '[2]2026 január'!X10
)</f>
        <v/>
      </c>
      <c r="CK11" s="293">
        <f>IF('[2]2026 január'!Y10=0,
    "",
    '[2]2026 január'!Y10
)</f>
        <v>213640</v>
      </c>
      <c r="CL11" s="296" t="str">
        <f>IF('[2]2026 január'!Z10=0,
    "",
    '[2]2026 január'!Z10
)</f>
        <v/>
      </c>
      <c r="CM11" s="293" t="str">
        <f>IF('[2]2026 január'!AA10=0,
    "",
    '[2]2026 január'!AA10
)</f>
        <v/>
      </c>
      <c r="CN11" s="293" t="str">
        <f>IF('[2]2026 január'!AB10=0,
    "",
    '[2]2026 január'!AB10
)</f>
        <v/>
      </c>
      <c r="CO11" s="293" t="str">
        <f>IF('[2]2026 január'!AC10=0,
    "",
    '[2]2026 január'!AC10
)</f>
        <v/>
      </c>
      <c r="CP11" s="293" t="str">
        <f>IF('[2]2026 január'!AD10=0,
    "",
    '[2]2026 január'!AD10
)</f>
        <v/>
      </c>
      <c r="CQ11" s="245" t="str">
        <f>IF('[2]2026 január'!AE$10=0,
    "",
    '[2]2026 január'!AE$10
)</f>
        <v/>
      </c>
      <c r="CR11" s="245" t="str">
        <f>IF('[2]2026 január'!AF10=0,
    "",
    '[2]2026 január'!AF10
)</f>
        <v/>
      </c>
      <c r="CS11" s="245" t="str">
        <f>IF('[2]2026 január'!AG10=0,
    "",
    '[2]2026 január'!AG10
)</f>
        <v/>
      </c>
      <c r="CT11" s="245" t="str">
        <f>IF('[2]2026 január'!AH10=0,
    "",
    '[2]2026 január'!AH10
)</f>
        <v/>
      </c>
    </row>
    <row r="12" spans="1:98" ht="14.25" customHeight="1">
      <c r="A12" s="162">
        <v>46032</v>
      </c>
      <c r="B12" s="379">
        <v>398665</v>
      </c>
      <c r="C12" s="163">
        <v>650</v>
      </c>
      <c r="D12" s="163">
        <v>368303</v>
      </c>
      <c r="E12" s="163"/>
      <c r="F12" s="163"/>
      <c r="G12" s="163"/>
      <c r="H12" s="163">
        <v>368953</v>
      </c>
      <c r="I12" s="167">
        <v>368953</v>
      </c>
      <c r="J12" s="163">
        <v>588</v>
      </c>
      <c r="K12" s="222" t="s">
        <v>143</v>
      </c>
      <c r="L12" s="167">
        <v>127289814</v>
      </c>
      <c r="M12" s="292"/>
      <c r="N12" s="174"/>
      <c r="O12" s="242"/>
      <c r="Q12" s="162">
        <v>46032</v>
      </c>
      <c r="R12" s="379">
        <v>459755</v>
      </c>
      <c r="S12" s="163">
        <v>1705</v>
      </c>
      <c r="T12" s="163">
        <v>439270</v>
      </c>
      <c r="U12" s="163"/>
      <c r="V12" s="163"/>
      <c r="W12" s="163"/>
      <c r="X12" s="163">
        <v>440975</v>
      </c>
      <c r="Y12" s="163">
        <v>440975</v>
      </c>
      <c r="Z12" s="163">
        <v>-1145</v>
      </c>
      <c r="AA12" s="164" t="s">
        <v>144</v>
      </c>
      <c r="AB12" s="167">
        <v>155948333</v>
      </c>
      <c r="AC12" s="172"/>
      <c r="AD12" s="174"/>
      <c r="AE12" s="179"/>
      <c r="AG12" s="325">
        <v>46032</v>
      </c>
      <c r="AH12" s="379">
        <v>284235</v>
      </c>
      <c r="AI12" s="326">
        <v>1000</v>
      </c>
      <c r="AJ12" s="326">
        <v>273915</v>
      </c>
      <c r="AK12" s="326"/>
      <c r="AL12" s="326"/>
      <c r="AM12" s="326"/>
      <c r="AN12" s="326">
        <v>274915</v>
      </c>
      <c r="AO12" s="326">
        <v>274915</v>
      </c>
      <c r="AP12" s="326">
        <v>-820</v>
      </c>
      <c r="AQ12" s="327" t="s">
        <v>145</v>
      </c>
      <c r="AR12" s="338">
        <v>298447024</v>
      </c>
      <c r="AS12" s="339"/>
      <c r="AT12" s="330"/>
      <c r="AU12" s="335"/>
      <c r="AV12" s="335"/>
      <c r="AW12" s="335"/>
      <c r="AX12" s="335"/>
      <c r="AY12" s="335"/>
      <c r="AZ12" s="335"/>
      <c r="BA12" s="335"/>
      <c r="BB12" s="335"/>
      <c r="BC12" s="335"/>
      <c r="BD12" s="335"/>
      <c r="BE12" s="335"/>
      <c r="BF12" s="335"/>
      <c r="BG12" s="336"/>
      <c r="BH12" s="317"/>
      <c r="BI12" s="325">
        <v>46032</v>
      </c>
      <c r="BJ12" s="379">
        <v>246665</v>
      </c>
      <c r="BK12" s="326">
        <v>1100</v>
      </c>
      <c r="BL12" s="326">
        <v>234385</v>
      </c>
      <c r="BM12" s="326"/>
      <c r="BN12" s="326"/>
      <c r="BO12" s="326"/>
      <c r="BP12" s="326">
        <v>235535</v>
      </c>
      <c r="BQ12" s="326">
        <v>235535</v>
      </c>
      <c r="BR12" s="326">
        <v>-1965</v>
      </c>
      <c r="BS12" s="327" t="s">
        <v>146</v>
      </c>
      <c r="BT12" s="338">
        <v>167029809</v>
      </c>
      <c r="BU12" s="339"/>
      <c r="BV12" s="337"/>
      <c r="BW12" s="336"/>
      <c r="BY12" s="293">
        <f>IF('[2]2026 január'!B$11=0,
    "",
    '[2]2026 január'!B$11
)</f>
        <v>1389320</v>
      </c>
      <c r="BZ12" s="293" t="str">
        <f>IF(OR('[2]2026 január'!G11=0,
       ISBLANK('[2]2026 január'!G11)),
    "",
    '[2]2026 január'!G11
)</f>
        <v/>
      </c>
      <c r="CA12" s="11">
        <f>'[2]2026 január'!W11</f>
        <v>0</v>
      </c>
      <c r="CB12" s="11"/>
      <c r="CC12" s="11"/>
      <c r="CD12" s="10"/>
      <c r="CE12" s="293">
        <f>IF('[2]2026 január'!S11=0,
    "",
    '[2]2026 január'!S11
)</f>
        <v>213640</v>
      </c>
      <c r="CF12" s="293">
        <f>IF('[2]2026 január'!T11=0,
    "",
    '[2]2026 január'!T11
)</f>
        <v>68942</v>
      </c>
      <c r="CG12" s="293">
        <f>IF('[2]2026 január'!U11=0,
    "",
    '[2]2026 január'!U11
)</f>
        <v>100000</v>
      </c>
      <c r="CH12" s="293">
        <f>IF('[2]2026 január'!V11=0,
    "",
    '[2]2026 január'!V11
)</f>
        <v>110000</v>
      </c>
      <c r="CI12" s="293" t="str">
        <f>IF('[2]2026 január'!W11=0,
    "",
    '[2]2026 január'!W11
)</f>
        <v/>
      </c>
      <c r="CJ12" s="293" t="str">
        <f>IF('[2]2026 január'!X11=0,
    "",
    '[2]2026 január'!X11
)</f>
        <v/>
      </c>
      <c r="CK12" s="293">
        <f>IF('[2]2026 január'!Y11=0,
    "",
    '[2]2026 január'!Y11
)</f>
        <v>272582</v>
      </c>
      <c r="CL12" s="296" t="str">
        <f>IF('[2]2026 január'!Z11=0,
    "",
    '[2]2026 január'!Z11
)</f>
        <v/>
      </c>
      <c r="CM12" s="293" t="str">
        <f>IF('[2]2026 január'!AA11=0,
    "",
    '[2]2026 január'!AA11
)</f>
        <v/>
      </c>
      <c r="CN12" s="293" t="str">
        <f>IF('[2]2026 január'!AB11=0,
    "",
    '[2]2026 január'!AB11
)</f>
        <v/>
      </c>
      <c r="CO12" s="293" t="str">
        <f>IF('[2]2026 január'!AC11=0,
    "",
    '[2]2026 január'!AC11
)</f>
        <v/>
      </c>
      <c r="CP12" s="293" t="str">
        <f>IF('[2]2026 január'!AD11=0,
    "",
    '[2]2026 január'!AD11
)</f>
        <v/>
      </c>
      <c r="CQ12" s="245" t="str">
        <f>IF('[2]2026 január'!AE$11=0,
    "",
    '[2]2026 január'!AE$11
)</f>
        <v/>
      </c>
      <c r="CR12" s="245" t="str">
        <f>IF('[2]2026 január'!AF11=0,
    "",
    '[2]2026 január'!AF11
)</f>
        <v/>
      </c>
      <c r="CS12" s="245" t="str">
        <f>IF('[2]2026 január'!AG11=0,
    "",
    '[2]2026 január'!AG11
)</f>
        <v/>
      </c>
      <c r="CT12" s="245" t="str">
        <f>IF('[2]2026 január'!AH11=0,
    "",
    '[2]2026 január'!AH11
)</f>
        <v/>
      </c>
    </row>
    <row r="13" spans="1:98" ht="14.25" customHeight="1">
      <c r="A13" s="162">
        <v>46033</v>
      </c>
      <c r="B13" s="379"/>
      <c r="C13" s="163"/>
      <c r="D13" s="163"/>
      <c r="E13" s="163"/>
      <c r="F13" s="163"/>
      <c r="G13" s="163"/>
      <c r="H13" s="163"/>
      <c r="I13" s="167"/>
      <c r="J13" s="163"/>
      <c r="K13" s="222"/>
      <c r="L13" s="275"/>
      <c r="M13" s="292"/>
      <c r="N13" s="174"/>
      <c r="O13" s="242"/>
      <c r="Q13" s="162">
        <v>46033</v>
      </c>
      <c r="R13" s="379"/>
      <c r="S13" s="163"/>
      <c r="T13" s="163"/>
      <c r="U13" s="163"/>
      <c r="V13" s="163"/>
      <c r="W13" s="163"/>
      <c r="X13" s="163"/>
      <c r="Y13" s="163"/>
      <c r="Z13" s="163"/>
      <c r="AA13" s="164"/>
      <c r="AB13" s="167"/>
      <c r="AC13" s="172"/>
      <c r="AD13" s="174"/>
      <c r="AE13" s="179"/>
      <c r="AG13" s="325">
        <v>46033</v>
      </c>
      <c r="AH13" s="379"/>
      <c r="AI13" s="326"/>
      <c r="AJ13" s="326"/>
      <c r="AK13" s="326"/>
      <c r="AL13" s="326"/>
      <c r="AM13" s="326"/>
      <c r="AN13" s="326"/>
      <c r="AO13" s="326"/>
      <c r="AP13" s="326"/>
      <c r="AQ13" s="327"/>
      <c r="AR13" s="338"/>
      <c r="AS13" s="339"/>
      <c r="AT13" s="330"/>
      <c r="AU13" s="335"/>
      <c r="AV13" s="335"/>
      <c r="AW13" s="335"/>
      <c r="AX13" s="335"/>
      <c r="AY13" s="335"/>
      <c r="AZ13" s="335"/>
      <c r="BA13" s="335"/>
      <c r="BB13" s="335"/>
      <c r="BC13" s="335"/>
      <c r="BD13" s="335"/>
      <c r="BE13" s="335"/>
      <c r="BF13" s="335"/>
      <c r="BG13" s="336"/>
      <c r="BH13" s="317"/>
      <c r="BI13" s="325">
        <v>46033</v>
      </c>
      <c r="BJ13" s="379"/>
      <c r="BK13" s="326"/>
      <c r="BL13" s="326"/>
      <c r="BM13" s="326"/>
      <c r="BN13" s="326"/>
      <c r="BO13" s="326"/>
      <c r="BP13" s="326"/>
      <c r="BQ13" s="326"/>
      <c r="BR13" s="326"/>
      <c r="BS13" s="327"/>
      <c r="BT13" s="338"/>
      <c r="BU13" s="339"/>
      <c r="BV13" s="337"/>
      <c r="BW13" s="336"/>
      <c r="BY13" s="293" t="str">
        <f>IF('[2]2026 január'!B$12=0,
    "",
    '[2]2026 január'!B$12
)</f>
        <v/>
      </c>
      <c r="BZ13" s="293" t="str">
        <f>IF(OR('[2]2026 január'!G12=0,
       ISBLANK('[2]2026 január'!G12)),
    "",
    '[2]2026 január'!G12
)</f>
        <v/>
      </c>
      <c r="CA13" s="11">
        <f>'[2]2026 január'!W12</f>
        <v>0</v>
      </c>
      <c r="CB13" s="11"/>
      <c r="CC13" s="11"/>
      <c r="CD13" s="10"/>
      <c r="CE13" s="293" t="str">
        <f>IF('[2]2026 január'!S12=0,
    "",
    '[2]2026 január'!S12
)</f>
        <v/>
      </c>
      <c r="CF13" s="293" t="str">
        <f>IF('[2]2026 január'!T12=0,
    "",
    '[2]2026 január'!T12
)</f>
        <v/>
      </c>
      <c r="CG13" s="293" t="str">
        <f>IF('[2]2026 január'!U12=0,
    "",
    '[2]2026 január'!U12
)</f>
        <v/>
      </c>
      <c r="CH13" s="293" t="str">
        <f>IF('[2]2026 január'!V12=0,
    "",
    '[2]2026 január'!V12
)</f>
        <v/>
      </c>
      <c r="CI13" s="293" t="str">
        <f>IF('[2]2026 január'!W12=0,
    "",
    '[2]2026 január'!W12
)</f>
        <v/>
      </c>
      <c r="CJ13" s="293" t="str">
        <f>IF('[2]2026 január'!X12=0,
    "",
    '[2]2026 január'!X12
)</f>
        <v/>
      </c>
      <c r="CK13" s="293" t="str">
        <f>IF('[2]2026 január'!Y12=0,
    "",
    '[2]2026 január'!Y12
)</f>
        <v/>
      </c>
      <c r="CL13" s="296" t="str">
        <f>IF('[2]2026 január'!Z12=0,
    "",
    '[2]2026 január'!Z12
)</f>
        <v/>
      </c>
      <c r="CM13" s="293" t="str">
        <f>IF('[2]2026 január'!AA12=0,
    "",
    '[2]2026 január'!AA12
)</f>
        <v/>
      </c>
      <c r="CN13" s="293" t="str">
        <f>IF('[2]2026 január'!AB12=0,
    "",
    '[2]2026 január'!AB12
)</f>
        <v/>
      </c>
      <c r="CO13" s="293" t="str">
        <f>IF('[2]2026 január'!AC12=0,
    "",
    '[2]2026 január'!AC12
)</f>
        <v/>
      </c>
      <c r="CP13" s="293" t="str">
        <f>IF('[2]2026 január'!AD12=0,
    "",
    '[2]2026 január'!AD12
)</f>
        <v/>
      </c>
      <c r="CQ13" s="245" t="str">
        <f>IF('[2]2026 január'!AE$12=0,
    "",
    '[2]2026 január'!AE$12
)</f>
        <v/>
      </c>
      <c r="CR13" s="245" t="str">
        <f>IF('[2]2026 január'!AF12=0,
    "",
    '[2]2026 január'!AF12
)</f>
        <v/>
      </c>
      <c r="CS13" s="245" t="str">
        <f>IF('[2]2026 január'!AG12=0,
    "",
    '[2]2026 január'!AG12
)</f>
        <v/>
      </c>
      <c r="CT13" s="245" t="str">
        <f>IF('[2]2026 január'!AH12=0,
    "",
    '[2]2026 január'!AH12
)</f>
        <v/>
      </c>
    </row>
    <row r="14" spans="1:98" ht="14.25" customHeight="1">
      <c r="A14" s="162"/>
      <c r="B14" s="379"/>
      <c r="C14" s="163"/>
      <c r="D14" s="163"/>
      <c r="E14" s="163"/>
      <c r="F14" s="163"/>
      <c r="G14" s="163"/>
      <c r="H14" s="163"/>
      <c r="I14" s="167"/>
      <c r="J14" s="163"/>
      <c r="K14" s="222"/>
      <c r="L14" s="275"/>
      <c r="M14" s="292"/>
      <c r="N14" s="174"/>
      <c r="O14" s="242"/>
      <c r="Q14" s="162">
        <v>46034</v>
      </c>
      <c r="R14" s="379"/>
      <c r="S14" s="163">
        <v>0</v>
      </c>
      <c r="T14" s="163">
        <v>0</v>
      </c>
      <c r="U14" s="163"/>
      <c r="V14" s="163"/>
      <c r="W14" s="163"/>
      <c r="X14" s="163">
        <v>0</v>
      </c>
      <c r="Y14" s="163">
        <v>0</v>
      </c>
      <c r="Z14" s="163"/>
      <c r="AA14" s="164" t="s">
        <v>147</v>
      </c>
      <c r="AB14" s="167">
        <v>155948333</v>
      </c>
      <c r="AC14" s="172"/>
      <c r="AD14" s="174"/>
      <c r="AE14" s="179"/>
      <c r="AG14" s="325"/>
      <c r="AH14" s="379"/>
      <c r="AI14" s="326"/>
      <c r="AJ14" s="326"/>
      <c r="AK14" s="326"/>
      <c r="AL14" s="326"/>
      <c r="AM14" s="326"/>
      <c r="AN14" s="326"/>
      <c r="AO14" s="326"/>
      <c r="AP14" s="326"/>
      <c r="AQ14" s="327"/>
      <c r="AR14" s="338"/>
      <c r="AS14" s="339"/>
      <c r="AT14" s="330"/>
      <c r="AU14" s="335"/>
      <c r="AV14" s="335"/>
      <c r="AW14" s="335"/>
      <c r="AX14" s="335"/>
      <c r="AY14" s="335"/>
      <c r="AZ14" s="335"/>
      <c r="BA14" s="335"/>
      <c r="BB14" s="335"/>
      <c r="BC14" s="335"/>
      <c r="BD14" s="335"/>
      <c r="BE14" s="335"/>
      <c r="BF14" s="335"/>
      <c r="BG14" s="336"/>
      <c r="BH14" s="317"/>
      <c r="BI14" s="325"/>
      <c r="BJ14" s="379"/>
      <c r="BK14" s="326"/>
      <c r="BL14" s="326"/>
      <c r="BM14" s="326"/>
      <c r="BN14" s="326"/>
      <c r="BO14" s="326"/>
      <c r="BP14" s="326"/>
      <c r="BQ14" s="326"/>
      <c r="BR14" s="326"/>
      <c r="BS14" s="327"/>
      <c r="BT14" s="338"/>
      <c r="BU14" s="339"/>
      <c r="BV14" s="337"/>
      <c r="BW14" s="336"/>
      <c r="BZ14" s="293"/>
      <c r="CA14" s="11"/>
      <c r="CB14" s="11"/>
      <c r="CC14" s="11"/>
      <c r="CD14" s="10"/>
      <c r="CE14" s="293"/>
      <c r="CF14" s="293"/>
      <c r="CG14" s="293"/>
      <c r="CH14" s="293"/>
      <c r="CI14" s="293"/>
      <c r="CJ14" s="293"/>
      <c r="CK14" s="293"/>
      <c r="CL14" s="296"/>
      <c r="CM14" s="293"/>
      <c r="CN14" s="293"/>
      <c r="CO14" s="293"/>
      <c r="CP14" s="293"/>
      <c r="CQ14" s="245"/>
      <c r="CR14" s="245"/>
      <c r="CS14" s="245"/>
      <c r="CT14" s="245"/>
    </row>
    <row r="15" spans="1:98" ht="14.25" customHeight="1">
      <c r="A15" s="5">
        <v>46034</v>
      </c>
      <c r="B15" s="380">
        <v>394565</v>
      </c>
      <c r="C15" s="11">
        <v>550</v>
      </c>
      <c r="D15" s="11">
        <v>373110</v>
      </c>
      <c r="E15" s="11"/>
      <c r="F15" s="11"/>
      <c r="G15" s="11"/>
      <c r="H15" s="91">
        <v>373660</v>
      </c>
      <c r="I15" s="434">
        <v>372253</v>
      </c>
      <c r="J15" s="11">
        <v>-277</v>
      </c>
      <c r="K15" s="38" t="s">
        <v>148</v>
      </c>
      <c r="L15" s="87">
        <v>127663474</v>
      </c>
      <c r="M15" s="286"/>
      <c r="N15" s="169"/>
      <c r="O15" s="239"/>
      <c r="Q15" s="5">
        <v>46034</v>
      </c>
      <c r="R15" s="380">
        <v>558870</v>
      </c>
      <c r="S15" s="11">
        <v>1900</v>
      </c>
      <c r="T15" s="11">
        <v>526970</v>
      </c>
      <c r="U15" s="11"/>
      <c r="V15" s="11"/>
      <c r="W15" s="11"/>
      <c r="X15" s="11">
        <v>528870</v>
      </c>
      <c r="Y15" s="11">
        <v>528870</v>
      </c>
      <c r="Z15" s="11">
        <v>-1155</v>
      </c>
      <c r="AA15" s="44" t="s">
        <v>149</v>
      </c>
      <c r="AB15" s="87">
        <v>156477203</v>
      </c>
      <c r="AC15" s="173"/>
      <c r="AD15" s="169"/>
      <c r="AE15" s="9"/>
      <c r="AG15" s="331">
        <v>46034</v>
      </c>
      <c r="AH15" s="380">
        <v>369810</v>
      </c>
      <c r="AI15" s="332">
        <v>1650</v>
      </c>
      <c r="AJ15" s="332">
        <v>350010</v>
      </c>
      <c r="AK15" s="332"/>
      <c r="AL15" s="332"/>
      <c r="AM15" s="332"/>
      <c r="AN15" s="332">
        <v>351660</v>
      </c>
      <c r="AO15" s="332">
        <v>351660</v>
      </c>
      <c r="AP15" s="332">
        <v>7050</v>
      </c>
      <c r="AQ15" s="341" t="s">
        <v>150</v>
      </c>
      <c r="AR15" s="342">
        <v>298798684</v>
      </c>
      <c r="AS15" s="343"/>
      <c r="AT15" s="344"/>
      <c r="AU15" s="335"/>
      <c r="AV15" s="335"/>
      <c r="AW15" s="335"/>
      <c r="AX15" s="335"/>
      <c r="AY15" s="335"/>
      <c r="AZ15" s="335"/>
      <c r="BA15" s="335"/>
      <c r="BB15" s="335"/>
      <c r="BC15" s="335"/>
      <c r="BD15" s="335"/>
      <c r="BE15" s="335"/>
      <c r="BF15" s="335"/>
      <c r="BG15" s="335"/>
      <c r="BH15" s="317"/>
      <c r="BI15" s="331">
        <v>46034</v>
      </c>
      <c r="BJ15" s="380">
        <v>178010</v>
      </c>
      <c r="BK15" s="332">
        <v>950</v>
      </c>
      <c r="BL15" s="332">
        <v>161135</v>
      </c>
      <c r="BM15" s="332"/>
      <c r="BN15" s="332"/>
      <c r="BO15" s="332"/>
      <c r="BP15" s="340">
        <v>162135</v>
      </c>
      <c r="BQ15" s="340">
        <v>160220</v>
      </c>
      <c r="BR15" s="332">
        <v>-3345</v>
      </c>
      <c r="BS15" s="341" t="s">
        <v>151</v>
      </c>
      <c r="BT15" s="342">
        <v>167427479</v>
      </c>
      <c r="BU15" s="343"/>
      <c r="BV15" s="345"/>
      <c r="BW15" s="335"/>
      <c r="BY15" s="293">
        <f>IF('[2]2026 január'!B$13=0,
    "",
    '[2]2026 január'!B$13
)</f>
        <v>1501255</v>
      </c>
      <c r="BZ15" s="293" t="str">
        <f>IF(OR('[2]2026 január'!G13=0,
       ISBLANK('[2]2026 január'!G13)),
    "",
    '[2]2026 január'!G13
)</f>
        <v/>
      </c>
      <c r="CA15" s="11">
        <f>'[2]2026 január'!W13</f>
        <v>0</v>
      </c>
      <c r="CB15" s="11"/>
      <c r="CC15" s="11"/>
      <c r="CD15" s="10"/>
      <c r="CE15" s="293">
        <f>IF('[2]2026 január'!S13=0,
    "",
    '[2]2026 január'!S13
)</f>
        <v>272582</v>
      </c>
      <c r="CF15" s="293">
        <f>IF('[2]2026 január'!T13=0,
    "",
    '[2]2026 január'!T13
)</f>
        <v>88252</v>
      </c>
      <c r="CG15" s="293" t="str">
        <f>IF('[2]2026 január'!U13=0,
    "",
    '[2]2026 január'!U13
)</f>
        <v/>
      </c>
      <c r="CH15" s="293">
        <f>IF('[2]2026 január'!V13=0,
    "",
    '[2]2026 január'!V13
)</f>
        <v>60500</v>
      </c>
      <c r="CI15" s="293" t="str">
        <f>IF('[2]2026 január'!W13=0,
    "",
    '[2]2026 január'!W13
)</f>
        <v/>
      </c>
      <c r="CJ15" s="293" t="str">
        <f>IF('[2]2026 január'!X13=0,
    "",
    '[2]2026 január'!X13
)</f>
        <v/>
      </c>
      <c r="CK15" s="293">
        <f>IF('[2]2026 január'!Y13=0,
    "",
    '[2]2026 január'!Y13
)</f>
        <v>300334</v>
      </c>
      <c r="CL15" s="296" t="str">
        <f>IF('[2]2026 január'!Z13=0,
    "",
    '[2]2026 január'!Z13
)</f>
        <v/>
      </c>
      <c r="CM15" s="293" t="str">
        <f>IF('[2]2026 január'!AA13=0,
    "",
    '[2]2026 január'!AA13
)</f>
        <v/>
      </c>
      <c r="CN15" s="293" t="str">
        <f>IF('[2]2026 január'!AB13=0,
    "",
    '[2]2026 január'!AB13
)</f>
        <v/>
      </c>
      <c r="CO15" s="293" t="str">
        <f>IF('[2]2026 január'!AC13=0,
    "",
    '[2]2026 január'!AC13
)</f>
        <v/>
      </c>
      <c r="CP15" s="293" t="str">
        <f>IF('[2]2026 január'!AD13=0,
    "",
    '[2]2026 január'!AD13
)</f>
        <v/>
      </c>
      <c r="CQ15" s="245" t="str">
        <f>IF('[2]2026 január'!AE$13=0,
    "",
    '[2]2026 január'!AE$13
)</f>
        <v/>
      </c>
      <c r="CR15" s="245" t="str">
        <f>IF('[2]2026 január'!AF13=0,
    "",
    '[2]2026 január'!AF13
)</f>
        <v/>
      </c>
      <c r="CS15" s="245" t="str">
        <f>IF('[2]2026 január'!AG13=0,
    "",
    '[2]2026 január'!AG13
)</f>
        <v/>
      </c>
      <c r="CT15" s="245" t="str">
        <f>IF('[2]2026 január'!AH13=0,
    "",
    '[2]2026 január'!AH13
)</f>
        <v/>
      </c>
    </row>
    <row r="16" spans="1:98" ht="14.25" customHeight="1">
      <c r="A16" s="5">
        <v>46035</v>
      </c>
      <c r="B16" s="380">
        <v>413175</v>
      </c>
      <c r="C16" s="11">
        <v>550</v>
      </c>
      <c r="D16" s="11">
        <v>384723</v>
      </c>
      <c r="E16" s="11"/>
      <c r="F16" s="11"/>
      <c r="G16" s="11"/>
      <c r="H16" s="91">
        <v>385273</v>
      </c>
      <c r="I16" s="434">
        <v>386680</v>
      </c>
      <c r="J16" s="11">
        <v>2340</v>
      </c>
      <c r="K16" s="38" t="s">
        <v>152</v>
      </c>
      <c r="L16" s="87">
        <v>128048747</v>
      </c>
      <c r="M16" s="286"/>
      <c r="N16" s="169"/>
      <c r="O16" s="239"/>
      <c r="Q16" s="5">
        <v>46035</v>
      </c>
      <c r="R16" s="380">
        <v>623695</v>
      </c>
      <c r="S16" s="11">
        <v>2950</v>
      </c>
      <c r="T16" s="11">
        <v>599985</v>
      </c>
      <c r="U16" s="11"/>
      <c r="V16" s="11"/>
      <c r="W16" s="11"/>
      <c r="X16" s="11">
        <v>602935</v>
      </c>
      <c r="Y16" s="11">
        <v>602935</v>
      </c>
      <c r="Z16" s="11">
        <v>1205</v>
      </c>
      <c r="AA16" s="44" t="s">
        <v>153</v>
      </c>
      <c r="AB16" s="87">
        <v>157080138</v>
      </c>
      <c r="AC16" s="173"/>
      <c r="AD16" s="169"/>
      <c r="AE16" s="9"/>
      <c r="AG16" s="331">
        <v>46035</v>
      </c>
      <c r="AH16" s="380">
        <v>400220</v>
      </c>
      <c r="AI16" s="332">
        <v>1700</v>
      </c>
      <c r="AJ16" s="332">
        <v>381235</v>
      </c>
      <c r="AK16" s="332"/>
      <c r="AL16" s="332"/>
      <c r="AM16" s="332"/>
      <c r="AN16" s="332">
        <v>382935</v>
      </c>
      <c r="AO16" s="332">
        <v>382935</v>
      </c>
      <c r="AP16" s="332">
        <v>390</v>
      </c>
      <c r="AQ16" s="341" t="s">
        <v>154</v>
      </c>
      <c r="AR16" s="342">
        <v>299181619</v>
      </c>
      <c r="AS16" s="343"/>
      <c r="AT16" s="344"/>
      <c r="AU16" s="335"/>
      <c r="AV16" s="335"/>
      <c r="AW16" s="335"/>
      <c r="AX16" s="335"/>
      <c r="AY16" s="335"/>
      <c r="AZ16" s="335"/>
      <c r="BA16" s="335"/>
      <c r="BB16" s="335"/>
      <c r="BC16" s="335"/>
      <c r="BD16" s="335"/>
      <c r="BE16" s="335"/>
      <c r="BF16" s="335"/>
      <c r="BG16" s="335"/>
      <c r="BH16" s="317"/>
      <c r="BI16" s="331">
        <v>46035</v>
      </c>
      <c r="BJ16" s="380">
        <v>252225</v>
      </c>
      <c r="BK16" s="332">
        <v>950</v>
      </c>
      <c r="BL16" s="332">
        <v>240130</v>
      </c>
      <c r="BM16" s="332">
        <v>380</v>
      </c>
      <c r="BN16" s="332"/>
      <c r="BO16" s="332"/>
      <c r="BP16" s="340">
        <v>241460</v>
      </c>
      <c r="BQ16" s="340">
        <v>243375</v>
      </c>
      <c r="BR16" s="332">
        <v>610</v>
      </c>
      <c r="BS16" s="341" t="s">
        <v>155</v>
      </c>
      <c r="BT16" s="342">
        <v>167668939</v>
      </c>
      <c r="BU16" s="343"/>
      <c r="BV16" s="345"/>
      <c r="BW16" s="335"/>
      <c r="BY16" s="293">
        <f>IF('[2]2026 január'!B$14=0,
    "",
    '[2]2026 január'!B$14
)</f>
        <v>1689315</v>
      </c>
      <c r="BZ16" s="293" t="str">
        <f>IF(OR('[2]2026 január'!G14=0,
       ISBLANK('[2]2026 január'!G14)),
    "",
    '[2]2026 január'!G14
)</f>
        <v/>
      </c>
      <c r="CA16" s="11">
        <f>'[2]2026 január'!W14</f>
        <v>0</v>
      </c>
      <c r="CB16" s="11"/>
      <c r="CC16" s="11"/>
      <c r="CD16" s="10"/>
      <c r="CE16" s="293">
        <f>IF('[2]2026 január'!S14=0,
    "",
    '[2]2026 január'!S14
)</f>
        <v>300334</v>
      </c>
      <c r="CF16" s="293">
        <f>IF('[2]2026 január'!T14=0,
    "",
    '[2]2026 január'!T14
)</f>
        <v>73390</v>
      </c>
      <c r="CG16" s="293" t="str">
        <f>IF('[2]2026 január'!U14=0,
    "",
    '[2]2026 január'!U14
)</f>
        <v/>
      </c>
      <c r="CH16" s="293">
        <f>IF('[2]2026 január'!V14=0,
    "",
    '[2]2026 január'!V14
)</f>
        <v>54500</v>
      </c>
      <c r="CI16" s="293" t="str">
        <f>IF('[2]2026 január'!W14=0,
    "",
    '[2]2026 január'!W14
)</f>
        <v/>
      </c>
      <c r="CJ16" s="293" t="str">
        <f>IF('[2]2026 január'!X14=0,
    "",
    '[2]2026 január'!X14
)</f>
        <v/>
      </c>
      <c r="CK16" s="293">
        <f>IF('[2]2026 január'!Y14=0,
    "",
    '[2]2026 január'!Y14
)</f>
        <v>319224</v>
      </c>
      <c r="CL16" s="296" t="str">
        <f>IF('[2]2026 január'!Z14=0,
    "",
    '[2]2026 január'!Z14
)</f>
        <v/>
      </c>
      <c r="CM16" s="293" t="str">
        <f>IF('[2]2026 január'!AA14=0,
    "",
    '[2]2026 január'!AA14
)</f>
        <v/>
      </c>
      <c r="CN16" s="293" t="str">
        <f>IF('[2]2026 január'!AB14=0,
    "",
    '[2]2026 január'!AB14
)</f>
        <v/>
      </c>
      <c r="CO16" s="293" t="str">
        <f>IF('[2]2026 január'!AC14=0,
    "",
    '[2]2026 január'!AC14
)</f>
        <v/>
      </c>
      <c r="CP16" s="293" t="str">
        <f>IF('[2]2026 január'!AD14=0,
    "",
    '[2]2026 január'!AD14
)</f>
        <v/>
      </c>
      <c r="CQ16" s="245" t="str">
        <f>IF('[2]2026 január'!AE$14=0,
    "",
    '[2]2026 január'!AE$14
)</f>
        <v/>
      </c>
      <c r="CR16" s="245" t="str">
        <f>IF('[2]2026 január'!AF14=0,
    "",
    '[2]2026 január'!AF14
)</f>
        <v/>
      </c>
      <c r="CS16" s="245" t="str">
        <f>IF('[2]2026 január'!AG14=0,
    "",
    '[2]2026 január'!AG14
)</f>
        <v/>
      </c>
      <c r="CT16" s="245" t="str">
        <f>IF('[2]2026 január'!AH14=0,
    "",
    '[2]2026 január'!AH14
)</f>
        <v/>
      </c>
    </row>
    <row r="17" spans="1:98" ht="14.25" customHeight="1">
      <c r="A17" s="5">
        <v>46036</v>
      </c>
      <c r="B17" s="380">
        <v>492795</v>
      </c>
      <c r="C17" s="11">
        <v>1150</v>
      </c>
      <c r="D17" s="11">
        <v>459990</v>
      </c>
      <c r="E17" s="11"/>
      <c r="F17" s="11"/>
      <c r="G17" s="11"/>
      <c r="H17" s="11">
        <v>461140</v>
      </c>
      <c r="I17" s="87">
        <v>461140</v>
      </c>
      <c r="J17" s="11">
        <v>1310</v>
      </c>
      <c r="K17" s="38" t="s">
        <v>156</v>
      </c>
      <c r="L17" s="87">
        <v>128509887</v>
      </c>
      <c r="M17" s="286"/>
      <c r="N17" s="169"/>
      <c r="O17" s="239"/>
      <c r="Q17" s="5">
        <v>46036</v>
      </c>
      <c r="R17" s="380">
        <v>558560</v>
      </c>
      <c r="S17" s="11">
        <v>2350</v>
      </c>
      <c r="T17" s="11">
        <v>514315</v>
      </c>
      <c r="U17" s="11"/>
      <c r="V17" s="11"/>
      <c r="W17" s="11"/>
      <c r="X17" s="11">
        <v>516665</v>
      </c>
      <c r="Y17" s="11">
        <v>516665</v>
      </c>
      <c r="Z17" s="11">
        <v>-2675</v>
      </c>
      <c r="AA17" s="44" t="s">
        <v>157</v>
      </c>
      <c r="AB17" s="87">
        <v>157596803</v>
      </c>
      <c r="AC17" s="173"/>
      <c r="AD17" s="169"/>
      <c r="AE17" s="9"/>
      <c r="AG17" s="331">
        <v>46036</v>
      </c>
      <c r="AH17" s="380">
        <v>390510</v>
      </c>
      <c r="AI17" s="332">
        <v>1650</v>
      </c>
      <c r="AJ17" s="332">
        <v>377690</v>
      </c>
      <c r="AK17" s="332"/>
      <c r="AL17" s="332"/>
      <c r="AM17" s="332"/>
      <c r="AN17" s="332">
        <v>379340</v>
      </c>
      <c r="AO17" s="332">
        <v>379340</v>
      </c>
      <c r="AP17" s="332">
        <v>1195</v>
      </c>
      <c r="AQ17" s="341" t="s">
        <v>158</v>
      </c>
      <c r="AR17" s="342">
        <v>299560959</v>
      </c>
      <c r="AS17" s="343"/>
      <c r="AT17" s="344"/>
      <c r="AU17" s="335"/>
      <c r="AV17" s="335"/>
      <c r="AW17" s="335"/>
      <c r="AX17" s="335"/>
      <c r="AY17" s="335"/>
      <c r="AZ17" s="335"/>
      <c r="BA17" s="335"/>
      <c r="BB17" s="335"/>
      <c r="BC17" s="335"/>
      <c r="BD17" s="335"/>
      <c r="BE17" s="335"/>
      <c r="BF17" s="335"/>
      <c r="BG17" s="335"/>
      <c r="BH17" s="317"/>
      <c r="BI17" s="331">
        <v>46036</v>
      </c>
      <c r="BJ17" s="380">
        <v>267365</v>
      </c>
      <c r="BK17" s="332">
        <v>1650</v>
      </c>
      <c r="BL17" s="332">
        <v>258515</v>
      </c>
      <c r="BM17" s="332"/>
      <c r="BN17" s="332"/>
      <c r="BO17" s="332"/>
      <c r="BP17" s="332">
        <v>260165</v>
      </c>
      <c r="BQ17" s="332">
        <v>260165</v>
      </c>
      <c r="BR17" s="332">
        <v>-1135</v>
      </c>
      <c r="BS17" s="341" t="s">
        <v>159</v>
      </c>
      <c r="BT17" s="342">
        <v>167929104</v>
      </c>
      <c r="BU17" s="343"/>
      <c r="BV17" s="345"/>
      <c r="BW17" s="335"/>
      <c r="BY17" s="293">
        <f>IF('[2]2026 január'!B$15=0,
    "",
    '[2]2026 január'!B$15
)</f>
        <v>1709230</v>
      </c>
      <c r="BZ17" s="293" t="str">
        <f>IF(OR('[2]2026 január'!G15=0,
       ISBLANK('[2]2026 január'!G15)),
    "",
    '[2]2026 január'!G15
)</f>
        <v/>
      </c>
      <c r="CA17" s="11">
        <f>'[2]2026 január'!W15</f>
        <v>0</v>
      </c>
      <c r="CB17" s="11"/>
      <c r="CC17" s="11"/>
      <c r="CD17" s="10"/>
      <c r="CE17" s="293">
        <f>IF('[2]2026 január'!S15=0,
    "",
    '[2]2026 január'!S15
)</f>
        <v>319224</v>
      </c>
      <c r="CF17" s="293">
        <f>IF('[2]2026 január'!T15=0,
    "",
    '[2]2026 január'!T15
)</f>
        <v>91920</v>
      </c>
      <c r="CG17" s="293" t="str">
        <f>IF('[2]2026 január'!U15=0,
    "",
    '[2]2026 január'!U15
)</f>
        <v/>
      </c>
      <c r="CH17" s="293">
        <f>IF('[2]2026 január'!V15=0,
    "",
    '[2]2026 január'!V15
)</f>
        <v>22500</v>
      </c>
      <c r="CI17" s="293" t="str">
        <f>IF('[2]2026 január'!W15=0,
    "",
    '[2]2026 január'!W15
)</f>
        <v/>
      </c>
      <c r="CJ17" s="293" t="str">
        <f>IF('[2]2026 január'!X15=0,
    "",
    '[2]2026 január'!X15
)</f>
        <v/>
      </c>
      <c r="CK17" s="293">
        <f>IF('[2]2026 január'!Y15=0,
    "",
    '[2]2026 január'!Y15
)</f>
        <v>388644</v>
      </c>
      <c r="CL17" s="296" t="str">
        <f>IF('[2]2026 január'!Z15=0,
    "",
    '[2]2026 január'!Z15
)</f>
        <v/>
      </c>
      <c r="CM17" s="293" t="str">
        <f>IF('[2]2026 január'!AA15=0,
    "",
    '[2]2026 január'!AA15
)</f>
        <v/>
      </c>
      <c r="CN17" s="293" t="str">
        <f>IF('[2]2026 január'!AB15=0,
    "",
    '[2]2026 január'!AB15
)</f>
        <v/>
      </c>
      <c r="CO17" s="293" t="str">
        <f>IF('[2]2026 január'!AC15=0,
    "",
    '[2]2026 január'!AC15
)</f>
        <v/>
      </c>
      <c r="CP17" s="293" t="str">
        <f>IF('[2]2026 január'!AD15=0,
    "",
    '[2]2026 január'!AD15
)</f>
        <v/>
      </c>
      <c r="CQ17" s="245" t="str">
        <f>IF('[2]2026 január'!AE$15=0,
    "",
    '[2]2026 január'!AE$15
)</f>
        <v/>
      </c>
      <c r="CR17" s="245" t="str">
        <f>IF('[2]2026 január'!AF15=0,
    "",
    '[2]2026 január'!AF15
)</f>
        <v/>
      </c>
      <c r="CS17" s="245" t="str">
        <f>IF('[2]2026 január'!AG15=0,
    "",
    '[2]2026 január'!AG15
)</f>
        <v/>
      </c>
      <c r="CT17" s="245" t="str">
        <f>IF('[2]2026 január'!AH15=0,
    "",
    '[2]2026 január'!AH15
)</f>
        <v/>
      </c>
    </row>
    <row r="18" spans="1:98" ht="14.25" customHeight="1">
      <c r="A18" s="5">
        <v>46037</v>
      </c>
      <c r="B18" s="380">
        <v>506640</v>
      </c>
      <c r="C18" s="11">
        <v>800</v>
      </c>
      <c r="D18" s="11">
        <v>471890</v>
      </c>
      <c r="E18" s="11"/>
      <c r="F18" s="11"/>
      <c r="G18" s="11"/>
      <c r="H18" s="11">
        <v>472690</v>
      </c>
      <c r="I18" s="87">
        <v>472690</v>
      </c>
      <c r="J18" s="11">
        <v>1050</v>
      </c>
      <c r="K18" s="38" t="s">
        <v>160</v>
      </c>
      <c r="L18" s="87">
        <v>128982577</v>
      </c>
      <c r="M18" s="286"/>
      <c r="N18" s="169"/>
      <c r="O18" s="239"/>
      <c r="Q18" s="5">
        <v>46037</v>
      </c>
      <c r="R18" s="380">
        <v>593185</v>
      </c>
      <c r="S18" s="11">
        <v>2900</v>
      </c>
      <c r="T18" s="11">
        <v>569828</v>
      </c>
      <c r="U18" s="11"/>
      <c r="V18" s="11"/>
      <c r="W18" s="11"/>
      <c r="X18" s="11">
        <v>572728</v>
      </c>
      <c r="Y18" s="11">
        <v>572728</v>
      </c>
      <c r="Z18" s="11">
        <v>-1172</v>
      </c>
      <c r="AA18" s="44" t="s">
        <v>161</v>
      </c>
      <c r="AB18" s="87">
        <v>158169531</v>
      </c>
      <c r="AC18" s="173"/>
      <c r="AD18" s="169"/>
      <c r="AE18" s="9"/>
      <c r="AG18" s="331">
        <v>46037</v>
      </c>
      <c r="AH18" s="380">
        <v>383700</v>
      </c>
      <c r="AI18" s="332">
        <v>1650</v>
      </c>
      <c r="AJ18" s="332">
        <v>360855</v>
      </c>
      <c r="AK18" s="332"/>
      <c r="AL18" s="332"/>
      <c r="AM18" s="332"/>
      <c r="AN18" s="332">
        <v>362505</v>
      </c>
      <c r="AO18" s="332">
        <v>362505</v>
      </c>
      <c r="AP18" s="332">
        <v>-580</v>
      </c>
      <c r="AQ18" s="341" t="s">
        <v>162</v>
      </c>
      <c r="AR18" s="342">
        <v>299923464</v>
      </c>
      <c r="AS18" s="343"/>
      <c r="AT18" s="344"/>
      <c r="AU18" s="335"/>
      <c r="AV18" s="335"/>
      <c r="AW18" s="335"/>
      <c r="AX18" s="335"/>
      <c r="AY18" s="335"/>
      <c r="AZ18" s="335"/>
      <c r="BA18" s="335"/>
      <c r="BB18" s="335"/>
      <c r="BC18" s="335"/>
      <c r="BD18" s="335"/>
      <c r="BE18" s="335"/>
      <c r="BF18" s="335"/>
      <c r="BG18" s="335"/>
      <c r="BH18" s="317"/>
      <c r="BI18" s="331">
        <v>46037</v>
      </c>
      <c r="BJ18" s="380">
        <v>203395</v>
      </c>
      <c r="BK18" s="332">
        <v>1050</v>
      </c>
      <c r="BL18" s="332">
        <v>193068</v>
      </c>
      <c r="BM18" s="332"/>
      <c r="BN18" s="332"/>
      <c r="BO18" s="332"/>
      <c r="BP18" s="332">
        <v>194118</v>
      </c>
      <c r="BQ18" s="332">
        <v>194118</v>
      </c>
      <c r="BR18" s="332">
        <v>-7</v>
      </c>
      <c r="BS18" s="341" t="s">
        <v>163</v>
      </c>
      <c r="BT18" s="342">
        <v>168123222</v>
      </c>
      <c r="BU18" s="343"/>
      <c r="BV18" s="345"/>
      <c r="BW18" s="335"/>
      <c r="BY18" s="293">
        <f>IF('[2]2026 január'!B$16=0,
    "",
    '[2]2026 január'!B$16
)</f>
        <v>1686920</v>
      </c>
      <c r="BZ18" s="293" t="str">
        <f>IF(OR('[2]2026 január'!G16=0,
       ISBLANK('[2]2026 január'!G16)),
    "",
    '[2]2026 január'!G16
)</f>
        <v/>
      </c>
      <c r="CA18" s="11">
        <f>'[2]2026 január'!W16</f>
        <v>0</v>
      </c>
      <c r="CB18" s="11"/>
      <c r="CC18" s="11"/>
      <c r="CD18" s="10"/>
      <c r="CE18" s="293">
        <f>IF('[2]2026 január'!S16=0,
    "",
    '[2]2026 január'!S16
)</f>
        <v>388644</v>
      </c>
      <c r="CF18" s="293">
        <f>IF('[2]2026 január'!T16=0,
    "",
    '[2]2026 január'!T16
)</f>
        <v>84879</v>
      </c>
      <c r="CG18" s="293" t="str">
        <f>IF('[2]2026 január'!U16=0,
    "",
    '[2]2026 január'!U16
)</f>
        <v/>
      </c>
      <c r="CH18" s="293">
        <f>IF('[2]2026 január'!V16=0,
    "",
    '[2]2026 január'!V16
)</f>
        <v>128500</v>
      </c>
      <c r="CI18" s="293" t="str">
        <f>IF('[2]2026 január'!W16=0,
    "",
    '[2]2026 január'!W16
)</f>
        <v/>
      </c>
      <c r="CJ18" s="293" t="str">
        <f>IF('[2]2026 január'!X16=0,
    "",
    '[2]2026 január'!X16
)</f>
        <v/>
      </c>
      <c r="CK18" s="293">
        <f>IF('[2]2026 január'!Y16=0,
    "",
    '[2]2026 január'!Y16
)</f>
        <v>345023</v>
      </c>
      <c r="CL18" s="296" t="str">
        <f>IF('[2]2026 január'!Z16=0,
    "",
    '[2]2026 január'!Z16
)</f>
        <v/>
      </c>
      <c r="CM18" s="293" t="str">
        <f>IF('[2]2026 január'!AA16=0,
    "",
    '[2]2026 január'!AA16
)</f>
        <v/>
      </c>
      <c r="CN18" s="293" t="str">
        <f>IF('[2]2026 január'!AB16=0,
    "",
    '[2]2026 január'!AB16
)</f>
        <v/>
      </c>
      <c r="CO18" s="293" t="str">
        <f>IF('[2]2026 január'!AC16=0,
    "",
    '[2]2026 január'!AC16
)</f>
        <v/>
      </c>
      <c r="CP18" s="293" t="str">
        <f>IF('[2]2026 január'!AD16=0,
    "",
    '[2]2026 január'!AD16
)</f>
        <v/>
      </c>
      <c r="CQ18" s="245" t="str">
        <f>IF('[2]2026 január'!AE$16=0,
    "",
    '[2]2026 január'!AE$16
)</f>
        <v/>
      </c>
      <c r="CR18" s="245" t="str">
        <f>IF('[2]2026 január'!AF16=0,
    "",
    '[2]2026 január'!AF16
)</f>
        <v/>
      </c>
      <c r="CS18" s="245" t="str">
        <f>IF('[2]2026 január'!AG16=0,
    "",
    '[2]2026 január'!AG16
)</f>
        <v/>
      </c>
      <c r="CT18" s="245" t="str">
        <f>IF('[2]2026 január'!AH16=0,
    "",
    '[2]2026 január'!AH16
)</f>
        <v/>
      </c>
    </row>
    <row r="19" spans="1:98" ht="14.25" customHeight="1">
      <c r="A19" s="5">
        <v>46038</v>
      </c>
      <c r="B19" s="380">
        <v>425305</v>
      </c>
      <c r="C19" s="11">
        <v>600</v>
      </c>
      <c r="D19" s="11">
        <v>396425</v>
      </c>
      <c r="E19" s="11"/>
      <c r="F19" s="11"/>
      <c r="G19" s="11"/>
      <c r="H19" s="11">
        <v>397025</v>
      </c>
      <c r="I19" s="87">
        <v>397025</v>
      </c>
      <c r="J19" s="11">
        <v>925</v>
      </c>
      <c r="K19" s="38" t="s">
        <v>164</v>
      </c>
      <c r="L19" s="87">
        <v>129379602</v>
      </c>
      <c r="M19" s="286"/>
      <c r="N19" s="169"/>
      <c r="O19" s="239"/>
      <c r="Q19" s="5">
        <v>46038</v>
      </c>
      <c r="R19" s="380">
        <v>529675</v>
      </c>
      <c r="S19" s="11">
        <v>2550</v>
      </c>
      <c r="T19" s="11">
        <v>497855</v>
      </c>
      <c r="U19" s="11"/>
      <c r="V19" s="11"/>
      <c r="W19" s="11"/>
      <c r="X19" s="11">
        <v>500405</v>
      </c>
      <c r="Y19" s="11">
        <v>500405</v>
      </c>
      <c r="Z19" s="11">
        <v>1160</v>
      </c>
      <c r="AA19" s="44" t="s">
        <v>165</v>
      </c>
      <c r="AB19" s="87">
        <v>158669936</v>
      </c>
      <c r="AC19" s="173"/>
      <c r="AD19" s="169"/>
      <c r="AE19" s="9"/>
      <c r="AG19" s="331">
        <v>46038</v>
      </c>
      <c r="AH19" s="380">
        <v>302895</v>
      </c>
      <c r="AI19" s="332">
        <v>1500</v>
      </c>
      <c r="AJ19" s="332">
        <v>286605</v>
      </c>
      <c r="AK19" s="332"/>
      <c r="AL19" s="332"/>
      <c r="AM19" s="332"/>
      <c r="AN19" s="332">
        <v>288105</v>
      </c>
      <c r="AO19" s="332">
        <v>288105</v>
      </c>
      <c r="AP19" s="332">
        <v>2595</v>
      </c>
      <c r="AQ19" s="341" t="s">
        <v>166</v>
      </c>
      <c r="AR19" s="342">
        <v>300211569</v>
      </c>
      <c r="AS19" s="343"/>
      <c r="AT19" s="344"/>
      <c r="AU19" s="335"/>
      <c r="AV19" s="335"/>
      <c r="AW19" s="335"/>
      <c r="AX19" s="335"/>
      <c r="AY19" s="335"/>
      <c r="AZ19" s="335"/>
      <c r="BA19" s="335"/>
      <c r="BB19" s="335"/>
      <c r="BC19" s="335"/>
      <c r="BD19" s="335"/>
      <c r="BE19" s="335"/>
      <c r="BF19" s="335"/>
      <c r="BG19" s="335"/>
      <c r="BH19" s="317"/>
      <c r="BI19" s="331">
        <v>46038</v>
      </c>
      <c r="BJ19" s="380">
        <v>180045</v>
      </c>
      <c r="BK19" s="332">
        <v>700</v>
      </c>
      <c r="BL19" s="332">
        <v>173835</v>
      </c>
      <c r="BM19" s="332"/>
      <c r="BN19" s="332"/>
      <c r="BO19" s="332"/>
      <c r="BP19" s="332">
        <v>174535</v>
      </c>
      <c r="BQ19" s="332">
        <v>174535</v>
      </c>
      <c r="BR19" s="332">
        <v>2260</v>
      </c>
      <c r="BS19" s="341" t="s">
        <v>167</v>
      </c>
      <c r="BT19" s="342">
        <v>168297757</v>
      </c>
      <c r="BU19" s="343"/>
      <c r="BV19" s="345"/>
      <c r="BW19" s="335"/>
      <c r="BY19" s="293">
        <f>IF('[2]2026 január'!B$17=0,
    "",
    '[2]2026 január'!B$17
)</f>
        <v>1437920</v>
      </c>
      <c r="BZ19" s="293" t="str">
        <f>IF(OR('[2]2026 január'!G17=0,
       ISBLANK('[2]2026 január'!G17)),
    "",
    '[2]2026 január'!G17
)</f>
        <v/>
      </c>
      <c r="CA19" s="11">
        <f>'[2]2026 január'!W17</f>
        <v>0</v>
      </c>
      <c r="CB19" s="11"/>
      <c r="CC19" s="11"/>
      <c r="CD19" s="10"/>
      <c r="CE19" s="293">
        <f>IF('[2]2026 január'!S17=0,
    "",
    '[2]2026 január'!S17
)</f>
        <v>345023</v>
      </c>
      <c r="CF19" s="293">
        <f>IF('[2]2026 január'!T17=0,
    "",
    '[2]2026 január'!T17
)</f>
        <v>77850</v>
      </c>
      <c r="CG19" s="293" t="str">
        <f>IF('[2]2026 január'!U17=0,
    "",
    '[2]2026 január'!U17
)</f>
        <v/>
      </c>
      <c r="CH19" s="293">
        <f>IF('[2]2026 január'!V17=0,
    "",
    '[2]2026 január'!V17
)</f>
        <v>359500</v>
      </c>
      <c r="CI19" s="293" t="str">
        <f>IF('[2]2026 január'!W17=0,
    "",
    '[2]2026 január'!W17
)</f>
        <v/>
      </c>
      <c r="CJ19" s="293" t="str">
        <f>IF('[2]2026 január'!X17=0,
    "",
    '[2]2026 január'!X17
)</f>
        <v/>
      </c>
      <c r="CK19" s="293">
        <f>IF('[2]2026 január'!Y17=0,
    "",
    '[2]2026 január'!Y17
)</f>
        <v>63373</v>
      </c>
      <c r="CL19" s="296" t="str">
        <f>IF('[2]2026 január'!Z17=0,
    "",
    '[2]2026 január'!Z17
)</f>
        <v/>
      </c>
      <c r="CM19" s="293" t="str">
        <f>IF('[2]2026 január'!AA17=0,
    "",
    '[2]2026 január'!AA17
)</f>
        <v/>
      </c>
      <c r="CN19" s="293" t="str">
        <f>IF('[2]2026 január'!AB17=0,
    "",
    '[2]2026 január'!AB17
)</f>
        <v/>
      </c>
      <c r="CO19" s="293" t="str">
        <f>IF('[2]2026 január'!AC17=0,
    "",
    '[2]2026 január'!AC17
)</f>
        <v/>
      </c>
      <c r="CP19" s="293" t="str">
        <f>IF('[2]2026 január'!AD17=0,
    "",
    '[2]2026 január'!AD17
)</f>
        <v/>
      </c>
      <c r="CQ19" s="245" t="str">
        <f>IF('[2]2026 január'!AE$17=0,
    "",
    '[2]2026 január'!AE$17
)</f>
        <v/>
      </c>
      <c r="CR19" s="245" t="str">
        <f>IF('[2]2026 január'!AF17=0,
    "",
    '[2]2026 január'!AF17
)</f>
        <v/>
      </c>
      <c r="CS19" s="245" t="str">
        <f>IF('[2]2026 január'!AG17=0,
    "",
    '[2]2026 január'!AG17
)</f>
        <v/>
      </c>
      <c r="CT19" s="245" t="str">
        <f>IF('[2]2026 január'!AH17=0,
    "",
    '[2]2026 január'!AH17
)</f>
        <v/>
      </c>
    </row>
    <row r="20" spans="1:98" ht="14.25" customHeight="1">
      <c r="A20" s="162">
        <v>46039</v>
      </c>
      <c r="B20" s="379"/>
      <c r="C20" s="163"/>
      <c r="D20" s="163"/>
      <c r="E20" s="163"/>
      <c r="F20" s="163"/>
      <c r="G20" s="163"/>
      <c r="H20" s="163"/>
      <c r="I20" s="167"/>
      <c r="J20" s="163"/>
      <c r="K20" s="222"/>
      <c r="L20" s="275"/>
      <c r="M20" s="292"/>
      <c r="N20" s="174"/>
      <c r="O20" s="242"/>
      <c r="Q20" s="162">
        <v>46039</v>
      </c>
      <c r="R20" s="379"/>
      <c r="S20" s="163"/>
      <c r="T20" s="163"/>
      <c r="U20" s="163"/>
      <c r="V20" s="163"/>
      <c r="W20" s="163"/>
      <c r="X20" s="163"/>
      <c r="Y20" s="163"/>
      <c r="Z20" s="163"/>
      <c r="AA20" s="164"/>
      <c r="AB20" s="167"/>
      <c r="AC20" s="172"/>
      <c r="AD20" s="174"/>
      <c r="AE20" s="179"/>
      <c r="AG20" s="325">
        <v>46039</v>
      </c>
      <c r="AH20" s="379"/>
      <c r="AI20" s="326"/>
      <c r="AJ20" s="326"/>
      <c r="AK20" s="326"/>
      <c r="AL20" s="326"/>
      <c r="AM20" s="326"/>
      <c r="AN20" s="326"/>
      <c r="AO20" s="326"/>
      <c r="AP20" s="326"/>
      <c r="AQ20" s="327"/>
      <c r="AR20" s="338"/>
      <c r="AS20" s="339"/>
      <c r="AT20" s="330"/>
      <c r="AU20" s="335"/>
      <c r="AV20" s="335"/>
      <c r="AW20" s="335"/>
      <c r="AX20" s="335"/>
      <c r="AY20" s="335"/>
      <c r="AZ20" s="335"/>
      <c r="BA20" s="335"/>
      <c r="BB20" s="335"/>
      <c r="BC20" s="335"/>
      <c r="BD20" s="335"/>
      <c r="BE20" s="335"/>
      <c r="BF20" s="335"/>
      <c r="BG20" s="336"/>
      <c r="BH20" s="317"/>
      <c r="BI20" s="325">
        <v>46039</v>
      </c>
      <c r="BJ20" s="379"/>
      <c r="BK20" s="326"/>
      <c r="BL20" s="326"/>
      <c r="BM20" s="326"/>
      <c r="BN20" s="326"/>
      <c r="BO20" s="326"/>
      <c r="BP20" s="326"/>
      <c r="BQ20" s="326"/>
      <c r="BR20" s="326"/>
      <c r="BS20" s="327"/>
      <c r="BT20" s="338"/>
      <c r="BU20" s="339"/>
      <c r="BV20" s="337"/>
      <c r="BW20" s="336"/>
      <c r="BY20" s="293" t="str">
        <f>IF('[2]2026 január'!B$18=0,
    "",
    '[2]2026 január'!B$18
)</f>
        <v/>
      </c>
      <c r="BZ20" s="293" t="str">
        <f>IF(OR('[2]2026 január'!G18=0,
       ISBLANK('[2]2026 január'!G18)),
    "",
    '[2]2026 január'!G18
)</f>
        <v/>
      </c>
      <c r="CA20" s="11">
        <f>'[2]2026 január'!W18</f>
        <v>0</v>
      </c>
      <c r="CB20" s="11"/>
      <c r="CC20" s="11"/>
      <c r="CD20" s="10"/>
      <c r="CE20" s="293" t="str">
        <f>IF('[2]2026 január'!S18=0,
    "",
    '[2]2026 január'!S18
)</f>
        <v/>
      </c>
      <c r="CF20" s="293" t="str">
        <f>IF('[2]2026 január'!T18=0,
    "",
    '[2]2026 január'!T18
)</f>
        <v/>
      </c>
      <c r="CG20" s="293" t="str">
        <f>IF('[2]2026 január'!U18=0,
    "",
    '[2]2026 január'!U18
)</f>
        <v/>
      </c>
      <c r="CH20" s="293" t="str">
        <f>IF('[2]2026 január'!V18=0,
    "",
    '[2]2026 január'!V18
)</f>
        <v/>
      </c>
      <c r="CI20" s="293" t="str">
        <f>IF('[2]2026 január'!W18=0,
    "",
    '[2]2026 január'!W18
)</f>
        <v/>
      </c>
      <c r="CJ20" s="293" t="str">
        <f>IF('[2]2026 január'!X18=0,
    "",
    '[2]2026 január'!X18
)</f>
        <v/>
      </c>
      <c r="CK20" s="293" t="str">
        <f>IF('[2]2026 január'!Y18=0,
    "",
    '[2]2026 január'!Y18
)</f>
        <v/>
      </c>
      <c r="CL20" s="296" t="str">
        <f>IF('[2]2026 január'!Z18=0,
    "",
    '[2]2026 január'!Z18
)</f>
        <v/>
      </c>
      <c r="CM20" s="293" t="str">
        <f>IF('[2]2026 január'!AA18=0,
    "",
    '[2]2026 január'!AA18
)</f>
        <v/>
      </c>
      <c r="CN20" s="293" t="str">
        <f>IF('[2]2026 január'!AB18=0,
    "",
    '[2]2026 január'!AB18
)</f>
        <v/>
      </c>
      <c r="CO20" s="293" t="str">
        <f>IF('[2]2026 január'!AC18=0,
    "",
    '[2]2026 január'!AC18
)</f>
        <v/>
      </c>
      <c r="CP20" s="293" t="str">
        <f>IF('[2]2026 január'!AD18=0,
    "",
    '[2]2026 január'!AD18
)</f>
        <v/>
      </c>
      <c r="CQ20" s="245" t="str">
        <f>IF('[2]2026 január'!AE$18=0,
    "",
    '[2]2026 január'!AE$18
)</f>
        <v/>
      </c>
      <c r="CR20" s="245" t="str">
        <f>IF('[2]2026 január'!AF18=0,
    "",
    '[2]2026 január'!AF18
)</f>
        <v/>
      </c>
      <c r="CS20" s="245" t="str">
        <f>IF('[2]2026 január'!AG18=0,
    "",
    '[2]2026 január'!AG18
)</f>
        <v/>
      </c>
      <c r="CT20" s="245" t="str">
        <f>IF('[2]2026 január'!AH18=0,
    "",
    '[2]2026 január'!AH18
)</f>
        <v/>
      </c>
    </row>
    <row r="21" spans="1:98" ht="14.25" customHeight="1">
      <c r="A21" s="162">
        <v>46040</v>
      </c>
      <c r="B21" s="379"/>
      <c r="C21" s="163"/>
      <c r="D21" s="163"/>
      <c r="E21" s="163"/>
      <c r="F21" s="163"/>
      <c r="G21" s="163"/>
      <c r="H21" s="163"/>
      <c r="I21" s="167"/>
      <c r="J21" s="163"/>
      <c r="K21" s="222"/>
      <c r="L21" s="275"/>
      <c r="M21" s="292"/>
      <c r="N21" s="174"/>
      <c r="O21" s="242"/>
      <c r="Q21" s="162">
        <v>46040</v>
      </c>
      <c r="R21" s="379"/>
      <c r="S21" s="163"/>
      <c r="T21" s="163"/>
      <c r="U21" s="163"/>
      <c r="V21" s="163"/>
      <c r="W21" s="163"/>
      <c r="X21" s="163"/>
      <c r="Y21" s="163"/>
      <c r="Z21" s="163"/>
      <c r="AA21" s="164"/>
      <c r="AB21" s="167"/>
      <c r="AC21" s="172"/>
      <c r="AD21" s="174"/>
      <c r="AE21" s="179"/>
      <c r="AG21" s="325">
        <v>46040</v>
      </c>
      <c r="AH21" s="379"/>
      <c r="AI21" s="326"/>
      <c r="AJ21" s="326"/>
      <c r="AK21" s="326"/>
      <c r="AL21" s="326"/>
      <c r="AM21" s="326"/>
      <c r="AN21" s="326"/>
      <c r="AO21" s="326"/>
      <c r="AP21" s="326"/>
      <c r="AQ21" s="327"/>
      <c r="AR21" s="338"/>
      <c r="AS21" s="339"/>
      <c r="AT21" s="330"/>
      <c r="AU21" s="335"/>
      <c r="AV21" s="335"/>
      <c r="AW21" s="335"/>
      <c r="AX21" s="335"/>
      <c r="AY21" s="335"/>
      <c r="AZ21" s="335"/>
      <c r="BA21" s="335"/>
      <c r="BB21" s="335"/>
      <c r="BC21" s="335"/>
      <c r="BD21" s="335"/>
      <c r="BE21" s="335"/>
      <c r="BF21" s="335"/>
      <c r="BG21" s="336"/>
      <c r="BH21" s="317"/>
      <c r="BI21" s="325">
        <v>46040</v>
      </c>
      <c r="BJ21" s="379"/>
      <c r="BK21" s="326"/>
      <c r="BL21" s="326"/>
      <c r="BM21" s="326"/>
      <c r="BN21" s="326"/>
      <c r="BO21" s="326"/>
      <c r="BP21" s="326"/>
      <c r="BQ21" s="326"/>
      <c r="BR21" s="326"/>
      <c r="BS21" s="327"/>
      <c r="BT21" s="338"/>
      <c r="BU21" s="339"/>
      <c r="BV21" s="337"/>
      <c r="BW21" s="336"/>
      <c r="BY21" s="293" t="str">
        <f>IF('[2]2026 január'!B$19=0,
    "",
    '[2]2026 január'!B$19
)</f>
        <v/>
      </c>
      <c r="BZ21" s="293" t="str">
        <f>IF(OR('[2]2026 január'!G19=0,
       ISBLANK('[2]2026 január'!G19)),
    "",
    '[2]2026 január'!G19
)</f>
        <v/>
      </c>
      <c r="CA21" s="11">
        <f>'[2]2026 január'!W19</f>
        <v>0</v>
      </c>
      <c r="CB21" s="11"/>
      <c r="CC21" s="11"/>
      <c r="CD21" s="10"/>
      <c r="CE21" s="293" t="str">
        <f>IF('[2]2026 január'!S19=0,
    "",
    '[2]2026 január'!S19
)</f>
        <v/>
      </c>
      <c r="CF21" s="293" t="str">
        <f>IF('[2]2026 január'!T19=0,
    "",
    '[2]2026 január'!T19
)</f>
        <v/>
      </c>
      <c r="CG21" s="293" t="str">
        <f>IF('[2]2026 január'!U19=0,
    "",
    '[2]2026 január'!U19
)</f>
        <v/>
      </c>
      <c r="CH21" s="293" t="str">
        <f>IF('[2]2026 január'!V19=0,
    "",
    '[2]2026 január'!V19
)</f>
        <v/>
      </c>
      <c r="CI21" s="293" t="str">
        <f>IF('[2]2026 január'!W19=0,
    "",
    '[2]2026 január'!W19
)</f>
        <v/>
      </c>
      <c r="CJ21" s="293" t="str">
        <f>IF('[2]2026 január'!X19=0,
    "",
    '[2]2026 január'!X19
)</f>
        <v/>
      </c>
      <c r="CK21" s="293" t="str">
        <f>IF('[2]2026 január'!Y19=0,
    "",
    '[2]2026 január'!Y19
)</f>
        <v/>
      </c>
      <c r="CL21" s="296" t="str">
        <f>IF('[2]2026 január'!Z19=0,
    "",
    '[2]2026 január'!Z19
)</f>
        <v/>
      </c>
      <c r="CM21" s="293" t="str">
        <f>IF('[2]2026 január'!AA19=0,
    "",
    '[2]2026 január'!AA19
)</f>
        <v/>
      </c>
      <c r="CN21" s="293" t="str">
        <f>IF('[2]2026 január'!AB19=0,
    "",
    '[2]2026 január'!AB19
)</f>
        <v/>
      </c>
      <c r="CO21" s="293" t="str">
        <f>IF('[2]2026 január'!AC19=0,
    "",
    '[2]2026 január'!AC19
)</f>
        <v/>
      </c>
      <c r="CP21" s="293" t="str">
        <f>IF('[2]2026 január'!AD19=0,
    "",
    '[2]2026 január'!AD19
)</f>
        <v/>
      </c>
      <c r="CQ21" s="245" t="str">
        <f>IF('[2]2026 január'!AE$19=0,
    "",
    '[2]2026 január'!AE$19
)</f>
        <v/>
      </c>
      <c r="CR21" s="245" t="str">
        <f>IF('[2]2026 január'!AF19=0,
    "",
    '[2]2026 január'!AF19
)</f>
        <v/>
      </c>
      <c r="CS21" s="245" t="str">
        <f>IF('[2]2026 január'!AG19=0,
    "",
    '[2]2026 január'!AG19
)</f>
        <v/>
      </c>
      <c r="CT21" s="245" t="str">
        <f>IF('[2]2026 január'!AH19=0,
    "",
    '[2]2026 január'!AH19
)</f>
        <v/>
      </c>
    </row>
    <row r="22" spans="1:98" ht="14.25" customHeight="1">
      <c r="A22" s="5">
        <v>46041</v>
      </c>
      <c r="B22" s="380">
        <v>443395</v>
      </c>
      <c r="C22" s="11">
        <v>800</v>
      </c>
      <c r="D22" s="11">
        <v>419486</v>
      </c>
      <c r="E22" s="11"/>
      <c r="F22" s="11"/>
      <c r="G22" s="11"/>
      <c r="H22" s="11">
        <v>420286</v>
      </c>
      <c r="I22" s="87">
        <v>420286</v>
      </c>
      <c r="J22" s="11">
        <v>1026</v>
      </c>
      <c r="K22" s="38" t="s">
        <v>168</v>
      </c>
      <c r="L22" s="87">
        <v>129799888</v>
      </c>
      <c r="M22" s="286"/>
      <c r="N22" s="169"/>
      <c r="O22" s="239"/>
      <c r="Q22" s="5">
        <v>46041</v>
      </c>
      <c r="R22" s="380">
        <v>551135</v>
      </c>
      <c r="S22" s="11">
        <v>2850</v>
      </c>
      <c r="T22" s="11">
        <v>504778</v>
      </c>
      <c r="U22" s="11"/>
      <c r="V22" s="11"/>
      <c r="W22" s="11"/>
      <c r="X22" s="11">
        <v>507628</v>
      </c>
      <c r="Y22" s="11">
        <v>507628</v>
      </c>
      <c r="Z22" s="11">
        <v>-2007</v>
      </c>
      <c r="AA22" s="44" t="s">
        <v>169</v>
      </c>
      <c r="AB22" s="87">
        <v>159177564</v>
      </c>
      <c r="AC22" s="173"/>
      <c r="AD22" s="169"/>
      <c r="AE22" s="9"/>
      <c r="AG22" s="331">
        <v>46041</v>
      </c>
      <c r="AH22" s="380">
        <v>319405</v>
      </c>
      <c r="AI22" s="332">
        <v>800</v>
      </c>
      <c r="AJ22" s="332">
        <v>303310</v>
      </c>
      <c r="AK22" s="332"/>
      <c r="AL22" s="332"/>
      <c r="AM22" s="332"/>
      <c r="AN22" s="332">
        <v>304110</v>
      </c>
      <c r="AO22" s="332">
        <v>304110</v>
      </c>
      <c r="AP22" s="332">
        <v>165</v>
      </c>
      <c r="AQ22" s="341" t="s">
        <v>170</v>
      </c>
      <c r="AR22" s="342">
        <v>300515679</v>
      </c>
      <c r="AS22" s="343"/>
      <c r="AT22" s="344"/>
      <c r="AU22" s="335"/>
      <c r="AV22" s="335"/>
      <c r="AW22" s="335"/>
      <c r="AX22" s="335"/>
      <c r="AY22" s="335"/>
      <c r="AZ22" s="335"/>
      <c r="BA22" s="335"/>
      <c r="BB22" s="335"/>
      <c r="BC22" s="335"/>
      <c r="BD22" s="335"/>
      <c r="BE22" s="335"/>
      <c r="BF22" s="335"/>
      <c r="BG22" s="335"/>
      <c r="BH22" s="317"/>
      <c r="BI22" s="331">
        <v>46041</v>
      </c>
      <c r="BJ22" s="380">
        <v>192505</v>
      </c>
      <c r="BK22" s="332">
        <v>950</v>
      </c>
      <c r="BL22" s="332">
        <v>185135</v>
      </c>
      <c r="BM22" s="332"/>
      <c r="BN22" s="332"/>
      <c r="BO22" s="332"/>
      <c r="BP22" s="332">
        <v>186085</v>
      </c>
      <c r="BQ22" s="332">
        <v>186085</v>
      </c>
      <c r="BR22" s="332">
        <v>-1130</v>
      </c>
      <c r="BS22" s="341" t="s">
        <v>171</v>
      </c>
      <c r="BT22" s="342">
        <v>168493842</v>
      </c>
      <c r="BU22" s="343"/>
      <c r="BV22" s="345"/>
      <c r="BW22" s="335"/>
      <c r="BY22" s="293">
        <f>IF('[2]2026 január'!B$20=0,
    "",
    '[2]2026 január'!B$20
)</f>
        <v>1506440</v>
      </c>
      <c r="BZ22" s="293" t="str">
        <f>IF(OR('[2]2026 január'!G20=0,
       ISBLANK('[2]2026 január'!G20)),
    "",
    '[2]2026 január'!G20
)</f>
        <v/>
      </c>
      <c r="CA22" s="11">
        <f>'[2]2026 január'!W20</f>
        <v>0</v>
      </c>
      <c r="CB22" s="11"/>
      <c r="CC22" s="11"/>
      <c r="CD22" s="10"/>
      <c r="CE22" s="293">
        <f>IF('[2]2026 január'!S20=0,
    "",
    '[2]2026 január'!S20
)</f>
        <v>63373</v>
      </c>
      <c r="CF22" s="293">
        <f>IF('[2]2026 január'!T20=0,
    "",
    '[2]2026 január'!T20
)</f>
        <v>88331</v>
      </c>
      <c r="CG22" s="293" t="str">
        <f>IF('[2]2026 január'!U20=0,
    "",
    '[2]2026 január'!U20
)</f>
        <v/>
      </c>
      <c r="CH22" s="293">
        <f>IF('[2]2026 január'!V20=0,
    "",
    '[2]2026 január'!V20
)</f>
        <v>34000</v>
      </c>
      <c r="CI22" s="293" t="str">
        <f>IF('[2]2026 január'!W20=0,
    "",
    '[2]2026 január'!W20
)</f>
        <v/>
      </c>
      <c r="CJ22" s="293" t="str">
        <f>IF('[2]2026 január'!X20=0,
    "",
    '[2]2026 január'!X20
)</f>
        <v/>
      </c>
      <c r="CK22" s="293">
        <f>IF('[2]2026 január'!Y20=0,
    "",
    '[2]2026 január'!Y20
)</f>
        <v>117704</v>
      </c>
      <c r="CL22" s="296" t="str">
        <f>IF('[2]2026 január'!Z20=0,
    "",
    '[2]2026 január'!Z20
)</f>
        <v/>
      </c>
      <c r="CM22" s="293" t="str">
        <f>IF('[2]2026 január'!AA20=0,
    "",
    '[2]2026 január'!AA20
)</f>
        <v/>
      </c>
      <c r="CN22" s="293" t="str">
        <f>IF('[2]2026 január'!AB20=0,
    "",
    '[2]2026 január'!AB20
)</f>
        <v/>
      </c>
      <c r="CO22" s="293" t="str">
        <f>IF('[2]2026 január'!AC20=0,
    "",
    '[2]2026 január'!AC20
)</f>
        <v/>
      </c>
      <c r="CP22" s="293" t="str">
        <f>IF('[2]2026 január'!AD20=0,
    "",
    '[2]2026 január'!AD20
)</f>
        <v/>
      </c>
      <c r="CQ22" s="245" t="str">
        <f>IF('[2]2026 január'!AE$20=0,
    "",
    '[2]2026 január'!AE$20
)</f>
        <v/>
      </c>
      <c r="CR22" s="245" t="str">
        <f>IF('[2]2026 január'!AF20=0,
    "",
    '[2]2026 január'!AF20
)</f>
        <v/>
      </c>
      <c r="CS22" s="245" t="str">
        <f>IF('[2]2026 január'!AG20=0,
    "",
    '[2]2026 január'!AG20
)</f>
        <v/>
      </c>
      <c r="CT22" s="245" t="str">
        <f>IF('[2]2026 január'!AH20=0,
    "",
    '[2]2026 január'!AH20
)</f>
        <v/>
      </c>
    </row>
    <row r="23" spans="1:98" ht="14.25" customHeight="1">
      <c r="A23" s="5">
        <v>46042</v>
      </c>
      <c r="B23" s="380">
        <v>506330</v>
      </c>
      <c r="C23" s="11">
        <v>500</v>
      </c>
      <c r="D23" s="11">
        <v>468010</v>
      </c>
      <c r="E23" s="11"/>
      <c r="F23" s="11"/>
      <c r="G23" s="11"/>
      <c r="H23" s="11">
        <v>468510</v>
      </c>
      <c r="I23" s="87">
        <v>468510</v>
      </c>
      <c r="J23" s="11">
        <v>70</v>
      </c>
      <c r="K23" s="38" t="s">
        <v>172</v>
      </c>
      <c r="L23" s="87">
        <v>130268398</v>
      </c>
      <c r="M23" s="286"/>
      <c r="N23" s="169"/>
      <c r="O23" s="239"/>
      <c r="Q23" s="5">
        <v>46042</v>
      </c>
      <c r="R23" s="380">
        <v>687335</v>
      </c>
      <c r="S23" s="11">
        <v>3100</v>
      </c>
      <c r="T23" s="11">
        <v>655371</v>
      </c>
      <c r="U23" s="11"/>
      <c r="V23" s="11"/>
      <c r="W23" s="11"/>
      <c r="X23" s="11">
        <v>658471</v>
      </c>
      <c r="Y23" s="11">
        <v>658471</v>
      </c>
      <c r="Z23" s="11">
        <v>-949</v>
      </c>
      <c r="AA23" s="44" t="s">
        <v>173</v>
      </c>
      <c r="AB23" s="87">
        <v>159836035</v>
      </c>
      <c r="AC23" s="173"/>
      <c r="AD23" s="169"/>
      <c r="AE23" s="9"/>
      <c r="AG23" s="331">
        <v>46042</v>
      </c>
      <c r="AH23" s="380">
        <v>384740</v>
      </c>
      <c r="AI23" s="332">
        <v>1450</v>
      </c>
      <c r="AJ23" s="332">
        <v>349850</v>
      </c>
      <c r="AK23" s="332"/>
      <c r="AL23" s="332"/>
      <c r="AM23" s="332"/>
      <c r="AN23" s="332">
        <v>351300</v>
      </c>
      <c r="AO23" s="332">
        <v>351300</v>
      </c>
      <c r="AP23" s="332">
        <v>-630</v>
      </c>
      <c r="AQ23" s="341" t="s">
        <v>174</v>
      </c>
      <c r="AR23" s="342">
        <v>300866979</v>
      </c>
      <c r="AS23" s="343"/>
      <c r="AT23" s="344"/>
      <c r="AU23" s="335"/>
      <c r="AV23" s="335"/>
      <c r="AW23" s="335"/>
      <c r="AX23" s="335"/>
      <c r="AY23" s="335"/>
      <c r="AZ23" s="335"/>
      <c r="BA23" s="335"/>
      <c r="BB23" s="335"/>
      <c r="BC23" s="335"/>
      <c r="BD23" s="335"/>
      <c r="BE23" s="335"/>
      <c r="BF23" s="335"/>
      <c r="BG23" s="335"/>
      <c r="BH23" s="317"/>
      <c r="BI23" s="331">
        <v>46042</v>
      </c>
      <c r="BJ23" s="380">
        <v>235835</v>
      </c>
      <c r="BK23" s="332">
        <v>1050</v>
      </c>
      <c r="BL23" s="332">
        <v>226595</v>
      </c>
      <c r="BM23" s="332"/>
      <c r="BN23" s="332"/>
      <c r="BO23" s="332"/>
      <c r="BP23" s="332">
        <v>227645</v>
      </c>
      <c r="BQ23" s="332">
        <v>227645</v>
      </c>
      <c r="BR23" s="332">
        <v>400</v>
      </c>
      <c r="BS23" s="341" t="s">
        <v>175</v>
      </c>
      <c r="BT23" s="342">
        <v>168711487</v>
      </c>
      <c r="BU23" s="343"/>
      <c r="BV23" s="345"/>
      <c r="BW23" s="335"/>
      <c r="BY23" s="293">
        <f>IF('[2]2026 január'!B$21=0,
    "",
    '[2]2026 január'!B$21
)</f>
        <v>1814240</v>
      </c>
      <c r="BZ23" s="293" t="str">
        <f>IF(OR('[2]2026 január'!G21=0,
       ISBLANK('[2]2026 január'!G21)),
    "",
    '[2]2026 január'!G21
)</f>
        <v/>
      </c>
      <c r="CA23" s="11">
        <f>'[2]2026 január'!W21</f>
        <v>0</v>
      </c>
      <c r="CB23" s="11"/>
      <c r="CC23" s="11"/>
      <c r="CD23" s="10"/>
      <c r="CE23" s="293">
        <f>IF('[2]2026 január'!S21=0,
    "",
    '[2]2026 január'!S21
)</f>
        <v>117704</v>
      </c>
      <c r="CF23" s="293">
        <f>IF('[2]2026 január'!T21=0,
    "",
    '[2]2026 január'!T21
)</f>
        <v>108314</v>
      </c>
      <c r="CG23" s="293" t="str">
        <f>IF('[2]2026 január'!U21=0,
    "",
    '[2]2026 január'!U21
)</f>
        <v/>
      </c>
      <c r="CH23" s="293">
        <f>IF('[2]2026 január'!V21=0,
    "",
    '[2]2026 január'!V21
)</f>
        <v>36500</v>
      </c>
      <c r="CI23" s="293" t="str">
        <f>IF('[2]2026 január'!W21=0,
    "",
    '[2]2026 január'!W21
)</f>
        <v/>
      </c>
      <c r="CJ23" s="293" t="str">
        <f>IF('[2]2026 január'!X21=0,
    "",
    '[2]2026 január'!X21
)</f>
        <v/>
      </c>
      <c r="CK23" s="293">
        <f>IF('[2]2026 január'!Y21=0,
    "",
    '[2]2026 január'!Y21
)</f>
        <v>189518</v>
      </c>
      <c r="CL23" s="296" t="str">
        <f>IF('[2]2026 január'!Z21=0,
    "",
    '[2]2026 január'!Z21
)</f>
        <v/>
      </c>
      <c r="CM23" s="293" t="str">
        <f>IF('[2]2026 január'!AA21=0,
    "",
    '[2]2026 január'!AA21
)</f>
        <v/>
      </c>
      <c r="CN23" s="293" t="str">
        <f>IF('[2]2026 január'!AB21=0,
    "",
    '[2]2026 január'!AB21
)</f>
        <v/>
      </c>
      <c r="CO23" s="293" t="str">
        <f>IF('[2]2026 január'!AC21=0,
    "",
    '[2]2026 január'!AC21
)</f>
        <v/>
      </c>
      <c r="CP23" s="293" t="str">
        <f>IF('[2]2026 január'!AD21=0,
    "",
    '[2]2026 január'!AD21
)</f>
        <v/>
      </c>
      <c r="CQ23" s="245" t="str">
        <f>IF('[2]2026 január'!AE$21=0,
    "",
    '[2]2026 január'!AE$21
)</f>
        <v/>
      </c>
      <c r="CR23" s="245" t="str">
        <f>IF('[2]2026 január'!AF21=0,
    "",
    '[2]2026 január'!AF21
)</f>
        <v/>
      </c>
      <c r="CS23" s="245" t="str">
        <f>IF('[2]2026 január'!AG21=0,
    "",
    '[2]2026 január'!AG21
)</f>
        <v/>
      </c>
      <c r="CT23" s="245" t="str">
        <f>IF('[2]2026 január'!AH21=0,
    "",
    '[2]2026 január'!AH21
)</f>
        <v/>
      </c>
    </row>
    <row r="24" spans="1:98" ht="14.25" customHeight="1">
      <c r="A24" s="5">
        <v>46043</v>
      </c>
      <c r="B24" s="380">
        <v>524005</v>
      </c>
      <c r="C24" s="11">
        <v>700</v>
      </c>
      <c r="D24" s="11">
        <v>501635</v>
      </c>
      <c r="E24" s="11">
        <v>100</v>
      </c>
      <c r="F24" s="11"/>
      <c r="G24" s="11"/>
      <c r="H24" s="11">
        <v>502435</v>
      </c>
      <c r="I24" s="87">
        <v>502435</v>
      </c>
      <c r="J24" s="11">
        <v>1430</v>
      </c>
      <c r="K24" s="38" t="s">
        <v>176</v>
      </c>
      <c r="L24" s="87">
        <v>130770833</v>
      </c>
      <c r="M24" s="286"/>
      <c r="N24" s="169"/>
      <c r="O24" s="239"/>
      <c r="Q24" s="5">
        <v>46043</v>
      </c>
      <c r="R24" s="380">
        <v>725460</v>
      </c>
      <c r="S24" s="11">
        <v>3320</v>
      </c>
      <c r="T24" s="11">
        <v>679971</v>
      </c>
      <c r="U24" s="11"/>
      <c r="V24" s="11"/>
      <c r="W24" s="11"/>
      <c r="X24" s="11">
        <v>683291</v>
      </c>
      <c r="Y24" s="11">
        <v>683291</v>
      </c>
      <c r="Z24" s="11">
        <v>-1099</v>
      </c>
      <c r="AA24" s="44" t="s">
        <v>177</v>
      </c>
      <c r="AB24" s="87">
        <v>160519326</v>
      </c>
      <c r="AC24" s="173"/>
      <c r="AD24" s="169"/>
      <c r="AE24" s="9"/>
      <c r="AG24" s="331">
        <v>46043</v>
      </c>
      <c r="AH24" s="380">
        <v>436590</v>
      </c>
      <c r="AI24" s="332">
        <v>2100</v>
      </c>
      <c r="AJ24" s="332">
        <v>394290</v>
      </c>
      <c r="AK24" s="332"/>
      <c r="AL24" s="332"/>
      <c r="AM24" s="332"/>
      <c r="AN24" s="332">
        <v>396390</v>
      </c>
      <c r="AO24" s="332">
        <v>396390</v>
      </c>
      <c r="AP24" s="332">
        <v>-2200</v>
      </c>
      <c r="AQ24" s="341" t="s">
        <v>178</v>
      </c>
      <c r="AR24" s="342">
        <v>301263369</v>
      </c>
      <c r="AS24" s="343"/>
      <c r="AT24" s="344"/>
      <c r="AU24" s="335"/>
      <c r="AV24" s="335"/>
      <c r="AW24" s="335"/>
      <c r="AX24" s="335"/>
      <c r="AY24" s="335"/>
      <c r="AZ24" s="335"/>
      <c r="BA24" s="335"/>
      <c r="BB24" s="335"/>
      <c r="BC24" s="335"/>
      <c r="BD24" s="335"/>
      <c r="BE24" s="335"/>
      <c r="BF24" s="335"/>
      <c r="BG24" s="335"/>
      <c r="BH24" s="317"/>
      <c r="BI24" s="331">
        <v>46043</v>
      </c>
      <c r="BJ24" s="380">
        <v>221235</v>
      </c>
      <c r="BK24" s="332">
        <v>1000</v>
      </c>
      <c r="BL24" s="332">
        <v>218719</v>
      </c>
      <c r="BM24" s="332"/>
      <c r="BN24" s="332"/>
      <c r="BO24" s="332"/>
      <c r="BP24" s="332">
        <v>219719</v>
      </c>
      <c r="BQ24" s="332">
        <v>219719</v>
      </c>
      <c r="BR24" s="332">
        <v>-956</v>
      </c>
      <c r="BS24" s="341" t="s">
        <v>179</v>
      </c>
      <c r="BT24" s="342">
        <v>168931206</v>
      </c>
      <c r="BU24" s="343"/>
      <c r="BV24" s="345"/>
      <c r="BW24" s="335"/>
      <c r="BY24" s="293">
        <f>IF('[2]2026 január'!B$22=0,
    "",
    '[2]2026 január'!B$22
)</f>
        <v>1907290</v>
      </c>
      <c r="BZ24" s="293" t="str">
        <f>IF(OR('[2]2026 január'!G22=0,
       ISBLANK('[2]2026 január'!G22)),
    "",
    '[2]2026 január'!G22
)</f>
        <v/>
      </c>
      <c r="CA24" s="11">
        <f>'[2]2026 január'!W22</f>
        <v>0</v>
      </c>
      <c r="CB24" s="11"/>
      <c r="CC24" s="11"/>
      <c r="CD24" s="10"/>
      <c r="CE24" s="293">
        <f>IF('[2]2026 január'!S22=0,
    "",
    '[2]2026 január'!S22
)</f>
        <v>189518</v>
      </c>
      <c r="CF24" s="293">
        <f>IF('[2]2026 január'!T22=0,
    "",
    '[2]2026 január'!T22
)</f>
        <v>105455</v>
      </c>
      <c r="CG24" s="293" t="str">
        <f>IF('[2]2026 január'!U22=0,
    "",
    '[2]2026 január'!U22
)</f>
        <v/>
      </c>
      <c r="CH24" s="293">
        <f>IF('[2]2026 január'!V22=0,
    "",
    '[2]2026 január'!V22
)</f>
        <v>27600</v>
      </c>
      <c r="CI24" s="293" t="str">
        <f>IF('[2]2026 január'!W22=0,
    "",
    '[2]2026 január'!W22
)</f>
        <v/>
      </c>
      <c r="CJ24" s="293" t="str">
        <f>IF('[2]2026 január'!X22=0,
    "",
    '[2]2026 január'!X22
)</f>
        <v/>
      </c>
      <c r="CK24" s="293">
        <f>IF('[2]2026 január'!Y22=0,
    "",
    '[2]2026 január'!Y22
)</f>
        <v>267373</v>
      </c>
      <c r="CL24" s="296" t="str">
        <f>IF('[2]2026 január'!Z22=0,
    "",
    '[2]2026 január'!Z22
)</f>
        <v/>
      </c>
      <c r="CM24" s="293" t="str">
        <f>IF('[2]2026 január'!AA22=0,
    "",
    '[2]2026 január'!AA22
)</f>
        <v/>
      </c>
      <c r="CN24" s="293" t="str">
        <f>IF('[2]2026 január'!AB22=0,
    "",
    '[2]2026 január'!AB22
)</f>
        <v/>
      </c>
      <c r="CO24" s="293" t="str">
        <f>IF('[2]2026 január'!AC22=0,
    "",
    '[2]2026 január'!AC22
)</f>
        <v/>
      </c>
      <c r="CP24" s="293" t="str">
        <f>IF('[2]2026 január'!AD22=0,
    "",
    '[2]2026 január'!AD22
)</f>
        <v/>
      </c>
      <c r="CQ24" s="245" t="str">
        <f>IF('[2]2026 január'!AE$22=0,
    "",
    '[2]2026 január'!AE$22
)</f>
        <v/>
      </c>
      <c r="CR24" s="245" t="str">
        <f>IF('[2]2026 január'!AF22=0,
    "",
    '[2]2026 január'!AF22
)</f>
        <v/>
      </c>
      <c r="CS24" s="245" t="str">
        <f>IF('[2]2026 január'!AG22=0,
    "",
    '[2]2026 január'!AG22
)</f>
        <v/>
      </c>
      <c r="CT24" s="245" t="str">
        <f>IF('[2]2026 január'!AH22=0,
    "",
    '[2]2026 január'!AH22
)</f>
        <v/>
      </c>
    </row>
    <row r="25" spans="1:98" ht="14.25" customHeight="1">
      <c r="A25" s="5">
        <v>46044</v>
      </c>
      <c r="B25" s="380">
        <v>480720</v>
      </c>
      <c r="C25" s="11">
        <v>900</v>
      </c>
      <c r="D25" s="11">
        <v>435150</v>
      </c>
      <c r="E25" s="11"/>
      <c r="F25" s="11"/>
      <c r="G25" s="11"/>
      <c r="H25" s="11">
        <v>436050</v>
      </c>
      <c r="I25" s="87">
        <v>436050</v>
      </c>
      <c r="J25" s="11">
        <v>2105</v>
      </c>
      <c r="K25" s="38" t="s">
        <v>180</v>
      </c>
      <c r="L25" s="87">
        <v>131206883</v>
      </c>
      <c r="M25" s="286"/>
      <c r="N25" s="169"/>
      <c r="O25" s="239"/>
      <c r="Q25" s="5">
        <v>46044</v>
      </c>
      <c r="R25" s="380">
        <v>660910</v>
      </c>
      <c r="S25" s="11">
        <v>3650</v>
      </c>
      <c r="T25" s="11">
        <v>612194</v>
      </c>
      <c r="U25" s="11"/>
      <c r="V25" s="11"/>
      <c r="W25" s="11"/>
      <c r="X25" s="11">
        <v>615844</v>
      </c>
      <c r="Y25" s="11">
        <v>615844</v>
      </c>
      <c r="Z25" s="11">
        <v>-151</v>
      </c>
      <c r="AA25" s="44" t="s">
        <v>181</v>
      </c>
      <c r="AB25" s="87">
        <v>161135170</v>
      </c>
      <c r="AC25" s="173"/>
      <c r="AD25" s="169"/>
      <c r="AE25" s="9"/>
      <c r="AG25" s="331">
        <v>46044</v>
      </c>
      <c r="AH25" s="380">
        <v>429155</v>
      </c>
      <c r="AI25" s="332">
        <v>1900</v>
      </c>
      <c r="AJ25" s="332">
        <v>388891</v>
      </c>
      <c r="AK25" s="332"/>
      <c r="AL25" s="332">
        <v>50</v>
      </c>
      <c r="AM25" s="332"/>
      <c r="AN25" s="332">
        <v>390841</v>
      </c>
      <c r="AO25" s="332">
        <v>390841</v>
      </c>
      <c r="AP25" s="332">
        <v>2436</v>
      </c>
      <c r="AQ25" s="341" t="s">
        <v>182</v>
      </c>
      <c r="AR25" s="342">
        <v>301654210</v>
      </c>
      <c r="AS25" s="343"/>
      <c r="AT25" s="344"/>
      <c r="AU25" s="335"/>
      <c r="AV25" s="335"/>
      <c r="AW25" s="335"/>
      <c r="AX25" s="335"/>
      <c r="AY25" s="335"/>
      <c r="AZ25" s="335"/>
      <c r="BA25" s="335"/>
      <c r="BB25" s="335"/>
      <c r="BC25" s="335"/>
      <c r="BD25" s="335"/>
      <c r="BE25" s="335"/>
      <c r="BF25" s="335"/>
      <c r="BG25" s="335"/>
      <c r="BH25" s="317"/>
      <c r="BI25" s="331">
        <v>46044</v>
      </c>
      <c r="BJ25" s="380">
        <v>204505</v>
      </c>
      <c r="BK25" s="332">
        <v>750</v>
      </c>
      <c r="BL25" s="332">
        <v>196350</v>
      </c>
      <c r="BM25" s="332"/>
      <c r="BN25" s="332"/>
      <c r="BO25" s="332"/>
      <c r="BP25" s="332">
        <v>197100</v>
      </c>
      <c r="BQ25" s="332">
        <v>197100</v>
      </c>
      <c r="BR25" s="332">
        <v>95</v>
      </c>
      <c r="BS25" s="341" t="s">
        <v>183</v>
      </c>
      <c r="BT25" s="342">
        <v>169128306</v>
      </c>
      <c r="BU25" s="343"/>
      <c r="BV25" s="345"/>
      <c r="BW25" s="335"/>
      <c r="BY25" s="293">
        <f>IF('[2]2026 január'!B$23=0,
    "",
    '[2]2026 január'!B$23
)</f>
        <v>1775290</v>
      </c>
      <c r="BZ25" s="293" t="str">
        <f>IF(OR('[2]2026 január'!G23=0,
       ISBLANK('[2]2026 január'!G23)),
    "",
    '[2]2026 január'!G23
)</f>
        <v/>
      </c>
      <c r="CA25" s="11">
        <f>'[2]2026 január'!W23</f>
        <v>0</v>
      </c>
      <c r="CB25" s="11"/>
      <c r="CC25" s="11"/>
      <c r="CD25" s="10"/>
      <c r="CE25" s="293">
        <f>IF('[2]2026 január'!S23=0,
    "",
    '[2]2026 január'!S23
)</f>
        <v>267373</v>
      </c>
      <c r="CF25" s="293">
        <f>IF('[2]2026 január'!T23=0,
    "",
    '[2]2026 január'!T23
)</f>
        <v>135455</v>
      </c>
      <c r="CG25" s="293" t="str">
        <f>IF('[2]2026 január'!U23=0,
    "",
    '[2]2026 január'!U23
)</f>
        <v/>
      </c>
      <c r="CH25" s="293">
        <f>IF('[2]2026 január'!V23=0,
    "",
    '[2]2026 január'!V23
)</f>
        <v>39500</v>
      </c>
      <c r="CI25" s="293" t="str">
        <f>IF('[2]2026 január'!W23=0,
    "",
    '[2]2026 január'!W23
)</f>
        <v/>
      </c>
      <c r="CJ25" s="293" t="str">
        <f>IF('[2]2026 január'!X23=0,
    "",
    '[2]2026 január'!X23
)</f>
        <v/>
      </c>
      <c r="CK25" s="293">
        <f>IF('[2]2026 január'!Y23=0,
    "",
    '[2]2026 január'!Y23
)</f>
        <v>363328</v>
      </c>
      <c r="CL25" s="296" t="str">
        <f>IF('[2]2026 január'!Z23=0,
    "",
    '[2]2026 január'!Z23
)</f>
        <v/>
      </c>
      <c r="CM25" s="293" t="str">
        <f>IF('[2]2026 január'!AA23=0,
    "",
    '[2]2026 január'!AA23
)</f>
        <v/>
      </c>
      <c r="CN25" s="293" t="str">
        <f>IF('[2]2026 január'!AB23=0,
    "",
    '[2]2026 január'!AB23
)</f>
        <v/>
      </c>
      <c r="CO25" s="293" t="str">
        <f>IF('[2]2026 január'!AC23=0,
    "",
    '[2]2026 január'!AC23
)</f>
        <v/>
      </c>
      <c r="CP25" s="293" t="str">
        <f>IF('[2]2026 január'!AD23=0,
    "",
    '[2]2026 január'!AD23
)</f>
        <v/>
      </c>
      <c r="CQ25" s="245" t="str">
        <f>IF('[2]2026 január'!AE$23=0,
    "",
    '[2]2026 január'!AE$23
)</f>
        <v/>
      </c>
      <c r="CR25" s="245" t="str">
        <f>IF('[2]2026 január'!AF23=0,
    "",
    '[2]2026 január'!AF23
)</f>
        <v/>
      </c>
      <c r="CS25" s="245" t="str">
        <f>IF('[2]2026 január'!AG23=0,
    "",
    '[2]2026 január'!AG23
)</f>
        <v/>
      </c>
      <c r="CT25" s="245" t="str">
        <f>IF('[2]2026 január'!AH23=0,
    "",
    '[2]2026 január'!AH23
)</f>
        <v/>
      </c>
    </row>
    <row r="26" spans="1:98" ht="14.25" customHeight="1">
      <c r="A26" s="5">
        <v>46045</v>
      </c>
      <c r="B26" s="380">
        <v>419985</v>
      </c>
      <c r="C26" s="11">
        <v>1400</v>
      </c>
      <c r="D26" s="11">
        <v>383825</v>
      </c>
      <c r="E26" s="11"/>
      <c r="F26" s="11"/>
      <c r="G26" s="11"/>
      <c r="H26" s="11">
        <v>385275</v>
      </c>
      <c r="I26" s="87">
        <v>385275</v>
      </c>
      <c r="J26" s="11">
        <v>1695</v>
      </c>
      <c r="K26" s="38" t="s">
        <v>184</v>
      </c>
      <c r="L26" s="87">
        <v>131592158</v>
      </c>
      <c r="M26" s="286"/>
      <c r="N26" s="169"/>
      <c r="O26" s="239"/>
      <c r="Q26" s="5">
        <v>46045</v>
      </c>
      <c r="R26" s="380">
        <v>495970</v>
      </c>
      <c r="S26" s="11">
        <v>1900</v>
      </c>
      <c r="T26" s="11">
        <v>439255</v>
      </c>
      <c r="U26" s="11"/>
      <c r="V26" s="11"/>
      <c r="W26" s="11"/>
      <c r="X26" s="11">
        <v>441155</v>
      </c>
      <c r="Y26" s="11">
        <v>441155</v>
      </c>
      <c r="Z26" s="11">
        <v>1185</v>
      </c>
      <c r="AA26" s="44" t="s">
        <v>185</v>
      </c>
      <c r="AB26" s="87">
        <v>161576325</v>
      </c>
      <c r="AC26" s="173"/>
      <c r="AD26" s="169"/>
      <c r="AE26" s="9"/>
      <c r="AG26" s="331">
        <v>46045</v>
      </c>
      <c r="AH26" s="380">
        <v>302405</v>
      </c>
      <c r="AI26" s="332">
        <v>1350</v>
      </c>
      <c r="AJ26" s="332">
        <v>267751</v>
      </c>
      <c r="AK26" s="332"/>
      <c r="AL26" s="332"/>
      <c r="AM26" s="332"/>
      <c r="AN26" s="332">
        <v>269101</v>
      </c>
      <c r="AO26" s="332">
        <v>282100</v>
      </c>
      <c r="AP26" s="332">
        <v>1105</v>
      </c>
      <c r="AQ26" s="341" t="s">
        <v>186</v>
      </c>
      <c r="AR26" s="342">
        <v>301923311</v>
      </c>
      <c r="AS26" s="343"/>
      <c r="AT26" s="344"/>
      <c r="AU26" s="335"/>
      <c r="AV26" s="335"/>
      <c r="AW26" s="335"/>
      <c r="AX26" s="335"/>
      <c r="AY26" s="335"/>
      <c r="AZ26" s="335"/>
      <c r="BA26" s="335"/>
      <c r="BB26" s="335"/>
      <c r="BC26" s="335"/>
      <c r="BD26" s="335"/>
      <c r="BE26" s="335"/>
      <c r="BF26" s="335"/>
      <c r="BG26" s="335"/>
      <c r="BH26" s="317"/>
      <c r="BI26" s="331">
        <v>46045</v>
      </c>
      <c r="BJ26" s="380">
        <v>186780</v>
      </c>
      <c r="BK26" s="332">
        <v>1150</v>
      </c>
      <c r="BL26" s="332">
        <v>167775</v>
      </c>
      <c r="BM26" s="332"/>
      <c r="BN26" s="332"/>
      <c r="BO26" s="332"/>
      <c r="BP26" s="332">
        <v>168925</v>
      </c>
      <c r="BQ26" s="332">
        <v>168925</v>
      </c>
      <c r="BR26" s="332">
        <v>-385</v>
      </c>
      <c r="BS26" s="341" t="s">
        <v>187</v>
      </c>
      <c r="BT26" s="342">
        <v>169297231</v>
      </c>
      <c r="BU26" s="343"/>
      <c r="BV26" s="345"/>
      <c r="BW26" s="335"/>
      <c r="BY26" s="293">
        <f>IF('[2]2026 január'!B$24=0,
    "",
    '[2]2026 január'!B$24
)</f>
        <v>1405140</v>
      </c>
      <c r="BZ26" s="293" t="str">
        <f>IF(OR('[2]2026 január'!G24=0,
       ISBLANK('[2]2026 január'!G24)),
    "",
    '[2]2026 január'!G24
)</f>
        <v/>
      </c>
      <c r="CA26" s="11">
        <f>'[2]2026 január'!W24</f>
        <v>0</v>
      </c>
      <c r="CB26" s="11"/>
      <c r="CC26" s="11"/>
      <c r="CD26" s="10"/>
      <c r="CE26" s="293">
        <f>IF('[2]2026 január'!S24=0,
    "",
    '[2]2026 január'!S24
)</f>
        <v>363328</v>
      </c>
      <c r="CF26" s="293">
        <f>IF('[2]2026 január'!T24=0,
    "",
    '[2]2026 január'!T24
)</f>
        <v>127685</v>
      </c>
      <c r="CG26" s="293" t="str">
        <f>IF('[2]2026 január'!U24=0,
    "",
    '[2]2026 január'!U24
)</f>
        <v/>
      </c>
      <c r="CH26" s="293">
        <f>IF('[2]2026 január'!V24=0,
    "",
    '[2]2026 január'!V24
)</f>
        <v>158000</v>
      </c>
      <c r="CI26" s="293" t="str">
        <f>IF('[2]2026 január'!W24=0,
    "",
    '[2]2026 január'!W24
)</f>
        <v/>
      </c>
      <c r="CJ26" s="293" t="str">
        <f>IF('[2]2026 január'!X24=0,
    "",
    '[2]2026 január'!X24
)</f>
        <v/>
      </c>
      <c r="CK26" s="293">
        <f>IF('[2]2026 január'!Y24=0,
    "",
    '[2]2026 január'!Y24
)</f>
        <v>333013</v>
      </c>
      <c r="CL26" s="296" t="str">
        <f>IF('[2]2026 január'!Z24=0,
    "",
    '[2]2026 január'!Z24
)</f>
        <v/>
      </c>
      <c r="CM26" s="293" t="str">
        <f>IF('[2]2026 január'!AA24=0,
    "",
    '[2]2026 január'!AA24
)</f>
        <v/>
      </c>
      <c r="CN26" s="293" t="str">
        <f>IF('[2]2026 január'!AB24=0,
    "",
    '[2]2026 január'!AB24
)</f>
        <v/>
      </c>
      <c r="CO26" s="293" t="str">
        <f>IF('[2]2026 január'!AC24=0,
    "",
    '[2]2026 január'!AC24
)</f>
        <v/>
      </c>
      <c r="CP26" s="293" t="str">
        <f>IF('[2]2026 január'!AD24=0,
    "",
    '[2]2026 január'!AD24
)</f>
        <v/>
      </c>
      <c r="CQ26" s="245" t="str">
        <f>IF('[2]2026 január'!AE$24=0,
    "",
    '[2]2026 január'!AE$24
)</f>
        <v/>
      </c>
      <c r="CR26" s="245" t="str">
        <f>IF('[2]2026 január'!AF24=0,
    "",
    '[2]2026 január'!AF24
)</f>
        <v/>
      </c>
      <c r="CS26" s="245" t="str">
        <f>IF('[2]2026 január'!AG24=0,
    "",
    '[2]2026 január'!AG24
)</f>
        <v/>
      </c>
      <c r="CT26" s="245" t="str">
        <f>IF('[2]2026 január'!AH24=0,
    "",
    '[2]2026 január'!AH24
)</f>
        <v/>
      </c>
    </row>
    <row r="27" spans="1:98" ht="14.25" customHeight="1">
      <c r="A27" s="162">
        <v>46046</v>
      </c>
      <c r="B27" s="379"/>
      <c r="C27" s="163"/>
      <c r="D27" s="163"/>
      <c r="E27" s="163"/>
      <c r="F27" s="163"/>
      <c r="G27" s="163"/>
      <c r="H27" s="163"/>
      <c r="I27" s="167"/>
      <c r="J27" s="163"/>
      <c r="K27" s="222"/>
      <c r="L27" s="167"/>
      <c r="M27" s="292"/>
      <c r="N27" s="174"/>
      <c r="O27" s="242"/>
      <c r="Q27" s="162">
        <v>46046</v>
      </c>
      <c r="R27" s="379"/>
      <c r="S27" s="163"/>
      <c r="T27" s="163"/>
      <c r="U27" s="163"/>
      <c r="V27" s="163"/>
      <c r="W27" s="163"/>
      <c r="X27" s="163"/>
      <c r="Y27" s="163"/>
      <c r="Z27" s="163"/>
      <c r="AA27" s="164"/>
      <c r="AB27" s="167"/>
      <c r="AC27" s="172"/>
      <c r="AD27" s="174"/>
      <c r="AE27" s="179"/>
      <c r="AG27" s="325">
        <v>46046</v>
      </c>
      <c r="AH27" s="379"/>
      <c r="AI27" s="326"/>
      <c r="AJ27" s="326"/>
      <c r="AK27" s="326"/>
      <c r="AL27" s="326"/>
      <c r="AM27" s="326"/>
      <c r="AN27" s="326"/>
      <c r="AO27" s="326"/>
      <c r="AP27" s="326"/>
      <c r="AQ27" s="327"/>
      <c r="AR27" s="338"/>
      <c r="AS27" s="339"/>
      <c r="AT27" s="330"/>
      <c r="AU27" s="335"/>
      <c r="AV27" s="335"/>
      <c r="AW27" s="335"/>
      <c r="AX27" s="335"/>
      <c r="AY27" s="335"/>
      <c r="AZ27" s="335"/>
      <c r="BA27" s="335"/>
      <c r="BB27" s="335"/>
      <c r="BC27" s="335"/>
      <c r="BD27" s="335"/>
      <c r="BE27" s="335"/>
      <c r="BF27" s="335"/>
      <c r="BG27" s="336"/>
      <c r="BH27" s="317"/>
      <c r="BI27" s="325">
        <v>46046</v>
      </c>
      <c r="BJ27" s="379"/>
      <c r="BK27" s="326"/>
      <c r="BL27" s="326"/>
      <c r="BM27" s="326"/>
      <c r="BN27" s="326"/>
      <c r="BO27" s="326"/>
      <c r="BP27" s="326"/>
      <c r="BQ27" s="326"/>
      <c r="BR27" s="326"/>
      <c r="BS27" s="327"/>
      <c r="BT27" s="338"/>
      <c r="BU27" s="339"/>
      <c r="BV27" s="337"/>
      <c r="BW27" s="336"/>
      <c r="BY27" s="293" t="str">
        <f>IF('[2]2026 január'!B$25=0,
    "",
    '[2]2026 január'!B$25
)</f>
        <v/>
      </c>
      <c r="BZ27" s="293" t="str">
        <f>IF(OR('[2]2026 január'!G25=0,
       ISBLANK('[2]2026 január'!G25)),
    "",
    '[2]2026 január'!G25
)</f>
        <v/>
      </c>
      <c r="CA27" s="11">
        <f>'[2]2026 január'!W25</f>
        <v>0</v>
      </c>
      <c r="CB27" s="11"/>
      <c r="CC27" s="11"/>
      <c r="CD27" s="10"/>
      <c r="CE27" s="293" t="str">
        <f>IF('[2]2026 január'!S25=0,
    "",
    '[2]2026 január'!S25
)</f>
        <v/>
      </c>
      <c r="CF27" s="293" t="str">
        <f>IF('[2]2026 január'!T25=0,
    "",
    '[2]2026 január'!T25
)</f>
        <v/>
      </c>
      <c r="CG27" s="293" t="str">
        <f>IF('[2]2026 január'!U25=0,
    "",
    '[2]2026 január'!U25
)</f>
        <v/>
      </c>
      <c r="CH27" s="293" t="str">
        <f>IF('[2]2026 január'!V25=0,
    "",
    '[2]2026 január'!V25
)</f>
        <v/>
      </c>
      <c r="CI27" s="293" t="str">
        <f>IF('[2]2026 január'!W25=0,
    "",
    '[2]2026 január'!W25
)</f>
        <v/>
      </c>
      <c r="CJ27" s="293" t="str">
        <f>IF('[2]2026 január'!X25=0,
    "",
    '[2]2026 január'!X25
)</f>
        <v/>
      </c>
      <c r="CK27" s="293" t="str">
        <f>IF('[2]2026 január'!Y25=0,
    "",
    '[2]2026 január'!Y25
)</f>
        <v/>
      </c>
      <c r="CL27" s="296" t="str">
        <f>IF('[2]2026 január'!Z25=0,
    "",
    '[2]2026 január'!Z25
)</f>
        <v/>
      </c>
      <c r="CM27" s="293" t="str">
        <f>IF('[2]2026 január'!AA25=0,
    "",
    '[2]2026 január'!AA25
)</f>
        <v/>
      </c>
      <c r="CN27" s="293" t="str">
        <f>IF('[2]2026 január'!AB25=0,
    "",
    '[2]2026 január'!AB25
)</f>
        <v/>
      </c>
      <c r="CO27" s="293" t="str">
        <f>IF('[2]2026 január'!AC25=0,
    "",
    '[2]2026 január'!AC25
)</f>
        <v/>
      </c>
      <c r="CP27" s="293" t="str">
        <f>IF('[2]2026 január'!AD25=0,
    "",
    '[2]2026 január'!AD25
)</f>
        <v/>
      </c>
      <c r="CQ27" s="245" t="str">
        <f>IF('[2]2026 január'!AE$25=0,
    "",
    '[2]2026 január'!AE$25
)</f>
        <v/>
      </c>
      <c r="CR27" s="245" t="str">
        <f>IF('[2]2026 január'!AF25=0,
    "",
    '[2]2026 január'!AF25
)</f>
        <v/>
      </c>
      <c r="CS27" s="245" t="str">
        <f>IF('[2]2026 január'!AG25=0,
    "",
    '[2]2026 január'!AG25
)</f>
        <v/>
      </c>
      <c r="CT27" s="245" t="str">
        <f>IF('[2]2026 január'!AH25=0,
    "",
    '[2]2026 január'!AH25
)</f>
        <v/>
      </c>
    </row>
    <row r="28" spans="1:98" ht="14.25" customHeight="1">
      <c r="A28" s="162">
        <v>46047</v>
      </c>
      <c r="B28" s="379"/>
      <c r="C28" s="163"/>
      <c r="D28" s="163"/>
      <c r="E28" s="163"/>
      <c r="F28" s="163"/>
      <c r="G28" s="163"/>
      <c r="H28" s="163"/>
      <c r="I28" s="167"/>
      <c r="J28" s="163"/>
      <c r="K28" s="222"/>
      <c r="L28" s="167"/>
      <c r="M28" s="292"/>
      <c r="N28" s="174"/>
      <c r="O28" s="242"/>
      <c r="Q28" s="162">
        <v>46047</v>
      </c>
      <c r="R28" s="379"/>
      <c r="S28" s="163"/>
      <c r="T28" s="163"/>
      <c r="U28" s="163"/>
      <c r="V28" s="163"/>
      <c r="W28" s="163"/>
      <c r="X28" s="163"/>
      <c r="Y28" s="163"/>
      <c r="Z28" s="163"/>
      <c r="AA28" s="164"/>
      <c r="AB28" s="167"/>
      <c r="AC28" s="172"/>
      <c r="AD28" s="174"/>
      <c r="AE28" s="179"/>
      <c r="AG28" s="325">
        <v>46047</v>
      </c>
      <c r="AH28" s="379"/>
      <c r="AI28" s="326"/>
      <c r="AJ28" s="326"/>
      <c r="AK28" s="326"/>
      <c r="AL28" s="326"/>
      <c r="AM28" s="326"/>
      <c r="AN28" s="326"/>
      <c r="AO28" s="326"/>
      <c r="AP28" s="326"/>
      <c r="AQ28" s="327"/>
      <c r="AR28" s="338"/>
      <c r="AS28" s="339"/>
      <c r="AT28" s="330"/>
      <c r="AU28" s="335"/>
      <c r="AV28" s="335"/>
      <c r="AW28" s="335"/>
      <c r="AX28" s="335"/>
      <c r="AY28" s="335"/>
      <c r="AZ28" s="335"/>
      <c r="BA28" s="335"/>
      <c r="BB28" s="335"/>
      <c r="BC28" s="335"/>
      <c r="BD28" s="335"/>
      <c r="BE28" s="335"/>
      <c r="BF28" s="335"/>
      <c r="BG28" s="336"/>
      <c r="BH28" s="317"/>
      <c r="BI28" s="325">
        <v>46047</v>
      </c>
      <c r="BJ28" s="379"/>
      <c r="BK28" s="326"/>
      <c r="BL28" s="326"/>
      <c r="BM28" s="326"/>
      <c r="BN28" s="326"/>
      <c r="BO28" s="326"/>
      <c r="BP28" s="326"/>
      <c r="BQ28" s="326"/>
      <c r="BR28" s="326"/>
      <c r="BS28" s="327"/>
      <c r="BT28" s="338"/>
      <c r="BU28" s="339"/>
      <c r="BV28" s="337"/>
      <c r="BW28" s="336"/>
      <c r="BY28" s="293" t="str">
        <f>IF('[2]2026 január'!B$26=0,
    "",
    '[2]2026 január'!B$26
)</f>
        <v/>
      </c>
      <c r="BZ28" s="293" t="str">
        <f>IF(OR('[2]2026 január'!G26=0,
       ISBLANK('[2]2026 január'!G26)),
    "",
    '[2]2026 január'!G26
)</f>
        <v/>
      </c>
      <c r="CA28" s="11">
        <f>'[2]2026 január'!W26</f>
        <v>0</v>
      </c>
      <c r="CB28" s="11"/>
      <c r="CC28" s="11"/>
      <c r="CD28" s="10"/>
      <c r="CE28" s="293" t="str">
        <f>IF('[2]2026 január'!S26=0,
    "",
    '[2]2026 január'!S26
)</f>
        <v/>
      </c>
      <c r="CF28" s="293" t="str">
        <f>IF('[2]2026 január'!T26=0,
    "",
    '[2]2026 január'!T26
)</f>
        <v/>
      </c>
      <c r="CG28" s="293" t="str">
        <f>IF('[2]2026 január'!U26=0,
    "",
    '[2]2026 január'!U26
)</f>
        <v/>
      </c>
      <c r="CH28" s="293" t="str">
        <f>IF('[2]2026 január'!V26=0,
    "",
    '[2]2026 január'!V26
)</f>
        <v/>
      </c>
      <c r="CI28" s="293" t="str">
        <f>IF('[2]2026 január'!W26=0,
    "",
    '[2]2026 január'!W26
)</f>
        <v/>
      </c>
      <c r="CJ28" s="293" t="str">
        <f>IF('[2]2026 január'!X26=0,
    "",
    '[2]2026 január'!X26
)</f>
        <v/>
      </c>
      <c r="CK28" s="293" t="str">
        <f>IF('[2]2026 január'!Y26=0,
    "",
    '[2]2026 január'!Y26
)</f>
        <v/>
      </c>
      <c r="CL28" s="296" t="str">
        <f>IF('[2]2026 január'!Z26=0,
    "",
    '[2]2026 január'!Z26
)</f>
        <v/>
      </c>
      <c r="CM28" s="293" t="str">
        <f>IF('[2]2026 január'!AA26=0,
    "",
    '[2]2026 január'!AA26
)</f>
        <v/>
      </c>
      <c r="CN28" s="293" t="str">
        <f>IF('[2]2026 január'!AB26=0,
    "",
    '[2]2026 január'!AB26
)</f>
        <v/>
      </c>
      <c r="CO28" s="293" t="str">
        <f>IF('[2]2026 január'!AC26=0,
    "",
    '[2]2026 január'!AC26
)</f>
        <v/>
      </c>
      <c r="CP28" s="293" t="str">
        <f>IF('[2]2026 január'!AD26=0,
    "",
    '[2]2026 január'!AD26
)</f>
        <v/>
      </c>
      <c r="CQ28" s="245" t="str">
        <f>IF('[2]2026 január'!AE$26=0,
    "",
    '[2]2026 január'!AE$26
)</f>
        <v/>
      </c>
      <c r="CR28" s="245" t="str">
        <f>IF('[2]2026 január'!AF26=0,
    "",
    '[2]2026 január'!AF26
)</f>
        <v/>
      </c>
      <c r="CS28" s="245" t="str">
        <f>IF('[2]2026 január'!AG26=0,
    "",
    '[2]2026 január'!AG26
)</f>
        <v/>
      </c>
      <c r="CT28" s="245" t="str">
        <f>IF('[2]2026 január'!AH26=0,
    "",
    '[2]2026 január'!AH26
)</f>
        <v/>
      </c>
    </row>
    <row r="29" spans="1:98" ht="14.25" customHeight="1">
      <c r="A29" s="5">
        <v>46048</v>
      </c>
      <c r="B29" s="380">
        <v>394475</v>
      </c>
      <c r="C29" s="11">
        <v>1100</v>
      </c>
      <c r="D29" s="11">
        <v>368395</v>
      </c>
      <c r="E29" s="11"/>
      <c r="F29" s="11"/>
      <c r="G29" s="11"/>
      <c r="H29" s="11">
        <v>369495</v>
      </c>
      <c r="I29" s="87">
        <v>369495</v>
      </c>
      <c r="J29" s="11">
        <v>2220</v>
      </c>
      <c r="K29" s="38" t="s">
        <v>188</v>
      </c>
      <c r="L29" s="87">
        <v>131961653</v>
      </c>
      <c r="M29" s="286"/>
      <c r="N29" s="169"/>
      <c r="O29" s="239"/>
      <c r="Q29" s="5">
        <v>46048</v>
      </c>
      <c r="R29" s="380">
        <v>577145</v>
      </c>
      <c r="S29" s="11">
        <v>3450</v>
      </c>
      <c r="T29" s="11">
        <v>529868</v>
      </c>
      <c r="U29" s="11"/>
      <c r="V29" s="11"/>
      <c r="W29" s="11"/>
      <c r="X29" s="11">
        <v>533318</v>
      </c>
      <c r="Y29" s="11">
        <v>533318</v>
      </c>
      <c r="Z29" s="11">
        <v>1273</v>
      </c>
      <c r="AA29" s="44" t="s">
        <v>189</v>
      </c>
      <c r="AB29" s="87">
        <v>162109643</v>
      </c>
      <c r="AC29" s="173"/>
      <c r="AD29" s="169"/>
      <c r="AE29" s="9"/>
      <c r="AG29" s="331">
        <v>46048</v>
      </c>
      <c r="AH29" s="380">
        <v>326360</v>
      </c>
      <c r="AI29" s="332">
        <v>1500</v>
      </c>
      <c r="AJ29" s="332">
        <v>315929</v>
      </c>
      <c r="AK29" s="332"/>
      <c r="AL29" s="332"/>
      <c r="AM29" s="348"/>
      <c r="AN29" s="348">
        <v>317429</v>
      </c>
      <c r="AO29" s="348">
        <v>317429</v>
      </c>
      <c r="AP29" s="348">
        <v>260</v>
      </c>
      <c r="AQ29" s="349" t="s">
        <v>190</v>
      </c>
      <c r="AR29" s="350">
        <v>302240740</v>
      </c>
      <c r="AS29" s="351"/>
      <c r="AT29" s="344"/>
      <c r="AU29" s="335"/>
      <c r="AV29" s="335"/>
      <c r="AW29" s="335"/>
      <c r="AX29" s="335"/>
      <c r="AY29" s="335"/>
      <c r="AZ29" s="335"/>
      <c r="BA29" s="335"/>
      <c r="BB29" s="335"/>
      <c r="BC29" s="335"/>
      <c r="BD29" s="335"/>
      <c r="BE29" s="335"/>
      <c r="BF29" s="335"/>
      <c r="BG29" s="335"/>
      <c r="BH29" s="317"/>
      <c r="BI29" s="331">
        <v>46048</v>
      </c>
      <c r="BJ29" s="380">
        <v>296955</v>
      </c>
      <c r="BK29" s="332">
        <v>1430</v>
      </c>
      <c r="BL29" s="332">
        <v>268875</v>
      </c>
      <c r="BM29" s="332"/>
      <c r="BN29" s="332"/>
      <c r="BO29" s="332"/>
      <c r="BP29" s="332">
        <v>270305</v>
      </c>
      <c r="BQ29" s="332">
        <v>270305</v>
      </c>
      <c r="BR29" s="332">
        <v>-2760</v>
      </c>
      <c r="BS29" s="341" t="s">
        <v>191</v>
      </c>
      <c r="BT29" s="342">
        <v>169567536</v>
      </c>
      <c r="BU29" s="343"/>
      <c r="BV29" s="345"/>
      <c r="BW29" s="335"/>
      <c r="BY29" s="293">
        <f>IF('[2]2026 január'!B$27=0,
    "",
    '[2]2026 január'!B$27
)</f>
        <v>1594935</v>
      </c>
      <c r="BZ29" s="293" t="str">
        <f>IF(OR('[2]2026 január'!G27=0,
       ISBLANK('[2]2026 január'!G27)),
    "",
    '[2]2026 január'!G27
)</f>
        <v/>
      </c>
      <c r="CA29" s="11">
        <f>'[2]2026 január'!W27</f>
        <v>0</v>
      </c>
      <c r="CB29" s="11"/>
      <c r="CC29" s="11"/>
      <c r="CD29" s="10"/>
      <c r="CE29" s="293">
        <f>IF('[2]2026 január'!S27=0,
    "",
    '[2]2026 január'!S27
)</f>
        <v>333013</v>
      </c>
      <c r="CF29" s="293">
        <f>IF('[2]2026 január'!T27=0,
    "",
    '[2]2026 január'!T27
)</f>
        <v>117387</v>
      </c>
      <c r="CG29" s="293" t="str">
        <f>IF('[2]2026 január'!U27=0,
    "",
    '[2]2026 január'!U27
)</f>
        <v/>
      </c>
      <c r="CH29" s="293">
        <f>IF('[2]2026 január'!V27=0,
    "",
    '[2]2026 január'!V27
)</f>
        <v>14500</v>
      </c>
      <c r="CI29" s="293" t="str">
        <f>IF('[2]2026 január'!W27=0,
    "",
    '[2]2026 január'!W27
)</f>
        <v/>
      </c>
      <c r="CJ29" s="293" t="str">
        <f>IF('[2]2026 január'!X27=0,
    "",
    '[2]2026 január'!X27
)</f>
        <v/>
      </c>
      <c r="CK29" s="293">
        <f>IF('[2]2026 január'!Y27=0,
    "",
    '[2]2026 január'!Y27
)</f>
        <v>435900</v>
      </c>
      <c r="CL29" s="296" t="str">
        <f>IF('[2]2026 január'!Z27=0,
    "",
    '[2]2026 január'!Z27
)</f>
        <v/>
      </c>
      <c r="CM29" s="293" t="str">
        <f>IF('[2]2026 január'!AA27=0,
    "",
    '[2]2026 január'!AA27
)</f>
        <v/>
      </c>
      <c r="CN29" s="293" t="str">
        <f>IF('[2]2026 január'!AB27=0,
    "",
    '[2]2026 január'!AB27
)</f>
        <v/>
      </c>
      <c r="CO29" s="293" t="str">
        <f>IF('[2]2026 január'!AC27=0,
    "",
    '[2]2026 január'!AC27
)</f>
        <v/>
      </c>
      <c r="CP29" s="293" t="str">
        <f>IF('[2]2026 január'!AD27=0,
    "",
    '[2]2026 január'!AD27
)</f>
        <v/>
      </c>
      <c r="CQ29" s="245" t="str">
        <f>IF('[2]2026 január'!AE$27=0,
    "",
    '[2]2026 január'!AE$27
)</f>
        <v/>
      </c>
      <c r="CR29" s="245" t="str">
        <f>IF('[2]2026 január'!AF27=0,
    "",
    '[2]2026 január'!AF27
)</f>
        <v/>
      </c>
      <c r="CS29" s="245" t="str">
        <f>IF('[2]2026 január'!AG27=0,
    "",
    '[2]2026 január'!AG27
)</f>
        <v/>
      </c>
      <c r="CT29" s="245" t="str">
        <f>IF('[2]2026 január'!AH27=0,
    "",
    '[2]2026 január'!AH27
)</f>
        <v/>
      </c>
    </row>
    <row r="30" spans="1:98" ht="14.25" customHeight="1">
      <c r="A30" s="5">
        <v>46049</v>
      </c>
      <c r="B30" s="380">
        <v>532645</v>
      </c>
      <c r="C30" s="11">
        <v>1500</v>
      </c>
      <c r="D30" s="11">
        <v>498978</v>
      </c>
      <c r="E30" s="11"/>
      <c r="F30" s="11"/>
      <c r="G30" s="11"/>
      <c r="H30" s="11">
        <v>500478</v>
      </c>
      <c r="I30" s="87">
        <v>500478</v>
      </c>
      <c r="J30" s="11">
        <v>1883</v>
      </c>
      <c r="K30" s="38" t="s">
        <v>192</v>
      </c>
      <c r="L30" s="87">
        <v>132462131</v>
      </c>
      <c r="M30" s="286"/>
      <c r="N30" s="169"/>
      <c r="O30" s="239"/>
      <c r="Q30" s="5">
        <v>46049</v>
      </c>
      <c r="R30" s="380">
        <v>636105</v>
      </c>
      <c r="S30" s="11">
        <v>3000</v>
      </c>
      <c r="T30" s="11">
        <v>603125</v>
      </c>
      <c r="U30" s="11"/>
      <c r="V30" s="11"/>
      <c r="W30" s="11"/>
      <c r="X30" s="11">
        <v>606125</v>
      </c>
      <c r="Y30" s="11">
        <v>606125</v>
      </c>
      <c r="Z30" s="11">
        <v>-1140</v>
      </c>
      <c r="AA30" s="44" t="s">
        <v>193</v>
      </c>
      <c r="AB30" s="87">
        <v>162715768</v>
      </c>
      <c r="AC30" s="173"/>
      <c r="AD30" s="169"/>
      <c r="AE30" s="9"/>
      <c r="AG30" s="331">
        <v>46049</v>
      </c>
      <c r="AH30" s="380">
        <v>408575</v>
      </c>
      <c r="AI30" s="332">
        <v>1850</v>
      </c>
      <c r="AJ30" s="332">
        <v>386675</v>
      </c>
      <c r="AK30" s="332"/>
      <c r="AL30" s="342"/>
      <c r="AM30" s="332"/>
      <c r="AN30" s="332">
        <v>388525</v>
      </c>
      <c r="AO30" s="332">
        <v>388525</v>
      </c>
      <c r="AP30" s="332">
        <v>1290</v>
      </c>
      <c r="AQ30" s="352" t="s">
        <v>194</v>
      </c>
      <c r="AR30" s="332">
        <v>302629265</v>
      </c>
      <c r="AS30" s="343"/>
      <c r="AT30" s="344"/>
      <c r="AU30" s="335"/>
      <c r="AV30" s="335"/>
      <c r="AW30" s="335"/>
      <c r="AX30" s="335"/>
      <c r="AY30" s="335"/>
      <c r="AZ30" s="335"/>
      <c r="BA30" s="335"/>
      <c r="BB30" s="335"/>
      <c r="BC30" s="335"/>
      <c r="BD30" s="335"/>
      <c r="BE30" s="335"/>
      <c r="BF30" s="335"/>
      <c r="BG30" s="335"/>
      <c r="BH30" s="317"/>
      <c r="BI30" s="331">
        <v>46049</v>
      </c>
      <c r="BJ30" s="380">
        <v>223085</v>
      </c>
      <c r="BK30" s="332">
        <v>1050</v>
      </c>
      <c r="BL30" s="332">
        <v>210865</v>
      </c>
      <c r="BM30" s="332"/>
      <c r="BN30" s="332"/>
      <c r="BO30" s="332"/>
      <c r="BP30" s="332">
        <v>211915</v>
      </c>
      <c r="BQ30" s="332">
        <v>211915</v>
      </c>
      <c r="BR30" s="332">
        <v>1830</v>
      </c>
      <c r="BS30" s="341" t="s">
        <v>195</v>
      </c>
      <c r="BT30" s="342">
        <v>169779451</v>
      </c>
      <c r="BU30" s="343"/>
      <c r="BV30" s="345"/>
      <c r="BW30" s="335"/>
      <c r="BY30" s="293">
        <v>1800410</v>
      </c>
      <c r="BZ30" s="293" t="str">
        <f>IF(OR('[2]2026 január'!G28=0,
       ISBLANK('[2]2026 január'!G28)),
    "",
    '[2]2026 január'!G28
)</f>
        <v/>
      </c>
      <c r="CA30" s="11">
        <f>'[2]2026 január'!W28</f>
        <v>0</v>
      </c>
      <c r="CB30" s="11"/>
      <c r="CC30" s="11"/>
      <c r="CD30" s="10"/>
      <c r="CE30" s="293">
        <f>IF('[2]2026 január'!S28=0,
    "",
    '[2]2026 január'!S28
)</f>
        <v>435900</v>
      </c>
      <c r="CF30" s="293">
        <f>IF('[2]2026 január'!T28=0,
    "",
    '[2]2026 január'!T28
)</f>
        <v>93367</v>
      </c>
      <c r="CG30" s="293" t="str">
        <f>IF('[2]2026 január'!U28=0,
    "",
    '[2]2026 január'!U28
)</f>
        <v/>
      </c>
      <c r="CH30" s="293">
        <f>IF('[2]2026 január'!V28=0,
    "",
    '[2]2026 január'!V28
)</f>
        <v>34500</v>
      </c>
      <c r="CI30" s="293" t="str">
        <f>IF('[2]2026 január'!W28=0,
    "",
    '[2]2026 január'!W28
)</f>
        <v/>
      </c>
      <c r="CJ30" s="293" t="str">
        <f>IF('[2]2026 január'!X28=0,
    "",
    '[2]2026 január'!X28
)</f>
        <v/>
      </c>
      <c r="CK30" s="293">
        <f>IF('[2]2026 január'!Y28=0,
    "",
    '[2]2026 január'!Y28
)</f>
        <v>494767</v>
      </c>
      <c r="CL30" s="296" t="str">
        <f>IF('[2]2026 január'!Z28=0,
    "",
    '[2]2026 január'!Z28
)</f>
        <v/>
      </c>
      <c r="CM30" s="293" t="str">
        <f>IF('[2]2026 január'!AA28=0,
    "",
    '[2]2026 január'!AA28
)</f>
        <v/>
      </c>
      <c r="CN30" s="293" t="str">
        <f>IF('[2]2026 január'!AB28=0,
    "",
    '[2]2026 január'!AB28
)</f>
        <v/>
      </c>
      <c r="CO30" s="293" t="str">
        <f>IF('[2]2026 január'!AC28=0,
    "",
    '[2]2026 január'!AC28
)</f>
        <v/>
      </c>
      <c r="CP30" s="293" t="str">
        <f>IF('[2]2026 január'!AD28=0,
    "",
    '[2]2026 január'!AD28
)</f>
        <v/>
      </c>
      <c r="CQ30" s="245" t="str">
        <f>IF('[2]2026 január'!AE$28=0,
    "",
    '[2]2026 január'!AE$28
)</f>
        <v/>
      </c>
      <c r="CR30" s="245" t="str">
        <f>IF('[2]2026 január'!AF28=0,
    "",
    '[2]2026 január'!AF28
)</f>
        <v/>
      </c>
      <c r="CS30" s="245" t="str">
        <f>IF('[2]2026 január'!AG28=0,
    "",
    '[2]2026 január'!AG28
)</f>
        <v/>
      </c>
      <c r="CT30" s="245" t="str">
        <f>IF('[2]2026 január'!AH28=0,
    "",
    '[2]2026 január'!AH28
)</f>
        <v/>
      </c>
    </row>
    <row r="31" spans="1:98" ht="14.25" customHeight="1">
      <c r="A31" s="5">
        <v>46050</v>
      </c>
      <c r="B31" s="380">
        <v>415645</v>
      </c>
      <c r="C31" s="11">
        <v>1550</v>
      </c>
      <c r="D31" s="11">
        <v>382745</v>
      </c>
      <c r="E31" s="11"/>
      <c r="F31" s="11"/>
      <c r="G31" s="11">
        <v>7190</v>
      </c>
      <c r="H31" s="11">
        <v>377105</v>
      </c>
      <c r="I31" s="87">
        <v>377105</v>
      </c>
      <c r="J31" s="11">
        <v>1830</v>
      </c>
      <c r="K31" s="38" t="s">
        <v>196</v>
      </c>
      <c r="L31" s="87">
        <v>132846426</v>
      </c>
      <c r="M31" s="286"/>
      <c r="N31" s="169">
        <v>7190</v>
      </c>
      <c r="O31" s="239"/>
      <c r="Q31" s="5">
        <v>46050</v>
      </c>
      <c r="R31" s="380">
        <v>641270</v>
      </c>
      <c r="S31" s="11">
        <v>3450</v>
      </c>
      <c r="T31" s="11">
        <v>579261</v>
      </c>
      <c r="U31" s="11"/>
      <c r="V31" s="11"/>
      <c r="W31" s="11"/>
      <c r="X31" s="11">
        <v>582711</v>
      </c>
      <c r="Y31" s="11">
        <v>582711</v>
      </c>
      <c r="Z31" s="11">
        <v>811</v>
      </c>
      <c r="AA31" s="44" t="s">
        <v>197</v>
      </c>
      <c r="AB31" s="87">
        <v>163298479</v>
      </c>
      <c r="AC31" s="173"/>
      <c r="AD31" s="169"/>
      <c r="AE31" s="9"/>
      <c r="AG31" s="331">
        <v>46050</v>
      </c>
      <c r="AH31" s="380">
        <v>380875</v>
      </c>
      <c r="AI31" s="332">
        <v>1650</v>
      </c>
      <c r="AJ31" s="332">
        <v>356048</v>
      </c>
      <c r="AK31" s="332"/>
      <c r="AL31" s="342"/>
      <c r="AM31" s="332"/>
      <c r="AN31" s="332">
        <v>357698</v>
      </c>
      <c r="AO31" s="332">
        <v>357698</v>
      </c>
      <c r="AP31" s="332">
        <v>523</v>
      </c>
      <c r="AQ31" s="352" t="s">
        <v>198</v>
      </c>
      <c r="AR31" s="332">
        <v>302986963</v>
      </c>
      <c r="AS31" s="343"/>
      <c r="AT31" s="344"/>
      <c r="AU31" s="335"/>
      <c r="AV31" s="335"/>
      <c r="AW31" s="335"/>
      <c r="AX31" s="335"/>
      <c r="AY31" s="335"/>
      <c r="AZ31" s="335"/>
      <c r="BA31" s="335"/>
      <c r="BB31" s="335"/>
      <c r="BC31" s="335"/>
      <c r="BD31" s="335"/>
      <c r="BE31" s="335"/>
      <c r="BF31" s="335"/>
      <c r="BG31" s="335"/>
      <c r="BH31" s="317"/>
      <c r="BI31" s="331">
        <v>46050</v>
      </c>
      <c r="BJ31" s="380">
        <v>245165</v>
      </c>
      <c r="BK31" s="332">
        <v>1150</v>
      </c>
      <c r="BL31" s="332">
        <v>233373</v>
      </c>
      <c r="BM31" s="332"/>
      <c r="BN31" s="332"/>
      <c r="BO31" s="332"/>
      <c r="BP31" s="332">
        <v>234071</v>
      </c>
      <c r="BQ31" s="332">
        <v>234523</v>
      </c>
      <c r="BR31" s="332">
        <v>-3214</v>
      </c>
      <c r="BS31" s="341" t="s">
        <v>199</v>
      </c>
      <c r="BT31" s="342">
        <v>170013974</v>
      </c>
      <c r="BU31" s="343"/>
      <c r="BV31" s="345"/>
      <c r="BW31" s="335"/>
      <c r="BY31" s="293">
        <f>IF('[2]2026 január'!B$29=0,
    "",
    '[2]2026 január'!B$29
)</f>
        <v>1682955</v>
      </c>
      <c r="BZ31" s="293" t="str">
        <f>IF(OR('[2]2026 január'!G29=0,
       ISBLANK('[2]2026 január'!G29)),
    "",
    '[2]2026 január'!G29
)</f>
        <v/>
      </c>
      <c r="CA31" s="11">
        <f>'[2]2026 január'!W29</f>
        <v>0</v>
      </c>
      <c r="CB31" s="11"/>
      <c r="CC31" s="11"/>
      <c r="CD31" s="10"/>
      <c r="CE31" s="293">
        <f>IF('[2]2026 január'!S29=0,
    "",
    '[2]2026 január'!S29
)</f>
        <v>494767</v>
      </c>
      <c r="CF31" s="293">
        <f>IF('[2]2026 január'!T29=0,
    "",
    '[2]2026 január'!T29
)</f>
        <v>131370</v>
      </c>
      <c r="CG31" s="293" t="str">
        <f>IF('[2]2026 január'!U29=0,
    "",
    '[2]2026 január'!U29
)</f>
        <v/>
      </c>
      <c r="CH31" s="293">
        <f>IF('[2]2026 január'!V29=0,
    "",
    '[2]2026 január'!V29
)</f>
        <v>9155</v>
      </c>
      <c r="CI31" s="293" t="str">
        <f>IF('[2]2026 január'!W29=0,
    "",
    '[2]2026 január'!W29
)</f>
        <v/>
      </c>
      <c r="CJ31" s="293" t="str">
        <f>IF('[2]2026 január'!X29=0,
    "",
    '[2]2026 január'!X29
)</f>
        <v/>
      </c>
      <c r="CK31" s="293">
        <f>IF('[2]2026 január'!Y29=0,
    "",
    '[2]2026 január'!Y29
)</f>
        <v>616982</v>
      </c>
      <c r="CL31" s="296" t="str">
        <f>IF('[2]2026 január'!Z29=0,
    "",
    '[2]2026 január'!Z29
)</f>
        <v/>
      </c>
      <c r="CM31" s="293" t="str">
        <f>IF('[2]2026 január'!AA29=0,
    "",
    '[2]2026 január'!AA29
)</f>
        <v/>
      </c>
      <c r="CN31" s="293" t="str">
        <f>IF('[2]2026 január'!AB29=0,
    "",
    '[2]2026 január'!AB29
)</f>
        <v/>
      </c>
      <c r="CO31" s="293" t="str">
        <f>IF('[2]2026 január'!AC29=0,
    "",
    '[2]2026 január'!AC29
)</f>
        <v/>
      </c>
      <c r="CP31" s="293" t="str">
        <f>IF('[2]2026 január'!AD29=0,
    "",
    '[2]2026 január'!AD29
)</f>
        <v/>
      </c>
      <c r="CQ31" s="245" t="str">
        <f>IF('[2]2026 január'!AE$29=0,
    "",
    '[2]2026 január'!AE$29
)</f>
        <v/>
      </c>
      <c r="CR31" s="245" t="str">
        <f>IF('[2]2026 január'!AF29=0,
    "",
    '[2]2026 január'!AF29
)</f>
        <v/>
      </c>
      <c r="CS31" s="245" t="str">
        <f>IF('[2]2026 január'!AG29=0,
    "",
    '[2]2026 január'!AG29
)</f>
        <v/>
      </c>
      <c r="CT31" s="245" t="str">
        <f>IF('[2]2026 január'!AH29=0,
    "",
    '[2]2026 január'!AH29
)</f>
        <v/>
      </c>
    </row>
    <row r="32" spans="1:98" ht="14.25" customHeight="1">
      <c r="A32" s="5">
        <v>46051</v>
      </c>
      <c r="B32" s="380">
        <v>500690</v>
      </c>
      <c r="C32" s="11">
        <v>1550</v>
      </c>
      <c r="D32" s="11">
        <v>438355</v>
      </c>
      <c r="E32" s="11"/>
      <c r="F32" s="11"/>
      <c r="G32" s="11"/>
      <c r="H32" s="11">
        <v>439905</v>
      </c>
      <c r="I32" s="87">
        <v>439905</v>
      </c>
      <c r="J32" s="11">
        <v>1340</v>
      </c>
      <c r="K32" s="38" t="s">
        <v>200</v>
      </c>
      <c r="L32" s="87">
        <v>133286331</v>
      </c>
      <c r="M32" s="286"/>
      <c r="N32" s="169"/>
      <c r="O32" s="239"/>
      <c r="Q32" s="5">
        <v>46051</v>
      </c>
      <c r="R32" s="380">
        <v>606960</v>
      </c>
      <c r="S32" s="11">
        <v>3550</v>
      </c>
      <c r="T32" s="11">
        <v>542348</v>
      </c>
      <c r="U32" s="11"/>
      <c r="V32" s="11"/>
      <c r="W32" s="11"/>
      <c r="X32" s="228">
        <v>545898</v>
      </c>
      <c r="Y32" s="228">
        <v>545898</v>
      </c>
      <c r="Z32" s="228">
        <v>1938</v>
      </c>
      <c r="AA32" s="229" t="s">
        <v>201</v>
      </c>
      <c r="AB32" s="230">
        <v>163844377</v>
      </c>
      <c r="AC32" s="231"/>
      <c r="AD32" s="169"/>
      <c r="AE32" s="9"/>
      <c r="AG32" s="331">
        <v>46051</v>
      </c>
      <c r="AH32" s="380">
        <v>392950</v>
      </c>
      <c r="AI32" s="332">
        <v>2000</v>
      </c>
      <c r="AJ32" s="332">
        <v>382318</v>
      </c>
      <c r="AK32" s="332"/>
      <c r="AL32" s="342"/>
      <c r="AM32" s="332"/>
      <c r="AN32" s="332">
        <v>384318</v>
      </c>
      <c r="AO32" s="332">
        <v>384318</v>
      </c>
      <c r="AP32" s="332">
        <v>-132</v>
      </c>
      <c r="AQ32" s="352" t="s">
        <v>202</v>
      </c>
      <c r="AR32" s="332">
        <v>303371281</v>
      </c>
      <c r="AS32" s="343"/>
      <c r="AT32" s="344"/>
      <c r="AU32" s="335"/>
      <c r="AV32" s="335"/>
      <c r="AW32" s="335"/>
      <c r="AX32" s="335"/>
      <c r="AY32" s="335"/>
      <c r="AZ32" s="335"/>
      <c r="BA32" s="335"/>
      <c r="BB32" s="335"/>
      <c r="BC32" s="335"/>
      <c r="BD32" s="335"/>
      <c r="BE32" s="335"/>
      <c r="BF32" s="335"/>
      <c r="BG32" s="335"/>
      <c r="BH32" s="317"/>
      <c r="BI32" s="331">
        <v>46051</v>
      </c>
      <c r="BJ32" s="380">
        <v>170975</v>
      </c>
      <c r="BK32" s="332">
        <v>800</v>
      </c>
      <c r="BL32" s="332">
        <v>155785</v>
      </c>
      <c r="BM32" s="332"/>
      <c r="BN32" s="332"/>
      <c r="BO32" s="332"/>
      <c r="BP32" s="332">
        <v>156585</v>
      </c>
      <c r="BQ32" s="332">
        <v>156585</v>
      </c>
      <c r="BR32" s="332">
        <v>-4785</v>
      </c>
      <c r="BS32" s="341" t="s">
        <v>87</v>
      </c>
      <c r="BT32" s="342">
        <v>170170559</v>
      </c>
      <c r="BU32" s="343"/>
      <c r="BV32" s="345"/>
      <c r="BW32" s="335"/>
      <c r="BY32" s="293">
        <v>1671575</v>
      </c>
      <c r="BZ32" s="293" t="str">
        <f>IF(OR('[2]2026 január'!G30=0,
       ISBLANK('[2]2026 január'!G30)),
    "",
    '[2]2026 január'!G30
)</f>
        <v/>
      </c>
      <c r="CA32" s="11">
        <f>'[2]2026 január'!W30</f>
        <v>0</v>
      </c>
      <c r="CB32" s="11"/>
      <c r="CC32" s="11"/>
      <c r="CD32" s="10"/>
      <c r="CE32" s="293">
        <f>IF('[2]2026 január'!S30=0,
    "",
    '[2]2026 január'!S30
)</f>
        <v>616982</v>
      </c>
      <c r="CF32" s="293">
        <f>IF('[2]2026 január'!T30=0,
    "",
    '[2]2026 január'!T30
)</f>
        <v>144869</v>
      </c>
      <c r="CG32" s="293" t="str">
        <f>IF('[2]2026 január'!U30=0,
    "",
    '[2]2026 január'!U30
)</f>
        <v/>
      </c>
      <c r="CH32" s="293">
        <f>IF('[2]2026 január'!V30=0,
    "",
    '[2]2026 január'!V30
)</f>
        <v>14500</v>
      </c>
      <c r="CI32" s="293" t="str">
        <f>IF('[2]2026 január'!W30=0,
    "",
    '[2]2026 január'!W30
)</f>
        <v/>
      </c>
      <c r="CJ32" s="293" t="str">
        <f>IF('[2]2026 január'!X30=0,
    "",
    '[2]2026 január'!X30
)</f>
        <v/>
      </c>
      <c r="CK32" s="293">
        <f>IF('[2]2026 január'!Y30=0,
    "",
    '[2]2026 január'!Y30
)</f>
        <v>747351</v>
      </c>
      <c r="CL32" s="296" t="str">
        <f>IF('[2]2026 január'!Z30=0,
    "",
    '[2]2026 január'!Z30
)</f>
        <v/>
      </c>
      <c r="CM32" s="293" t="str">
        <f>IF('[2]2026 január'!AA30=0,
    "",
    '[2]2026 január'!AA30
)</f>
        <v/>
      </c>
      <c r="CN32" s="293" t="str">
        <f>IF('[2]2026 január'!AB30=0,
    "",
    '[2]2026 január'!AB30
)</f>
        <v/>
      </c>
      <c r="CO32" s="293" t="str">
        <f>IF('[2]2026 január'!AC30=0,
    "",
    '[2]2026 január'!AC30
)</f>
        <v/>
      </c>
      <c r="CP32" s="293" t="str">
        <f>IF('[2]2026 január'!AD30=0,
    "",
    '[2]2026 január'!AD30
)</f>
        <v/>
      </c>
      <c r="CQ32" s="245" t="str">
        <f>IF('[2]2026 január'!AE$30=0,
    "",
    '[2]2026 január'!AE$30
)</f>
        <v/>
      </c>
      <c r="CR32" s="245" t="str">
        <f>IF('[2]2026 január'!AF30=0,
    "",
    '[2]2026 január'!AF30
)</f>
        <v/>
      </c>
      <c r="CS32" s="245" t="str">
        <f>IF('[2]2026 január'!AG30=0,
    "",
    '[2]2026 január'!AG30
)</f>
        <v/>
      </c>
      <c r="CT32" s="245" t="str">
        <f>IF('[2]2026 január'!AH30=0,
    "",
    '[2]2026 január'!AH30
)</f>
        <v/>
      </c>
    </row>
    <row r="33" spans="1:98" ht="14.25" customHeight="1">
      <c r="A33" s="5">
        <v>46052</v>
      </c>
      <c r="B33" s="380">
        <v>350410</v>
      </c>
      <c r="C33" s="11">
        <v>600</v>
      </c>
      <c r="D33" s="11">
        <v>323495</v>
      </c>
      <c r="E33" s="11"/>
      <c r="F33" s="11"/>
      <c r="G33" s="11"/>
      <c r="H33" s="11">
        <v>324095</v>
      </c>
      <c r="I33" s="87">
        <v>324095</v>
      </c>
      <c r="J33" s="11">
        <v>1685</v>
      </c>
      <c r="K33" s="38" t="s">
        <v>203</v>
      </c>
      <c r="L33" s="87">
        <v>133610426</v>
      </c>
      <c r="M33" s="286"/>
      <c r="N33" s="169"/>
      <c r="O33" s="239"/>
      <c r="Q33" s="5">
        <v>46052</v>
      </c>
      <c r="R33" s="380">
        <v>507220</v>
      </c>
      <c r="S33" s="11">
        <v>2150</v>
      </c>
      <c r="T33" s="11">
        <v>436423</v>
      </c>
      <c r="U33" s="11"/>
      <c r="V33" s="11"/>
      <c r="W33" s="87"/>
      <c r="X33" s="11">
        <v>438573</v>
      </c>
      <c r="Y33" s="11">
        <v>438573</v>
      </c>
      <c r="Z33" s="11">
        <v>983</v>
      </c>
      <c r="AA33" s="38" t="s">
        <v>204</v>
      </c>
      <c r="AB33" s="11">
        <v>164282950</v>
      </c>
      <c r="AC33" s="173"/>
      <c r="AD33" s="169"/>
      <c r="AE33" s="9"/>
      <c r="AG33" s="331">
        <v>46052</v>
      </c>
      <c r="AH33" s="380">
        <v>435850</v>
      </c>
      <c r="AI33" s="332">
        <v>1450</v>
      </c>
      <c r="AJ33" s="332">
        <v>396136</v>
      </c>
      <c r="AK33" s="332"/>
      <c r="AL33" s="342"/>
      <c r="AM33" s="332"/>
      <c r="AN33" s="332">
        <v>397586</v>
      </c>
      <c r="AO33" s="332">
        <v>397586</v>
      </c>
      <c r="AP33" s="332">
        <v>96</v>
      </c>
      <c r="AQ33" s="352" t="s">
        <v>205</v>
      </c>
      <c r="AR33" s="332">
        <v>303768867</v>
      </c>
      <c r="AS33" s="343"/>
      <c r="AT33" s="344"/>
      <c r="AU33" s="333"/>
      <c r="AV33" s="335"/>
      <c r="AW33" s="335"/>
      <c r="AX33" s="335"/>
      <c r="AY33" s="335"/>
      <c r="AZ33" s="335"/>
      <c r="BA33" s="335"/>
      <c r="BB33" s="335"/>
      <c r="BC33" s="335"/>
      <c r="BD33" s="335"/>
      <c r="BE33" s="335"/>
      <c r="BF33" s="335"/>
      <c r="BG33" s="335"/>
      <c r="BH33" s="317"/>
      <c r="BI33" s="331">
        <v>46052</v>
      </c>
      <c r="BJ33" s="380">
        <v>140015</v>
      </c>
      <c r="BK33" s="332">
        <v>1251</v>
      </c>
      <c r="BL33" s="332">
        <v>120602</v>
      </c>
      <c r="BM33" s="332"/>
      <c r="BN33" s="332"/>
      <c r="BO33" s="332"/>
      <c r="BP33" s="348">
        <v>121853</v>
      </c>
      <c r="BQ33" s="348">
        <v>122305</v>
      </c>
      <c r="BR33" s="348">
        <v>2835</v>
      </c>
      <c r="BS33" s="349" t="s">
        <v>88</v>
      </c>
      <c r="BT33" s="350">
        <v>170292412</v>
      </c>
      <c r="BU33" s="351"/>
      <c r="BV33" s="353"/>
      <c r="BW33" s="335"/>
      <c r="BY33" s="293">
        <f>IF('[2]2026 január'!B$31=0,
    "",
    '[2]2026 január'!B$31
)</f>
        <v>1433495</v>
      </c>
      <c r="BZ33" s="295" t="str">
        <f>IF(OR('[2]2026 január'!G31=0,
       ISBLANK('[2]2026 január'!G31)),
    "",
    '[2]2026 január'!G31
)</f>
        <v/>
      </c>
      <c r="CA33" s="228">
        <f>'[2]2026 január'!W31</f>
        <v>0</v>
      </c>
      <c r="CB33" s="228"/>
      <c r="CC33" s="228"/>
      <c r="CD33" s="92"/>
      <c r="CE33" s="295">
        <f>IF('[2]2026 január'!S31=0,
    "",
    '[2]2026 január'!S31
)</f>
        <v>747351</v>
      </c>
      <c r="CF33" s="295">
        <f>IF('[2]2026 január'!T31=0,
    "",
    '[2]2026 január'!T31
)</f>
        <v>150936</v>
      </c>
      <c r="CG33" s="295" t="str">
        <f>IF('[2]2026 január'!U31=0,
    "",
    '[2]2026 január'!U31
)</f>
        <v/>
      </c>
      <c r="CH33" s="295">
        <f>IF('[2]2026 január'!V31=0,
    "",
    '[2]2026 január'!V31
)</f>
        <v>342500</v>
      </c>
      <c r="CI33" s="295" t="str">
        <f>IF('[2]2026 január'!W31=0,
    "",
    '[2]2026 január'!W31
)</f>
        <v/>
      </c>
      <c r="CJ33" s="295" t="str">
        <f>IF('[2]2026 január'!X31=0,
    "",
    '[2]2026 január'!X31
)</f>
        <v/>
      </c>
      <c r="CK33" s="295">
        <f>IF('[2]2026 január'!Y31=0,
    "",
    '[2]2026 január'!Y31
)</f>
        <v>555787</v>
      </c>
      <c r="CL33" s="297" t="str">
        <f>IF('[2]2026 január'!Z31=0,
    "",
    '[2]2026 január'!Z31
)</f>
        <v/>
      </c>
      <c r="CM33" s="293" t="str">
        <f>IF('[2]2026 január'!AA31=0,
    "",
    '[2]2026 január'!AA31
)</f>
        <v/>
      </c>
      <c r="CN33" s="293" t="str">
        <f>IF('[2]2026 január'!AB31=0,
    "",
    '[2]2026 január'!AB31
)</f>
        <v/>
      </c>
      <c r="CO33" s="293" t="str">
        <f>IF('[2]2026 január'!AC31=0,
    "",
    '[2]2026 január'!AC31
)</f>
        <v/>
      </c>
      <c r="CP33" s="293" t="str">
        <f>IF('[2]2026 január'!AD31=0,
    "",
    '[2]2026 január'!AD31
)</f>
        <v/>
      </c>
      <c r="CQ33" s="245" t="str">
        <f>IF('[2]2026 január'!AE$31=0,
    "",
    '[2]2026 január'!AE$31
)</f>
        <v/>
      </c>
      <c r="CR33" s="245" t="str">
        <f>IF('[2]2026 január'!AF31=0,
    "",
    '[2]2026 január'!AF31
)</f>
        <v/>
      </c>
      <c r="CS33" s="245" t="str">
        <f>IF('[2]2026 január'!AG31=0,
    "",
    '[2]2026 január'!AG31
)</f>
        <v/>
      </c>
      <c r="CT33" s="245" t="str">
        <f>IF('[2]2026 január'!AH31=0,
    "",
    '[2]2026 január'!AH31
)</f>
        <v/>
      </c>
    </row>
    <row r="34" spans="1:98" ht="14.25" customHeight="1">
      <c r="A34" s="162">
        <v>46053</v>
      </c>
      <c r="B34" s="379"/>
      <c r="C34" s="163"/>
      <c r="D34" s="163"/>
      <c r="E34" s="163"/>
      <c r="F34" s="163"/>
      <c r="G34" s="163"/>
      <c r="H34" s="217"/>
      <c r="I34" s="210"/>
      <c r="J34" s="163"/>
      <c r="K34" s="222"/>
      <c r="L34" s="167"/>
      <c r="M34" s="292"/>
      <c r="N34" s="174"/>
      <c r="O34" s="242"/>
      <c r="Q34" s="162">
        <v>46053</v>
      </c>
      <c r="R34" s="379"/>
      <c r="S34" s="163"/>
      <c r="T34" s="163"/>
      <c r="U34" s="163"/>
      <c r="V34" s="163"/>
      <c r="W34" s="167"/>
      <c r="X34" s="163"/>
      <c r="Y34" s="163"/>
      <c r="Z34" s="163"/>
      <c r="AA34" s="222"/>
      <c r="AB34" s="163"/>
      <c r="AC34" s="172"/>
      <c r="AD34" s="174"/>
      <c r="AE34" s="179"/>
      <c r="AG34" s="325">
        <v>46053</v>
      </c>
      <c r="AH34" s="379"/>
      <c r="AI34" s="326"/>
      <c r="AJ34" s="326"/>
      <c r="AK34" s="326"/>
      <c r="AL34" s="338"/>
      <c r="AM34" s="326"/>
      <c r="AN34" s="326"/>
      <c r="AO34" s="326"/>
      <c r="AP34" s="326"/>
      <c r="AQ34" s="354"/>
      <c r="AR34" s="326"/>
      <c r="AS34" s="339"/>
      <c r="AT34" s="330"/>
      <c r="AU34" s="335"/>
      <c r="AV34" s="335"/>
      <c r="AW34" s="335"/>
      <c r="AX34" s="335"/>
      <c r="AY34" s="335"/>
      <c r="AZ34" s="335"/>
      <c r="BA34" s="335"/>
      <c r="BB34" s="335"/>
      <c r="BC34" s="335"/>
      <c r="BD34" s="335"/>
      <c r="BE34" s="335"/>
      <c r="BF34" s="335"/>
      <c r="BG34" s="336"/>
      <c r="BH34" s="317"/>
      <c r="BI34" s="325">
        <v>46053</v>
      </c>
      <c r="BJ34" s="379"/>
      <c r="BK34" s="326"/>
      <c r="BL34" s="326"/>
      <c r="BM34" s="326"/>
      <c r="BN34" s="326"/>
      <c r="BO34" s="338"/>
      <c r="BP34" s="326"/>
      <c r="BQ34" s="326"/>
      <c r="BR34" s="326"/>
      <c r="BS34" s="354"/>
      <c r="BT34" s="326"/>
      <c r="BU34" s="355"/>
      <c r="BV34" s="337"/>
      <c r="BW34" s="336"/>
      <c r="BY34" s="293" t="str">
        <f>IF('[2]2026 január'!B$32=0,
    "",
    '[2]2026 január'!B$32
)</f>
        <v/>
      </c>
      <c r="BZ34" s="293" t="str">
        <f>IF(OR('[2]2026 január'!G32=0,
       ISBLANK('[2]2026 január'!G32)),
    "",
    '[2]2026 január'!G32
)</f>
        <v/>
      </c>
      <c r="CA34" s="11">
        <f>'[2]2026 január'!W32</f>
        <v>0</v>
      </c>
      <c r="CB34" s="11"/>
      <c r="CC34" s="11"/>
      <c r="CD34" s="10"/>
      <c r="CE34" s="293" t="str">
        <f>IF('[2]2026 január'!S32=0,
    "",
    '[2]2026 január'!S32
)</f>
        <v/>
      </c>
      <c r="CF34" s="293" t="str">
        <f>IF('[2]2026 január'!T32=0,
    "",
    '[2]2026 január'!T32
)</f>
        <v/>
      </c>
      <c r="CG34" s="293" t="str">
        <f>IF('[2]2026 január'!U32=0,
    "",
    '[2]2026 január'!U32
)</f>
        <v/>
      </c>
      <c r="CH34" s="293" t="str">
        <f>IF('[2]2026 január'!V32=0,
    "",
    '[2]2026 január'!V32
)</f>
        <v/>
      </c>
      <c r="CI34" s="293" t="str">
        <f>IF('[2]2026 január'!W32=0,
    "",
    '[2]2026 január'!W32
)</f>
        <v/>
      </c>
      <c r="CJ34" s="293" t="str">
        <f>IF('[2]2026 január'!X32=0,
    "",
    '[2]2026 január'!X32
)</f>
        <v/>
      </c>
      <c r="CK34" s="293" t="str">
        <f>IF('[2]2026 január'!Y32=0,
    "",
    '[2]2026 január'!Y32
)</f>
        <v/>
      </c>
      <c r="CL34" s="296" t="str">
        <f>IF('[2]2026 január'!Z32=0,
    "",
    '[2]2026 január'!Z32
)</f>
        <v/>
      </c>
      <c r="CM34" s="293" t="str">
        <f>IF('[2]2026 január'!AA32=0,
    "",
    '[2]2026 január'!AA32
)</f>
        <v/>
      </c>
      <c r="CN34" s="293" t="str">
        <f>IF('[2]2026 január'!AB32=0,
    "",
    '[2]2026 január'!AB32
)</f>
        <v/>
      </c>
      <c r="CO34" s="293" t="str">
        <f>IF('[2]2026 január'!AC32=0,
    "",
    '[2]2026 január'!AC32
)</f>
        <v/>
      </c>
      <c r="CP34" s="293" t="str">
        <f>IF('[2]2026 január'!AD32=0,
    "",
    '[2]2026 január'!AD32
)</f>
        <v/>
      </c>
      <c r="CQ34" s="245" t="str">
        <f>IF('[2]2026 január'!AE$32=0,
    "",
    '[2]2026 január'!AE$32
)</f>
        <v/>
      </c>
      <c r="CR34" s="245" t="str">
        <f>IF('[2]2026 január'!AF32=0,
    "",
    '[2]2026 január'!AF32
)</f>
        <v/>
      </c>
      <c r="CS34" s="245" t="str">
        <f>IF('[2]2026 január'!AG32=0,
    "",
    '[2]2026 január'!AG32
)</f>
        <v/>
      </c>
      <c r="CT34" s="245" t="str">
        <f>IF('[2]2026 január'!AH32=0,
    "",
    '[2]2026 január'!AH32
)</f>
        <v/>
      </c>
    </row>
    <row r="35" spans="1:98" ht="14.25" customHeight="1">
      <c r="A35" s="84" t="s">
        <v>43</v>
      </c>
      <c r="B35" s="381"/>
      <c r="C35" s="22">
        <f>SUM(C2:C34)</f>
        <v>19250</v>
      </c>
      <c r="D35" s="22">
        <f>SUM(D2:D34)</f>
        <v>8487866</v>
      </c>
      <c r="E35" s="22">
        <f>SUM(E2:E34)</f>
        <v>150</v>
      </c>
      <c r="F35" s="22">
        <f>SUM(F2:F34)</f>
        <v>0</v>
      </c>
      <c r="G35" s="216">
        <f>SUM(G3:G34)</f>
        <v>7190</v>
      </c>
      <c r="H35" s="214">
        <f>SUM(H3:H34)</f>
        <v>8500126</v>
      </c>
      <c r="I35" s="215"/>
      <c r="J35" s="226"/>
      <c r="K35" s="12"/>
      <c r="L35" s="88"/>
      <c r="M35" s="278"/>
      <c r="N35" s="169"/>
      <c r="O35" s="239"/>
      <c r="Q35" s="150" t="s">
        <v>43</v>
      </c>
      <c r="R35" s="381"/>
      <c r="S35" s="22">
        <f>SUM(S1:S34)</f>
        <v>57675</v>
      </c>
      <c r="T35" s="22">
        <f ca="1">SUM(T1:T36)</f>
        <v>0.05</v>
      </c>
      <c r="U35" s="22">
        <f ca="1">SUM(U1:U36)</f>
        <v>0.18</v>
      </c>
      <c r="V35" s="22">
        <f ca="1">SUM(V1:V36)</f>
        <v>0.27</v>
      </c>
      <c r="W35" s="216">
        <f ca="1">SUM(W3:W36)</f>
        <v>0</v>
      </c>
      <c r="X35" s="214">
        <f ca="1">SUM(X3:X36)</f>
        <v>0</v>
      </c>
      <c r="Y35" s="215"/>
      <c r="Z35" s="215"/>
      <c r="AA35" s="12"/>
      <c r="AB35" s="19"/>
      <c r="AC35" s="88"/>
      <c r="AD35" s="9"/>
      <c r="AE35" s="9"/>
      <c r="AG35" s="356" t="s">
        <v>43</v>
      </c>
      <c r="AH35" s="381"/>
      <c r="AI35" s="357">
        <f>SUM(AI1:AI34)</f>
        <v>33940</v>
      </c>
      <c r="AJ35" s="357">
        <f>SUM(AJ1:AJ34)</f>
        <v>7249299.0499999998</v>
      </c>
      <c r="AK35" s="357">
        <f>SUM(AK1:AK34)</f>
        <v>0.18</v>
      </c>
      <c r="AL35" s="358">
        <f>SUM(AL1:AL34)</f>
        <v>50.27</v>
      </c>
      <c r="AM35" s="359">
        <f>SUM(AM3:AM34)</f>
        <v>0</v>
      </c>
      <c r="AN35" s="359">
        <f>SUM(AN3:AN34)</f>
        <v>7283289</v>
      </c>
      <c r="AO35" s="360"/>
      <c r="AP35" s="332"/>
      <c r="AQ35" s="361"/>
      <c r="AR35" s="362"/>
      <c r="AS35" s="363"/>
      <c r="AT35" s="335"/>
      <c r="AU35" s="335"/>
      <c r="AV35" s="335"/>
      <c r="AW35" s="335"/>
      <c r="AX35" s="335"/>
      <c r="AY35" s="335"/>
      <c r="AZ35" s="335"/>
      <c r="BA35" s="335"/>
      <c r="BB35" s="335"/>
      <c r="BC35" s="335"/>
      <c r="BD35" s="335"/>
      <c r="BE35" s="335"/>
      <c r="BF35" s="335"/>
      <c r="BG35" s="335"/>
      <c r="BH35" s="317"/>
      <c r="BI35" s="364" t="s">
        <v>43</v>
      </c>
      <c r="BJ35" s="381"/>
      <c r="BK35" s="357">
        <f>SUM(BK1:BK34)</f>
        <v>21581</v>
      </c>
      <c r="BL35" s="357">
        <f>SUM(BL1:BL34)</f>
        <v>4229138.05</v>
      </c>
      <c r="BM35" s="357">
        <f>SUM(BM1:BM34)</f>
        <v>380.18</v>
      </c>
      <c r="BN35" s="357">
        <f>SUM(BN1:BN34)</f>
        <v>0.27</v>
      </c>
      <c r="BO35" s="365">
        <f>SUM(BO3:BO34)</f>
        <v>0</v>
      </c>
      <c r="BP35" s="359">
        <f>SUM(BP3:BP34)</f>
        <v>4250747</v>
      </c>
      <c r="BQ35" s="360">
        <f>SUM(BQ3:BQ34)</f>
        <v>4251651</v>
      </c>
      <c r="BR35" s="360"/>
      <c r="BS35" s="366"/>
      <c r="BT35" s="362"/>
      <c r="BU35" s="362"/>
      <c r="BV35" s="345"/>
      <c r="BW35" s="335"/>
      <c r="BY35" s="293">
        <f>IF('[2]2026 január'!B$33=0,
    "",
    '[2]2026 január'!B$33
)</f>
        <v>33488085</v>
      </c>
      <c r="BZ35" s="293" t="str">
        <f>IF(OR('[2]2026 január'!G33=0,
       ISBLANK('[2]2026 január'!G33)),
    "",
    '[2]2026 január'!G33
)</f>
        <v/>
      </c>
      <c r="CA35" s="259">
        <f>'[2]2026 január'!W33</f>
        <v>0</v>
      </c>
      <c r="CB35" s="10"/>
      <c r="CC35" s="10"/>
      <c r="CD35" s="10"/>
      <c r="CE35" s="294" t="str">
        <f>IF('[2]2026 január'!S33=0,
    "",
    '[2]2026 január'!S33
)</f>
        <v/>
      </c>
      <c r="CF35" s="294">
        <f>IF('[2]2026 január'!T33=0,
    "",
    '[2]2026 január'!T33
)</f>
        <v>2166428</v>
      </c>
      <c r="CG35" s="294">
        <f>IF('[2]2026 január'!U33=0,
    "",
    '[2]2026 január'!U33
)</f>
        <v>100000</v>
      </c>
      <c r="CH35" s="294" t="str">
        <f>IF('[2]2026 január'!V33=0,
    "",
    '[2]2026 január'!V33
)</f>
        <v/>
      </c>
      <c r="CI35" s="294" t="str">
        <f>IF('[2]2026 január'!W33=0,
    "",
    '[2]2026 január'!W33
)</f>
        <v/>
      </c>
      <c r="CJ35" s="294" t="str">
        <f>IF('[2]2026 január'!X33=0,
    "",
    '[2]2026 január'!X33
)</f>
        <v/>
      </c>
      <c r="CK35" s="294" t="str">
        <f>IF('[2]2026 január'!Y33=0,
    "",
    '[2]2026 január'!Y33
)</f>
        <v/>
      </c>
      <c r="CL35" s="298" t="str">
        <f>IF('[2]2026 január'!Z33=0,
    "",
    '[2]2026 január'!Z33
)</f>
        <v/>
      </c>
      <c r="CM35" s="294" t="str">
        <f>IF('[2]2026 január'!AA33=0,
    "",
    '[2]2026 január'!AA33
)</f>
        <v/>
      </c>
      <c r="CN35" s="294" t="str">
        <f>IF('[2]2026 január'!AB33=0,
    "",
    '[2]2026 január'!AB33
)</f>
        <v/>
      </c>
      <c r="CO35" s="294" t="str">
        <f>IF('[2]2026 január'!AC33=0,
    "",
    '[2]2026 január'!AC33
)</f>
        <v/>
      </c>
      <c r="CP35" s="294" t="str">
        <f>IF('[2]2026 január'!AD33=0,
    "",
    '[2]2026 január'!AD33
)</f>
        <v/>
      </c>
      <c r="CQ35" s="260" t="str">
        <f>IF('[2]2026 január'!AE$33=0,
    "",
    '[2]2026 január'!AE$33
)</f>
        <v/>
      </c>
      <c r="CR35" s="260" t="str">
        <f>IF('[2]2026 január'!AF33=0,
    "",
    '[2]2026 január'!AF33
)</f>
        <v/>
      </c>
      <c r="CS35" s="260" t="str">
        <f>IF('[2]2026 január'!AG33=0,
    "",
    '[2]2026 január'!AG33
)</f>
        <v/>
      </c>
      <c r="CT35" s="260" t="str">
        <f>IF('[2]2026 január'!AH33=0,
    "",
    '[2]2026 január'!AH33
)</f>
        <v/>
      </c>
    </row>
    <row r="36" spans="1:98" ht="14.25" customHeight="1">
      <c r="A36" s="85"/>
      <c r="B36" s="382"/>
      <c r="C36" s="26">
        <f>C35+D35+E35+F35</f>
        <v>8507266</v>
      </c>
      <c r="D36" s="9"/>
      <c r="E36" s="9"/>
      <c r="F36" s="9"/>
      <c r="G36" s="225">
        <f>G35+H35</f>
        <v>8507316</v>
      </c>
      <c r="H36" s="9"/>
      <c r="I36" s="9"/>
      <c r="J36" s="208"/>
      <c r="K36" s="9"/>
      <c r="L36" s="284"/>
      <c r="M36" s="286"/>
      <c r="N36" s="169"/>
      <c r="O36" s="239"/>
      <c r="Q36" s="72"/>
      <c r="R36" s="382"/>
      <c r="S36" s="26">
        <f ca="1">S35+T35+U35+V35</f>
        <v>0.5</v>
      </c>
      <c r="T36" s="10"/>
      <c r="U36" s="10"/>
      <c r="V36" s="10"/>
      <c r="W36" s="227">
        <f ca="1">W35+X35</f>
        <v>0</v>
      </c>
      <c r="X36" s="10"/>
      <c r="Y36" s="10"/>
      <c r="Z36" s="10"/>
      <c r="AA36" s="10"/>
      <c r="AB36" s="10"/>
      <c r="AC36" s="125"/>
      <c r="AD36" s="9"/>
      <c r="AE36" s="9"/>
      <c r="AG36" s="333"/>
      <c r="AH36" s="382"/>
      <c r="AI36" s="367">
        <f>AI35+AJ35+AK35+AL35</f>
        <v>7283289.4999999991</v>
      </c>
      <c r="AJ36" s="333"/>
      <c r="AK36" s="333"/>
      <c r="AL36" s="368"/>
      <c r="AM36" s="369">
        <f>AM35+AN35</f>
        <v>7283289</v>
      </c>
      <c r="AN36" s="333"/>
      <c r="AO36" s="333"/>
      <c r="AP36" s="360"/>
      <c r="AQ36" s="333"/>
      <c r="AR36" s="333"/>
      <c r="AS36" s="363"/>
      <c r="AT36" s="335"/>
      <c r="AU36" s="335"/>
      <c r="AV36" s="335"/>
      <c r="AW36" s="335"/>
      <c r="AX36" s="335"/>
      <c r="AY36" s="335"/>
      <c r="AZ36" s="335"/>
      <c r="BA36" s="335"/>
      <c r="BB36" s="335"/>
      <c r="BC36" s="335"/>
      <c r="BD36" s="335"/>
      <c r="BE36" s="335"/>
      <c r="BF36" s="335"/>
      <c r="BG36" s="335"/>
      <c r="BH36" s="317"/>
      <c r="BI36" s="370"/>
      <c r="BJ36" s="382"/>
      <c r="BK36" s="367">
        <f>BK35+BL35+BM35+BN35</f>
        <v>4251099.4999999991</v>
      </c>
      <c r="BL36" s="335"/>
      <c r="BM36" s="335"/>
      <c r="BN36" s="335"/>
      <c r="BP36" s="371">
        <f>BQ35-BP35</f>
        <v>904</v>
      </c>
      <c r="BQ36" s="335"/>
      <c r="BR36" s="335"/>
      <c r="BS36" s="335"/>
      <c r="BT36" s="335"/>
      <c r="BU36" s="335"/>
      <c r="BV36" s="345"/>
      <c r="BW36" s="335"/>
      <c r="BY36" s="293" t="str">
        <f>IF('[2]2026 január'!B$35=0,
    "",
    '[2]2026 január'!B$35
)</f>
        <v/>
      </c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241"/>
      <c r="CM36" s="9"/>
      <c r="CN36" s="9"/>
      <c r="CO36" s="9"/>
      <c r="CP36" s="9"/>
    </row>
    <row r="37" spans="1:98" ht="14.25" customHeight="1">
      <c r="AG37" s="372"/>
      <c r="AH37" s="383"/>
      <c r="AI37" s="372"/>
      <c r="AJ37" s="372"/>
      <c r="AK37" s="372"/>
      <c r="AL37" s="372"/>
      <c r="AM37" s="372"/>
      <c r="AN37" s="372"/>
      <c r="AO37" s="372"/>
      <c r="AP37" s="372"/>
      <c r="AQ37" s="372"/>
      <c r="AR37" s="372"/>
      <c r="AS37" s="317"/>
      <c r="AT37" s="317"/>
      <c r="AU37" s="317"/>
      <c r="AV37" s="317"/>
      <c r="AW37" s="317"/>
      <c r="AX37" s="317"/>
      <c r="AY37" s="317"/>
      <c r="AZ37" s="317"/>
      <c r="BA37" s="317"/>
      <c r="BB37" s="317"/>
      <c r="BC37" s="317"/>
      <c r="BD37" s="317"/>
      <c r="BE37" s="317"/>
      <c r="BF37" s="317"/>
      <c r="BG37" s="317"/>
      <c r="BH37" s="317"/>
      <c r="BI37" s="317"/>
      <c r="BK37" s="317"/>
      <c r="BL37" s="317"/>
      <c r="BM37" s="317"/>
      <c r="BN37" s="317"/>
      <c r="BO37" s="317"/>
      <c r="BP37" s="317"/>
      <c r="BQ37" s="317"/>
      <c r="BR37" s="373"/>
      <c r="BS37" s="317"/>
      <c r="BT37" s="317"/>
      <c r="BU37" s="317"/>
      <c r="BV37" s="317"/>
      <c r="BW37" s="317"/>
    </row>
    <row r="38" spans="1:98" ht="14.25" customHeight="1">
      <c r="AG38" s="372"/>
      <c r="AH38" s="383"/>
      <c r="AI38" s="372"/>
      <c r="AJ38" s="372"/>
      <c r="AK38" s="372"/>
      <c r="AL38" s="372"/>
      <c r="AM38" s="372"/>
      <c r="AN38" s="372"/>
      <c r="AO38" s="372"/>
      <c r="AP38" s="372"/>
      <c r="AQ38" s="372"/>
      <c r="AR38" s="372"/>
      <c r="AS38" s="317"/>
      <c r="AT38" s="317"/>
      <c r="AU38" s="317"/>
      <c r="AV38" s="317"/>
      <c r="AW38" s="317"/>
      <c r="AX38" s="317"/>
      <c r="AY38" s="317"/>
      <c r="AZ38" s="317"/>
      <c r="BA38" s="317"/>
      <c r="BB38" s="317"/>
      <c r="BC38" s="317"/>
      <c r="BD38" s="317"/>
      <c r="BE38" s="317"/>
      <c r="BF38" s="317"/>
      <c r="BG38" s="317"/>
      <c r="BH38" s="317"/>
      <c r="BI38" s="317"/>
      <c r="BK38" s="317"/>
      <c r="BL38" s="317"/>
      <c r="BM38" s="317"/>
      <c r="BN38" s="317"/>
      <c r="BO38" s="317"/>
      <c r="BP38" s="317"/>
      <c r="BQ38" s="317"/>
      <c r="BR38" s="372"/>
      <c r="BS38" s="317"/>
      <c r="BT38" s="317"/>
      <c r="BU38" s="317"/>
      <c r="BV38" s="317"/>
      <c r="BW38" s="317"/>
    </row>
    <row r="39" spans="1:98" ht="14.25" customHeight="1">
      <c r="AH39" s="383"/>
    </row>
    <row r="40" spans="1:98" ht="14.25" customHeight="1">
      <c r="A40" s="422" t="s">
        <v>108</v>
      </c>
      <c r="B40" s="423"/>
      <c r="C40" s="424"/>
      <c r="D40" s="424"/>
      <c r="E40" s="424"/>
      <c r="F40" s="425"/>
      <c r="G40" s="425"/>
      <c r="H40" s="425"/>
      <c r="I40" s="425"/>
      <c r="J40" s="426"/>
      <c r="K40" s="427"/>
      <c r="L40" s="279"/>
      <c r="N40"/>
      <c r="Q40" s="422" t="s">
        <v>108</v>
      </c>
      <c r="R40" s="423"/>
      <c r="S40" s="424"/>
      <c r="T40" s="424"/>
      <c r="U40" s="424"/>
      <c r="V40" s="425"/>
      <c r="W40" s="425"/>
      <c r="X40" s="425"/>
      <c r="Y40" s="425"/>
      <c r="Z40" s="426"/>
      <c r="AA40" s="427"/>
      <c r="AC40"/>
      <c r="AG40" s="263" t="s">
        <v>108</v>
      </c>
      <c r="AH40" s="384"/>
      <c r="AI40" s="264"/>
      <c r="AJ40" s="264"/>
      <c r="AK40" s="264"/>
      <c r="AL40" s="193"/>
      <c r="AM40" s="193"/>
      <c r="AN40" s="193"/>
      <c r="AO40" s="193"/>
      <c r="AP40" s="193"/>
      <c r="AQ40" s="194"/>
      <c r="AR40" s="262"/>
      <c r="AS40" s="29"/>
      <c r="AT40" s="195"/>
      <c r="AU40" s="479" t="s">
        <v>206</v>
      </c>
      <c r="AV40" s="480"/>
      <c r="AW40" s="480"/>
      <c r="AX40" s="480"/>
      <c r="AY40" s="193"/>
      <c r="AZ40" s="193"/>
      <c r="BA40" s="193"/>
      <c r="BB40" s="193"/>
      <c r="BC40" s="193"/>
      <c r="BD40" s="194"/>
      <c r="BE40" s="193"/>
      <c r="BF40" s="29"/>
      <c r="BI40" s="422" t="s">
        <v>108</v>
      </c>
      <c r="BJ40" s="423"/>
      <c r="BK40" s="424"/>
      <c r="BL40" s="424"/>
      <c r="BM40" s="424"/>
      <c r="BN40" s="425"/>
      <c r="BO40" s="425"/>
      <c r="BP40" s="425"/>
      <c r="BQ40" s="425"/>
      <c r="BR40" s="426"/>
      <c r="BS40" s="427"/>
      <c r="BT40" s="4"/>
    </row>
    <row r="41" spans="1:98" ht="14.25" customHeight="1">
      <c r="A41" s="428" t="s">
        <v>207</v>
      </c>
      <c r="B41" s="429"/>
      <c r="C41" s="429"/>
      <c r="D41" s="429"/>
      <c r="E41" s="429"/>
      <c r="F41" s="429"/>
      <c r="G41" s="429"/>
      <c r="H41" s="429"/>
      <c r="I41" s="429"/>
      <c r="J41" s="429"/>
      <c r="K41" s="430"/>
      <c r="L41" s="279"/>
      <c r="N41"/>
      <c r="Q41" s="428" t="s">
        <v>207</v>
      </c>
      <c r="R41" s="429"/>
      <c r="S41" s="429"/>
      <c r="T41" s="429"/>
      <c r="U41" s="429"/>
      <c r="V41" s="429"/>
      <c r="W41" s="429"/>
      <c r="X41" s="429"/>
      <c r="Y41" s="429"/>
      <c r="Z41" s="429"/>
      <c r="AA41" s="430"/>
      <c r="AC41"/>
      <c r="AG41" s="200"/>
      <c r="AH41" s="385"/>
      <c r="AI41" s="82"/>
      <c r="AJ41" s="82"/>
      <c r="AQ41" s="40"/>
      <c r="AR41" s="67"/>
      <c r="AT41" s="68"/>
      <c r="AU41" s="200"/>
      <c r="AV41" s="82"/>
      <c r="AW41" s="82"/>
      <c r="AX41" s="4"/>
      <c r="AY41" s="4"/>
      <c r="AZ41" s="4"/>
      <c r="BA41" s="4"/>
      <c r="BB41" s="4"/>
      <c r="BC41" s="4"/>
      <c r="BD41" s="40"/>
      <c r="BE41" s="4"/>
      <c r="BI41" s="428" t="s">
        <v>207</v>
      </c>
      <c r="BJ41" s="429"/>
      <c r="BK41" s="429"/>
      <c r="BL41" s="429"/>
      <c r="BM41" s="429"/>
      <c r="BN41" s="429"/>
      <c r="BO41" s="429"/>
      <c r="BP41" s="429"/>
      <c r="BQ41" s="429"/>
      <c r="BR41" s="429"/>
      <c r="BS41" s="430"/>
      <c r="BT41" s="4"/>
    </row>
    <row r="42" spans="1:98" ht="14.25" customHeight="1">
      <c r="A42" s="431" t="s">
        <v>208</v>
      </c>
      <c r="B42" s="432"/>
      <c r="C42" s="432"/>
      <c r="D42" s="432"/>
      <c r="E42" s="432"/>
      <c r="F42" s="432"/>
      <c r="G42" s="432"/>
      <c r="H42" s="432"/>
      <c r="I42" s="432"/>
      <c r="J42" s="432"/>
      <c r="K42" s="433"/>
      <c r="L42" s="279"/>
      <c r="N42"/>
      <c r="Q42" s="431" t="s">
        <v>208</v>
      </c>
      <c r="R42" s="432"/>
      <c r="S42" s="432"/>
      <c r="T42" s="432"/>
      <c r="U42" s="432"/>
      <c r="V42" s="432"/>
      <c r="W42" s="432"/>
      <c r="X42" s="432"/>
      <c r="Y42" s="432"/>
      <c r="Z42" s="432"/>
      <c r="AA42" s="433"/>
      <c r="AC42"/>
      <c r="AG42" s="201"/>
      <c r="AH42" s="386"/>
      <c r="AI42" s="202"/>
      <c r="AJ42" s="202"/>
      <c r="AK42" s="196"/>
      <c r="AL42" s="196"/>
      <c r="AM42" s="196"/>
      <c r="AN42" s="196"/>
      <c r="AO42" s="196"/>
      <c r="AP42" s="196"/>
      <c r="AQ42" s="197"/>
      <c r="AR42" s="261"/>
      <c r="AS42" s="198"/>
      <c r="AT42" s="199"/>
      <c r="AU42" s="201"/>
      <c r="AV42" s="202"/>
      <c r="AW42" s="202"/>
      <c r="AX42" s="196"/>
      <c r="AY42" s="196"/>
      <c r="AZ42" s="196"/>
      <c r="BA42" s="196"/>
      <c r="BB42" s="196"/>
      <c r="BC42" s="196"/>
      <c r="BD42" s="197"/>
      <c r="BE42" s="196"/>
      <c r="BF42" s="198"/>
      <c r="BI42" s="431" t="s">
        <v>208</v>
      </c>
      <c r="BJ42" s="432"/>
      <c r="BK42" s="432"/>
      <c r="BL42" s="432"/>
      <c r="BM42" s="432"/>
      <c r="BN42" s="432"/>
      <c r="BO42" s="432"/>
      <c r="BP42" s="432"/>
      <c r="BQ42" s="432"/>
      <c r="BR42" s="432"/>
      <c r="BS42" s="433"/>
      <c r="BT42" s="4"/>
    </row>
    <row r="43" spans="1:98" ht="14.25" customHeight="1">
      <c r="AH43" s="383"/>
    </row>
    <row r="44" spans="1:98" ht="14.25" customHeight="1">
      <c r="A44" s="81" t="s">
        <v>4</v>
      </c>
      <c r="B44" s="378"/>
      <c r="C44" s="30"/>
      <c r="D44" s="30"/>
      <c r="E44" s="30"/>
      <c r="F44" s="30"/>
      <c r="G44" s="30"/>
      <c r="H44" s="30"/>
      <c r="I44" s="30"/>
      <c r="J44" s="39"/>
      <c r="K44" s="376"/>
      <c r="L44" s="281"/>
      <c r="M44" s="178"/>
      <c r="N44" s="418"/>
      <c r="O44" s="417"/>
      <c r="Q44" s="81" t="s">
        <v>4</v>
      </c>
      <c r="R44" s="378"/>
      <c r="S44" s="30"/>
      <c r="T44" s="30"/>
      <c r="U44" s="30"/>
      <c r="V44" s="30"/>
      <c r="W44" s="30"/>
      <c r="X44" s="30"/>
      <c r="Y44" s="30"/>
      <c r="Z44" s="39"/>
      <c r="AA44" s="376"/>
      <c r="AB44" s="281"/>
      <c r="AC44" s="178"/>
      <c r="AD44" s="178"/>
      <c r="AE44" s="416"/>
      <c r="AG44" s="81" t="s">
        <v>4</v>
      </c>
      <c r="AH44" s="378"/>
      <c r="AI44" s="30"/>
      <c r="AJ44" s="30"/>
      <c r="AK44" s="30"/>
      <c r="AL44" s="30"/>
      <c r="AM44" s="30"/>
      <c r="AN44" s="30"/>
      <c r="AO44" s="30"/>
      <c r="AP44" s="39"/>
      <c r="AQ44" s="376"/>
      <c r="AR44" s="281"/>
      <c r="AS44" s="178"/>
      <c r="AT44" s="418"/>
      <c r="AU44" s="417"/>
      <c r="BG44" s="419"/>
      <c r="BI44" s="81" t="s">
        <v>4</v>
      </c>
      <c r="BJ44" s="378"/>
      <c r="BK44" s="30"/>
      <c r="BL44" s="30"/>
      <c r="BM44" s="30"/>
      <c r="BN44" s="30"/>
      <c r="BO44" s="30"/>
      <c r="BP44" s="30"/>
      <c r="BQ44" s="30"/>
      <c r="BR44" s="39"/>
      <c r="BS44" s="376"/>
      <c r="BT44" s="281"/>
      <c r="BU44" s="178"/>
      <c r="BV44" s="418"/>
      <c r="BW44" s="417"/>
      <c r="BY44" s="299" t="str">
        <f>'[2]2026 január'!B$1</f>
        <v>Novohost</v>
      </c>
      <c r="CI44" s="419"/>
    </row>
    <row r="45" spans="1:98" ht="14.25" customHeight="1">
      <c r="A45" s="162">
        <v>46054</v>
      </c>
      <c r="B45" s="163"/>
      <c r="C45" s="163"/>
      <c r="D45" s="163"/>
      <c r="E45" s="163"/>
      <c r="F45" s="163"/>
      <c r="G45" s="163"/>
      <c r="H45" s="163"/>
      <c r="I45" s="163"/>
      <c r="J45" s="164"/>
      <c r="K45" s="165"/>
      <c r="L45" s="282"/>
      <c r="M45" s="179"/>
      <c r="N45" s="414"/>
      <c r="O45" s="242"/>
      <c r="Q45" s="162">
        <v>46054</v>
      </c>
      <c r="R45" s="163"/>
      <c r="S45" s="163"/>
      <c r="T45" s="163"/>
      <c r="U45" s="163"/>
      <c r="V45" s="163"/>
      <c r="W45" s="163"/>
      <c r="X45" s="163"/>
      <c r="Y45" s="163"/>
      <c r="Z45" s="164"/>
      <c r="AA45" s="165"/>
      <c r="AB45" s="282"/>
      <c r="AC45" s="179"/>
      <c r="AD45" s="414"/>
      <c r="AE45" s="179"/>
      <c r="AG45" s="162">
        <v>46054</v>
      </c>
      <c r="AH45" s="163"/>
      <c r="AI45" s="163"/>
      <c r="AJ45" s="163"/>
      <c r="AK45" s="163"/>
      <c r="AL45" s="163"/>
      <c r="AM45" s="163"/>
      <c r="AN45" s="163"/>
      <c r="AO45" s="163"/>
      <c r="AP45" s="164"/>
      <c r="AQ45" s="165"/>
      <c r="AR45" s="282"/>
      <c r="AS45" s="179"/>
      <c r="AT45" s="414"/>
      <c r="AU45" s="242"/>
      <c r="BG45" s="420"/>
      <c r="BI45" s="162">
        <v>46054</v>
      </c>
      <c r="BJ45" s="163"/>
      <c r="BK45" s="163"/>
      <c r="BL45" s="163"/>
      <c r="BM45" s="163"/>
      <c r="BN45" s="163"/>
      <c r="BO45" s="163"/>
      <c r="BP45" s="163"/>
      <c r="BQ45" s="163"/>
      <c r="BR45" s="164"/>
      <c r="BS45" s="165"/>
      <c r="BT45" s="282"/>
      <c r="BU45" s="179"/>
      <c r="BV45" s="414"/>
      <c r="BW45" s="242"/>
      <c r="BY45" s="293" t="str">
        <f>IF('[2]2026 február'!B$2=0,
    "",
    '[2]2026 február'!B$2
)</f>
        <v/>
      </c>
      <c r="CI45" s="420"/>
    </row>
    <row r="46" spans="1:98" ht="14.25" customHeight="1">
      <c r="A46" s="162">
        <v>46055</v>
      </c>
      <c r="B46" s="11">
        <v>325540</v>
      </c>
      <c r="C46" s="11">
        <v>1200</v>
      </c>
      <c r="D46" s="11">
        <v>313890</v>
      </c>
      <c r="E46" s="11"/>
      <c r="F46" s="11"/>
      <c r="G46" s="11"/>
      <c r="H46" s="11">
        <v>315090</v>
      </c>
      <c r="I46" s="11">
        <v>315090</v>
      </c>
      <c r="J46" s="44" t="s">
        <v>209</v>
      </c>
      <c r="K46" s="447">
        <v>449</v>
      </c>
      <c r="L46" s="86">
        <v>133925516</v>
      </c>
      <c r="M46" s="9"/>
      <c r="N46" s="241"/>
      <c r="O46" s="239"/>
      <c r="Q46" s="162">
        <v>46055</v>
      </c>
      <c r="R46" s="11">
        <v>601530</v>
      </c>
      <c r="S46" s="11">
        <v>2800</v>
      </c>
      <c r="T46" s="11">
        <v>553488</v>
      </c>
      <c r="U46" s="11"/>
      <c r="V46" s="11"/>
      <c r="W46" s="11"/>
      <c r="X46" s="11">
        <v>556288</v>
      </c>
      <c r="Y46" s="11">
        <v>556288</v>
      </c>
      <c r="Z46" s="44"/>
      <c r="AA46" s="447">
        <v>406</v>
      </c>
      <c r="AB46" s="86">
        <v>164839238</v>
      </c>
      <c r="AC46" s="9"/>
      <c r="AD46" s="241"/>
      <c r="AE46" s="9"/>
      <c r="AG46" s="162">
        <v>46055</v>
      </c>
      <c r="AH46" s="11">
        <v>492825</v>
      </c>
      <c r="AI46" s="11">
        <v>2750</v>
      </c>
      <c r="AJ46" s="11">
        <v>444361</v>
      </c>
      <c r="AK46" s="11"/>
      <c r="AL46" s="11"/>
      <c r="AM46" s="11"/>
      <c r="AN46" s="11">
        <v>447111</v>
      </c>
      <c r="AO46" s="11">
        <v>447111</v>
      </c>
      <c r="AP46" s="44" t="s">
        <v>210</v>
      </c>
      <c r="AQ46" s="447">
        <v>1260</v>
      </c>
      <c r="AR46" s="86">
        <v>304215978</v>
      </c>
      <c r="AS46" s="9"/>
      <c r="AT46" s="241"/>
      <c r="AU46" s="239"/>
      <c r="BG46" s="9"/>
      <c r="BI46" s="162">
        <v>46055</v>
      </c>
      <c r="BJ46" s="11">
        <v>9540</v>
      </c>
      <c r="BK46" s="11">
        <v>0</v>
      </c>
      <c r="BL46" s="11">
        <v>9540</v>
      </c>
      <c r="BM46" s="11"/>
      <c r="BN46" s="11"/>
      <c r="BO46" s="11"/>
      <c r="BP46" s="11">
        <v>9540</v>
      </c>
      <c r="BQ46" s="11">
        <v>9540</v>
      </c>
      <c r="BR46" s="44" t="s">
        <v>211</v>
      </c>
      <c r="BS46" s="86">
        <v>1011</v>
      </c>
      <c r="BT46" s="446">
        <v>170301952</v>
      </c>
      <c r="BU46" s="9"/>
      <c r="BV46" s="241"/>
      <c r="BW46" s="239"/>
      <c r="BY46" s="293">
        <f>IF('[2]2026 február'!B$3=0,
    "",
    '[2]2026 február'!B$3
)</f>
        <v>1429435</v>
      </c>
      <c r="CI46" s="9"/>
    </row>
    <row r="47" spans="1:98" ht="14.25" customHeight="1">
      <c r="A47" s="162">
        <v>46056</v>
      </c>
      <c r="B47" s="11">
        <v>437815</v>
      </c>
      <c r="C47" s="11">
        <v>650</v>
      </c>
      <c r="D47" s="11">
        <v>400140</v>
      </c>
      <c r="E47" s="11"/>
      <c r="F47" s="11"/>
      <c r="G47" s="11"/>
      <c r="H47" s="11">
        <v>400790</v>
      </c>
      <c r="I47" s="11">
        <v>400790</v>
      </c>
      <c r="J47" s="44" t="s">
        <v>212</v>
      </c>
      <c r="K47" s="44">
        <v>450</v>
      </c>
      <c r="L47" s="87">
        <v>134326306</v>
      </c>
      <c r="M47" s="9"/>
      <c r="N47" s="241"/>
      <c r="O47" s="239"/>
      <c r="Q47" s="162">
        <v>46056</v>
      </c>
      <c r="R47" s="11">
        <v>726820</v>
      </c>
      <c r="S47" s="11">
        <v>2700</v>
      </c>
      <c r="T47" s="11">
        <v>671425</v>
      </c>
      <c r="U47" s="11"/>
      <c r="V47" s="11"/>
      <c r="W47" s="11">
        <v>17725</v>
      </c>
      <c r="X47" s="11">
        <v>656400</v>
      </c>
      <c r="Y47" s="11">
        <v>674125</v>
      </c>
      <c r="Z47" s="44" t="s">
        <v>213</v>
      </c>
      <c r="AA47" s="44">
        <v>407</v>
      </c>
      <c r="AB47" s="87">
        <v>165513363</v>
      </c>
      <c r="AC47" s="9"/>
      <c r="AD47" s="241"/>
      <c r="AE47" s="9"/>
      <c r="AG47" s="162">
        <v>46056</v>
      </c>
      <c r="AH47" s="11">
        <v>452660</v>
      </c>
      <c r="AI47" s="11">
        <v>1950</v>
      </c>
      <c r="AJ47" s="11">
        <v>431586</v>
      </c>
      <c r="AK47" s="11"/>
      <c r="AL47" s="11"/>
      <c r="AM47" s="11"/>
      <c r="AN47" s="11">
        <v>433536</v>
      </c>
      <c r="AO47" s="11">
        <v>433536</v>
      </c>
      <c r="AP47" s="44" t="s">
        <v>214</v>
      </c>
      <c r="AQ47" s="44">
        <v>1261</v>
      </c>
      <c r="AR47" s="87">
        <v>304649514</v>
      </c>
      <c r="AS47" s="9"/>
      <c r="AT47" s="241"/>
      <c r="AU47" s="239"/>
      <c r="BG47" s="9"/>
      <c r="BI47" s="162">
        <v>46056</v>
      </c>
      <c r="BJ47" s="11">
        <v>41765</v>
      </c>
      <c r="BK47" s="11">
        <v>200</v>
      </c>
      <c r="BL47" s="11">
        <v>38935</v>
      </c>
      <c r="BM47" s="11"/>
      <c r="BN47" s="11"/>
      <c r="BO47" s="11"/>
      <c r="BP47" s="11">
        <v>39135</v>
      </c>
      <c r="BQ47" s="11">
        <v>39135</v>
      </c>
      <c r="BR47" s="44" t="s">
        <v>215</v>
      </c>
      <c r="BS47" s="87">
        <v>1012</v>
      </c>
      <c r="BT47" s="173">
        <v>170341087</v>
      </c>
      <c r="BU47" s="9"/>
      <c r="BV47" s="241"/>
      <c r="BW47" s="239"/>
      <c r="BY47" s="293">
        <v>1659060</v>
      </c>
      <c r="CI47" s="9"/>
    </row>
    <row r="48" spans="1:98" ht="14.25" customHeight="1">
      <c r="A48" s="162">
        <v>46057</v>
      </c>
      <c r="B48" s="11">
        <v>414670</v>
      </c>
      <c r="C48" s="11">
        <v>650</v>
      </c>
      <c r="D48" s="11">
        <v>399620</v>
      </c>
      <c r="E48" s="11"/>
      <c r="F48" s="11"/>
      <c r="G48" s="11"/>
      <c r="H48" s="11">
        <v>400270</v>
      </c>
      <c r="I48" s="11">
        <v>400270</v>
      </c>
      <c r="J48" s="44" t="s">
        <v>216</v>
      </c>
      <c r="K48" s="44">
        <v>451</v>
      </c>
      <c r="L48" s="87">
        <v>134726576</v>
      </c>
      <c r="M48" s="9"/>
      <c r="N48" s="241"/>
      <c r="O48" s="239"/>
      <c r="Q48" s="162">
        <v>46057</v>
      </c>
      <c r="R48" s="11">
        <v>622185</v>
      </c>
      <c r="S48" s="11">
        <v>2800</v>
      </c>
      <c r="T48" s="11">
        <v>596795</v>
      </c>
      <c r="U48" s="11"/>
      <c r="V48" s="11"/>
      <c r="W48" s="11"/>
      <c r="X48" s="11">
        <v>599595</v>
      </c>
      <c r="Y48" s="11">
        <v>581870</v>
      </c>
      <c r="Z48" s="44" t="s">
        <v>217</v>
      </c>
      <c r="AA48" s="44">
        <v>408</v>
      </c>
      <c r="AB48" s="87">
        <v>166112958</v>
      </c>
      <c r="AC48" s="9"/>
      <c r="AD48" s="241"/>
      <c r="AE48" s="9"/>
      <c r="AG48" s="162">
        <v>46057</v>
      </c>
      <c r="AH48" s="11">
        <v>517700</v>
      </c>
      <c r="AI48" s="11">
        <v>1850</v>
      </c>
      <c r="AJ48" s="11">
        <v>491346</v>
      </c>
      <c r="AK48" s="11"/>
      <c r="AL48" s="11"/>
      <c r="AM48" s="11"/>
      <c r="AN48" s="11">
        <v>493196</v>
      </c>
      <c r="AO48" s="11">
        <v>493196</v>
      </c>
      <c r="AP48" s="44" t="s">
        <v>218</v>
      </c>
      <c r="AQ48" s="44">
        <v>1262</v>
      </c>
      <c r="AR48" s="87">
        <v>305142710</v>
      </c>
      <c r="AS48" s="9"/>
      <c r="AT48" s="241"/>
      <c r="AU48" s="239"/>
      <c r="BG48" s="9"/>
      <c r="BI48" s="162">
        <v>46057</v>
      </c>
      <c r="BJ48" s="11">
        <v>239535</v>
      </c>
      <c r="BK48" s="11">
        <v>750</v>
      </c>
      <c r="BL48" s="11">
        <v>221195</v>
      </c>
      <c r="BM48" s="11"/>
      <c r="BN48" s="11"/>
      <c r="BO48" s="11"/>
      <c r="BP48" s="11">
        <v>221945</v>
      </c>
      <c r="BQ48" s="11">
        <v>221945</v>
      </c>
      <c r="BR48" s="44" t="s">
        <v>219</v>
      </c>
      <c r="BS48" s="87">
        <v>1013</v>
      </c>
      <c r="BT48" s="173">
        <v>170563032</v>
      </c>
      <c r="BU48" s="9"/>
      <c r="BV48" s="241"/>
      <c r="BW48" s="239"/>
      <c r="BY48" s="293">
        <f>IF('[2]2026 február'!B$5=0,
    "",
    '[2]2026 február'!B$5
)</f>
        <v>1794090</v>
      </c>
      <c r="CI48" s="9"/>
    </row>
    <row r="49" spans="1:87" ht="14.25" customHeight="1">
      <c r="A49" s="162">
        <v>46058</v>
      </c>
      <c r="B49" s="11">
        <v>400795</v>
      </c>
      <c r="C49" s="11">
        <v>700</v>
      </c>
      <c r="D49" s="11">
        <v>366788</v>
      </c>
      <c r="E49" s="11"/>
      <c r="F49" s="11"/>
      <c r="G49" s="11"/>
      <c r="H49" s="11">
        <v>367488</v>
      </c>
      <c r="I49" s="11">
        <v>367488</v>
      </c>
      <c r="J49" s="44" t="s">
        <v>220</v>
      </c>
      <c r="K49" s="44" t="s">
        <v>221</v>
      </c>
      <c r="L49" s="87">
        <v>135094064</v>
      </c>
      <c r="M49" s="9"/>
      <c r="N49" s="241"/>
      <c r="O49" s="239"/>
      <c r="Q49" s="162">
        <v>46058</v>
      </c>
      <c r="R49" s="11">
        <v>652575</v>
      </c>
      <c r="S49" s="11">
        <v>2600</v>
      </c>
      <c r="T49" s="11">
        <v>589918</v>
      </c>
      <c r="U49" s="11"/>
      <c r="V49" s="11"/>
      <c r="W49" s="11"/>
      <c r="X49" s="11">
        <v>592518</v>
      </c>
      <c r="Y49" s="11">
        <v>592518</v>
      </c>
      <c r="Z49" s="44" t="s">
        <v>222</v>
      </c>
      <c r="AA49" s="44" t="s">
        <v>223</v>
      </c>
      <c r="AB49" s="87">
        <v>166705476</v>
      </c>
      <c r="AC49" s="9"/>
      <c r="AD49" s="241"/>
      <c r="AE49" s="9"/>
      <c r="AG49" s="162">
        <v>46058</v>
      </c>
      <c r="AH49" s="11">
        <v>496720</v>
      </c>
      <c r="AI49" s="11">
        <v>2350</v>
      </c>
      <c r="AJ49" s="11">
        <v>468711</v>
      </c>
      <c r="AK49" s="11"/>
      <c r="AL49" s="11"/>
      <c r="AM49" s="11"/>
      <c r="AN49" s="11">
        <v>471061</v>
      </c>
      <c r="AO49" s="11">
        <v>471061</v>
      </c>
      <c r="AP49" s="44" t="s">
        <v>224</v>
      </c>
      <c r="AQ49" s="44">
        <v>1263</v>
      </c>
      <c r="AR49" s="87">
        <v>305613771</v>
      </c>
      <c r="AS49" s="9"/>
      <c r="AT49" s="241"/>
      <c r="AU49" s="239"/>
      <c r="BG49" s="9"/>
      <c r="BI49" s="162">
        <v>46058</v>
      </c>
      <c r="BJ49" s="11">
        <v>212105</v>
      </c>
      <c r="BK49" s="11">
        <v>850</v>
      </c>
      <c r="BL49" s="11">
        <v>196305</v>
      </c>
      <c r="BM49" s="11"/>
      <c r="BN49" s="11"/>
      <c r="BO49" s="11"/>
      <c r="BP49" s="11">
        <v>197155</v>
      </c>
      <c r="BQ49" s="11">
        <v>197155</v>
      </c>
      <c r="BR49" s="44" t="s">
        <v>225</v>
      </c>
      <c r="BS49" s="87">
        <v>1014</v>
      </c>
      <c r="BT49" s="173">
        <v>170760187</v>
      </c>
      <c r="BU49" s="9"/>
      <c r="BV49" s="241"/>
      <c r="BW49" s="239"/>
      <c r="BY49" s="293">
        <v>1762195</v>
      </c>
      <c r="CI49" s="9"/>
    </row>
    <row r="50" spans="1:87" ht="14.25" customHeight="1">
      <c r="A50" s="162">
        <v>46059</v>
      </c>
      <c r="B50" s="11">
        <v>333655</v>
      </c>
      <c r="C50" s="11">
        <v>500</v>
      </c>
      <c r="D50" s="11">
        <v>289575</v>
      </c>
      <c r="E50" s="11"/>
      <c r="F50" s="11"/>
      <c r="G50" s="11"/>
      <c r="H50" s="11">
        <v>290075</v>
      </c>
      <c r="I50" s="11">
        <v>290075</v>
      </c>
      <c r="J50" s="44" t="s">
        <v>226</v>
      </c>
      <c r="K50" s="44" t="s">
        <v>227</v>
      </c>
      <c r="L50" s="87">
        <v>135384139</v>
      </c>
      <c r="M50" s="9"/>
      <c r="N50" s="241"/>
      <c r="O50" s="239"/>
      <c r="Q50" s="162">
        <v>46059</v>
      </c>
      <c r="R50" s="11">
        <v>527045</v>
      </c>
      <c r="S50" s="11">
        <v>2900</v>
      </c>
      <c r="T50" s="11">
        <v>489104</v>
      </c>
      <c r="U50" s="11"/>
      <c r="V50" s="11"/>
      <c r="W50" s="11"/>
      <c r="X50" s="11">
        <v>492004</v>
      </c>
      <c r="Y50" s="11">
        <v>492004</v>
      </c>
      <c r="Z50" s="44" t="s">
        <v>228</v>
      </c>
      <c r="AA50" s="44" t="s">
        <v>229</v>
      </c>
      <c r="AB50" s="87">
        <v>167197480</v>
      </c>
      <c r="AC50" s="9"/>
      <c r="AD50" s="241"/>
      <c r="AE50" s="9"/>
      <c r="AG50" s="162">
        <v>46059</v>
      </c>
      <c r="AH50" s="11">
        <v>416740</v>
      </c>
      <c r="AI50" s="11">
        <v>2150</v>
      </c>
      <c r="AJ50" s="11">
        <v>388105</v>
      </c>
      <c r="AK50" s="11"/>
      <c r="AL50" s="11"/>
      <c r="AM50" s="11"/>
      <c r="AN50" s="11">
        <v>390255</v>
      </c>
      <c r="AO50" s="11">
        <v>390255</v>
      </c>
      <c r="AP50" s="44" t="s">
        <v>230</v>
      </c>
      <c r="AQ50" s="44" t="s">
        <v>231</v>
      </c>
      <c r="AR50" s="87">
        <v>306004026</v>
      </c>
      <c r="AS50" s="9"/>
      <c r="AT50" s="241"/>
      <c r="AU50" s="239"/>
      <c r="BG50" s="9"/>
      <c r="BI50" s="162">
        <v>46059</v>
      </c>
      <c r="BJ50" s="11">
        <v>198400</v>
      </c>
      <c r="BK50" s="11">
        <v>700</v>
      </c>
      <c r="BL50" s="11">
        <v>191690</v>
      </c>
      <c r="BM50" s="11"/>
      <c r="BN50" s="11"/>
      <c r="BO50" s="11"/>
      <c r="BP50" s="11">
        <v>192390</v>
      </c>
      <c r="BQ50" s="11">
        <v>192390</v>
      </c>
      <c r="BR50" s="44" t="s">
        <v>232</v>
      </c>
      <c r="BS50" s="87">
        <v>1015</v>
      </c>
      <c r="BT50" s="173">
        <v>170952577</v>
      </c>
      <c r="BU50" s="9"/>
      <c r="BV50" s="241"/>
      <c r="BW50" s="239"/>
      <c r="BY50" s="293">
        <f>IF('[2]2026 február'!B$7=0,
    "",
    '[2]2026 február'!B$7
)</f>
        <v>1475840</v>
      </c>
      <c r="CI50" s="9"/>
    </row>
    <row r="51" spans="1:87" ht="14.25" customHeight="1">
      <c r="A51" s="162">
        <v>46060</v>
      </c>
      <c r="B51" s="163"/>
      <c r="C51" s="163"/>
      <c r="D51" s="163"/>
      <c r="E51" s="163"/>
      <c r="F51" s="163"/>
      <c r="G51" s="163"/>
      <c r="H51" s="163"/>
      <c r="I51" s="163"/>
      <c r="J51" s="164"/>
      <c r="K51" s="164"/>
      <c r="L51" s="275"/>
      <c r="M51" s="179"/>
      <c r="N51" s="414"/>
      <c r="O51" s="242"/>
      <c r="Q51" s="162">
        <v>46060</v>
      </c>
      <c r="R51" s="163"/>
      <c r="S51" s="163"/>
      <c r="T51" s="163"/>
      <c r="U51" s="163"/>
      <c r="V51" s="163"/>
      <c r="W51" s="163"/>
      <c r="X51" s="163"/>
      <c r="Y51" s="163"/>
      <c r="Z51" s="164"/>
      <c r="AA51" s="164"/>
      <c r="AB51" s="275"/>
      <c r="AC51" s="179"/>
      <c r="AD51" s="414"/>
      <c r="AE51" s="179"/>
      <c r="AG51" s="162">
        <v>46060</v>
      </c>
      <c r="AH51" s="163"/>
      <c r="AI51" s="163"/>
      <c r="AJ51" s="163"/>
      <c r="AK51" s="163"/>
      <c r="AL51" s="163"/>
      <c r="AM51" s="163"/>
      <c r="AN51" s="163"/>
      <c r="AO51" s="163"/>
      <c r="AP51" s="164"/>
      <c r="AQ51" s="164"/>
      <c r="AR51" s="275"/>
      <c r="AS51" s="179"/>
      <c r="AT51" s="414"/>
      <c r="AU51" s="242"/>
      <c r="BG51" s="179"/>
      <c r="BI51" s="162">
        <v>46060</v>
      </c>
      <c r="BJ51" s="163"/>
      <c r="BK51" s="163"/>
      <c r="BL51" s="163"/>
      <c r="BM51" s="163"/>
      <c r="BN51" s="163"/>
      <c r="BO51" s="163"/>
      <c r="BP51" s="163"/>
      <c r="BQ51" s="163"/>
      <c r="BR51" s="164"/>
      <c r="BS51" s="167"/>
      <c r="BT51" s="283"/>
      <c r="BU51" s="179"/>
      <c r="BV51" s="414"/>
      <c r="BW51" s="242"/>
      <c r="BY51" s="293" t="str">
        <f>IF('[2]2026 február'!B$8=0,
    "",
    '[2]2026 február'!B$8
)</f>
        <v/>
      </c>
      <c r="CI51" s="179"/>
    </row>
    <row r="52" spans="1:87" ht="14.25" customHeight="1">
      <c r="A52" s="162">
        <v>46061</v>
      </c>
      <c r="B52" s="163"/>
      <c r="C52" s="163"/>
      <c r="D52" s="163"/>
      <c r="E52" s="163"/>
      <c r="F52" s="163"/>
      <c r="G52" s="163"/>
      <c r="H52" s="163"/>
      <c r="I52" s="163"/>
      <c r="J52" s="164"/>
      <c r="K52" s="164"/>
      <c r="L52" s="275"/>
      <c r="M52" s="179"/>
      <c r="N52" s="414"/>
      <c r="O52" s="242"/>
      <c r="Q52" s="162">
        <v>46061</v>
      </c>
      <c r="R52" s="163"/>
      <c r="S52" s="163"/>
      <c r="T52" s="163"/>
      <c r="U52" s="163"/>
      <c r="V52" s="163"/>
      <c r="W52" s="163"/>
      <c r="X52" s="163"/>
      <c r="Y52" s="163"/>
      <c r="Z52" s="164"/>
      <c r="AA52" s="164"/>
      <c r="AB52" s="275"/>
      <c r="AC52" s="179"/>
      <c r="AD52" s="414"/>
      <c r="AE52" s="179"/>
      <c r="AG52" s="162">
        <v>46061</v>
      </c>
      <c r="AH52" s="163"/>
      <c r="AI52" s="163"/>
      <c r="AJ52" s="163"/>
      <c r="AK52" s="163"/>
      <c r="AL52" s="163"/>
      <c r="AM52" s="163"/>
      <c r="AN52" s="163"/>
      <c r="AO52" s="163"/>
      <c r="AP52" s="164"/>
      <c r="AQ52" s="164"/>
      <c r="AR52" s="275"/>
      <c r="AS52" s="179"/>
      <c r="AT52" s="414"/>
      <c r="AU52" s="242"/>
      <c r="BG52" s="179"/>
      <c r="BI52" s="162">
        <v>46061</v>
      </c>
      <c r="BJ52" s="163"/>
      <c r="BK52" s="163"/>
      <c r="BL52" s="163"/>
      <c r="BM52" s="163"/>
      <c r="BN52" s="163"/>
      <c r="BO52" s="163"/>
      <c r="BP52" s="163"/>
      <c r="BQ52" s="163"/>
      <c r="BR52" s="164"/>
      <c r="BS52" s="167"/>
      <c r="BT52" s="283"/>
      <c r="BU52" s="179"/>
      <c r="BV52" s="414"/>
      <c r="BW52" s="242"/>
      <c r="BY52" s="293" t="str">
        <f>IF('[2]2026 február'!B$9=0,
    "",
    '[2]2026 február'!B$9
)</f>
        <v/>
      </c>
      <c r="CI52" s="179"/>
    </row>
    <row r="53" spans="1:87" ht="14.25" customHeight="1">
      <c r="A53" s="162">
        <v>46062</v>
      </c>
      <c r="B53" s="11"/>
      <c r="C53" s="11"/>
      <c r="D53" s="11"/>
      <c r="E53" s="11"/>
      <c r="F53" s="11"/>
      <c r="G53" s="11"/>
      <c r="H53" s="11"/>
      <c r="I53" s="11"/>
      <c r="J53" s="44"/>
      <c r="K53" s="44"/>
      <c r="L53" s="276"/>
      <c r="M53" s="9"/>
      <c r="N53" s="241"/>
      <c r="O53" s="239"/>
      <c r="Q53" s="162">
        <v>46062</v>
      </c>
      <c r="R53" s="11"/>
      <c r="S53" s="11"/>
      <c r="T53" s="11"/>
      <c r="U53" s="11"/>
      <c r="V53" s="11"/>
      <c r="W53" s="11"/>
      <c r="X53" s="11"/>
      <c r="Y53" s="11"/>
      <c r="Z53" s="44"/>
      <c r="AA53" s="44"/>
      <c r="AB53" s="276"/>
      <c r="AC53" s="9"/>
      <c r="AD53" s="241"/>
      <c r="AE53" s="9"/>
      <c r="AG53" s="162">
        <v>46062</v>
      </c>
      <c r="AH53" s="11"/>
      <c r="AI53" s="11"/>
      <c r="AJ53" s="11"/>
      <c r="AK53" s="11"/>
      <c r="AL53" s="11"/>
      <c r="AM53" s="11"/>
      <c r="AN53" s="11"/>
      <c r="AO53" s="11"/>
      <c r="AP53" s="44"/>
      <c r="AQ53" s="44"/>
      <c r="AR53" s="276"/>
      <c r="AS53" s="9"/>
      <c r="AT53" s="241"/>
      <c r="AU53" s="239"/>
      <c r="BG53" s="9"/>
      <c r="BI53" s="162">
        <v>46062</v>
      </c>
      <c r="BJ53" s="11"/>
      <c r="BK53" s="11"/>
      <c r="BL53" s="11"/>
      <c r="BM53" s="11"/>
      <c r="BN53" s="11"/>
      <c r="BO53" s="11"/>
      <c r="BP53" s="11"/>
      <c r="BQ53" s="11"/>
      <c r="BR53" s="44"/>
      <c r="BS53" s="87"/>
      <c r="BT53" s="284"/>
      <c r="BU53" s="9"/>
      <c r="BV53" s="241"/>
      <c r="BW53" s="239"/>
      <c r="BY53" s="293" t="str">
        <f>IF('[2]2026 február'!B$10=0,
    "",
    '[2]2026 február'!B$10
)</f>
        <v/>
      </c>
      <c r="CI53" s="9"/>
    </row>
    <row r="54" spans="1:87" ht="14.25" customHeight="1">
      <c r="A54" s="162">
        <v>46063</v>
      </c>
      <c r="B54" s="11"/>
      <c r="C54" s="11"/>
      <c r="D54" s="11"/>
      <c r="E54" s="11"/>
      <c r="F54" s="11"/>
      <c r="G54" s="11"/>
      <c r="H54" s="11"/>
      <c r="I54" s="11"/>
      <c r="J54" s="44"/>
      <c r="K54" s="44"/>
      <c r="L54" s="276"/>
      <c r="M54" s="9"/>
      <c r="N54" s="241"/>
      <c r="O54" s="239"/>
      <c r="Q54" s="162">
        <v>46063</v>
      </c>
      <c r="R54" s="11"/>
      <c r="S54" s="11"/>
      <c r="T54" s="11"/>
      <c r="U54" s="11"/>
      <c r="V54" s="11"/>
      <c r="W54" s="11"/>
      <c r="X54" s="11"/>
      <c r="Y54" s="11"/>
      <c r="Z54" s="44"/>
      <c r="AA54" s="44"/>
      <c r="AB54" s="276"/>
      <c r="AC54" s="9"/>
      <c r="AD54" s="241"/>
      <c r="AE54" s="9"/>
      <c r="AG54" s="162">
        <v>46063</v>
      </c>
      <c r="AH54" s="11"/>
      <c r="AI54" s="11"/>
      <c r="AJ54" s="11"/>
      <c r="AK54" s="11"/>
      <c r="AL54" s="11"/>
      <c r="AM54" s="11"/>
      <c r="AN54" s="11"/>
      <c r="AO54" s="11"/>
      <c r="AP54" s="44"/>
      <c r="AQ54" s="44"/>
      <c r="AR54" s="276"/>
      <c r="AS54" s="9"/>
      <c r="AT54" s="241"/>
      <c r="AU54" s="239"/>
      <c r="BG54" s="9"/>
      <c r="BI54" s="162">
        <v>46063</v>
      </c>
      <c r="BJ54" s="11"/>
      <c r="BK54" s="11"/>
      <c r="BL54" s="11"/>
      <c r="BM54" s="11"/>
      <c r="BN54" s="11"/>
      <c r="BO54" s="11"/>
      <c r="BP54" s="11"/>
      <c r="BQ54" s="11"/>
      <c r="BR54" s="44"/>
      <c r="BS54" s="87"/>
      <c r="BT54" s="284"/>
      <c r="BU54" s="9"/>
      <c r="BV54" s="241"/>
      <c r="BW54" s="239"/>
      <c r="BY54" s="293" t="str">
        <f>IF('[2]2026 február'!B$11=0,
    "",
    '[2]2026 február'!B$11
)</f>
        <v/>
      </c>
      <c r="CI54" s="9"/>
    </row>
    <row r="55" spans="1:87" ht="14.25" customHeight="1">
      <c r="A55" s="162">
        <v>46064</v>
      </c>
      <c r="B55" s="11"/>
      <c r="C55" s="11"/>
      <c r="D55" s="11"/>
      <c r="E55" s="11"/>
      <c r="F55" s="11"/>
      <c r="G55" s="11"/>
      <c r="H55" s="11"/>
      <c r="I55" s="11"/>
      <c r="J55" s="44"/>
      <c r="K55" s="44"/>
      <c r="L55" s="276"/>
      <c r="M55" s="9"/>
      <c r="N55" s="241"/>
      <c r="O55" s="239"/>
      <c r="Q55" s="162">
        <v>46064</v>
      </c>
      <c r="R55" s="11"/>
      <c r="S55" s="11"/>
      <c r="T55" s="11"/>
      <c r="U55" s="11"/>
      <c r="V55" s="11"/>
      <c r="W55" s="11"/>
      <c r="X55" s="11"/>
      <c r="Y55" s="11"/>
      <c r="Z55" s="44"/>
      <c r="AA55" s="44"/>
      <c r="AB55" s="276"/>
      <c r="AC55" s="9"/>
      <c r="AD55" s="241"/>
      <c r="AE55" s="9"/>
      <c r="AG55" s="162">
        <v>46064</v>
      </c>
      <c r="AH55" s="11"/>
      <c r="AI55" s="11"/>
      <c r="AJ55" s="11"/>
      <c r="AK55" s="11"/>
      <c r="AL55" s="11"/>
      <c r="AM55" s="11"/>
      <c r="AN55" s="11"/>
      <c r="AO55" s="11"/>
      <c r="AP55" s="44"/>
      <c r="AQ55" s="44"/>
      <c r="AR55" s="276"/>
      <c r="AS55" s="9"/>
      <c r="AT55" s="241"/>
      <c r="AU55" s="239"/>
      <c r="BG55" s="9"/>
      <c r="BI55" s="162">
        <v>46064</v>
      </c>
      <c r="BJ55" s="11"/>
      <c r="BK55" s="11"/>
      <c r="BL55" s="11"/>
      <c r="BM55" s="11"/>
      <c r="BN55" s="11"/>
      <c r="BO55" s="11"/>
      <c r="BP55" s="11"/>
      <c r="BQ55" s="11"/>
      <c r="BR55" s="44"/>
      <c r="BS55" s="87"/>
      <c r="BT55" s="284"/>
      <c r="BU55" s="9"/>
      <c r="BV55" s="241"/>
      <c r="BW55" s="239"/>
      <c r="BY55" s="293" t="str">
        <f>IF('[2]2026 február'!B$12=0,
    "",
    '[2]2026 február'!B$12
)</f>
        <v/>
      </c>
      <c r="CI55" s="9"/>
    </row>
    <row r="56" spans="1:87" ht="14.25" customHeight="1">
      <c r="A56" s="162">
        <v>46065</v>
      </c>
      <c r="B56" s="11"/>
      <c r="C56" s="11"/>
      <c r="D56" s="11"/>
      <c r="E56" s="11"/>
      <c r="F56" s="11"/>
      <c r="G56" s="11"/>
      <c r="H56" s="11"/>
      <c r="I56" s="11"/>
      <c r="J56" s="44"/>
      <c r="K56" s="44"/>
      <c r="L56" s="276"/>
      <c r="M56" s="411"/>
      <c r="N56" s="241"/>
      <c r="O56" s="239"/>
      <c r="Q56" s="162">
        <v>46065</v>
      </c>
      <c r="R56" s="11"/>
      <c r="S56" s="11"/>
      <c r="T56" s="11"/>
      <c r="U56" s="11"/>
      <c r="V56" s="11"/>
      <c r="W56" s="11"/>
      <c r="X56" s="11"/>
      <c r="Y56" s="11"/>
      <c r="Z56" s="44"/>
      <c r="AA56" s="44"/>
      <c r="AB56" s="276"/>
      <c r="AC56" s="411"/>
      <c r="AD56" s="241"/>
      <c r="AE56" s="9"/>
      <c r="AG56" s="162">
        <v>46065</v>
      </c>
      <c r="AH56" s="11"/>
      <c r="AI56" s="11"/>
      <c r="AJ56" s="11"/>
      <c r="AK56" s="11"/>
      <c r="AL56" s="11"/>
      <c r="AM56" s="11"/>
      <c r="AN56" s="11"/>
      <c r="AO56" s="11"/>
      <c r="AP56" s="44"/>
      <c r="AQ56" s="44"/>
      <c r="AR56" s="276"/>
      <c r="AS56" s="411"/>
      <c r="AT56" s="241"/>
      <c r="AU56" s="239"/>
      <c r="BG56" s="9"/>
      <c r="BI56" s="162">
        <v>46065</v>
      </c>
      <c r="BJ56" s="11"/>
      <c r="BK56" s="11"/>
      <c r="BL56" s="11"/>
      <c r="BM56" s="11"/>
      <c r="BN56" s="11"/>
      <c r="BO56" s="11"/>
      <c r="BP56" s="11"/>
      <c r="BQ56" s="11"/>
      <c r="BR56" s="44"/>
      <c r="BS56" s="87"/>
      <c r="BT56" s="284"/>
      <c r="BU56" s="411"/>
      <c r="BV56" s="241"/>
      <c r="BW56" s="239"/>
      <c r="BY56" s="293" t="str">
        <f>IF('[2]2026 február'!B$13=0,
    "",
    '[2]2026 február'!B$13
)</f>
        <v/>
      </c>
      <c r="CI56" s="9"/>
    </row>
    <row r="57" spans="1:87" ht="14.25" customHeight="1">
      <c r="A57" s="162">
        <v>46066</v>
      </c>
      <c r="B57" s="11"/>
      <c r="C57" s="11"/>
      <c r="D57" s="11"/>
      <c r="E57" s="11"/>
      <c r="F57" s="11"/>
      <c r="G57" s="11"/>
      <c r="H57" s="11"/>
      <c r="I57" s="11"/>
      <c r="J57" s="44"/>
      <c r="K57" s="44"/>
      <c r="L57" s="276"/>
      <c r="M57" s="9"/>
      <c r="N57" s="241"/>
      <c r="O57" s="239"/>
      <c r="Q57" s="162">
        <v>46066</v>
      </c>
      <c r="R57" s="11"/>
      <c r="S57" s="11"/>
      <c r="T57" s="11"/>
      <c r="U57" s="11"/>
      <c r="V57" s="11"/>
      <c r="W57" s="11"/>
      <c r="X57" s="11"/>
      <c r="Y57" s="11"/>
      <c r="Z57" s="44"/>
      <c r="AA57" s="44"/>
      <c r="AB57" s="276"/>
      <c r="AC57" s="9"/>
      <c r="AD57" s="241"/>
      <c r="AE57" s="9"/>
      <c r="AG57" s="162">
        <v>46066</v>
      </c>
      <c r="AH57" s="11"/>
      <c r="AI57" s="11"/>
      <c r="AJ57" s="11"/>
      <c r="AK57" s="11"/>
      <c r="AL57" s="11"/>
      <c r="AM57" s="11"/>
      <c r="AN57" s="11"/>
      <c r="AO57" s="11"/>
      <c r="AP57" s="44"/>
      <c r="AQ57" s="44"/>
      <c r="AR57" s="276"/>
      <c r="AS57" s="9"/>
      <c r="AT57" s="241"/>
      <c r="AU57" s="239"/>
      <c r="BG57" s="9"/>
      <c r="BI57" s="162">
        <v>46066</v>
      </c>
      <c r="BJ57" s="11"/>
      <c r="BK57" s="11"/>
      <c r="BL57" s="11"/>
      <c r="BM57" s="11"/>
      <c r="BN57" s="11"/>
      <c r="BO57" s="11"/>
      <c r="BP57" s="11"/>
      <c r="BQ57" s="11"/>
      <c r="BR57" s="44"/>
      <c r="BS57" s="87"/>
      <c r="BT57" s="284"/>
      <c r="BU57" s="9"/>
      <c r="BV57" s="241"/>
      <c r="BW57" s="239"/>
      <c r="BY57" s="293" t="str">
        <f>IF('[2]2026 február'!B$14=0,
    "",
    '[2]2026 február'!B$14
)</f>
        <v/>
      </c>
      <c r="CI57" s="9"/>
    </row>
    <row r="58" spans="1:87" ht="14.25" customHeight="1">
      <c r="A58" s="162">
        <v>46067</v>
      </c>
      <c r="B58" s="163"/>
      <c r="C58" s="163"/>
      <c r="D58" s="163"/>
      <c r="E58" s="163"/>
      <c r="F58" s="163"/>
      <c r="G58" s="163"/>
      <c r="H58" s="163"/>
      <c r="I58" s="163"/>
      <c r="J58" s="164"/>
      <c r="K58" s="164"/>
      <c r="L58" s="275"/>
      <c r="M58" s="179"/>
      <c r="N58" s="414"/>
      <c r="O58" s="242"/>
      <c r="Q58" s="162">
        <v>46067</v>
      </c>
      <c r="R58" s="163"/>
      <c r="S58" s="163"/>
      <c r="T58" s="163"/>
      <c r="U58" s="163"/>
      <c r="V58" s="163"/>
      <c r="W58" s="163"/>
      <c r="X58" s="163"/>
      <c r="Y58" s="163"/>
      <c r="Z58" s="164"/>
      <c r="AA58" s="164"/>
      <c r="AB58" s="275"/>
      <c r="AC58" s="179"/>
      <c r="AD58" s="414"/>
      <c r="AE58" s="179"/>
      <c r="AG58" s="162">
        <v>46067</v>
      </c>
      <c r="AH58" s="163"/>
      <c r="AI58" s="163"/>
      <c r="AJ58" s="163"/>
      <c r="AK58" s="163"/>
      <c r="AL58" s="163"/>
      <c r="AM58" s="163"/>
      <c r="AN58" s="163"/>
      <c r="AO58" s="163"/>
      <c r="AP58" s="164"/>
      <c r="AQ58" s="164"/>
      <c r="AR58" s="275"/>
      <c r="AS58" s="179"/>
      <c r="AT58" s="414"/>
      <c r="AU58" s="242"/>
      <c r="BG58" s="179"/>
      <c r="BI58" s="162">
        <v>46067</v>
      </c>
      <c r="BJ58" s="163"/>
      <c r="BK58" s="163"/>
      <c r="BL58" s="163"/>
      <c r="BM58" s="163"/>
      <c r="BN58" s="163"/>
      <c r="BO58" s="163"/>
      <c r="BP58" s="163"/>
      <c r="BQ58" s="163"/>
      <c r="BR58" s="164"/>
      <c r="BS58" s="167"/>
      <c r="BT58" s="283"/>
      <c r="BU58" s="179"/>
      <c r="BV58" s="414"/>
      <c r="BW58" s="242"/>
      <c r="BY58" s="293" t="str">
        <f>IF('[2]2026 február'!B$15=0,
    "",
    '[2]2026 február'!B$15
)</f>
        <v/>
      </c>
      <c r="CI58" s="179"/>
    </row>
    <row r="59" spans="1:87" ht="14.25" customHeight="1">
      <c r="A59" s="162">
        <v>46068</v>
      </c>
      <c r="B59" s="163"/>
      <c r="C59" s="163"/>
      <c r="D59" s="163"/>
      <c r="E59" s="163"/>
      <c r="F59" s="163"/>
      <c r="G59" s="163"/>
      <c r="H59" s="163"/>
      <c r="I59" s="163"/>
      <c r="J59" s="164"/>
      <c r="K59" s="164"/>
      <c r="L59" s="275"/>
      <c r="M59" s="179"/>
      <c r="N59" s="414"/>
      <c r="O59" s="242"/>
      <c r="Q59" s="162">
        <v>46068</v>
      </c>
      <c r="R59" s="163"/>
      <c r="S59" s="163"/>
      <c r="T59" s="163"/>
      <c r="U59" s="163"/>
      <c r="V59" s="163"/>
      <c r="W59" s="163"/>
      <c r="X59" s="163"/>
      <c r="Y59" s="163"/>
      <c r="Z59" s="164"/>
      <c r="AA59" s="164"/>
      <c r="AB59" s="275"/>
      <c r="AC59" s="179"/>
      <c r="AD59" s="414"/>
      <c r="AE59" s="179"/>
      <c r="AG59" s="162">
        <v>46068</v>
      </c>
      <c r="AH59" s="163"/>
      <c r="AI59" s="163"/>
      <c r="AJ59" s="163"/>
      <c r="AK59" s="163"/>
      <c r="AL59" s="163"/>
      <c r="AM59" s="163"/>
      <c r="AN59" s="163"/>
      <c r="AO59" s="163"/>
      <c r="AP59" s="164"/>
      <c r="AQ59" s="164"/>
      <c r="AR59" s="275"/>
      <c r="AS59" s="179"/>
      <c r="AT59" s="414"/>
      <c r="AU59" s="242"/>
      <c r="BG59" s="179"/>
      <c r="BI59" s="162">
        <v>46068</v>
      </c>
      <c r="BJ59" s="163"/>
      <c r="BK59" s="163"/>
      <c r="BL59" s="163"/>
      <c r="BM59" s="163"/>
      <c r="BN59" s="163"/>
      <c r="BO59" s="163"/>
      <c r="BP59" s="163"/>
      <c r="BQ59" s="163"/>
      <c r="BR59" s="164"/>
      <c r="BS59" s="167"/>
      <c r="BT59" s="283"/>
      <c r="BU59" s="179"/>
      <c r="BV59" s="414"/>
      <c r="BW59" s="242"/>
      <c r="BY59" s="293" t="str">
        <f>IF('[2]2026 február'!B$16=0,
    "",
    '[2]2026 február'!B$16
)</f>
        <v/>
      </c>
      <c r="CI59" s="179"/>
    </row>
    <row r="60" spans="1:87" ht="14.25" customHeight="1">
      <c r="A60" s="162">
        <v>46069</v>
      </c>
      <c r="B60" s="11"/>
      <c r="C60" s="11"/>
      <c r="D60" s="11"/>
      <c r="E60" s="11"/>
      <c r="F60" s="11"/>
      <c r="G60" s="11"/>
      <c r="H60" s="11"/>
      <c r="I60" s="11"/>
      <c r="J60" s="44"/>
      <c r="K60" s="44"/>
      <c r="L60" s="276"/>
      <c r="M60" s="9"/>
      <c r="N60" s="241"/>
      <c r="O60" s="239"/>
      <c r="Q60" s="162">
        <v>46069</v>
      </c>
      <c r="R60" s="11"/>
      <c r="S60" s="11"/>
      <c r="T60" s="11"/>
      <c r="U60" s="11"/>
      <c r="V60" s="11"/>
      <c r="W60" s="11"/>
      <c r="X60" s="11"/>
      <c r="Y60" s="11"/>
      <c r="Z60" s="44"/>
      <c r="AA60" s="44"/>
      <c r="AB60" s="276"/>
      <c r="AC60" s="9"/>
      <c r="AD60" s="241"/>
      <c r="AE60" s="9"/>
      <c r="AG60" s="162">
        <v>46069</v>
      </c>
      <c r="AH60" s="11"/>
      <c r="AI60" s="11"/>
      <c r="AJ60" s="11"/>
      <c r="AK60" s="11"/>
      <c r="AL60" s="11"/>
      <c r="AM60" s="11"/>
      <c r="AN60" s="11"/>
      <c r="AO60" s="11"/>
      <c r="AP60" s="44"/>
      <c r="AQ60" s="44"/>
      <c r="AR60" s="276"/>
      <c r="AS60" s="9"/>
      <c r="AT60" s="241"/>
      <c r="AU60" s="239"/>
      <c r="BG60" s="9"/>
      <c r="BI60" s="162">
        <v>46069</v>
      </c>
      <c r="BJ60" s="11"/>
      <c r="BK60" s="11"/>
      <c r="BL60" s="11"/>
      <c r="BM60" s="11"/>
      <c r="BN60" s="11"/>
      <c r="BO60" s="11"/>
      <c r="BP60" s="11"/>
      <c r="BQ60" s="11"/>
      <c r="BR60" s="44"/>
      <c r="BS60" s="87"/>
      <c r="BT60" s="284"/>
      <c r="BU60" s="9"/>
      <c r="BV60" s="241"/>
      <c r="BW60" s="239"/>
      <c r="BY60" s="293" t="str">
        <f>IF('[2]2026 február'!B$17=0,
    "",
    '[2]2026 február'!B$17
)</f>
        <v/>
      </c>
      <c r="CI60" s="9"/>
    </row>
    <row r="61" spans="1:87" ht="14.25" customHeight="1">
      <c r="A61" s="162">
        <v>46070</v>
      </c>
      <c r="B61" s="11"/>
      <c r="C61" s="11"/>
      <c r="D61" s="11"/>
      <c r="E61" s="11"/>
      <c r="F61" s="11"/>
      <c r="G61" s="11"/>
      <c r="H61" s="11"/>
      <c r="I61" s="11"/>
      <c r="J61" s="44"/>
      <c r="K61" s="44"/>
      <c r="L61" s="276"/>
      <c r="M61" s="9"/>
      <c r="N61" s="241"/>
      <c r="O61" s="239"/>
      <c r="Q61" s="162">
        <v>46070</v>
      </c>
      <c r="R61" s="11"/>
      <c r="S61" s="11"/>
      <c r="T61" s="11"/>
      <c r="U61" s="11"/>
      <c r="V61" s="11"/>
      <c r="W61" s="11"/>
      <c r="X61" s="11"/>
      <c r="Y61" s="11"/>
      <c r="Z61" s="44"/>
      <c r="AA61" s="44"/>
      <c r="AB61" s="276"/>
      <c r="AC61" s="9"/>
      <c r="AD61" s="241"/>
      <c r="AE61" s="9"/>
      <c r="AG61" s="162">
        <v>46070</v>
      </c>
      <c r="AH61" s="11"/>
      <c r="AI61" s="11"/>
      <c r="AJ61" s="11"/>
      <c r="AK61" s="11"/>
      <c r="AL61" s="11"/>
      <c r="AM61" s="11"/>
      <c r="AN61" s="11"/>
      <c r="AO61" s="11"/>
      <c r="AP61" s="44"/>
      <c r="AQ61" s="44"/>
      <c r="AR61" s="276"/>
      <c r="AS61" s="9"/>
      <c r="AT61" s="241"/>
      <c r="AU61" s="239"/>
      <c r="BG61" s="9"/>
      <c r="BI61" s="162">
        <v>46070</v>
      </c>
      <c r="BJ61" s="11"/>
      <c r="BK61" s="11"/>
      <c r="BL61" s="11"/>
      <c r="BM61" s="11"/>
      <c r="BN61" s="11"/>
      <c r="BO61" s="11"/>
      <c r="BP61" s="11"/>
      <c r="BQ61" s="11"/>
      <c r="BR61" s="44"/>
      <c r="BS61" s="87"/>
      <c r="BT61" s="284"/>
      <c r="BU61" s="9"/>
      <c r="BV61" s="241"/>
      <c r="BW61" s="239"/>
      <c r="BY61" s="293" t="str">
        <f>IF('[2]2026 február'!B$18=0,
    "",
    '[2]2026 február'!B$18
)</f>
        <v/>
      </c>
      <c r="CI61" s="9"/>
    </row>
    <row r="62" spans="1:87" ht="14.25" customHeight="1">
      <c r="A62" s="162">
        <v>46071</v>
      </c>
      <c r="B62" s="11"/>
      <c r="C62" s="11"/>
      <c r="D62" s="11"/>
      <c r="E62" s="11"/>
      <c r="F62" s="11"/>
      <c r="G62" s="11"/>
      <c r="H62" s="11"/>
      <c r="I62" s="11"/>
      <c r="J62" s="44"/>
      <c r="K62" s="44"/>
      <c r="L62" s="276"/>
      <c r="M62" s="9"/>
      <c r="N62" s="241"/>
      <c r="O62" s="239"/>
      <c r="Q62" s="162">
        <v>46071</v>
      </c>
      <c r="R62" s="11"/>
      <c r="S62" s="11"/>
      <c r="T62" s="11"/>
      <c r="U62" s="11"/>
      <c r="V62" s="11"/>
      <c r="W62" s="11"/>
      <c r="X62" s="11"/>
      <c r="Y62" s="11"/>
      <c r="Z62" s="44"/>
      <c r="AA62" s="44"/>
      <c r="AB62" s="276"/>
      <c r="AC62" s="9"/>
      <c r="AD62" s="241"/>
      <c r="AE62" s="9"/>
      <c r="AG62" s="162">
        <v>46071</v>
      </c>
      <c r="AH62" s="11"/>
      <c r="AI62" s="11"/>
      <c r="AJ62" s="11"/>
      <c r="AK62" s="11"/>
      <c r="AL62" s="11"/>
      <c r="AM62" s="11"/>
      <c r="AN62" s="11"/>
      <c r="AO62" s="11"/>
      <c r="AP62" s="44"/>
      <c r="AQ62" s="44"/>
      <c r="AR62" s="276"/>
      <c r="AS62" s="9"/>
      <c r="AT62" s="241"/>
      <c r="AU62" s="239"/>
      <c r="BG62" s="9"/>
      <c r="BI62" s="162">
        <v>46071</v>
      </c>
      <c r="BJ62" s="11"/>
      <c r="BK62" s="11"/>
      <c r="BL62" s="11"/>
      <c r="BM62" s="11"/>
      <c r="BN62" s="11"/>
      <c r="BO62" s="11"/>
      <c r="BP62" s="11"/>
      <c r="BQ62" s="11"/>
      <c r="BR62" s="44"/>
      <c r="BS62" s="87"/>
      <c r="BT62" s="284"/>
      <c r="BU62" s="9"/>
      <c r="BV62" s="241"/>
      <c r="BW62" s="239"/>
      <c r="BY62" s="293" t="str">
        <f>IF('[2]2026 február'!B$19=0,
    "",
    '[2]2026 február'!B$19
)</f>
        <v/>
      </c>
      <c r="CI62" s="9"/>
    </row>
    <row r="63" spans="1:87" ht="14.25" customHeight="1">
      <c r="A63" s="162">
        <v>46072</v>
      </c>
      <c r="B63" s="11"/>
      <c r="C63" s="11"/>
      <c r="D63" s="11"/>
      <c r="E63" s="11"/>
      <c r="F63" s="11"/>
      <c r="G63" s="11"/>
      <c r="H63" s="11"/>
      <c r="I63" s="11"/>
      <c r="J63" s="44"/>
      <c r="K63" s="44"/>
      <c r="L63" s="276"/>
      <c r="M63" s="9"/>
      <c r="N63" s="241"/>
      <c r="O63" s="239"/>
      <c r="Q63" s="162">
        <v>46072</v>
      </c>
      <c r="R63" s="11"/>
      <c r="S63" s="11"/>
      <c r="T63" s="11"/>
      <c r="U63" s="11"/>
      <c r="V63" s="11"/>
      <c r="W63" s="11"/>
      <c r="X63" s="11"/>
      <c r="Y63" s="11"/>
      <c r="Z63" s="44"/>
      <c r="AA63" s="44"/>
      <c r="AB63" s="276"/>
      <c r="AC63" s="9"/>
      <c r="AD63" s="241"/>
      <c r="AE63" s="9"/>
      <c r="AG63" s="162">
        <v>46072</v>
      </c>
      <c r="AH63" s="11"/>
      <c r="AI63" s="11"/>
      <c r="AJ63" s="11"/>
      <c r="AK63" s="11"/>
      <c r="AL63" s="11"/>
      <c r="AM63" s="11"/>
      <c r="AN63" s="11"/>
      <c r="AO63" s="11"/>
      <c r="AP63" s="44"/>
      <c r="AQ63" s="44"/>
      <c r="AR63" s="276"/>
      <c r="AS63" s="9"/>
      <c r="AT63" s="241"/>
      <c r="AU63" s="239"/>
      <c r="BG63" s="9"/>
      <c r="BI63" s="162">
        <v>46072</v>
      </c>
      <c r="BJ63" s="11"/>
      <c r="BK63" s="11"/>
      <c r="BL63" s="11"/>
      <c r="BM63" s="11"/>
      <c r="BN63" s="11"/>
      <c r="BO63" s="11"/>
      <c r="BP63" s="11"/>
      <c r="BQ63" s="11"/>
      <c r="BR63" s="44"/>
      <c r="BS63" s="87"/>
      <c r="BT63" s="284"/>
      <c r="BU63" s="9"/>
      <c r="BV63" s="241"/>
      <c r="BW63" s="239"/>
      <c r="BY63" s="293" t="str">
        <f>IF('[2]2026 február'!B$20=0,
    "",
    '[2]2026 február'!B$20
)</f>
        <v/>
      </c>
      <c r="CI63" s="9"/>
    </row>
    <row r="64" spans="1:87" ht="14.25" customHeight="1">
      <c r="A64" s="162">
        <v>46073</v>
      </c>
      <c r="B64" s="11"/>
      <c r="C64" s="11"/>
      <c r="D64" s="11"/>
      <c r="E64" s="11"/>
      <c r="F64" s="11"/>
      <c r="G64" s="11"/>
      <c r="H64" s="11"/>
      <c r="I64" s="11"/>
      <c r="J64" s="44"/>
      <c r="K64" s="44"/>
      <c r="L64" s="276"/>
      <c r="M64" s="9"/>
      <c r="N64" s="241"/>
      <c r="O64" s="239"/>
      <c r="Q64" s="162">
        <v>46073</v>
      </c>
      <c r="R64" s="11"/>
      <c r="S64" s="11"/>
      <c r="T64" s="11"/>
      <c r="U64" s="11"/>
      <c r="V64" s="11"/>
      <c r="W64" s="11"/>
      <c r="X64" s="11"/>
      <c r="Y64" s="11"/>
      <c r="Z64" s="44"/>
      <c r="AA64" s="44"/>
      <c r="AB64" s="276"/>
      <c r="AC64" s="9"/>
      <c r="AD64" s="241"/>
      <c r="AE64" s="9"/>
      <c r="AG64" s="162">
        <v>46073</v>
      </c>
      <c r="AH64" s="11"/>
      <c r="AI64" s="11"/>
      <c r="AJ64" s="11"/>
      <c r="AK64" s="11"/>
      <c r="AL64" s="11"/>
      <c r="AM64" s="11"/>
      <c r="AN64" s="11"/>
      <c r="AO64" s="11"/>
      <c r="AP64" s="44"/>
      <c r="AQ64" s="44"/>
      <c r="AR64" s="276"/>
      <c r="AS64" s="9"/>
      <c r="AT64" s="241"/>
      <c r="AU64" s="239"/>
      <c r="BG64" s="9"/>
      <c r="BI64" s="162">
        <v>46073</v>
      </c>
      <c r="BJ64" s="11"/>
      <c r="BK64" s="11"/>
      <c r="BL64" s="11"/>
      <c r="BM64" s="11"/>
      <c r="BN64" s="11"/>
      <c r="BO64" s="11"/>
      <c r="BP64" s="11"/>
      <c r="BQ64" s="11"/>
      <c r="BR64" s="44"/>
      <c r="BS64" s="87"/>
      <c r="BT64" s="284"/>
      <c r="BU64" s="9"/>
      <c r="BV64" s="241"/>
      <c r="BW64" s="239"/>
      <c r="BY64" s="293" t="str">
        <f>IF('[2]2026 február'!B$21=0,
    "",
    '[2]2026 február'!B$21
)</f>
        <v/>
      </c>
      <c r="CI64" s="9"/>
    </row>
    <row r="65" spans="1:87" ht="14.25" customHeight="1">
      <c r="A65" s="162">
        <v>46074</v>
      </c>
      <c r="B65" s="163"/>
      <c r="C65" s="163"/>
      <c r="D65" s="163"/>
      <c r="E65" s="163"/>
      <c r="F65" s="163"/>
      <c r="G65" s="163"/>
      <c r="H65" s="163"/>
      <c r="I65" s="163"/>
      <c r="J65" s="164"/>
      <c r="K65" s="164"/>
      <c r="L65" s="275"/>
      <c r="M65" s="179"/>
      <c r="N65" s="414"/>
      <c r="O65" s="242"/>
      <c r="Q65" s="162">
        <v>46074</v>
      </c>
      <c r="R65" s="163"/>
      <c r="S65" s="163"/>
      <c r="T65" s="163"/>
      <c r="U65" s="163"/>
      <c r="V65" s="163"/>
      <c r="W65" s="163"/>
      <c r="X65" s="163"/>
      <c r="Y65" s="163"/>
      <c r="Z65" s="164"/>
      <c r="AA65" s="164"/>
      <c r="AB65" s="275"/>
      <c r="AC65" s="179"/>
      <c r="AD65" s="414"/>
      <c r="AE65" s="179"/>
      <c r="AG65" s="162">
        <v>46074</v>
      </c>
      <c r="AH65" s="163"/>
      <c r="AI65" s="163"/>
      <c r="AJ65" s="163"/>
      <c r="AK65" s="163"/>
      <c r="AL65" s="163"/>
      <c r="AM65" s="163"/>
      <c r="AN65" s="163"/>
      <c r="AO65" s="163"/>
      <c r="AP65" s="164"/>
      <c r="AQ65" s="164"/>
      <c r="AR65" s="275"/>
      <c r="AS65" s="179"/>
      <c r="AT65" s="414"/>
      <c r="AU65" s="242"/>
      <c r="BG65" s="179"/>
      <c r="BI65" s="162">
        <v>46074</v>
      </c>
      <c r="BJ65" s="163"/>
      <c r="BK65" s="163"/>
      <c r="BL65" s="163"/>
      <c r="BM65" s="163"/>
      <c r="BN65" s="163"/>
      <c r="BO65" s="163"/>
      <c r="BP65" s="163"/>
      <c r="BQ65" s="163"/>
      <c r="BR65" s="164"/>
      <c r="BS65" s="167"/>
      <c r="BT65" s="283"/>
      <c r="BU65" s="179"/>
      <c r="BV65" s="414"/>
      <c r="BW65" s="242"/>
      <c r="BY65" s="293" t="str">
        <f>IF('[2]2026 február'!B$22=0,
    "",
    '[2]2026 február'!B$22
)</f>
        <v/>
      </c>
      <c r="CI65" s="179"/>
    </row>
    <row r="66" spans="1:87" ht="14.25" customHeight="1">
      <c r="A66" s="162">
        <v>46075</v>
      </c>
      <c r="B66" s="163"/>
      <c r="C66" s="163"/>
      <c r="D66" s="163"/>
      <c r="E66" s="163"/>
      <c r="F66" s="163"/>
      <c r="G66" s="163"/>
      <c r="H66" s="163"/>
      <c r="I66" s="163"/>
      <c r="J66" s="164"/>
      <c r="K66" s="164"/>
      <c r="L66" s="275"/>
      <c r="M66" s="179"/>
      <c r="N66" s="414"/>
      <c r="O66" s="242"/>
      <c r="Q66" s="162">
        <v>46075</v>
      </c>
      <c r="R66" s="163"/>
      <c r="S66" s="163"/>
      <c r="T66" s="163"/>
      <c r="U66" s="163"/>
      <c r="V66" s="163"/>
      <c r="W66" s="163"/>
      <c r="X66" s="163"/>
      <c r="Y66" s="163"/>
      <c r="Z66" s="164"/>
      <c r="AA66" s="164"/>
      <c r="AB66" s="275"/>
      <c r="AC66" s="179"/>
      <c r="AD66" s="414"/>
      <c r="AE66" s="179"/>
      <c r="AG66" s="162">
        <v>46075</v>
      </c>
      <c r="AH66" s="163"/>
      <c r="AI66" s="163"/>
      <c r="AJ66" s="163"/>
      <c r="AK66" s="163"/>
      <c r="AL66" s="163"/>
      <c r="AM66" s="163"/>
      <c r="AN66" s="163"/>
      <c r="AO66" s="163"/>
      <c r="AP66" s="164"/>
      <c r="AQ66" s="164"/>
      <c r="AR66" s="275"/>
      <c r="AS66" s="179"/>
      <c r="AT66" s="414"/>
      <c r="AU66" s="242"/>
      <c r="BG66" s="179"/>
      <c r="BI66" s="162">
        <v>46075</v>
      </c>
      <c r="BJ66" s="163"/>
      <c r="BK66" s="163"/>
      <c r="BL66" s="163"/>
      <c r="BM66" s="163"/>
      <c r="BN66" s="163"/>
      <c r="BO66" s="163"/>
      <c r="BP66" s="163"/>
      <c r="BQ66" s="163"/>
      <c r="BR66" s="164"/>
      <c r="BS66" s="167"/>
      <c r="BT66" s="283"/>
      <c r="BU66" s="179"/>
      <c r="BV66" s="414"/>
      <c r="BW66" s="242"/>
      <c r="BY66" s="293" t="str">
        <f>IF('[2]2026 február'!B$23=0,
    "",
    '[2]2026 február'!B$23
)</f>
        <v/>
      </c>
      <c r="CI66" s="179"/>
    </row>
    <row r="67" spans="1:87" ht="14.25" customHeight="1">
      <c r="A67" s="162">
        <v>46076</v>
      </c>
      <c r="B67" s="11"/>
      <c r="C67" s="11"/>
      <c r="D67" s="11"/>
      <c r="E67" s="11"/>
      <c r="F67" s="11"/>
      <c r="G67" s="11"/>
      <c r="H67" s="11"/>
      <c r="I67" s="11"/>
      <c r="J67" s="44"/>
      <c r="K67" s="44"/>
      <c r="L67" s="276"/>
      <c r="M67" s="9"/>
      <c r="N67" s="241"/>
      <c r="O67" s="239"/>
      <c r="Q67" s="162">
        <v>46076</v>
      </c>
      <c r="R67" s="11"/>
      <c r="S67" s="11"/>
      <c r="T67" s="11"/>
      <c r="U67" s="11"/>
      <c r="V67" s="11"/>
      <c r="W67" s="11"/>
      <c r="X67" s="11"/>
      <c r="Y67" s="11"/>
      <c r="Z67" s="44"/>
      <c r="AA67" s="44"/>
      <c r="AB67" s="276"/>
      <c r="AC67" s="9"/>
      <c r="AD67" s="241"/>
      <c r="AE67" s="9"/>
      <c r="AG67" s="162">
        <v>46076</v>
      </c>
      <c r="AH67" s="11"/>
      <c r="AI67" s="11"/>
      <c r="AJ67" s="11"/>
      <c r="AK67" s="11"/>
      <c r="AL67" s="11"/>
      <c r="AM67" s="11"/>
      <c r="AN67" s="11"/>
      <c r="AO67" s="11"/>
      <c r="AP67" s="44"/>
      <c r="AQ67" s="44"/>
      <c r="AR67" s="276"/>
      <c r="AS67" s="9"/>
      <c r="AT67" s="241"/>
      <c r="AU67" s="239"/>
      <c r="BG67" s="9"/>
      <c r="BI67" s="162">
        <v>46076</v>
      </c>
      <c r="BJ67" s="11"/>
      <c r="BK67" s="11"/>
      <c r="BL67" s="11"/>
      <c r="BM67" s="11"/>
      <c r="BN67" s="11"/>
      <c r="BO67" s="11"/>
      <c r="BP67" s="11"/>
      <c r="BQ67" s="11"/>
      <c r="BR67" s="44"/>
      <c r="BS67" s="87"/>
      <c r="BT67" s="284"/>
      <c r="BU67" s="9"/>
      <c r="BV67" s="241"/>
      <c r="BW67" s="239"/>
      <c r="BY67" s="293" t="str">
        <f>IF('[2]2026 február'!B$24=0,
    "",
    '[2]2026 február'!B$24
)</f>
        <v/>
      </c>
      <c r="CI67" s="9"/>
    </row>
    <row r="68" spans="1:87" ht="14.25" customHeight="1">
      <c r="A68" s="162">
        <v>46077</v>
      </c>
      <c r="B68" s="11"/>
      <c r="C68" s="11"/>
      <c r="D68" s="11"/>
      <c r="E68" s="11"/>
      <c r="F68" s="11"/>
      <c r="G68" s="11"/>
      <c r="H68" s="11"/>
      <c r="I68" s="11"/>
      <c r="J68" s="44"/>
      <c r="K68" s="44"/>
      <c r="L68" s="276"/>
      <c r="M68" s="9"/>
      <c r="N68" s="241"/>
      <c r="O68" s="239"/>
      <c r="Q68" s="162">
        <v>46077</v>
      </c>
      <c r="R68" s="11"/>
      <c r="S68" s="11"/>
      <c r="T68" s="11"/>
      <c r="U68" s="11"/>
      <c r="V68" s="11"/>
      <c r="W68" s="11"/>
      <c r="X68" s="11"/>
      <c r="Y68" s="11"/>
      <c r="Z68" s="44"/>
      <c r="AA68" s="44"/>
      <c r="AB68" s="276"/>
      <c r="AC68" s="9"/>
      <c r="AD68" s="241"/>
      <c r="AE68" s="9"/>
      <c r="AG68" s="162">
        <v>46077</v>
      </c>
      <c r="AH68" s="11"/>
      <c r="AI68" s="11"/>
      <c r="AJ68" s="11"/>
      <c r="AK68" s="11"/>
      <c r="AL68" s="11"/>
      <c r="AM68" s="11"/>
      <c r="AN68" s="11"/>
      <c r="AO68" s="11"/>
      <c r="AP68" s="44"/>
      <c r="AQ68" s="44"/>
      <c r="AR68" s="276"/>
      <c r="AS68" s="9"/>
      <c r="AT68" s="241"/>
      <c r="AU68" s="239"/>
      <c r="BG68" s="9"/>
      <c r="BI68" s="162">
        <v>46077</v>
      </c>
      <c r="BJ68" s="11"/>
      <c r="BK68" s="11"/>
      <c r="BL68" s="11"/>
      <c r="BM68" s="11"/>
      <c r="BN68" s="11"/>
      <c r="BO68" s="11"/>
      <c r="BP68" s="11"/>
      <c r="BQ68" s="11"/>
      <c r="BR68" s="44"/>
      <c r="BS68" s="87"/>
      <c r="BT68" s="284"/>
      <c r="BU68" s="9"/>
      <c r="BV68" s="241"/>
      <c r="BW68" s="239"/>
      <c r="BY68" s="293" t="str">
        <f>IF('[2]2026 február'!B$25=0,
    "",
    '[2]2026 február'!B$25
)</f>
        <v/>
      </c>
      <c r="CI68" s="9"/>
    </row>
    <row r="69" spans="1:87" ht="14.25" customHeight="1">
      <c r="A69" s="162">
        <v>46078</v>
      </c>
      <c r="B69" s="11"/>
      <c r="C69" s="11"/>
      <c r="D69" s="11"/>
      <c r="E69" s="11"/>
      <c r="F69" s="11"/>
      <c r="G69" s="11"/>
      <c r="H69" s="11"/>
      <c r="I69" s="11"/>
      <c r="J69" s="44"/>
      <c r="K69" s="44"/>
      <c r="L69" s="276"/>
      <c r="M69" s="9"/>
      <c r="N69" s="241"/>
      <c r="O69" s="239"/>
      <c r="Q69" s="162">
        <v>46078</v>
      </c>
      <c r="R69" s="11"/>
      <c r="S69" s="11"/>
      <c r="T69" s="11"/>
      <c r="U69" s="11"/>
      <c r="V69" s="11"/>
      <c r="W69" s="11"/>
      <c r="X69" s="11"/>
      <c r="Y69" s="11"/>
      <c r="Z69" s="44"/>
      <c r="AA69" s="44"/>
      <c r="AB69" s="276"/>
      <c r="AC69" s="9"/>
      <c r="AD69" s="241"/>
      <c r="AE69" s="9"/>
      <c r="AG69" s="162">
        <v>46078</v>
      </c>
      <c r="AH69" s="11"/>
      <c r="AI69" s="11"/>
      <c r="AJ69" s="11"/>
      <c r="AK69" s="11"/>
      <c r="AL69" s="11"/>
      <c r="AM69" s="11"/>
      <c r="AN69" s="11"/>
      <c r="AO69" s="11"/>
      <c r="AP69" s="44"/>
      <c r="AQ69" s="44"/>
      <c r="AR69" s="276"/>
      <c r="AS69" s="9"/>
      <c r="AT69" s="241"/>
      <c r="AU69" s="239"/>
      <c r="BG69" s="9"/>
      <c r="BI69" s="162">
        <v>46078</v>
      </c>
      <c r="BJ69" s="11"/>
      <c r="BK69" s="11"/>
      <c r="BL69" s="11"/>
      <c r="BM69" s="11"/>
      <c r="BN69" s="11"/>
      <c r="BO69" s="11"/>
      <c r="BP69" s="11"/>
      <c r="BQ69" s="11"/>
      <c r="BR69" s="44"/>
      <c r="BS69" s="87"/>
      <c r="BT69" s="284"/>
      <c r="BU69" s="9"/>
      <c r="BV69" s="241"/>
      <c r="BW69" s="239"/>
      <c r="BY69" s="293" t="str">
        <f>IF('[2]2026 február'!B$26=0,
    "",
    '[2]2026 február'!B$26
)</f>
        <v/>
      </c>
      <c r="CI69" s="9"/>
    </row>
    <row r="70" spans="1:87" ht="14.25" customHeight="1">
      <c r="A70" s="162">
        <v>46079</v>
      </c>
      <c r="B70" s="11"/>
      <c r="C70" s="11"/>
      <c r="D70" s="11"/>
      <c r="E70" s="11"/>
      <c r="F70" s="11"/>
      <c r="G70" s="11"/>
      <c r="H70" s="11"/>
      <c r="I70" s="11"/>
      <c r="J70" s="44"/>
      <c r="K70" s="44"/>
      <c r="L70" s="276"/>
      <c r="M70" s="9"/>
      <c r="N70" s="241"/>
      <c r="O70" s="239"/>
      <c r="Q70" s="162">
        <v>46079</v>
      </c>
      <c r="R70" s="11"/>
      <c r="S70" s="11"/>
      <c r="T70" s="11"/>
      <c r="U70" s="11"/>
      <c r="V70" s="11"/>
      <c r="W70" s="11"/>
      <c r="X70" s="11"/>
      <c r="Y70" s="11"/>
      <c r="Z70" s="44"/>
      <c r="AA70" s="44"/>
      <c r="AB70" s="276"/>
      <c r="AC70" s="9"/>
      <c r="AD70" s="241"/>
      <c r="AE70" s="9"/>
      <c r="AG70" s="162">
        <v>46079</v>
      </c>
      <c r="AH70" s="11"/>
      <c r="AI70" s="11"/>
      <c r="AJ70" s="11"/>
      <c r="AK70" s="11"/>
      <c r="AL70" s="11"/>
      <c r="AM70" s="11"/>
      <c r="AN70" s="11"/>
      <c r="AO70" s="11"/>
      <c r="AP70" s="44"/>
      <c r="AQ70" s="44"/>
      <c r="AR70" s="276"/>
      <c r="AS70" s="9"/>
      <c r="AT70" s="241"/>
      <c r="AU70" s="239"/>
      <c r="BG70" s="9"/>
      <c r="BI70" s="162">
        <v>46079</v>
      </c>
      <c r="BJ70" s="11"/>
      <c r="BK70" s="11"/>
      <c r="BL70" s="11"/>
      <c r="BM70" s="11"/>
      <c r="BN70" s="11"/>
      <c r="BO70" s="11"/>
      <c r="BP70" s="11"/>
      <c r="BQ70" s="11"/>
      <c r="BR70" s="44"/>
      <c r="BS70" s="87"/>
      <c r="BT70" s="284"/>
      <c r="BU70" s="9"/>
      <c r="BV70" s="241"/>
      <c r="BW70" s="239"/>
      <c r="BY70" s="293" t="str">
        <f>IF('[2]2026 február'!B$27=0,
    "",
    '[2]2026 február'!B$27
)</f>
        <v/>
      </c>
      <c r="CI70" s="9"/>
    </row>
    <row r="71" spans="1:87" ht="14.25" customHeight="1">
      <c r="A71" s="162">
        <v>46080</v>
      </c>
      <c r="B71" s="11"/>
      <c r="C71" s="11"/>
      <c r="D71" s="11"/>
      <c r="E71" s="11"/>
      <c r="F71" s="11"/>
      <c r="G71" s="11"/>
      <c r="H71" s="11"/>
      <c r="I71" s="11"/>
      <c r="J71" s="44"/>
      <c r="K71" s="44"/>
      <c r="L71" s="276"/>
      <c r="M71" s="9"/>
      <c r="N71" s="241"/>
      <c r="O71" s="239"/>
      <c r="Q71" s="162">
        <v>46080</v>
      </c>
      <c r="R71" s="11"/>
      <c r="S71" s="11"/>
      <c r="T71" s="11"/>
      <c r="U71" s="11"/>
      <c r="V71" s="11"/>
      <c r="W71" s="11"/>
      <c r="X71" s="11"/>
      <c r="Y71" s="11"/>
      <c r="Z71" s="44"/>
      <c r="AA71" s="44"/>
      <c r="AB71" s="276"/>
      <c r="AC71" s="9"/>
      <c r="AD71" s="241"/>
      <c r="AE71" s="9"/>
      <c r="AG71" s="162">
        <v>46080</v>
      </c>
      <c r="AH71" s="11"/>
      <c r="AI71" s="11"/>
      <c r="AJ71" s="11"/>
      <c r="AK71" s="11"/>
      <c r="AL71" s="11"/>
      <c r="AM71" s="11"/>
      <c r="AN71" s="11"/>
      <c r="AO71" s="11"/>
      <c r="AP71" s="44"/>
      <c r="AQ71" s="44"/>
      <c r="AR71" s="276"/>
      <c r="AS71" s="9"/>
      <c r="AT71" s="241"/>
      <c r="AU71" s="239"/>
      <c r="BG71" s="9"/>
      <c r="BI71" s="162">
        <v>46080</v>
      </c>
      <c r="BJ71" s="11"/>
      <c r="BK71" s="11"/>
      <c r="BL71" s="11"/>
      <c r="BM71" s="11"/>
      <c r="BN71" s="11"/>
      <c r="BO71" s="11"/>
      <c r="BP71" s="11"/>
      <c r="BQ71" s="11"/>
      <c r="BR71" s="44"/>
      <c r="BS71" s="87"/>
      <c r="BT71" s="284"/>
      <c r="BU71" s="9"/>
      <c r="BV71" s="241"/>
      <c r="BW71" s="239"/>
      <c r="BY71" s="293" t="str">
        <f>IF('[2]2026 február'!B$28=0,
    "",
    '[2]2026 február'!B$28
)</f>
        <v/>
      </c>
      <c r="CI71" s="9"/>
    </row>
    <row r="72" spans="1:87" ht="14.25" customHeight="1">
      <c r="A72" s="162">
        <v>46081</v>
      </c>
      <c r="B72" s="163"/>
      <c r="C72" s="163"/>
      <c r="D72" s="163"/>
      <c r="E72" s="163"/>
      <c r="F72" s="163"/>
      <c r="G72" s="163"/>
      <c r="H72" s="163"/>
      <c r="I72" s="163"/>
      <c r="J72" s="164"/>
      <c r="K72" s="164"/>
      <c r="L72" s="275"/>
      <c r="M72" s="179"/>
      <c r="N72" s="414"/>
      <c r="O72" s="242"/>
      <c r="Q72" s="162">
        <v>46081</v>
      </c>
      <c r="R72" s="163"/>
      <c r="S72" s="163"/>
      <c r="T72" s="163"/>
      <c r="U72" s="163"/>
      <c r="V72" s="163"/>
      <c r="W72" s="163"/>
      <c r="X72" s="163"/>
      <c r="Y72" s="163"/>
      <c r="Z72" s="164"/>
      <c r="AA72" s="164"/>
      <c r="AB72" s="275"/>
      <c r="AC72" s="179"/>
      <c r="AD72" s="414"/>
      <c r="AE72" s="179"/>
      <c r="AG72" s="162">
        <v>46081</v>
      </c>
      <c r="AH72" s="163"/>
      <c r="AI72" s="163"/>
      <c r="AJ72" s="163"/>
      <c r="AK72" s="163"/>
      <c r="AL72" s="163"/>
      <c r="AM72" s="163"/>
      <c r="AN72" s="163"/>
      <c r="AO72" s="163"/>
      <c r="AP72" s="164"/>
      <c r="AQ72" s="164"/>
      <c r="AR72" s="275"/>
      <c r="AS72" s="179"/>
      <c r="AT72" s="414"/>
      <c r="AU72" s="242"/>
      <c r="BG72" s="179"/>
      <c r="BI72" s="162">
        <v>46081</v>
      </c>
      <c r="BJ72" s="163"/>
      <c r="BK72" s="163"/>
      <c r="BL72" s="163"/>
      <c r="BM72" s="163"/>
      <c r="BN72" s="163"/>
      <c r="BO72" s="163"/>
      <c r="BP72" s="163"/>
      <c r="BQ72" s="163"/>
      <c r="BR72" s="164"/>
      <c r="BS72" s="167"/>
      <c r="BT72" s="283"/>
      <c r="BU72" s="179"/>
      <c r="BV72" s="414"/>
      <c r="BW72" s="242"/>
      <c r="BY72" s="293" t="str">
        <f>IF('[2]2026 február'!B$29=0,
    "",
    '[2]2026 február'!B$29
)</f>
        <v/>
      </c>
      <c r="CI72" s="179"/>
    </row>
    <row r="73" spans="1:87" ht="14.25" customHeight="1">
      <c r="A73" s="5"/>
      <c r="B73" s="11"/>
      <c r="C73" s="11"/>
      <c r="D73" s="11"/>
      <c r="E73" s="11"/>
      <c r="F73" s="11"/>
      <c r="G73" s="11"/>
      <c r="H73" s="11"/>
      <c r="I73" s="11"/>
      <c r="J73" s="44"/>
      <c r="K73" s="44"/>
      <c r="L73" s="276"/>
      <c r="M73" s="9"/>
      <c r="N73" s="241"/>
      <c r="O73" s="239"/>
      <c r="Q73" s="5"/>
      <c r="R73" s="11"/>
      <c r="S73" s="11"/>
      <c r="T73" s="11"/>
      <c r="U73" s="11"/>
      <c r="V73" s="11"/>
      <c r="W73" s="11"/>
      <c r="X73" s="11"/>
      <c r="Y73" s="11"/>
      <c r="Z73" s="44"/>
      <c r="AA73" s="44"/>
      <c r="AB73" s="276"/>
      <c r="AC73" s="9"/>
      <c r="AD73" s="241"/>
      <c r="AE73" s="9"/>
      <c r="AG73" s="5"/>
      <c r="AH73" s="11"/>
      <c r="AI73" s="11"/>
      <c r="AJ73" s="11"/>
      <c r="AK73" s="11"/>
      <c r="AL73" s="11"/>
      <c r="AM73" s="11"/>
      <c r="AN73" s="11"/>
      <c r="AO73" s="11"/>
      <c r="AP73" s="44"/>
      <c r="AQ73" s="44"/>
      <c r="AR73" s="276"/>
      <c r="AS73" s="9"/>
      <c r="AT73" s="241"/>
      <c r="AU73" s="239"/>
      <c r="BG73" s="9"/>
      <c r="BI73" s="5"/>
      <c r="BJ73" s="11"/>
      <c r="BK73" s="11"/>
      <c r="BL73" s="11"/>
      <c r="BM73" s="11"/>
      <c r="BN73" s="11"/>
      <c r="BO73" s="11"/>
      <c r="BP73" s="11"/>
      <c r="BQ73" s="11"/>
      <c r="BR73" s="44"/>
      <c r="BS73" s="87"/>
      <c r="BT73" s="284"/>
      <c r="BU73" s="9"/>
      <c r="BV73" s="241"/>
      <c r="BW73" s="239"/>
      <c r="BY73" s="293" t="str">
        <f>IF('[2]2026 február'!B$30=0,
    "",
    '[2]2026 február'!B$30
)</f>
        <v/>
      </c>
      <c r="CI73" s="9"/>
    </row>
    <row r="74" spans="1:87" ht="14.25" customHeight="1">
      <c r="A74" s="5"/>
      <c r="B74" s="11"/>
      <c r="C74" s="11"/>
      <c r="D74" s="11"/>
      <c r="E74" s="11"/>
      <c r="F74" s="11"/>
      <c r="G74" s="11"/>
      <c r="H74" s="11"/>
      <c r="I74" s="11"/>
      <c r="J74" s="44"/>
      <c r="K74" s="44"/>
      <c r="L74" s="276"/>
      <c r="M74" s="9"/>
      <c r="N74" s="241"/>
      <c r="O74" s="239"/>
      <c r="Q74" s="5"/>
      <c r="R74" s="11"/>
      <c r="S74" s="11"/>
      <c r="T74" s="11"/>
      <c r="U74" s="11"/>
      <c r="V74" s="11"/>
      <c r="W74" s="11"/>
      <c r="X74" s="11"/>
      <c r="Y74" s="11"/>
      <c r="Z74" s="44"/>
      <c r="AA74" s="44"/>
      <c r="AB74" s="276"/>
      <c r="AC74" s="9"/>
      <c r="AD74" s="241"/>
      <c r="AE74" s="9"/>
      <c r="AG74" s="5"/>
      <c r="AH74" s="11"/>
      <c r="AI74" s="11"/>
      <c r="AJ74" s="11"/>
      <c r="AK74" s="11"/>
      <c r="AL74" s="11"/>
      <c r="AM74" s="11"/>
      <c r="AN74" s="11"/>
      <c r="AO74" s="11"/>
      <c r="AP74" s="44"/>
      <c r="AQ74" s="44"/>
      <c r="AR74" s="276"/>
      <c r="AS74" s="9"/>
      <c r="AT74" s="241"/>
      <c r="AU74" s="239"/>
      <c r="BG74" s="9"/>
      <c r="BI74" s="5"/>
      <c r="BJ74" s="11"/>
      <c r="BK74" s="11"/>
      <c r="BL74" s="11"/>
      <c r="BM74" s="11"/>
      <c r="BN74" s="11"/>
      <c r="BO74" s="11"/>
      <c r="BP74" s="11"/>
      <c r="BQ74" s="11"/>
      <c r="BR74" s="44"/>
      <c r="BS74" s="87"/>
      <c r="BT74" s="284"/>
      <c r="BU74" s="9"/>
      <c r="BV74" s="241"/>
      <c r="BW74" s="239"/>
      <c r="BY74" s="293" t="str">
        <f>IF('[2]2026 február'!B$31=0,
    "",
    '[2]2026 február'!B$31
)</f>
        <v/>
      </c>
      <c r="CI74" s="9"/>
    </row>
    <row r="75" spans="1:87" ht="14.25" customHeight="1">
      <c r="A75" s="162"/>
      <c r="B75" s="11"/>
      <c r="C75" s="11"/>
      <c r="D75" s="11"/>
      <c r="E75" s="11"/>
      <c r="F75" s="11"/>
      <c r="G75" s="11"/>
      <c r="H75" s="11"/>
      <c r="I75" s="11"/>
      <c r="J75" s="229"/>
      <c r="K75" s="229"/>
      <c r="L75" s="448"/>
      <c r="M75" s="413"/>
      <c r="N75" s="241"/>
      <c r="O75" s="239"/>
      <c r="Q75" s="162"/>
      <c r="R75" s="11"/>
      <c r="S75" s="11"/>
      <c r="T75" s="11"/>
      <c r="U75" s="11"/>
      <c r="V75" s="11"/>
      <c r="W75" s="11"/>
      <c r="X75" s="11"/>
      <c r="Y75" s="11"/>
      <c r="Z75" s="229"/>
      <c r="AA75" s="229"/>
      <c r="AB75" s="448"/>
      <c r="AC75" s="413"/>
      <c r="AD75" s="241"/>
      <c r="AE75" s="9"/>
      <c r="AG75" s="162"/>
      <c r="AH75" s="11"/>
      <c r="AI75" s="11"/>
      <c r="AJ75" s="11"/>
      <c r="AK75" s="11"/>
      <c r="AL75" s="11"/>
      <c r="AM75" s="11"/>
      <c r="AN75" s="11"/>
      <c r="AO75" s="11"/>
      <c r="AP75" s="229"/>
      <c r="AQ75" s="229"/>
      <c r="AR75" s="448"/>
      <c r="AS75" s="413"/>
      <c r="AT75" s="241"/>
      <c r="AU75" s="239"/>
      <c r="BG75" s="9"/>
      <c r="BI75" s="162"/>
      <c r="BJ75" s="11"/>
      <c r="BK75" s="11"/>
      <c r="BL75" s="11"/>
      <c r="BM75" s="11"/>
      <c r="BN75" s="11"/>
      <c r="BO75" s="11"/>
      <c r="BP75" s="11"/>
      <c r="BQ75" s="11"/>
      <c r="BR75" s="229"/>
      <c r="BS75" s="230"/>
      <c r="BT75" s="412"/>
      <c r="BU75" s="413"/>
      <c r="BV75" s="241"/>
      <c r="BW75" s="239"/>
      <c r="BY75" s="293" t="str">
        <f>IF('[2]2026 február'!B$32=0,
    "",
    '[2]2026 február'!B$32
)</f>
        <v/>
      </c>
      <c r="CI75" s="9"/>
    </row>
    <row r="76" spans="1:87" ht="14.25" customHeight="1">
      <c r="A76" s="21" t="s">
        <v>43</v>
      </c>
      <c r="B76" s="389"/>
      <c r="C76" s="22">
        <f>SUM(C43:C75)</f>
        <v>3700</v>
      </c>
      <c r="D76" s="22">
        <f>SUM(D43:D75)</f>
        <v>1770013</v>
      </c>
      <c r="E76" s="22">
        <f>SUM(E43:E75)</f>
        <v>0</v>
      </c>
      <c r="F76" s="22">
        <f>SUM(F43:F75)</f>
        <v>0</v>
      </c>
      <c r="G76" s="23">
        <f>SUM(G43:G75)</f>
        <v>0</v>
      </c>
      <c r="H76" s="23">
        <f>SUM(H45:H75)</f>
        <v>1773713</v>
      </c>
      <c r="I76" s="47"/>
      <c r="J76" s="37"/>
      <c r="K76" s="401"/>
      <c r="L76" s="278"/>
      <c r="M76" s="9"/>
      <c r="N76" s="415"/>
      <c r="O76" s="239"/>
      <c r="Q76" s="21" t="s">
        <v>43</v>
      </c>
      <c r="R76" s="389"/>
      <c r="S76" s="22">
        <f>SUM(S43:S75)</f>
        <v>13800</v>
      </c>
      <c r="T76" s="22">
        <f>SUM(T43:T75)</f>
        <v>2900730</v>
      </c>
      <c r="U76" s="22">
        <f>SUM(U43:U75)</f>
        <v>0</v>
      </c>
      <c r="V76" s="22">
        <f>SUM(V43:V75)</f>
        <v>0</v>
      </c>
      <c r="W76" s="23">
        <f>SUM(W43:W75)</f>
        <v>17725</v>
      </c>
      <c r="X76" s="23">
        <f>SUM(X45:X75)</f>
        <v>2896805</v>
      </c>
      <c r="Y76" s="47"/>
      <c r="Z76" s="37"/>
      <c r="AA76" s="401"/>
      <c r="AB76" s="278"/>
      <c r="AC76" s="9"/>
      <c r="AD76" s="415"/>
      <c r="AE76" s="9"/>
      <c r="AG76" s="21" t="s">
        <v>43</v>
      </c>
      <c r="AH76" s="389"/>
      <c r="AI76" s="22">
        <f>SUM(AI43:AI75)</f>
        <v>11050</v>
      </c>
      <c r="AJ76" s="22">
        <f>SUM(AJ43:AJ75)</f>
        <v>2224109</v>
      </c>
      <c r="AK76" s="22">
        <f>SUM(AK43:AK75)</f>
        <v>0</v>
      </c>
      <c r="AL76" s="22">
        <f>SUM(AL43:AL75)</f>
        <v>0</v>
      </c>
      <c r="AM76" s="23">
        <f>SUM(AM43:AM75)</f>
        <v>0</v>
      </c>
      <c r="AN76" s="23">
        <f>SUM(AN45:AN75)</f>
        <v>2235159</v>
      </c>
      <c r="AO76" s="47"/>
      <c r="AP76" s="37"/>
      <c r="AQ76" s="401"/>
      <c r="AR76" s="278"/>
      <c r="AS76" s="9"/>
      <c r="AT76" s="415"/>
      <c r="AU76" s="239"/>
      <c r="BG76" s="9"/>
      <c r="BI76" s="21" t="s">
        <v>43</v>
      </c>
      <c r="BJ76" s="389"/>
      <c r="BK76" s="22">
        <f>SUM(BK43:BK75)</f>
        <v>2500</v>
      </c>
      <c r="BL76" s="22">
        <f>SUM(BL43:BL75)</f>
        <v>657665</v>
      </c>
      <c r="BM76" s="22">
        <f>SUM(BM43:BM75)</f>
        <v>0</v>
      </c>
      <c r="BN76" s="22">
        <f>SUM(BN43:BN75)</f>
        <v>0</v>
      </c>
      <c r="BO76" s="23">
        <f>SUM(BO43:BO75)</f>
        <v>0</v>
      </c>
      <c r="BP76" s="23">
        <f>SUM(BP45:BP75)</f>
        <v>660165</v>
      </c>
      <c r="BQ76" s="47"/>
      <c r="BR76" s="37"/>
      <c r="BS76" s="19"/>
      <c r="BT76" s="278"/>
      <c r="BU76" s="9"/>
      <c r="BV76" s="415"/>
      <c r="BW76" s="239"/>
      <c r="BY76" s="293">
        <f>IF('[2]2026 február'!B$33=0,
    "",
    '[2]2026 február'!B$33
)</f>
        <v>8120620</v>
      </c>
      <c r="CI76" s="9"/>
    </row>
    <row r="77" spans="1:87" ht="14.25" customHeight="1">
      <c r="A77" s="5"/>
      <c r="B77" s="11"/>
      <c r="C77" s="34">
        <f>C76+D76+E76+F76</f>
        <v>1773713</v>
      </c>
      <c r="D77" s="10"/>
      <c r="E77" s="10"/>
      <c r="F77" s="10"/>
      <c r="G77" s="62">
        <f>G76+H76</f>
        <v>1773713</v>
      </c>
      <c r="H77" s="10"/>
      <c r="I77" s="10"/>
      <c r="J77" s="38"/>
      <c r="K77" s="38"/>
      <c r="L77" s="449"/>
      <c r="M77" s="9"/>
      <c r="N77" s="415"/>
      <c r="O77" s="239"/>
      <c r="Q77" s="5"/>
      <c r="R77" s="11"/>
      <c r="S77" s="34">
        <f>S76+T76+U76+V76</f>
        <v>2914530</v>
      </c>
      <c r="T77" s="10"/>
      <c r="U77" s="10"/>
      <c r="V77" s="10"/>
      <c r="W77" s="62">
        <f>W76+X76</f>
        <v>2914530</v>
      </c>
      <c r="X77" s="10"/>
      <c r="Y77" s="10"/>
      <c r="Z77" s="38"/>
      <c r="AA77" s="38"/>
      <c r="AB77" s="449"/>
      <c r="AC77" s="9"/>
      <c r="AD77" s="415"/>
      <c r="AE77" s="9"/>
      <c r="AG77" s="5"/>
      <c r="AH77" s="11"/>
      <c r="AI77" s="34">
        <f>AI76+AJ76+AK76+AL76</f>
        <v>2235159</v>
      </c>
      <c r="AJ77" s="10"/>
      <c r="AK77" s="10"/>
      <c r="AL77" s="10"/>
      <c r="AM77" s="62">
        <f>AM76+AN76</f>
        <v>2235159</v>
      </c>
      <c r="AN77" s="10"/>
      <c r="AO77" s="10"/>
      <c r="AP77" s="38"/>
      <c r="AQ77" s="38"/>
      <c r="AR77" s="449"/>
      <c r="AS77" s="9"/>
      <c r="AT77" s="415"/>
      <c r="AU77" s="239"/>
      <c r="BG77" s="9"/>
      <c r="BI77" s="5"/>
      <c r="BJ77" s="11"/>
      <c r="BK77" s="34">
        <f>BK76+BL76+BM76+BN76</f>
        <v>660165</v>
      </c>
      <c r="BL77" s="10"/>
      <c r="BM77" s="10"/>
      <c r="BN77" s="10"/>
      <c r="BO77" s="62">
        <f>BO76+BP76</f>
        <v>660165</v>
      </c>
      <c r="BP77" s="10"/>
      <c r="BQ77" s="10"/>
      <c r="BR77" s="38"/>
      <c r="BS77" s="11"/>
      <c r="BT77" s="286"/>
      <c r="BU77" s="9"/>
      <c r="BV77" s="415"/>
      <c r="BW77" s="239"/>
      <c r="BY77" s="293" t="str">
        <f>IF('[2]2026 február'!B$34=0,
    "",
    '[2]2026 február'!B$34
)</f>
        <v/>
      </c>
      <c r="CI77" s="9"/>
    </row>
    <row r="78" spans="1:87" ht="14.25" customHeight="1">
      <c r="AH78" s="383"/>
      <c r="AQ78" s="40"/>
      <c r="BY78" s="293" t="str">
        <f>IF('[2]2026 január'!B$35=0,
    "",
    '[2]2026 január'!B$35
)</f>
        <v/>
      </c>
    </row>
    <row r="79" spans="1:87" ht="14.25" customHeight="1">
      <c r="A79" s="436" t="s">
        <v>108</v>
      </c>
      <c r="B79" s="437"/>
      <c r="C79" s="438"/>
      <c r="D79" s="438"/>
      <c r="E79" s="438"/>
      <c r="F79" s="439"/>
      <c r="G79" s="439"/>
      <c r="H79" s="439"/>
      <c r="I79" s="439"/>
      <c r="J79" s="440"/>
      <c r="K79" s="441"/>
      <c r="Q79" s="436" t="s">
        <v>108</v>
      </c>
      <c r="R79" s="437"/>
      <c r="S79" s="438"/>
      <c r="T79" s="438"/>
      <c r="U79" s="438"/>
      <c r="V79" s="439"/>
      <c r="W79" s="439"/>
      <c r="X79" s="439"/>
      <c r="Y79" s="439"/>
      <c r="Z79" s="440"/>
      <c r="AA79" s="441"/>
      <c r="AG79" s="436" t="s">
        <v>108</v>
      </c>
      <c r="AH79" s="437"/>
      <c r="AI79" s="438"/>
      <c r="AJ79" s="438"/>
      <c r="AK79" s="438"/>
      <c r="AL79" s="439"/>
      <c r="AM79" s="439"/>
      <c r="AN79" s="439"/>
      <c r="AO79" s="439"/>
      <c r="AP79" s="440"/>
      <c r="AQ79" s="450"/>
      <c r="BI79" s="436" t="s">
        <v>108</v>
      </c>
      <c r="BJ79" s="437"/>
      <c r="BK79" s="438"/>
      <c r="BL79" s="438"/>
      <c r="BM79" s="438"/>
      <c r="BN79" s="439"/>
      <c r="BO79" s="439"/>
      <c r="BP79" s="439"/>
      <c r="BQ79" s="439"/>
      <c r="BR79" s="440"/>
      <c r="BS79" s="441"/>
    </row>
    <row r="80" spans="1:87" ht="14.25" customHeight="1">
      <c r="A80" s="442"/>
      <c r="B80" s="435"/>
      <c r="C80" s="435"/>
      <c r="D80" s="435"/>
      <c r="E80" s="435"/>
      <c r="F80" s="435"/>
      <c r="G80" s="429"/>
      <c r="H80" s="429"/>
      <c r="I80" s="429"/>
      <c r="J80" s="429"/>
      <c r="K80" s="443"/>
      <c r="Q80" s="442"/>
      <c r="R80" s="435"/>
      <c r="S80" s="435"/>
      <c r="T80" s="435"/>
      <c r="U80" s="435"/>
      <c r="V80" s="435"/>
      <c r="W80" s="429"/>
      <c r="X80" s="429"/>
      <c r="Y80" s="429"/>
      <c r="Z80" s="429"/>
      <c r="AA80" s="443"/>
      <c r="AG80" s="442"/>
      <c r="AH80" s="435"/>
      <c r="AI80" s="435"/>
      <c r="AJ80" s="435"/>
      <c r="AK80" s="435"/>
      <c r="AL80" s="435"/>
      <c r="AM80" s="429"/>
      <c r="AN80" s="429"/>
      <c r="AO80" s="429"/>
      <c r="AP80" s="429"/>
      <c r="AQ80" s="451"/>
      <c r="BI80" s="442"/>
      <c r="BJ80" s="435"/>
      <c r="BK80" s="435"/>
      <c r="BL80" s="435"/>
      <c r="BM80" s="435"/>
      <c r="BN80" s="435"/>
      <c r="BO80" s="429"/>
      <c r="BP80" s="429"/>
      <c r="BQ80" s="429"/>
      <c r="BR80" s="429"/>
      <c r="BS80" s="443"/>
    </row>
    <row r="81" spans="1:71" ht="14.25" customHeight="1">
      <c r="A81" s="477"/>
      <c r="B81" s="478"/>
      <c r="C81" s="478"/>
      <c r="D81" s="478"/>
      <c r="E81" s="478"/>
      <c r="F81" s="478"/>
      <c r="G81" s="444"/>
      <c r="H81" s="444"/>
      <c r="I81" s="444"/>
      <c r="J81" s="444"/>
      <c r="K81" s="445"/>
      <c r="Q81" s="477"/>
      <c r="R81" s="478"/>
      <c r="S81" s="478"/>
      <c r="T81" s="478"/>
      <c r="U81" s="478"/>
      <c r="V81" s="478"/>
      <c r="W81" s="444"/>
      <c r="X81" s="444"/>
      <c r="Y81" s="444"/>
      <c r="Z81" s="444"/>
      <c r="AA81" s="445"/>
      <c r="AG81" s="477"/>
      <c r="AH81" s="478"/>
      <c r="AI81" s="478"/>
      <c r="AJ81" s="478"/>
      <c r="AK81" s="478"/>
      <c r="AL81" s="478"/>
      <c r="AM81" s="444"/>
      <c r="AN81" s="444"/>
      <c r="AO81" s="444"/>
      <c r="AP81" s="444"/>
      <c r="AQ81" s="445"/>
      <c r="BI81" s="477"/>
      <c r="BJ81" s="478"/>
      <c r="BK81" s="478"/>
      <c r="BL81" s="478"/>
      <c r="BM81" s="478"/>
      <c r="BN81" s="478"/>
      <c r="BO81" s="444"/>
      <c r="BP81" s="444"/>
      <c r="BQ81" s="444"/>
      <c r="BR81" s="444"/>
      <c r="BS81" s="445"/>
    </row>
    <row r="82" spans="1:71" ht="14.25" customHeight="1">
      <c r="AH82" s="383"/>
    </row>
    <row r="83" spans="1:71" ht="14.25" customHeight="1">
      <c r="AH83" s="383"/>
    </row>
    <row r="84" spans="1:71" ht="14.25" customHeight="1">
      <c r="AH84" s="383"/>
    </row>
    <row r="85" spans="1:71" ht="14.25" customHeight="1">
      <c r="AH85" s="383"/>
    </row>
    <row r="86" spans="1:71" ht="14.25" customHeight="1">
      <c r="AH86" s="383"/>
    </row>
    <row r="87" spans="1:71" ht="14.25" customHeight="1">
      <c r="AH87" s="383"/>
    </row>
    <row r="88" spans="1:71" ht="14.25" customHeight="1">
      <c r="AH88" s="383"/>
    </row>
    <row r="89" spans="1:71" ht="14.25" customHeight="1">
      <c r="AH89" s="383"/>
    </row>
    <row r="90" spans="1:71" ht="14.25" customHeight="1">
      <c r="AH90" s="383"/>
    </row>
    <row r="91" spans="1:71" ht="14.25" customHeight="1">
      <c r="AH91" s="383"/>
    </row>
    <row r="92" spans="1:71" ht="14.25" customHeight="1">
      <c r="AH92" s="383"/>
    </row>
    <row r="93" spans="1:71" ht="14.25" customHeight="1">
      <c r="AH93" s="383"/>
    </row>
    <row r="94" spans="1:71" ht="14.25" customHeight="1">
      <c r="AH94" s="383"/>
    </row>
    <row r="95" spans="1:71" ht="14.25" customHeight="1">
      <c r="AH95" s="383"/>
    </row>
    <row r="96" spans="1:71" ht="14.25" customHeight="1">
      <c r="AH96" s="383"/>
    </row>
    <row r="97" spans="34:34" ht="14.25" customHeight="1">
      <c r="AH97" s="383"/>
    </row>
    <row r="98" spans="34:34" ht="14.25" customHeight="1">
      <c r="AH98" s="383"/>
    </row>
    <row r="99" spans="34:34" ht="14.25" customHeight="1">
      <c r="AH99" s="383"/>
    </row>
    <row r="100" spans="34:34" ht="14.25" customHeight="1">
      <c r="AH100" s="383"/>
    </row>
    <row r="101" spans="34:34" ht="14.25" customHeight="1">
      <c r="AH101" s="383"/>
    </row>
    <row r="102" spans="34:34" ht="14.25" customHeight="1">
      <c r="AH102" s="383"/>
    </row>
    <row r="103" spans="34:34" ht="14.25" customHeight="1">
      <c r="AH103" s="383"/>
    </row>
    <row r="104" spans="34:34" ht="14.25" customHeight="1">
      <c r="AH104" s="383"/>
    </row>
    <row r="105" spans="34:34" ht="14.25" customHeight="1">
      <c r="AH105" s="383"/>
    </row>
    <row r="106" spans="34:34" ht="14.25" customHeight="1">
      <c r="AH106" s="383"/>
    </row>
    <row r="107" spans="34:34" ht="14.25" customHeight="1">
      <c r="AH107" s="383"/>
    </row>
    <row r="108" spans="34:34" ht="14.25" customHeight="1">
      <c r="AH108" s="383"/>
    </row>
    <row r="109" spans="34:34" ht="14.25" customHeight="1">
      <c r="AH109" s="383"/>
    </row>
    <row r="110" spans="34:34" ht="14.25" customHeight="1">
      <c r="AH110" s="383"/>
    </row>
    <row r="111" spans="34:34" ht="14.25" customHeight="1">
      <c r="AH111" s="383"/>
    </row>
    <row r="112" spans="34:34" ht="14.25" customHeight="1">
      <c r="AH112" s="383"/>
    </row>
    <row r="113" spans="34:34" ht="14.25" customHeight="1">
      <c r="AH113" s="383"/>
    </row>
    <row r="114" spans="34:34" ht="14.25" customHeight="1">
      <c r="AH114" s="383"/>
    </row>
    <row r="115" spans="34:34" ht="14.25" customHeight="1">
      <c r="AH115" s="383"/>
    </row>
    <row r="116" spans="34:34" ht="14.25" customHeight="1">
      <c r="AH116" s="383"/>
    </row>
    <row r="117" spans="34:34" ht="14.25" customHeight="1">
      <c r="AH117" s="383"/>
    </row>
    <row r="118" spans="34:34" ht="14.25" customHeight="1">
      <c r="AH118" s="383"/>
    </row>
    <row r="119" spans="34:34" ht="14.25" customHeight="1">
      <c r="AH119" s="383"/>
    </row>
    <row r="120" spans="34:34" ht="14.25" customHeight="1">
      <c r="AH120" s="383"/>
    </row>
    <row r="121" spans="34:34" ht="14.25" customHeight="1">
      <c r="AH121" s="383"/>
    </row>
    <row r="122" spans="34:34" ht="14.25" customHeight="1">
      <c r="AH122" s="383"/>
    </row>
    <row r="123" spans="34:34" ht="14.25" customHeight="1">
      <c r="AH123" s="383"/>
    </row>
    <row r="124" spans="34:34" ht="14.25" customHeight="1">
      <c r="AH124" s="383"/>
    </row>
    <row r="125" spans="34:34" ht="14.25" customHeight="1">
      <c r="AH125" s="383"/>
    </row>
    <row r="126" spans="34:34" ht="14.25" customHeight="1">
      <c r="AH126" s="383"/>
    </row>
    <row r="127" spans="34:34" ht="14.25" customHeight="1">
      <c r="AH127" s="383"/>
    </row>
    <row r="128" spans="34:34" ht="14.25" customHeight="1">
      <c r="AH128" s="383"/>
    </row>
    <row r="129" spans="34:34" ht="14.25" customHeight="1">
      <c r="AH129" s="383"/>
    </row>
    <row r="130" spans="34:34" ht="14.25" customHeight="1">
      <c r="AH130" s="383"/>
    </row>
    <row r="131" spans="34:34" ht="14.25" customHeight="1">
      <c r="AH131" s="383"/>
    </row>
    <row r="132" spans="34:34" ht="14.25" customHeight="1">
      <c r="AH132" s="383"/>
    </row>
    <row r="133" spans="34:34" ht="14.25" customHeight="1">
      <c r="AH133" s="383"/>
    </row>
    <row r="134" spans="34:34" ht="14.25" customHeight="1">
      <c r="AH134" s="383"/>
    </row>
    <row r="135" spans="34:34" ht="14.25" customHeight="1">
      <c r="AH135" s="383"/>
    </row>
    <row r="136" spans="34:34" ht="15" customHeight="1">
      <c r="AH136" s="383"/>
    </row>
    <row r="137" spans="34:34" ht="15" customHeight="1">
      <c r="AH137" s="383"/>
    </row>
    <row r="138" spans="34:34" ht="15" customHeight="1">
      <c r="AH138" s="383"/>
    </row>
    <row r="139" spans="34:34" ht="15" customHeight="1">
      <c r="AH139" s="383"/>
    </row>
    <row r="140" spans="34:34" ht="15" customHeight="1">
      <c r="AH140" s="383"/>
    </row>
    <row r="141" spans="34:34" ht="15" customHeight="1">
      <c r="AH141" s="383"/>
    </row>
    <row r="142" spans="34:34" ht="15" customHeight="1">
      <c r="AH142" s="383"/>
    </row>
    <row r="143" spans="34:34" ht="15" customHeight="1">
      <c r="AH143" s="383"/>
    </row>
    <row r="144" spans="34:34" ht="15" customHeight="1">
      <c r="AH144" s="383"/>
    </row>
    <row r="145" spans="34:34" ht="15" customHeight="1">
      <c r="AH145" s="383"/>
    </row>
    <row r="146" spans="34:34" ht="15" customHeight="1">
      <c r="AH146" s="383"/>
    </row>
    <row r="147" spans="34:34" ht="15" customHeight="1">
      <c r="AH147" s="383"/>
    </row>
    <row r="148" spans="34:34" ht="15" customHeight="1">
      <c r="AH148" s="383"/>
    </row>
    <row r="149" spans="34:34" ht="15" customHeight="1">
      <c r="AH149" s="383"/>
    </row>
    <row r="150" spans="34:34" ht="15" customHeight="1">
      <c r="AH150" s="383"/>
    </row>
    <row r="151" spans="34:34" ht="15" customHeight="1">
      <c r="AH151" s="383"/>
    </row>
    <row r="152" spans="34:34" ht="15" customHeight="1">
      <c r="AH152" s="383"/>
    </row>
    <row r="153" spans="34:34" ht="15" customHeight="1">
      <c r="AH153" s="383"/>
    </row>
    <row r="154" spans="34:34" ht="15" customHeight="1">
      <c r="AH154" s="383"/>
    </row>
    <row r="155" spans="34:34" ht="15" customHeight="1">
      <c r="AH155" s="383"/>
    </row>
    <row r="156" spans="34:34" ht="15" customHeight="1">
      <c r="AH156" s="383"/>
    </row>
    <row r="157" spans="34:34" ht="15" customHeight="1">
      <c r="AH157" s="383"/>
    </row>
    <row r="158" spans="34:34" ht="15" customHeight="1">
      <c r="AH158" s="383"/>
    </row>
    <row r="159" spans="34:34" ht="15" customHeight="1">
      <c r="AH159" s="383"/>
    </row>
    <row r="160" spans="34:34" ht="15" customHeight="1">
      <c r="AH160" s="383"/>
    </row>
    <row r="161" spans="34:34" ht="15" customHeight="1">
      <c r="AH161" s="383"/>
    </row>
    <row r="162" spans="34:34" ht="15" customHeight="1">
      <c r="AH162" s="383"/>
    </row>
    <row r="163" spans="34:34" ht="15" customHeight="1">
      <c r="AH163" s="383"/>
    </row>
    <row r="164" spans="34:34" ht="15" customHeight="1">
      <c r="AH164" s="383"/>
    </row>
    <row r="165" spans="34:34" ht="15" customHeight="1">
      <c r="AH165" s="383"/>
    </row>
    <row r="166" spans="34:34" ht="15" customHeight="1">
      <c r="AH166" s="383"/>
    </row>
    <row r="167" spans="34:34" ht="15" customHeight="1">
      <c r="AH167" s="383"/>
    </row>
    <row r="168" spans="34:34" ht="15" customHeight="1">
      <c r="AH168" s="383"/>
    </row>
    <row r="169" spans="34:34" ht="15" customHeight="1">
      <c r="AH169" s="383"/>
    </row>
    <row r="170" spans="34:34" ht="15" customHeight="1">
      <c r="AH170" s="383"/>
    </row>
    <row r="171" spans="34:34" ht="15" customHeight="1">
      <c r="AH171" s="383"/>
    </row>
    <row r="172" spans="34:34" ht="15" customHeight="1">
      <c r="AH172" s="383"/>
    </row>
    <row r="173" spans="34:34" ht="15" customHeight="1">
      <c r="AH173" s="383"/>
    </row>
    <row r="174" spans="34:34" ht="15" customHeight="1">
      <c r="AH174" s="383"/>
    </row>
    <row r="175" spans="34:34" ht="15" customHeight="1">
      <c r="AH175" s="383"/>
    </row>
    <row r="176" spans="34:34" ht="15" customHeight="1">
      <c r="AH176" s="383"/>
    </row>
    <row r="177" spans="34:34" ht="15" customHeight="1">
      <c r="AH177" s="383"/>
    </row>
    <row r="178" spans="34:34" ht="15" customHeight="1">
      <c r="AH178" s="383"/>
    </row>
    <row r="179" spans="34:34" ht="15" customHeight="1">
      <c r="AH179" s="383"/>
    </row>
    <row r="180" spans="34:34" ht="15" customHeight="1">
      <c r="AH180" s="383"/>
    </row>
    <row r="181" spans="34:34" ht="15" customHeight="1">
      <c r="AH181" s="383"/>
    </row>
    <row r="182" spans="34:34" ht="15" customHeight="1">
      <c r="AH182" s="383"/>
    </row>
    <row r="183" spans="34:34" ht="15" customHeight="1">
      <c r="AH183" s="383"/>
    </row>
    <row r="184" spans="34:34" ht="15" customHeight="1">
      <c r="AH184" s="383"/>
    </row>
    <row r="185" spans="34:34" ht="15" customHeight="1">
      <c r="AH185" s="383"/>
    </row>
    <row r="186" spans="34:34" ht="15" customHeight="1">
      <c r="AH186" s="383"/>
    </row>
    <row r="187" spans="34:34" ht="15" customHeight="1">
      <c r="AH187" s="383"/>
    </row>
    <row r="188" spans="34:34" ht="15" customHeight="1">
      <c r="AH188" s="383"/>
    </row>
    <row r="189" spans="34:34" ht="15" customHeight="1">
      <c r="AH189" s="383"/>
    </row>
    <row r="190" spans="34:34" ht="15" customHeight="1">
      <c r="AH190" s="383"/>
    </row>
    <row r="191" spans="34:34" ht="15" customHeight="1">
      <c r="AH191" s="383"/>
    </row>
    <row r="192" spans="34:34" ht="15" customHeight="1">
      <c r="AH192" s="383"/>
    </row>
    <row r="193" spans="34:34" ht="15" customHeight="1">
      <c r="AH193" s="383"/>
    </row>
    <row r="194" spans="34:34" ht="15" customHeight="1">
      <c r="AH194" s="383"/>
    </row>
    <row r="195" spans="34:34" ht="15" customHeight="1">
      <c r="AH195" s="383"/>
    </row>
    <row r="196" spans="34:34" ht="15" customHeight="1">
      <c r="AH196" s="383"/>
    </row>
    <row r="197" spans="34:34" ht="15" customHeight="1">
      <c r="AH197" s="383"/>
    </row>
    <row r="198" spans="34:34" ht="15" customHeight="1">
      <c r="AH198" s="383"/>
    </row>
    <row r="199" spans="34:34" ht="15" customHeight="1">
      <c r="AH199" s="383"/>
    </row>
    <row r="200" spans="34:34" ht="15" customHeight="1">
      <c r="AH200" s="383"/>
    </row>
    <row r="201" spans="34:34" ht="15" customHeight="1">
      <c r="AH201" s="383"/>
    </row>
    <row r="202" spans="34:34" ht="15" customHeight="1">
      <c r="AH202" s="383"/>
    </row>
    <row r="203" spans="34:34" ht="15" customHeight="1">
      <c r="AH203" s="383"/>
    </row>
    <row r="204" spans="34:34" ht="15" customHeight="1">
      <c r="AH204" s="383"/>
    </row>
    <row r="205" spans="34:34" ht="15" customHeight="1">
      <c r="AH205" s="383"/>
    </row>
    <row r="206" spans="34:34" ht="15" customHeight="1">
      <c r="AH206" s="383"/>
    </row>
    <row r="207" spans="34:34" ht="15" customHeight="1">
      <c r="AH207" s="383"/>
    </row>
    <row r="208" spans="34:34" ht="15" customHeight="1">
      <c r="AH208" s="383"/>
    </row>
    <row r="209" spans="34:34" ht="15" customHeight="1">
      <c r="AH209" s="383"/>
    </row>
    <row r="210" spans="34:34" ht="15" customHeight="1">
      <c r="AH210" s="383"/>
    </row>
    <row r="211" spans="34:34" ht="15" customHeight="1">
      <c r="AH211" s="383"/>
    </row>
    <row r="212" spans="34:34" ht="15" customHeight="1">
      <c r="AH212" s="383"/>
    </row>
    <row r="213" spans="34:34" ht="15" customHeight="1">
      <c r="AH213" s="383"/>
    </row>
    <row r="214" spans="34:34" ht="15" customHeight="1">
      <c r="AH214" s="383"/>
    </row>
    <row r="215" spans="34:34" ht="15" customHeight="1">
      <c r="AH215" s="383"/>
    </row>
    <row r="216" spans="34:34" ht="15" customHeight="1">
      <c r="AH216" s="383"/>
    </row>
    <row r="217" spans="34:34" ht="15" customHeight="1">
      <c r="AH217" s="383"/>
    </row>
    <row r="218" spans="34:34" ht="15" customHeight="1">
      <c r="AH218" s="383"/>
    </row>
    <row r="219" spans="34:34" ht="15" customHeight="1">
      <c r="AH219" s="383"/>
    </row>
    <row r="220" spans="34:34" ht="15" customHeight="1">
      <c r="AH220" s="383"/>
    </row>
    <row r="221" spans="34:34" ht="15" customHeight="1">
      <c r="AH221" s="383"/>
    </row>
    <row r="222" spans="34:34" ht="15" customHeight="1">
      <c r="AH222" s="383"/>
    </row>
    <row r="223" spans="34:34" ht="15" customHeight="1">
      <c r="AH223" s="383"/>
    </row>
    <row r="224" spans="34:34" ht="15" customHeight="1">
      <c r="AH224" s="383"/>
    </row>
    <row r="225" spans="34:34" ht="15" customHeight="1">
      <c r="AH225" s="383"/>
    </row>
    <row r="226" spans="34:34" ht="15" customHeight="1">
      <c r="AH226" s="383"/>
    </row>
    <row r="227" spans="34:34" ht="15" customHeight="1">
      <c r="AH227" s="383"/>
    </row>
    <row r="228" spans="34:34" ht="15" customHeight="1">
      <c r="AH228" s="383"/>
    </row>
    <row r="229" spans="34:34" ht="15" customHeight="1">
      <c r="AH229" s="383"/>
    </row>
    <row r="230" spans="34:34" ht="15" customHeight="1">
      <c r="AH230" s="383"/>
    </row>
    <row r="231" spans="34:34" ht="15" customHeight="1">
      <c r="AH231" s="383"/>
    </row>
    <row r="232" spans="34:34" ht="15" customHeight="1">
      <c r="AH232" s="383"/>
    </row>
    <row r="233" spans="34:34" ht="15" customHeight="1">
      <c r="AH233" s="383"/>
    </row>
    <row r="234" spans="34:34" ht="15" customHeight="1">
      <c r="AH234" s="383"/>
    </row>
    <row r="235" spans="34:34" ht="15" customHeight="1">
      <c r="AH235" s="383"/>
    </row>
    <row r="236" spans="34:34" ht="15" customHeight="1">
      <c r="AH236" s="383"/>
    </row>
    <row r="237" spans="34:34" ht="15" customHeight="1">
      <c r="AH237" s="383"/>
    </row>
    <row r="238" spans="34:34" ht="15" customHeight="1">
      <c r="AH238" s="383"/>
    </row>
    <row r="239" spans="34:34" ht="15" customHeight="1">
      <c r="AH239" s="383"/>
    </row>
    <row r="240" spans="34:34" ht="15" customHeight="1">
      <c r="AH240" s="383"/>
    </row>
    <row r="241" spans="34:34" ht="15" customHeight="1">
      <c r="AH241" s="383"/>
    </row>
    <row r="242" spans="34:34" ht="15" customHeight="1">
      <c r="AH242" s="383"/>
    </row>
    <row r="243" spans="34:34" ht="15" customHeight="1">
      <c r="AH243" s="383"/>
    </row>
    <row r="244" spans="34:34" ht="15" customHeight="1">
      <c r="AH244" s="383"/>
    </row>
    <row r="245" spans="34:34" ht="15" customHeight="1">
      <c r="AH245" s="383"/>
    </row>
    <row r="246" spans="34:34" ht="15" customHeight="1">
      <c r="AH246" s="383"/>
    </row>
    <row r="247" spans="34:34" ht="15" customHeight="1">
      <c r="AH247" s="383"/>
    </row>
    <row r="248" spans="34:34" ht="15" customHeight="1">
      <c r="AH248" s="383"/>
    </row>
    <row r="249" spans="34:34" ht="15" customHeight="1">
      <c r="AH249" s="383"/>
    </row>
    <row r="250" spans="34:34" ht="15" customHeight="1">
      <c r="AH250" s="383"/>
    </row>
    <row r="251" spans="34:34" ht="15" customHeight="1">
      <c r="AH251" s="383"/>
    </row>
    <row r="252" spans="34:34" ht="15" customHeight="1">
      <c r="AH252" s="383"/>
    </row>
    <row r="253" spans="34:34" ht="15" customHeight="1">
      <c r="AH253" s="383"/>
    </row>
    <row r="254" spans="34:34" ht="15" customHeight="1">
      <c r="AH254" s="383"/>
    </row>
    <row r="255" spans="34:34" ht="15" customHeight="1">
      <c r="AH255" s="383"/>
    </row>
    <row r="256" spans="34:34" ht="15" customHeight="1">
      <c r="AH256" s="383"/>
    </row>
    <row r="257" spans="34:34" ht="15" customHeight="1">
      <c r="AH257" s="383"/>
    </row>
    <row r="258" spans="34:34" ht="15" customHeight="1">
      <c r="AH258" s="383"/>
    </row>
    <row r="259" spans="34:34" ht="15" customHeight="1">
      <c r="AH259" s="383"/>
    </row>
    <row r="260" spans="34:34" ht="15" customHeight="1">
      <c r="AH260" s="383"/>
    </row>
    <row r="261" spans="34:34" ht="15" customHeight="1">
      <c r="AH261" s="383"/>
    </row>
    <row r="262" spans="34:34" ht="15" customHeight="1">
      <c r="AH262" s="383"/>
    </row>
    <row r="263" spans="34:34" ht="15" customHeight="1">
      <c r="AH263" s="383"/>
    </row>
    <row r="264" spans="34:34" ht="15" customHeight="1">
      <c r="AH264" s="383"/>
    </row>
    <row r="265" spans="34:34" ht="15" customHeight="1">
      <c r="AH265" s="383"/>
    </row>
    <row r="266" spans="34:34" ht="15" customHeight="1">
      <c r="AH266" s="383"/>
    </row>
    <row r="267" spans="34:34" ht="15" customHeight="1">
      <c r="AH267" s="383"/>
    </row>
    <row r="268" spans="34:34" ht="15" customHeight="1">
      <c r="AH268" s="383"/>
    </row>
    <row r="269" spans="34:34" ht="15" customHeight="1">
      <c r="AH269" s="383"/>
    </row>
    <row r="270" spans="34:34" ht="15" customHeight="1">
      <c r="AH270" s="383"/>
    </row>
    <row r="271" spans="34:34" ht="15" customHeight="1">
      <c r="AH271" s="383"/>
    </row>
    <row r="272" spans="34:34" ht="15" customHeight="1">
      <c r="AH272" s="383"/>
    </row>
    <row r="273" spans="34:34" ht="15" customHeight="1">
      <c r="AH273" s="383"/>
    </row>
    <row r="274" spans="34:34" ht="15" customHeight="1">
      <c r="AH274" s="383"/>
    </row>
    <row r="275" spans="34:34" ht="15" customHeight="1">
      <c r="AH275" s="383"/>
    </row>
    <row r="276" spans="34:34" ht="15" customHeight="1">
      <c r="AH276" s="383"/>
    </row>
    <row r="277" spans="34:34" ht="15" customHeight="1">
      <c r="AH277" s="383"/>
    </row>
    <row r="278" spans="34:34" ht="15" customHeight="1">
      <c r="AH278" s="383"/>
    </row>
    <row r="279" spans="34:34" ht="15" customHeight="1">
      <c r="AH279" s="383"/>
    </row>
    <row r="280" spans="34:34" ht="15" customHeight="1">
      <c r="AH280" s="383"/>
    </row>
    <row r="281" spans="34:34" ht="15" customHeight="1">
      <c r="AH281" s="383"/>
    </row>
    <row r="282" spans="34:34" ht="15" customHeight="1">
      <c r="AH282" s="383"/>
    </row>
    <row r="283" spans="34:34" ht="15" customHeight="1">
      <c r="AH283" s="383"/>
    </row>
    <row r="284" spans="34:34" ht="15" customHeight="1">
      <c r="AH284" s="383"/>
    </row>
    <row r="285" spans="34:34" ht="15" customHeight="1">
      <c r="AH285" s="383"/>
    </row>
    <row r="286" spans="34:34" ht="15" customHeight="1">
      <c r="AH286" s="383"/>
    </row>
    <row r="287" spans="34:34" ht="15" customHeight="1">
      <c r="AH287" s="383"/>
    </row>
    <row r="288" spans="34:34" ht="15" customHeight="1">
      <c r="AH288" s="383"/>
    </row>
    <row r="289" spans="34:34" ht="15" customHeight="1">
      <c r="AH289" s="383"/>
    </row>
    <row r="290" spans="34:34" ht="15" customHeight="1">
      <c r="AH290" s="383"/>
    </row>
    <row r="291" spans="34:34" ht="15" customHeight="1">
      <c r="AH291" s="383"/>
    </row>
    <row r="292" spans="34:34" ht="15" customHeight="1">
      <c r="AH292" s="383"/>
    </row>
    <row r="293" spans="34:34" ht="15" customHeight="1">
      <c r="AH293" s="383"/>
    </row>
    <row r="294" spans="34:34" ht="15" customHeight="1">
      <c r="AH294" s="383"/>
    </row>
    <row r="295" spans="34:34" ht="15" customHeight="1">
      <c r="AH295" s="383"/>
    </row>
    <row r="296" spans="34:34" ht="15" customHeight="1">
      <c r="AH296" s="383"/>
    </row>
    <row r="297" spans="34:34" ht="15" customHeight="1">
      <c r="AH297" s="383"/>
    </row>
    <row r="298" spans="34:34" ht="15" customHeight="1">
      <c r="AH298" s="383"/>
    </row>
    <row r="299" spans="34:34" ht="15" customHeight="1">
      <c r="AH299" s="383"/>
    </row>
    <row r="300" spans="34:34" ht="15" customHeight="1">
      <c r="AH300" s="383"/>
    </row>
    <row r="301" spans="34:34" ht="15" customHeight="1">
      <c r="AH301" s="383"/>
    </row>
    <row r="302" spans="34:34" ht="15" customHeight="1">
      <c r="AH302" s="383"/>
    </row>
    <row r="303" spans="34:34" ht="15" customHeight="1">
      <c r="AH303" s="383"/>
    </row>
    <row r="304" spans="34:34" ht="15" customHeight="1">
      <c r="AH304" s="383"/>
    </row>
    <row r="305" spans="34:34" ht="15" customHeight="1">
      <c r="AH305" s="383"/>
    </row>
    <row r="306" spans="34:34" ht="15" customHeight="1">
      <c r="AH306" s="383"/>
    </row>
    <row r="307" spans="34:34" ht="15" customHeight="1">
      <c r="AH307" s="383"/>
    </row>
    <row r="308" spans="34:34" ht="15" customHeight="1">
      <c r="AH308" s="383"/>
    </row>
    <row r="309" spans="34:34" ht="15" customHeight="1">
      <c r="AH309" s="383"/>
    </row>
    <row r="310" spans="34:34" ht="15" customHeight="1">
      <c r="AH310" s="383"/>
    </row>
    <row r="311" spans="34:34" ht="15" customHeight="1">
      <c r="AH311" s="383"/>
    </row>
    <row r="312" spans="34:34" ht="15" customHeight="1">
      <c r="AH312" s="383"/>
    </row>
    <row r="313" spans="34:34" ht="15" customHeight="1">
      <c r="AH313" s="383"/>
    </row>
    <row r="314" spans="34:34" ht="15" customHeight="1">
      <c r="AH314" s="383"/>
    </row>
    <row r="315" spans="34:34" ht="15" customHeight="1">
      <c r="AH315" s="383"/>
    </row>
    <row r="316" spans="34:34" ht="15" customHeight="1">
      <c r="AH316" s="383"/>
    </row>
    <row r="317" spans="34:34" ht="15" customHeight="1">
      <c r="AH317" s="383"/>
    </row>
    <row r="318" spans="34:34" ht="15" customHeight="1">
      <c r="AH318" s="383"/>
    </row>
    <row r="319" spans="34:34" ht="15" customHeight="1">
      <c r="AH319" s="383"/>
    </row>
    <row r="320" spans="34:34" ht="15" customHeight="1">
      <c r="AH320" s="383"/>
    </row>
    <row r="321" spans="34:34" ht="15" customHeight="1">
      <c r="AH321" s="383"/>
    </row>
    <row r="322" spans="34:34" ht="15" customHeight="1">
      <c r="AH322" s="383"/>
    </row>
    <row r="323" spans="34:34" ht="15" customHeight="1">
      <c r="AH323" s="383"/>
    </row>
    <row r="324" spans="34:34" ht="15" customHeight="1">
      <c r="AH324" s="383"/>
    </row>
    <row r="325" spans="34:34" ht="15" customHeight="1">
      <c r="AH325" s="383"/>
    </row>
    <row r="326" spans="34:34" ht="15" customHeight="1">
      <c r="AH326" s="383"/>
    </row>
    <row r="327" spans="34:34" ht="15" customHeight="1">
      <c r="AH327" s="383"/>
    </row>
    <row r="328" spans="34:34" ht="15" customHeight="1">
      <c r="AH328" s="383"/>
    </row>
    <row r="329" spans="34:34" ht="15" customHeight="1">
      <c r="AH329" s="383"/>
    </row>
    <row r="330" spans="34:34" ht="15" customHeight="1">
      <c r="AH330" s="383"/>
    </row>
    <row r="331" spans="34:34" ht="15" customHeight="1">
      <c r="AH331" s="383"/>
    </row>
    <row r="332" spans="34:34" ht="15" customHeight="1">
      <c r="AH332" s="383"/>
    </row>
    <row r="333" spans="34:34" ht="15" customHeight="1">
      <c r="AH333" s="383"/>
    </row>
    <row r="334" spans="34:34" ht="15" customHeight="1">
      <c r="AH334" s="383"/>
    </row>
    <row r="335" spans="34:34" ht="15" customHeight="1">
      <c r="AH335" s="383"/>
    </row>
    <row r="336" spans="34:34" ht="15" customHeight="1">
      <c r="AH336" s="383"/>
    </row>
    <row r="337" spans="34:34" ht="15" customHeight="1">
      <c r="AH337" s="383"/>
    </row>
    <row r="338" spans="34:34" ht="15" customHeight="1">
      <c r="AH338" s="383"/>
    </row>
    <row r="339" spans="34:34" ht="15" customHeight="1">
      <c r="AH339" s="383"/>
    </row>
    <row r="340" spans="34:34" ht="15" customHeight="1">
      <c r="AH340" s="383"/>
    </row>
    <row r="341" spans="34:34" ht="15" customHeight="1">
      <c r="AH341" s="383"/>
    </row>
    <row r="342" spans="34:34" ht="15" customHeight="1">
      <c r="AH342" s="383"/>
    </row>
    <row r="343" spans="34:34" ht="15" customHeight="1">
      <c r="AH343" s="383"/>
    </row>
    <row r="344" spans="34:34" ht="15" customHeight="1">
      <c r="AH344" s="383"/>
    </row>
    <row r="345" spans="34:34" ht="15" customHeight="1">
      <c r="AH345" s="383"/>
    </row>
    <row r="346" spans="34:34" ht="15" customHeight="1">
      <c r="AH346" s="383"/>
    </row>
    <row r="347" spans="34:34" ht="15" customHeight="1">
      <c r="AH347" s="383"/>
    </row>
    <row r="348" spans="34:34" ht="15" customHeight="1">
      <c r="AH348" s="383"/>
    </row>
    <row r="349" spans="34:34" ht="15" customHeight="1">
      <c r="AH349" s="383"/>
    </row>
    <row r="350" spans="34:34" ht="15" customHeight="1">
      <c r="AH350" s="383"/>
    </row>
    <row r="351" spans="34:34" ht="15" customHeight="1">
      <c r="AH351" s="383"/>
    </row>
    <row r="352" spans="34:34" ht="15" customHeight="1">
      <c r="AH352" s="383"/>
    </row>
    <row r="353" spans="34:34" ht="15" customHeight="1">
      <c r="AH353" s="383"/>
    </row>
    <row r="354" spans="34:34" ht="15" customHeight="1">
      <c r="AH354" s="383"/>
    </row>
    <row r="355" spans="34:34" ht="15" customHeight="1">
      <c r="AH355" s="383"/>
    </row>
    <row r="356" spans="34:34" ht="15" customHeight="1">
      <c r="AH356" s="383"/>
    </row>
    <row r="357" spans="34:34" ht="15" customHeight="1">
      <c r="AH357" s="383"/>
    </row>
    <row r="358" spans="34:34" ht="15" customHeight="1">
      <c r="AH358" s="383"/>
    </row>
    <row r="359" spans="34:34" ht="15" customHeight="1">
      <c r="AH359" s="383"/>
    </row>
    <row r="360" spans="34:34" ht="15" customHeight="1">
      <c r="AH360" s="383"/>
    </row>
    <row r="361" spans="34:34" ht="15" customHeight="1">
      <c r="AH361" s="383"/>
    </row>
    <row r="362" spans="34:34" ht="15" customHeight="1">
      <c r="AH362" s="383"/>
    </row>
    <row r="363" spans="34:34" ht="15" customHeight="1">
      <c r="AH363" s="383"/>
    </row>
    <row r="364" spans="34:34" ht="15" customHeight="1">
      <c r="AH364" s="383"/>
    </row>
    <row r="365" spans="34:34" ht="15" customHeight="1">
      <c r="AH365" s="383"/>
    </row>
    <row r="366" spans="34:34" ht="15" customHeight="1">
      <c r="AH366" s="383"/>
    </row>
    <row r="367" spans="34:34" ht="15" customHeight="1">
      <c r="AH367" s="383"/>
    </row>
    <row r="368" spans="34:34" ht="15" customHeight="1">
      <c r="AH368" s="383"/>
    </row>
    <row r="369" spans="34:34" ht="15" customHeight="1">
      <c r="AH369" s="383"/>
    </row>
    <row r="370" spans="34:34" ht="15" customHeight="1">
      <c r="AH370" s="383"/>
    </row>
    <row r="371" spans="34:34" ht="15" customHeight="1">
      <c r="AH371" s="383"/>
    </row>
    <row r="372" spans="34:34" ht="15" customHeight="1">
      <c r="AH372" s="383"/>
    </row>
    <row r="373" spans="34:34" ht="15" customHeight="1">
      <c r="AH373" s="383"/>
    </row>
    <row r="374" spans="34:34" ht="15" customHeight="1">
      <c r="AH374" s="383"/>
    </row>
    <row r="375" spans="34:34" ht="15" customHeight="1">
      <c r="AH375" s="383"/>
    </row>
    <row r="376" spans="34:34" ht="15" customHeight="1">
      <c r="AH376" s="383"/>
    </row>
    <row r="377" spans="34:34" ht="15" customHeight="1">
      <c r="AH377" s="383"/>
    </row>
    <row r="378" spans="34:34" ht="15" customHeight="1">
      <c r="AH378" s="383"/>
    </row>
    <row r="379" spans="34:34" ht="15" customHeight="1">
      <c r="AH379" s="383"/>
    </row>
    <row r="380" spans="34:34" ht="15" customHeight="1">
      <c r="AH380" s="383"/>
    </row>
    <row r="381" spans="34:34" ht="15" customHeight="1">
      <c r="AH381" s="383"/>
    </row>
    <row r="382" spans="34:34" ht="15" customHeight="1">
      <c r="AH382" s="383"/>
    </row>
    <row r="383" spans="34:34" ht="15" customHeight="1">
      <c r="AH383" s="383"/>
    </row>
    <row r="384" spans="34:34" ht="15" customHeight="1">
      <c r="AH384" s="383"/>
    </row>
    <row r="385" spans="34:34" ht="15" customHeight="1">
      <c r="AH385" s="383"/>
    </row>
    <row r="386" spans="34:34" ht="15" customHeight="1">
      <c r="AH386" s="383"/>
    </row>
    <row r="387" spans="34:34" ht="15" customHeight="1">
      <c r="AH387" s="383"/>
    </row>
    <row r="388" spans="34:34" ht="15" customHeight="1">
      <c r="AH388" s="383"/>
    </row>
    <row r="389" spans="34:34" ht="15" customHeight="1">
      <c r="AH389" s="383"/>
    </row>
    <row r="390" spans="34:34" ht="15" customHeight="1">
      <c r="AH390" s="383"/>
    </row>
    <row r="391" spans="34:34" ht="15" customHeight="1">
      <c r="AH391" s="383"/>
    </row>
    <row r="392" spans="34:34" ht="15" customHeight="1">
      <c r="AH392" s="383"/>
    </row>
    <row r="393" spans="34:34" ht="15" customHeight="1">
      <c r="AH393" s="383"/>
    </row>
    <row r="394" spans="34:34" ht="15" customHeight="1">
      <c r="AH394" s="383"/>
    </row>
    <row r="395" spans="34:34" ht="15" customHeight="1">
      <c r="AH395" s="383"/>
    </row>
    <row r="396" spans="34:34" ht="15" customHeight="1">
      <c r="AH396" s="383"/>
    </row>
    <row r="397" spans="34:34" ht="15" customHeight="1">
      <c r="AH397" s="383"/>
    </row>
    <row r="398" spans="34:34" ht="15" customHeight="1">
      <c r="AH398" s="383"/>
    </row>
    <row r="399" spans="34:34" ht="15" customHeight="1">
      <c r="AH399" s="383"/>
    </row>
    <row r="400" spans="34:34" ht="15" customHeight="1">
      <c r="AH400" s="383"/>
    </row>
    <row r="401" spans="34:34" ht="15" customHeight="1">
      <c r="AH401" s="383"/>
    </row>
    <row r="402" spans="34:34" ht="15" customHeight="1">
      <c r="AH402" s="383"/>
    </row>
    <row r="403" spans="34:34" ht="15" customHeight="1">
      <c r="AH403" s="383"/>
    </row>
    <row r="404" spans="34:34" ht="15" customHeight="1">
      <c r="AH404" s="383"/>
    </row>
    <row r="405" spans="34:34" ht="15" customHeight="1">
      <c r="AH405" s="383"/>
    </row>
    <row r="406" spans="34:34" ht="15" customHeight="1">
      <c r="AH406" s="383"/>
    </row>
    <row r="407" spans="34:34" ht="15" customHeight="1">
      <c r="AH407" s="383"/>
    </row>
    <row r="408" spans="34:34" ht="15" customHeight="1">
      <c r="AH408" s="383"/>
    </row>
    <row r="409" spans="34:34" ht="15" customHeight="1">
      <c r="AH409" s="383"/>
    </row>
    <row r="410" spans="34:34" ht="15" customHeight="1">
      <c r="AH410" s="383"/>
    </row>
    <row r="411" spans="34:34" ht="15" customHeight="1">
      <c r="AH411" s="383"/>
    </row>
    <row r="412" spans="34:34" ht="15" customHeight="1">
      <c r="AH412" s="383"/>
    </row>
    <row r="413" spans="34:34" ht="15" customHeight="1">
      <c r="AH413" s="383"/>
    </row>
    <row r="414" spans="34:34" ht="15" customHeight="1">
      <c r="AH414" s="383"/>
    </row>
    <row r="415" spans="34:34" ht="15" customHeight="1">
      <c r="AH415" s="383"/>
    </row>
    <row r="416" spans="34:34" ht="15" customHeight="1">
      <c r="AH416" s="383"/>
    </row>
    <row r="417" spans="34:34" ht="15" customHeight="1">
      <c r="AH417" s="383"/>
    </row>
    <row r="418" spans="34:34" ht="15" customHeight="1">
      <c r="AH418" s="383"/>
    </row>
    <row r="419" spans="34:34" ht="15" customHeight="1">
      <c r="AH419" s="383"/>
    </row>
    <row r="420" spans="34:34" ht="15" customHeight="1">
      <c r="AH420" s="383"/>
    </row>
    <row r="421" spans="34:34" ht="15" customHeight="1">
      <c r="AH421" s="383"/>
    </row>
    <row r="422" spans="34:34" ht="15" customHeight="1">
      <c r="AH422" s="383"/>
    </row>
    <row r="423" spans="34:34" ht="15" customHeight="1">
      <c r="AH423" s="383"/>
    </row>
    <row r="424" spans="34:34" ht="15" customHeight="1">
      <c r="AH424" s="383"/>
    </row>
    <row r="425" spans="34:34" ht="15" customHeight="1">
      <c r="AH425" s="383"/>
    </row>
    <row r="426" spans="34:34" ht="15" customHeight="1">
      <c r="AH426" s="383"/>
    </row>
    <row r="427" spans="34:34" ht="15" customHeight="1">
      <c r="AH427" s="383"/>
    </row>
    <row r="428" spans="34:34" ht="15" customHeight="1">
      <c r="AH428" s="383"/>
    </row>
    <row r="429" spans="34:34" ht="15" customHeight="1">
      <c r="AH429" s="383"/>
    </row>
    <row r="430" spans="34:34" ht="15" customHeight="1">
      <c r="AH430" s="383"/>
    </row>
    <row r="431" spans="34:34" ht="15" customHeight="1">
      <c r="AH431" s="383"/>
    </row>
    <row r="432" spans="34:34" ht="15" customHeight="1">
      <c r="AH432" s="383"/>
    </row>
    <row r="433" spans="34:34" ht="15" customHeight="1">
      <c r="AH433" s="383"/>
    </row>
    <row r="434" spans="34:34" ht="15" customHeight="1">
      <c r="AH434" s="383"/>
    </row>
    <row r="435" spans="34:34" ht="15" customHeight="1">
      <c r="AH435" s="383"/>
    </row>
    <row r="436" spans="34:34" ht="15" customHeight="1">
      <c r="AH436" s="383"/>
    </row>
    <row r="437" spans="34:34" ht="15" customHeight="1">
      <c r="AH437" s="383"/>
    </row>
    <row r="438" spans="34:34" ht="15" customHeight="1">
      <c r="AH438" s="383"/>
    </row>
    <row r="439" spans="34:34" ht="15" customHeight="1">
      <c r="AH439" s="383"/>
    </row>
    <row r="440" spans="34:34" ht="15" customHeight="1">
      <c r="AH440" s="383"/>
    </row>
    <row r="441" spans="34:34" ht="15" customHeight="1">
      <c r="AH441" s="383"/>
    </row>
    <row r="442" spans="34:34" ht="15" customHeight="1">
      <c r="AH442" s="383"/>
    </row>
    <row r="443" spans="34:34" ht="15" customHeight="1">
      <c r="AH443" s="383"/>
    </row>
    <row r="444" spans="34:34" ht="15" customHeight="1">
      <c r="AH444" s="383"/>
    </row>
    <row r="445" spans="34:34" ht="15" customHeight="1">
      <c r="AH445" s="383"/>
    </row>
    <row r="446" spans="34:34" ht="15" customHeight="1">
      <c r="AH446" s="383"/>
    </row>
    <row r="447" spans="34:34" ht="15" customHeight="1">
      <c r="AH447" s="383"/>
    </row>
    <row r="448" spans="34:34" ht="15" customHeight="1">
      <c r="AH448" s="383"/>
    </row>
    <row r="449" spans="34:34" ht="15" customHeight="1">
      <c r="AH449" s="383"/>
    </row>
    <row r="450" spans="34:34" ht="15" customHeight="1">
      <c r="AH450" s="383"/>
    </row>
    <row r="451" spans="34:34" ht="15" customHeight="1">
      <c r="AH451" s="383"/>
    </row>
    <row r="452" spans="34:34" ht="15" customHeight="1">
      <c r="AH452" s="383"/>
    </row>
    <row r="453" spans="34:34" ht="15" customHeight="1">
      <c r="AH453" s="383"/>
    </row>
    <row r="454" spans="34:34" ht="15" customHeight="1">
      <c r="AH454" s="383"/>
    </row>
    <row r="455" spans="34:34" ht="15" customHeight="1">
      <c r="AH455" s="383"/>
    </row>
    <row r="456" spans="34:34" ht="15" customHeight="1">
      <c r="AH456" s="383"/>
    </row>
    <row r="457" spans="34:34" ht="15" customHeight="1">
      <c r="AH457" s="383"/>
    </row>
    <row r="458" spans="34:34" ht="15" customHeight="1">
      <c r="AH458" s="383"/>
    </row>
    <row r="459" spans="34:34" ht="15" customHeight="1">
      <c r="AH459" s="383"/>
    </row>
  </sheetData>
  <sheetProtection formatCells="0" formatColumns="0" formatRows="0" insertColumns="0" insertRows="0"/>
  <protectedRanges>
    <protectedRange sqref="A37:A39 AQ38:AS38 AD37:AF39 AP39:BI39 BS37:CF39 AT37:BI38 AG38:AG39 A43 O40:P42 AE40:AF42 BH40:BH42 BW40:CF42 C37:P38 C39:Q39 C43:Q43 S43:AG43 S39:AC39 AI38:AO39 AI43:BI43 BK39:BR39 BK37:BQ38 BK43:CF43 A78 N78:P257 O44:P77 C78:M78 Q78 AD78:AF258 AE45:AF77 S78:AC78 AF44 AT78:BH257 AS78:AS259 AG78 AI78:AR78 AU44:BH77 BI78 BU78:BU259 BV79:CF257 BK78:BT78 BW44:BX77 BV78:BX78 BZ78:CF78 BZ44:CI77 A82:A262 C82:M262 L79:M81 Q82:Q263 S82:AC263 AB79:AC81 AQ82:AR260 AR79:AR81 AP82:AP263 AG82:AG260 AI82:AO260 BI82:BI260 BR82:BR263 BS82:BT260 BT79:BT81 BK82:BQ260" name="Range1"/>
    <protectedRange sqref="I1:J1 BB1 Y1:Z1 AO1:AP1 BR1" name="Range2"/>
    <protectedRange sqref="N2:P2 AD2:AF2 AT2:BI2 BK2:BX2" name="Range1_2"/>
    <protectedRange sqref="BQ1" name="Range2_1_1"/>
    <protectedRange sqref="CC2:CT2" name="Range1_2_1_1"/>
    <protectedRange sqref="B37:B39 B43 R37:R39 R43 AH37:AH39 AH43 BJ37:BJ39 BJ43 B78 R78 AH78 BJ78 B82:B502 R82:R502 AH82:AH459 BJ82:BJ502" name="Range1_1"/>
    <protectedRange sqref="B1 R1 AH1 BJ1" name="Range1_1_1"/>
  </protectedRanges>
  <mergeCells count="5">
    <mergeCell ref="AU40:AX40"/>
    <mergeCell ref="A81:F81"/>
    <mergeCell ref="Q81:V81"/>
    <mergeCell ref="AG81:AL81"/>
    <mergeCell ref="BI81:BN81"/>
  </mergeCells>
  <conditionalFormatting sqref="A2 M3:M34 C2:M2">
    <cfRule type="containsText" dxfId="497" priority="176" stopIfTrue="1" operator="containsText" text="ELTÉRÉS!">
      <formula>NOT(ISERROR(SEARCH("ELTÉRÉS!",A2)))</formula>
    </cfRule>
    <cfRule type="containsText" dxfId="496" priority="177" stopIfTrue="1" operator="containsText" text="STIMMEL!">
      <formula>NOT(ISERROR(SEARCH("STIMMEL!",A2)))</formula>
    </cfRule>
  </conditionalFormatting>
  <conditionalFormatting sqref="A2 M3:M34 C2:M2">
    <cfRule type="cellIs" dxfId="495" priority="175" operator="equal">
      <formula>0.01</formula>
    </cfRule>
  </conditionalFormatting>
  <conditionalFormatting sqref="Q2 S2:AC2">
    <cfRule type="containsText" dxfId="494" priority="173" stopIfTrue="1" operator="containsText" text="ELTÉRÉS!">
      <formula>NOT(ISERROR(SEARCH("ELTÉRÉS!",Q2)))</formula>
    </cfRule>
    <cfRule type="containsText" dxfId="493" priority="174" stopIfTrue="1" operator="containsText" text="STIMMEL!">
      <formula>NOT(ISERROR(SEARCH("STIMMEL!",Q2)))</formula>
    </cfRule>
  </conditionalFormatting>
  <conditionalFormatting sqref="Q2 S2:AC2">
    <cfRule type="cellIs" dxfId="492" priority="172" operator="equal">
      <formula>0.01</formula>
    </cfRule>
  </conditionalFormatting>
  <conditionalFormatting sqref="AG2 AI2:AS2">
    <cfRule type="containsText" dxfId="491" priority="170" stopIfTrue="1" operator="containsText" text="ELTÉRÉS!">
      <formula>NOT(ISERROR(SEARCH("ELTÉRÉS!",AG2)))</formula>
    </cfRule>
    <cfRule type="containsText" dxfId="490" priority="171" stopIfTrue="1" operator="containsText" text="STIMMEL!">
      <formula>NOT(ISERROR(SEARCH("STIMMEL!",AG2)))</formula>
    </cfRule>
  </conditionalFormatting>
  <conditionalFormatting sqref="AG2 AI2:AS2">
    <cfRule type="cellIs" dxfId="489" priority="169" operator="equal">
      <formula>0.01</formula>
    </cfRule>
  </conditionalFormatting>
  <conditionalFormatting sqref="A3:A34 C3:L34">
    <cfRule type="containsText" dxfId="488" priority="167" stopIfTrue="1" operator="containsText" text="ELTÉRÉS!">
      <formula>NOT(ISERROR(SEARCH("ELTÉRÉS!",A3)))</formula>
    </cfRule>
    <cfRule type="containsText" dxfId="487" priority="168" stopIfTrue="1" operator="containsText" text="STIMMEL!">
      <formula>NOT(ISERROR(SEARCH("STIMMEL!",A3)))</formula>
    </cfRule>
  </conditionalFormatting>
  <conditionalFormatting sqref="A3:A34 C3:L34">
    <cfRule type="cellIs" dxfId="486" priority="166" operator="equal">
      <formula>0.01</formula>
    </cfRule>
  </conditionalFormatting>
  <conditionalFormatting sqref="AC3:AC34">
    <cfRule type="containsText" dxfId="485" priority="164" stopIfTrue="1" operator="containsText" text="ELTÉRÉS!">
      <formula>NOT(ISERROR(SEARCH("ELTÉRÉS!",AC3)))</formula>
    </cfRule>
    <cfRule type="containsText" dxfId="484" priority="165" stopIfTrue="1" operator="containsText" text="STIMMEL!">
      <formula>NOT(ISERROR(SEARCH("STIMMEL!",AC3)))</formula>
    </cfRule>
  </conditionalFormatting>
  <conditionalFormatting sqref="AC3:AC34">
    <cfRule type="cellIs" dxfId="483" priority="163" operator="equal">
      <formula>0.01</formula>
    </cfRule>
  </conditionalFormatting>
  <conditionalFormatting sqref="Q3:Q34 S3:AB34">
    <cfRule type="containsText" dxfId="482" priority="161" stopIfTrue="1" operator="containsText" text="ELTÉRÉS!">
      <formula>NOT(ISERROR(SEARCH("ELTÉRÉS!",Q3)))</formula>
    </cfRule>
    <cfRule type="containsText" dxfId="481" priority="162" stopIfTrue="1" operator="containsText" text="STIMMEL!">
      <formula>NOT(ISERROR(SEARCH("STIMMEL!",Q3)))</formula>
    </cfRule>
  </conditionalFormatting>
  <conditionalFormatting sqref="Q3:Q34 S3:AB34">
    <cfRule type="cellIs" dxfId="480" priority="160" operator="equal">
      <formula>0.01</formula>
    </cfRule>
  </conditionalFormatting>
  <conditionalFormatting sqref="AS3:AS34">
    <cfRule type="containsText" dxfId="479" priority="158" stopIfTrue="1" operator="containsText" text="ELTÉRÉS!">
      <formula>NOT(ISERROR(SEARCH("ELTÉRÉS!",AS3)))</formula>
    </cfRule>
    <cfRule type="containsText" dxfId="478" priority="159" stopIfTrue="1" operator="containsText" text="STIMMEL!">
      <formula>NOT(ISERROR(SEARCH("STIMMEL!",AS3)))</formula>
    </cfRule>
  </conditionalFormatting>
  <conditionalFormatting sqref="AS3:AS34">
    <cfRule type="cellIs" dxfId="477" priority="157" operator="equal">
      <formula>0.01</formula>
    </cfRule>
  </conditionalFormatting>
  <conditionalFormatting sqref="AG3:AG34 AI3:AR34">
    <cfRule type="containsText" dxfId="476" priority="155" stopIfTrue="1" operator="containsText" text="ELTÉRÉS!">
      <formula>NOT(ISERROR(SEARCH("ELTÉRÉS!",AG3)))</formula>
    </cfRule>
    <cfRule type="containsText" dxfId="475" priority="156" stopIfTrue="1" operator="containsText" text="STIMMEL!">
      <formula>NOT(ISERROR(SEARCH("STIMMEL!",AG3)))</formula>
    </cfRule>
  </conditionalFormatting>
  <conditionalFormatting sqref="AG3:AG34 AI3:AR34">
    <cfRule type="cellIs" dxfId="474" priority="154" operator="equal">
      <formula>0.01</formula>
    </cfRule>
  </conditionalFormatting>
  <conditionalFormatting sqref="BU3:BU34">
    <cfRule type="containsText" dxfId="473" priority="152" stopIfTrue="1" operator="containsText" text="ELTÉRÉS!">
      <formula>NOT(ISERROR(SEARCH("ELTÉRÉS!",BU3)))</formula>
    </cfRule>
    <cfRule type="containsText" dxfId="472" priority="153" stopIfTrue="1" operator="containsText" text="STIMMEL!">
      <formula>NOT(ISERROR(SEARCH("STIMMEL!",BU3)))</formula>
    </cfRule>
  </conditionalFormatting>
  <conditionalFormatting sqref="BU3:BU34">
    <cfRule type="cellIs" dxfId="471" priority="151" operator="equal">
      <formula>0.01</formula>
    </cfRule>
  </conditionalFormatting>
  <conditionalFormatting sqref="BI3:BI34 BK3:BT34">
    <cfRule type="containsText" dxfId="470" priority="149" stopIfTrue="1" operator="containsText" text="ELTÉRÉS!">
      <formula>NOT(ISERROR(SEARCH("ELTÉRÉS!",BI3)))</formula>
    </cfRule>
    <cfRule type="containsText" dxfId="469" priority="150" stopIfTrue="1" operator="containsText" text="STIMMEL!">
      <formula>NOT(ISERROR(SEARCH("STIMMEL!",BI3)))</formula>
    </cfRule>
  </conditionalFormatting>
  <conditionalFormatting sqref="BI3:BI34 BK3:BT34">
    <cfRule type="cellIs" dxfId="468" priority="148" operator="equal">
      <formula>0.01</formula>
    </cfRule>
  </conditionalFormatting>
  <conditionalFormatting sqref="M40:N42">
    <cfRule type="containsText" dxfId="467" priority="146" stopIfTrue="1" operator="containsText" text="ELTÉRÉS!">
      <formula>NOT(ISERROR(SEARCH("ELTÉRÉS!",M40)))</formula>
    </cfRule>
    <cfRule type="containsText" dxfId="466" priority="147" stopIfTrue="1" operator="containsText" text="STIMMEL!">
      <formula>NOT(ISERROR(SEARCH("STIMMEL!",M40)))</formula>
    </cfRule>
  </conditionalFormatting>
  <conditionalFormatting sqref="M40:N42">
    <cfRule type="cellIs" dxfId="465" priority="145" operator="equal">
      <formula>0.01</formula>
    </cfRule>
  </conditionalFormatting>
  <conditionalFormatting sqref="AC40:AD42">
    <cfRule type="containsText" dxfId="464" priority="143" stopIfTrue="1" operator="containsText" text="ELTÉRÉS!">
      <formula>NOT(ISERROR(SEARCH("ELTÉRÉS!",AC40)))</formula>
    </cfRule>
    <cfRule type="containsText" dxfId="463" priority="144" stopIfTrue="1" operator="containsText" text="STIMMEL!">
      <formula>NOT(ISERROR(SEARCH("STIMMEL!",AC40)))</formula>
    </cfRule>
  </conditionalFormatting>
  <conditionalFormatting sqref="AC40:AD42">
    <cfRule type="cellIs" dxfId="462" priority="142" operator="equal">
      <formula>0.01</formula>
    </cfRule>
  </conditionalFormatting>
  <conditionalFormatting sqref="AS41:AT42 AX41:BG42 AS40:AU40 AY40:BG40">
    <cfRule type="containsText" dxfId="461" priority="140" stopIfTrue="1" operator="containsText" text="ELTÉRÉS!">
      <formula>NOT(ISERROR(SEARCH("ELTÉRÉS!",AS40)))</formula>
    </cfRule>
    <cfRule type="containsText" dxfId="460" priority="141" stopIfTrue="1" operator="containsText" text="STIMMEL!">
      <formula>NOT(ISERROR(SEARCH("STIMMEL!",AS40)))</formula>
    </cfRule>
  </conditionalFormatting>
  <conditionalFormatting sqref="AS41:AT42 AX41:BG42 AS40:AU40 AY40:BG40">
    <cfRule type="cellIs" dxfId="459" priority="139" operator="equal">
      <formula>0.01</formula>
    </cfRule>
  </conditionalFormatting>
  <conditionalFormatting sqref="BU40:BV42">
    <cfRule type="containsText" dxfId="458" priority="137" stopIfTrue="1" operator="containsText" text="ELTÉRÉS!">
      <formula>NOT(ISERROR(SEARCH("ELTÉRÉS!",BU40)))</formula>
    </cfRule>
    <cfRule type="containsText" dxfId="457" priority="138" stopIfTrue="1" operator="containsText" text="STIMMEL!">
      <formula>NOT(ISERROR(SEARCH("STIMMEL!",BU40)))</formula>
    </cfRule>
  </conditionalFormatting>
  <conditionalFormatting sqref="BU40:BV42">
    <cfRule type="cellIs" dxfId="456" priority="136" operator="equal">
      <formula>0.01</formula>
    </cfRule>
  </conditionalFormatting>
  <conditionalFormatting sqref="BT40:BT42">
    <cfRule type="containsText" dxfId="455" priority="134" stopIfTrue="1" operator="containsText" text="ELTÉRÉS!">
      <formula>NOT(ISERROR(SEARCH("ELTÉRÉS!",BT40)))</formula>
    </cfRule>
    <cfRule type="containsText" dxfId="454" priority="135" stopIfTrue="1" operator="containsText" text="STIMMEL!">
      <formula>NOT(ISERROR(SEARCH("STIMMEL!",BT40)))</formula>
    </cfRule>
  </conditionalFormatting>
  <conditionalFormatting sqref="BT40:BT42">
    <cfRule type="cellIs" dxfId="453" priority="133" operator="equal">
      <formula>0.01</formula>
    </cfRule>
  </conditionalFormatting>
  <conditionalFormatting sqref="AG40 AK41:AR42 AL40:AR40">
    <cfRule type="containsText" dxfId="452" priority="131" stopIfTrue="1" operator="containsText" text="ELTÉRÉS!">
      <formula>NOT(ISERROR(SEARCH("ELTÉRÉS!",AG40)))</formula>
    </cfRule>
    <cfRule type="containsText" dxfId="451" priority="132" stopIfTrue="1" operator="containsText" text="STIMMEL!">
      <formula>NOT(ISERROR(SEARCH("STIMMEL!",AG40)))</formula>
    </cfRule>
  </conditionalFormatting>
  <conditionalFormatting sqref="AG40 AK41:AR42 AL40:AR40">
    <cfRule type="cellIs" dxfId="450" priority="130" operator="equal">
      <formula>0.01</formula>
    </cfRule>
  </conditionalFormatting>
  <conditionalFormatting sqref="AB40:AB42">
    <cfRule type="containsText" dxfId="449" priority="128" stopIfTrue="1" operator="containsText" text="ELTÉRÉS!">
      <formula>NOT(ISERROR(SEARCH("ELTÉRÉS!",AB40)))</formula>
    </cfRule>
    <cfRule type="containsText" dxfId="448" priority="129" stopIfTrue="1" operator="containsText" text="STIMMEL!">
      <formula>NOT(ISERROR(SEARCH("STIMMEL!",AB40)))</formula>
    </cfRule>
  </conditionalFormatting>
  <conditionalFormatting sqref="AB40:AB42">
    <cfRule type="cellIs" dxfId="447" priority="127" operator="equal">
      <formula>0.01</formula>
    </cfRule>
  </conditionalFormatting>
  <conditionalFormatting sqref="L40:L42">
    <cfRule type="containsText" dxfId="446" priority="125" stopIfTrue="1" operator="containsText" text="ELTÉRÉS!">
      <formula>NOT(ISERROR(SEARCH("ELTÉRÉS!",L40)))</formula>
    </cfRule>
    <cfRule type="containsText" dxfId="445" priority="126" stopIfTrue="1" operator="containsText" text="STIMMEL!">
      <formula>NOT(ISERROR(SEARCH("STIMMEL!",L40)))</formula>
    </cfRule>
  </conditionalFormatting>
  <conditionalFormatting sqref="L40:L42">
    <cfRule type="cellIs" dxfId="444" priority="124" operator="equal">
      <formula>0.01</formula>
    </cfRule>
  </conditionalFormatting>
  <conditionalFormatting sqref="B2:B34">
    <cfRule type="containsText" dxfId="443" priority="122" stopIfTrue="1" operator="containsText" text="ELTÉRÉS!">
      <formula>NOT(ISERROR(SEARCH("ELTÉRÉS!",B2)))</formula>
    </cfRule>
    <cfRule type="containsText" dxfId="442" priority="123" stopIfTrue="1" operator="containsText" text="STIMMEL!">
      <formula>NOT(ISERROR(SEARCH("STIMMEL!",B2)))</formula>
    </cfRule>
  </conditionalFormatting>
  <conditionalFormatting sqref="B2:B34">
    <cfRule type="cellIs" dxfId="441" priority="121" operator="equal">
      <formula>0.01</formula>
    </cfRule>
  </conditionalFormatting>
  <conditionalFormatting sqref="R2:R34">
    <cfRule type="containsText" dxfId="440" priority="116" stopIfTrue="1" operator="containsText" text="ELTÉRÉS!">
      <formula>NOT(ISERROR(SEARCH("ELTÉRÉS!",R2)))</formula>
    </cfRule>
    <cfRule type="containsText" dxfId="439" priority="117" stopIfTrue="1" operator="containsText" text="STIMMEL!">
      <formula>NOT(ISERROR(SEARCH("STIMMEL!",R2)))</formula>
    </cfRule>
  </conditionalFormatting>
  <conditionalFormatting sqref="R2:R34">
    <cfRule type="cellIs" dxfId="438" priority="115" operator="equal">
      <formula>0.01</formula>
    </cfRule>
  </conditionalFormatting>
  <conditionalFormatting sqref="AH2:AH34">
    <cfRule type="containsText" dxfId="437" priority="110" stopIfTrue="1" operator="containsText" text="ELTÉRÉS!">
      <formula>NOT(ISERROR(SEARCH("ELTÉRÉS!",AH2)))</formula>
    </cfRule>
    <cfRule type="containsText" dxfId="436" priority="111" stopIfTrue="1" operator="containsText" text="STIMMEL!">
      <formula>NOT(ISERROR(SEARCH("STIMMEL!",AH2)))</formula>
    </cfRule>
  </conditionalFormatting>
  <conditionalFormatting sqref="AH2:AH34">
    <cfRule type="cellIs" dxfId="435" priority="109" operator="equal">
      <formula>0.01</formula>
    </cfRule>
  </conditionalFormatting>
  <conditionalFormatting sqref="AH40">
    <cfRule type="containsText" dxfId="434" priority="107" stopIfTrue="1" operator="containsText" text="ELTÉRÉS!">
      <formula>NOT(ISERROR(SEARCH("ELTÉRÉS!",AH40)))</formula>
    </cfRule>
    <cfRule type="containsText" dxfId="433" priority="108" stopIfTrue="1" operator="containsText" text="STIMMEL!">
      <formula>NOT(ISERROR(SEARCH("STIMMEL!",AH40)))</formula>
    </cfRule>
  </conditionalFormatting>
  <conditionalFormatting sqref="AH40">
    <cfRule type="cellIs" dxfId="432" priority="106" operator="equal">
      <formula>0.01</formula>
    </cfRule>
  </conditionalFormatting>
  <conditionalFormatting sqref="BJ2:BJ34">
    <cfRule type="containsText" dxfId="431" priority="104" stopIfTrue="1" operator="containsText" text="ELTÉRÉS!">
      <formula>NOT(ISERROR(SEARCH("ELTÉRÉS!",BJ2)))</formula>
    </cfRule>
    <cfRule type="containsText" dxfId="430" priority="105" stopIfTrue="1" operator="containsText" text="STIMMEL!">
      <formula>NOT(ISERROR(SEARCH("STIMMEL!",BJ2)))</formula>
    </cfRule>
  </conditionalFormatting>
  <conditionalFormatting sqref="BJ2:BJ34">
    <cfRule type="cellIs" dxfId="429" priority="103" operator="equal">
      <formula>0.01</formula>
    </cfRule>
  </conditionalFormatting>
  <conditionalFormatting sqref="C44:N77 A44:A77">
    <cfRule type="containsText" dxfId="428" priority="98" stopIfTrue="1" operator="containsText" text="ELTÉRÉS!">
      <formula>NOT(ISERROR(SEARCH("ELTÉRÉS!",A44)))</formula>
    </cfRule>
    <cfRule type="containsText" dxfId="427" priority="99" stopIfTrue="1" operator="containsText" text="STIMMEL!">
      <formula>NOT(ISERROR(SEARCH("STIMMEL!",A44)))</formula>
    </cfRule>
  </conditionalFormatting>
  <conditionalFormatting sqref="C44:N77 A44:A77">
    <cfRule type="cellIs" dxfId="426" priority="97" operator="equal">
      <formula>0.01</formula>
    </cfRule>
  </conditionalFormatting>
  <conditionalFormatting sqref="B44:B75">
    <cfRule type="containsText" dxfId="425" priority="95" stopIfTrue="1" operator="containsText" text="ELTÉRÉS!">
      <formula>NOT(ISERROR(SEARCH("ELTÉRÉS!",B44)))</formula>
    </cfRule>
    <cfRule type="containsText" dxfId="424" priority="96" stopIfTrue="1" operator="containsText" text="STIMMEL!">
      <formula>NOT(ISERROR(SEARCH("STIMMEL!",B44)))</formula>
    </cfRule>
  </conditionalFormatting>
  <conditionalFormatting sqref="B44:B75">
    <cfRule type="cellIs" dxfId="423" priority="94" operator="equal">
      <formula>0.01</formula>
    </cfRule>
  </conditionalFormatting>
  <conditionalFormatting sqref="S44:AD77 Q44:Q77">
    <cfRule type="containsText" dxfId="422" priority="92" stopIfTrue="1" operator="containsText" text="ELTÉRÉS!">
      <formula>NOT(ISERROR(SEARCH("ELTÉRÉS!",Q44)))</formula>
    </cfRule>
    <cfRule type="containsText" dxfId="421" priority="93" stopIfTrue="1" operator="containsText" text="STIMMEL!">
      <formula>NOT(ISERROR(SEARCH("STIMMEL!",Q44)))</formula>
    </cfRule>
  </conditionalFormatting>
  <conditionalFormatting sqref="S44:AD77 Q44:Q77">
    <cfRule type="cellIs" dxfId="420" priority="91" operator="equal">
      <formula>0.01</formula>
    </cfRule>
  </conditionalFormatting>
  <conditionalFormatting sqref="R44:R75">
    <cfRule type="containsText" dxfId="419" priority="89" stopIfTrue="1" operator="containsText" text="ELTÉRÉS!">
      <formula>NOT(ISERROR(SEARCH("ELTÉRÉS!",R44)))</formula>
    </cfRule>
    <cfRule type="containsText" dxfId="418" priority="90" stopIfTrue="1" operator="containsText" text="STIMMEL!">
      <formula>NOT(ISERROR(SEARCH("STIMMEL!",R44)))</formula>
    </cfRule>
  </conditionalFormatting>
  <conditionalFormatting sqref="R44:R75">
    <cfRule type="cellIs" dxfId="417" priority="88" operator="equal">
      <formula>0.01</formula>
    </cfRule>
  </conditionalFormatting>
  <conditionalFormatting sqref="AE44">
    <cfRule type="containsText" dxfId="416" priority="86" stopIfTrue="1" operator="containsText" text="ELTÉRÉS!">
      <formula>NOT(ISERROR(SEARCH("ELTÉRÉS!",AE44)))</formula>
    </cfRule>
    <cfRule type="containsText" dxfId="415" priority="87" stopIfTrue="1" operator="containsText" text="STIMMEL!">
      <formula>NOT(ISERROR(SEARCH("STIMMEL!",AE44)))</formula>
    </cfRule>
  </conditionalFormatting>
  <conditionalFormatting sqref="AE44">
    <cfRule type="cellIs" dxfId="414" priority="85" operator="equal">
      <formula>0.01</formula>
    </cfRule>
  </conditionalFormatting>
  <conditionalFormatting sqref="AI44:AT77 AG44:AG77">
    <cfRule type="containsText" dxfId="413" priority="74" stopIfTrue="1" operator="containsText" text="ELTÉRÉS!">
      <formula>NOT(ISERROR(SEARCH("ELTÉRÉS!",AG44)))</formula>
    </cfRule>
    <cfRule type="containsText" dxfId="412" priority="75" stopIfTrue="1" operator="containsText" text="STIMMEL!">
      <formula>NOT(ISERROR(SEARCH("STIMMEL!",AG44)))</formula>
    </cfRule>
  </conditionalFormatting>
  <conditionalFormatting sqref="AI44:AT77 AG44:AG77">
    <cfRule type="cellIs" dxfId="411" priority="73" operator="equal">
      <formula>0.01</formula>
    </cfRule>
  </conditionalFormatting>
  <conditionalFormatting sqref="AH44:AH75">
    <cfRule type="containsText" dxfId="410" priority="71" stopIfTrue="1" operator="containsText" text="ELTÉRÉS!">
      <formula>NOT(ISERROR(SEARCH("ELTÉRÉS!",AH44)))</formula>
    </cfRule>
    <cfRule type="containsText" dxfId="409" priority="72" stopIfTrue="1" operator="containsText" text="STIMMEL!">
      <formula>NOT(ISERROR(SEARCH("STIMMEL!",AH44)))</formula>
    </cfRule>
  </conditionalFormatting>
  <conditionalFormatting sqref="AH44:AH75">
    <cfRule type="cellIs" dxfId="408" priority="70" operator="equal">
      <formula>0.01</formula>
    </cfRule>
  </conditionalFormatting>
  <conditionalFormatting sqref="BK44:BV77 BI44:BI77">
    <cfRule type="containsText" dxfId="407" priority="68" stopIfTrue="1" operator="containsText" text="ELTÉRÉS!">
      <formula>NOT(ISERROR(SEARCH("ELTÉRÉS!",BI44)))</formula>
    </cfRule>
    <cfRule type="containsText" dxfId="406" priority="69" stopIfTrue="1" operator="containsText" text="STIMMEL!">
      <formula>NOT(ISERROR(SEARCH("STIMMEL!",BI44)))</formula>
    </cfRule>
  </conditionalFormatting>
  <conditionalFormatting sqref="BK44:BV77 BI44:BI77">
    <cfRule type="cellIs" dxfId="405" priority="67" operator="equal">
      <formula>0.01</formula>
    </cfRule>
  </conditionalFormatting>
  <conditionalFormatting sqref="BJ44:BJ75">
    <cfRule type="containsText" dxfId="404" priority="65" stopIfTrue="1" operator="containsText" text="ELTÉRÉS!">
      <formula>NOT(ISERROR(SEARCH("ELTÉRÉS!",BJ44)))</formula>
    </cfRule>
    <cfRule type="containsText" dxfId="403" priority="66" stopIfTrue="1" operator="containsText" text="STIMMEL!">
      <formula>NOT(ISERROR(SEARCH("STIMMEL!",BJ44)))</formula>
    </cfRule>
  </conditionalFormatting>
  <conditionalFormatting sqref="BJ44:BJ75">
    <cfRule type="cellIs" dxfId="402" priority="64" operator="equal">
      <formula>0.01</formula>
    </cfRule>
  </conditionalFormatting>
  <conditionalFormatting sqref="F40:K40">
    <cfRule type="containsText" dxfId="401" priority="62" stopIfTrue="1" operator="containsText" text="ELTÉRÉS!">
      <formula>NOT(ISERROR(SEARCH("ELTÉRÉS!",F40)))</formula>
    </cfRule>
    <cfRule type="containsText" dxfId="400" priority="63" stopIfTrue="1" operator="containsText" text="STIMMEL!">
      <formula>NOT(ISERROR(SEARCH("STIMMEL!",F40)))</formula>
    </cfRule>
  </conditionalFormatting>
  <conditionalFormatting sqref="F40:K40">
    <cfRule type="cellIs" dxfId="399" priority="61" operator="equal">
      <formula>0.01</formula>
    </cfRule>
  </conditionalFormatting>
  <conditionalFormatting sqref="A40">
    <cfRule type="containsText" dxfId="398" priority="59" stopIfTrue="1" operator="containsText" text="ELTÉRÉS!">
      <formula>NOT(ISERROR(SEARCH("ELTÉRÉS!",A40)))</formula>
    </cfRule>
    <cfRule type="containsText" dxfId="397" priority="60" stopIfTrue="1" operator="containsText" text="STIMMEL!">
      <formula>NOT(ISERROR(SEARCH("STIMMEL!",A40)))</formula>
    </cfRule>
  </conditionalFormatting>
  <conditionalFormatting sqref="A40">
    <cfRule type="cellIs" dxfId="396" priority="58" operator="equal">
      <formula>0.01</formula>
    </cfRule>
  </conditionalFormatting>
  <conditionalFormatting sqref="B40">
    <cfRule type="containsText" dxfId="395" priority="56" stopIfTrue="1" operator="containsText" text="ELTÉRÉS!">
      <formula>NOT(ISERROR(SEARCH("ELTÉRÉS!",B40)))</formula>
    </cfRule>
    <cfRule type="containsText" dxfId="394" priority="57" stopIfTrue="1" operator="containsText" text="STIMMEL!">
      <formula>NOT(ISERROR(SEARCH("STIMMEL!",B40)))</formula>
    </cfRule>
  </conditionalFormatting>
  <conditionalFormatting sqref="B40">
    <cfRule type="cellIs" dxfId="393" priority="55" operator="equal">
      <formula>0.01</formula>
    </cfRule>
  </conditionalFormatting>
  <conditionalFormatting sqref="V40:AA40">
    <cfRule type="containsText" dxfId="392" priority="53" stopIfTrue="1" operator="containsText" text="ELTÉRÉS!">
      <formula>NOT(ISERROR(SEARCH("ELTÉRÉS!",V40)))</formula>
    </cfRule>
    <cfRule type="containsText" dxfId="391" priority="54" stopIfTrue="1" operator="containsText" text="STIMMEL!">
      <formula>NOT(ISERROR(SEARCH("STIMMEL!",V40)))</formula>
    </cfRule>
  </conditionalFormatting>
  <conditionalFormatting sqref="V40:AA40">
    <cfRule type="cellIs" dxfId="390" priority="52" operator="equal">
      <formula>0.01</formula>
    </cfRule>
  </conditionalFormatting>
  <conditionalFormatting sqref="Q40">
    <cfRule type="containsText" dxfId="389" priority="50" stopIfTrue="1" operator="containsText" text="ELTÉRÉS!">
      <formula>NOT(ISERROR(SEARCH("ELTÉRÉS!",Q40)))</formula>
    </cfRule>
    <cfRule type="containsText" dxfId="388" priority="51" stopIfTrue="1" operator="containsText" text="STIMMEL!">
      <formula>NOT(ISERROR(SEARCH("STIMMEL!",Q40)))</formula>
    </cfRule>
  </conditionalFormatting>
  <conditionalFormatting sqref="Q40">
    <cfRule type="cellIs" dxfId="387" priority="49" operator="equal">
      <formula>0.01</formula>
    </cfRule>
  </conditionalFormatting>
  <conditionalFormatting sqref="R40">
    <cfRule type="containsText" dxfId="386" priority="47" stopIfTrue="1" operator="containsText" text="ELTÉRÉS!">
      <formula>NOT(ISERROR(SEARCH("ELTÉRÉS!",R40)))</formula>
    </cfRule>
    <cfRule type="containsText" dxfId="385" priority="48" stopIfTrue="1" operator="containsText" text="STIMMEL!">
      <formula>NOT(ISERROR(SEARCH("STIMMEL!",R40)))</formula>
    </cfRule>
  </conditionalFormatting>
  <conditionalFormatting sqref="R40">
    <cfRule type="cellIs" dxfId="384" priority="46" operator="equal">
      <formula>0.01</formula>
    </cfRule>
  </conditionalFormatting>
  <conditionalFormatting sqref="BN40:BS40">
    <cfRule type="containsText" dxfId="383" priority="44" stopIfTrue="1" operator="containsText" text="ELTÉRÉS!">
      <formula>NOT(ISERROR(SEARCH("ELTÉRÉS!",BN40)))</formula>
    </cfRule>
    <cfRule type="containsText" dxfId="382" priority="45" stopIfTrue="1" operator="containsText" text="STIMMEL!">
      <formula>NOT(ISERROR(SEARCH("STIMMEL!",BN40)))</formula>
    </cfRule>
  </conditionalFormatting>
  <conditionalFormatting sqref="BN40:BS40">
    <cfRule type="cellIs" dxfId="381" priority="43" operator="equal">
      <formula>0.01</formula>
    </cfRule>
  </conditionalFormatting>
  <conditionalFormatting sqref="BI40">
    <cfRule type="containsText" dxfId="380" priority="41" stopIfTrue="1" operator="containsText" text="ELTÉRÉS!">
      <formula>NOT(ISERROR(SEARCH("ELTÉRÉS!",BI40)))</formula>
    </cfRule>
    <cfRule type="containsText" dxfId="379" priority="42" stopIfTrue="1" operator="containsText" text="STIMMEL!">
      <formula>NOT(ISERROR(SEARCH("STIMMEL!",BI40)))</formula>
    </cfRule>
  </conditionalFormatting>
  <conditionalFormatting sqref="BI40">
    <cfRule type="cellIs" dxfId="378" priority="40" operator="equal">
      <formula>0.01</formula>
    </cfRule>
  </conditionalFormatting>
  <conditionalFormatting sqref="BJ40">
    <cfRule type="containsText" dxfId="377" priority="38" stopIfTrue="1" operator="containsText" text="ELTÉRÉS!">
      <formula>NOT(ISERROR(SEARCH("ELTÉRÉS!",BJ40)))</formula>
    </cfRule>
    <cfRule type="containsText" dxfId="376" priority="39" stopIfTrue="1" operator="containsText" text="STIMMEL!">
      <formula>NOT(ISERROR(SEARCH("STIMMEL!",BJ40)))</formula>
    </cfRule>
  </conditionalFormatting>
  <conditionalFormatting sqref="BJ40">
    <cfRule type="cellIs" dxfId="375" priority="37" operator="equal">
      <formula>0.01</formula>
    </cfRule>
  </conditionalFormatting>
  <conditionalFormatting sqref="F79:K79">
    <cfRule type="containsText" dxfId="374" priority="35" stopIfTrue="1" operator="containsText" text="ELTÉRÉS!">
      <formula>NOT(ISERROR(SEARCH("ELTÉRÉS!",F79)))</formula>
    </cfRule>
    <cfRule type="containsText" dxfId="373" priority="36" stopIfTrue="1" operator="containsText" text="STIMMEL!">
      <formula>NOT(ISERROR(SEARCH("STIMMEL!",F79)))</formula>
    </cfRule>
  </conditionalFormatting>
  <conditionalFormatting sqref="F79:K79">
    <cfRule type="cellIs" dxfId="372" priority="34" operator="equal">
      <formula>0.01</formula>
    </cfRule>
  </conditionalFormatting>
  <conditionalFormatting sqref="A79">
    <cfRule type="containsText" dxfId="371" priority="32" stopIfTrue="1" operator="containsText" text="ELTÉRÉS!">
      <formula>NOT(ISERROR(SEARCH("ELTÉRÉS!",A79)))</formula>
    </cfRule>
    <cfRule type="containsText" dxfId="370" priority="33" stopIfTrue="1" operator="containsText" text="STIMMEL!">
      <formula>NOT(ISERROR(SEARCH("STIMMEL!",A79)))</formula>
    </cfRule>
  </conditionalFormatting>
  <conditionalFormatting sqref="A79">
    <cfRule type="cellIs" dxfId="369" priority="31" operator="equal">
      <formula>0.01</formula>
    </cfRule>
  </conditionalFormatting>
  <conditionalFormatting sqref="B79">
    <cfRule type="containsText" dxfId="368" priority="29" stopIfTrue="1" operator="containsText" text="ELTÉRÉS!">
      <formula>NOT(ISERROR(SEARCH("ELTÉRÉS!",B79)))</formula>
    </cfRule>
    <cfRule type="containsText" dxfId="367" priority="30" stopIfTrue="1" operator="containsText" text="STIMMEL!">
      <formula>NOT(ISERROR(SEARCH("STIMMEL!",B79)))</formula>
    </cfRule>
  </conditionalFormatting>
  <conditionalFormatting sqref="B79">
    <cfRule type="cellIs" dxfId="366" priority="28" operator="equal">
      <formula>0.01</formula>
    </cfRule>
  </conditionalFormatting>
  <conditionalFormatting sqref="V79:AA79">
    <cfRule type="containsText" dxfId="365" priority="26" stopIfTrue="1" operator="containsText" text="ELTÉRÉS!">
      <formula>NOT(ISERROR(SEARCH("ELTÉRÉS!",V79)))</formula>
    </cfRule>
    <cfRule type="containsText" dxfId="364" priority="27" stopIfTrue="1" operator="containsText" text="STIMMEL!">
      <formula>NOT(ISERROR(SEARCH("STIMMEL!",V79)))</formula>
    </cfRule>
  </conditionalFormatting>
  <conditionalFormatting sqref="V79:AA79">
    <cfRule type="cellIs" dxfId="363" priority="25" operator="equal">
      <formula>0.01</formula>
    </cfRule>
  </conditionalFormatting>
  <conditionalFormatting sqref="Q79">
    <cfRule type="containsText" dxfId="362" priority="23" stopIfTrue="1" operator="containsText" text="ELTÉRÉS!">
      <formula>NOT(ISERROR(SEARCH("ELTÉRÉS!",Q79)))</formula>
    </cfRule>
    <cfRule type="containsText" dxfId="361" priority="24" stopIfTrue="1" operator="containsText" text="STIMMEL!">
      <formula>NOT(ISERROR(SEARCH("STIMMEL!",Q79)))</formula>
    </cfRule>
  </conditionalFormatting>
  <conditionalFormatting sqref="Q79">
    <cfRule type="cellIs" dxfId="360" priority="22" operator="equal">
      <formula>0.01</formula>
    </cfRule>
  </conditionalFormatting>
  <conditionalFormatting sqref="R79">
    <cfRule type="containsText" dxfId="359" priority="20" stopIfTrue="1" operator="containsText" text="ELTÉRÉS!">
      <formula>NOT(ISERROR(SEARCH("ELTÉRÉS!",R79)))</formula>
    </cfRule>
    <cfRule type="containsText" dxfId="358" priority="21" stopIfTrue="1" operator="containsText" text="STIMMEL!">
      <formula>NOT(ISERROR(SEARCH("STIMMEL!",R79)))</formula>
    </cfRule>
  </conditionalFormatting>
  <conditionalFormatting sqref="R79">
    <cfRule type="cellIs" dxfId="357" priority="19" operator="equal">
      <formula>0.01</formula>
    </cfRule>
  </conditionalFormatting>
  <conditionalFormatting sqref="AL79:AQ79">
    <cfRule type="containsText" dxfId="356" priority="17" stopIfTrue="1" operator="containsText" text="ELTÉRÉS!">
      <formula>NOT(ISERROR(SEARCH("ELTÉRÉS!",AL79)))</formula>
    </cfRule>
    <cfRule type="containsText" dxfId="355" priority="18" stopIfTrue="1" operator="containsText" text="STIMMEL!">
      <formula>NOT(ISERROR(SEARCH("STIMMEL!",AL79)))</formula>
    </cfRule>
  </conditionalFormatting>
  <conditionalFormatting sqref="AL79:AQ79">
    <cfRule type="cellIs" dxfId="354" priority="16" operator="equal">
      <formula>0.01</formula>
    </cfRule>
  </conditionalFormatting>
  <conditionalFormatting sqref="AG79">
    <cfRule type="containsText" dxfId="353" priority="14" stopIfTrue="1" operator="containsText" text="ELTÉRÉS!">
      <formula>NOT(ISERROR(SEARCH("ELTÉRÉS!",AG79)))</formula>
    </cfRule>
    <cfRule type="containsText" dxfId="352" priority="15" stopIfTrue="1" operator="containsText" text="STIMMEL!">
      <formula>NOT(ISERROR(SEARCH("STIMMEL!",AG79)))</formula>
    </cfRule>
  </conditionalFormatting>
  <conditionalFormatting sqref="AG79">
    <cfRule type="cellIs" dxfId="351" priority="13" operator="equal">
      <formula>0.01</formula>
    </cfRule>
  </conditionalFormatting>
  <conditionalFormatting sqref="AH79">
    <cfRule type="containsText" dxfId="350" priority="11" stopIfTrue="1" operator="containsText" text="ELTÉRÉS!">
      <formula>NOT(ISERROR(SEARCH("ELTÉRÉS!",AH79)))</formula>
    </cfRule>
    <cfRule type="containsText" dxfId="349" priority="12" stopIfTrue="1" operator="containsText" text="STIMMEL!">
      <formula>NOT(ISERROR(SEARCH("STIMMEL!",AH79)))</formula>
    </cfRule>
  </conditionalFormatting>
  <conditionalFormatting sqref="AH79">
    <cfRule type="cellIs" dxfId="348" priority="10" operator="equal">
      <formula>0.01</formula>
    </cfRule>
  </conditionalFormatting>
  <conditionalFormatting sqref="BN79:BS79">
    <cfRule type="containsText" dxfId="347" priority="8" stopIfTrue="1" operator="containsText" text="ELTÉRÉS!">
      <formula>NOT(ISERROR(SEARCH("ELTÉRÉS!",BN79)))</formula>
    </cfRule>
    <cfRule type="containsText" dxfId="346" priority="9" stopIfTrue="1" operator="containsText" text="STIMMEL!">
      <formula>NOT(ISERROR(SEARCH("STIMMEL!",BN79)))</formula>
    </cfRule>
  </conditionalFormatting>
  <conditionalFormatting sqref="BN79:BS79">
    <cfRule type="cellIs" dxfId="345" priority="7" operator="equal">
      <formula>0.01</formula>
    </cfRule>
  </conditionalFormatting>
  <conditionalFormatting sqref="BI79">
    <cfRule type="containsText" dxfId="344" priority="5" stopIfTrue="1" operator="containsText" text="ELTÉRÉS!">
      <formula>NOT(ISERROR(SEARCH("ELTÉRÉS!",BI79)))</formula>
    </cfRule>
    <cfRule type="containsText" dxfId="343" priority="6" stopIfTrue="1" operator="containsText" text="STIMMEL!">
      <formula>NOT(ISERROR(SEARCH("STIMMEL!",BI79)))</formula>
    </cfRule>
  </conditionalFormatting>
  <conditionalFormatting sqref="BI79">
    <cfRule type="cellIs" dxfId="342" priority="4" operator="equal">
      <formula>0.01</formula>
    </cfRule>
  </conditionalFormatting>
  <conditionalFormatting sqref="BJ79">
    <cfRule type="containsText" dxfId="341" priority="2" stopIfTrue="1" operator="containsText" text="ELTÉRÉS!">
      <formula>NOT(ISERROR(SEARCH("ELTÉRÉS!",BJ79)))</formula>
    </cfRule>
    <cfRule type="containsText" dxfId="340" priority="3" stopIfTrue="1" operator="containsText" text="STIMMEL!">
      <formula>NOT(ISERROR(SEARCH("STIMMEL!",BJ79)))</formula>
    </cfRule>
  </conditionalFormatting>
  <conditionalFormatting sqref="BJ79">
    <cfRule type="cellIs" dxfId="339" priority="1" operator="equal">
      <formula>0.01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E876-28DB-4415-9E7F-78F517C17FA9}">
  <dimension ref="A1:AK458"/>
  <sheetViews>
    <sheetView workbookViewId="0">
      <pane ySplit="1" topLeftCell="K37" activePane="bottomLeft" state="frozen"/>
      <selection pane="bottomLeft" activeCell="K49" sqref="K49"/>
    </sheetView>
  </sheetViews>
  <sheetFormatPr defaultRowHeight="15" customHeight="1"/>
  <cols>
    <col min="1" max="1" width="16" style="77" customWidth="1"/>
    <col min="2" max="2" width="16" style="383" customWidth="1"/>
    <col min="3" max="3" width="11.42578125" style="4" customWidth="1"/>
    <col min="4" max="4" width="13.7109375" style="4" customWidth="1"/>
    <col min="5" max="5" width="11.7109375" style="4" customWidth="1"/>
    <col min="6" max="6" width="11.85546875" style="4" customWidth="1"/>
    <col min="7" max="7" width="11.42578125" style="4" customWidth="1"/>
    <col min="8" max="8" width="13.42578125" style="4" customWidth="1"/>
    <col min="9" max="9" width="11.7109375" style="4" customWidth="1"/>
    <col min="10" max="10" width="11.28515625" style="40" customWidth="1"/>
    <col min="11" max="11" width="16" style="49" customWidth="1"/>
    <col min="12" max="12" width="18" style="68" customWidth="1"/>
    <col min="13" max="13" width="9.42578125" customWidth="1"/>
    <col min="14" max="14" width="15.85546875" customWidth="1"/>
    <col min="16" max="16" width="12.85546875" customWidth="1"/>
    <col min="17" max="19" width="12.85546875" hidden="1" customWidth="1"/>
    <col min="20" max="21" width="0" hidden="1" customWidth="1"/>
    <col min="22" max="22" width="12.5703125" hidden="1" customWidth="1"/>
    <col min="23" max="23" width="18.7109375" hidden="1" customWidth="1"/>
    <col min="24" max="24" width="13.42578125" hidden="1" customWidth="1"/>
    <col min="25" max="25" width="11" style="243" hidden="1" customWidth="1"/>
    <col min="26" max="32" width="0" hidden="1" customWidth="1"/>
    <col min="33" max="33" width="13.140625" hidden="1" customWidth="1"/>
  </cols>
  <sheetData>
    <row r="1" spans="1:37" ht="33.75" customHeight="1">
      <c r="A1" s="177" t="s">
        <v>233</v>
      </c>
      <c r="B1" s="377" t="s">
        <v>77</v>
      </c>
      <c r="C1" s="3">
        <v>0</v>
      </c>
      <c r="D1" s="3">
        <v>0.05</v>
      </c>
      <c r="E1" s="3">
        <v>0.18</v>
      </c>
      <c r="F1" s="3">
        <v>0.27</v>
      </c>
      <c r="G1" s="2" t="s">
        <v>78</v>
      </c>
      <c r="H1" s="2" t="s">
        <v>79</v>
      </c>
      <c r="I1" s="48" t="s">
        <v>80</v>
      </c>
      <c r="J1" s="36" t="s">
        <v>116</v>
      </c>
      <c r="K1" s="252" t="s">
        <v>82</v>
      </c>
      <c r="L1" s="76" t="s">
        <v>83</v>
      </c>
      <c r="M1" s="59" t="s">
        <v>84</v>
      </c>
      <c r="N1" s="59" t="s">
        <v>85</v>
      </c>
      <c r="P1" s="234" t="s">
        <v>77</v>
      </c>
      <c r="Q1" s="234" t="s">
        <v>234</v>
      </c>
      <c r="R1" s="234" t="s">
        <v>235</v>
      </c>
      <c r="S1" s="234" t="s">
        <v>86</v>
      </c>
    </row>
    <row r="2" spans="1:37" ht="21">
      <c r="A2" s="81" t="s">
        <v>3</v>
      </c>
      <c r="B2" s="378"/>
      <c r="C2" s="30"/>
      <c r="D2" s="30"/>
      <c r="E2" s="30"/>
      <c r="F2" s="30"/>
      <c r="G2" s="30"/>
      <c r="H2" s="30"/>
      <c r="I2" s="30"/>
      <c r="J2" s="30"/>
      <c r="K2" s="376"/>
      <c r="L2" s="30"/>
      <c r="M2" s="31"/>
      <c r="N2" s="207"/>
      <c r="O2" s="30"/>
      <c r="P2" s="234" t="str">
        <f>'[3]2026 január'!B$1</f>
        <v>Novohost</v>
      </c>
      <c r="Q2" s="234" t="str">
        <f>'[3]2026 január'!G1</f>
        <v>Tartalék kiadás</v>
      </c>
      <c r="R2" s="234" t="str">
        <f>'[3]2026 január'!W1</f>
        <v>Kivét</v>
      </c>
      <c r="S2" s="234" t="s">
        <v>86</v>
      </c>
      <c r="T2" s="30"/>
      <c r="U2" s="39"/>
      <c r="V2" s="234" t="str">
        <f>'[3]2026 január'!S1</f>
        <v>Pénztár nyitó</v>
      </c>
      <c r="W2" s="234" t="str">
        <f>'[3]2026 január'!T1</f>
        <v>pénztár kp bevétel</v>
      </c>
      <c r="X2" s="234" t="str">
        <f>'[3]2026 január'!U1</f>
        <v>Egyéb bevétel</v>
      </c>
      <c r="Y2" s="234" t="str">
        <f>'[3]2026 január'!V1</f>
        <v>Költött</v>
      </c>
      <c r="Z2" s="234" t="str">
        <f>'[3]2026 január'!W1</f>
        <v>Kivét</v>
      </c>
      <c r="AA2" s="234" t="str">
        <f>'[3]2026 január'!X1</f>
        <v>Eltérés</v>
      </c>
      <c r="AB2" s="234" t="str">
        <f>'[3]2026 január'!Y1</f>
        <v>Záró</v>
      </c>
      <c r="AC2" s="234" t="str">
        <f>'[3]2026 január'!Z1</f>
        <v>Megjegyzések</v>
      </c>
      <c r="AD2" s="234">
        <f>'[3]2026 január'!AA1</f>
        <v>0</v>
      </c>
      <c r="AE2" s="234">
        <f>'[3]2026 január'!AB1</f>
        <v>0</v>
      </c>
      <c r="AF2" s="234">
        <f>'[3]2026 január'!AC1</f>
        <v>0</v>
      </c>
      <c r="AG2" s="234" t="str">
        <f>'[3]2026 január'!AD1</f>
        <v>Egyéb kiadás</v>
      </c>
      <c r="AH2" s="31"/>
      <c r="AI2" s="31"/>
      <c r="AJ2" s="31"/>
      <c r="AK2" s="31"/>
    </row>
    <row r="3" spans="1:37" ht="14.25" customHeight="1">
      <c r="A3" s="162">
        <v>46023</v>
      </c>
      <c r="B3" s="163"/>
      <c r="C3" s="163"/>
      <c r="D3" s="163"/>
      <c r="E3" s="163"/>
      <c r="F3" s="163"/>
      <c r="G3" s="163"/>
      <c r="H3" s="163"/>
      <c r="I3" s="163"/>
      <c r="J3" s="163"/>
      <c r="K3" s="167"/>
      <c r="L3" s="165"/>
      <c r="M3" s="171"/>
      <c r="N3" s="174"/>
      <c r="O3" s="49"/>
      <c r="P3" s="245" t="str">
        <f>IF('[3]2026 január'!B$2=0,
    "",
    '[3]2026 január'!B$2
)</f>
        <v/>
      </c>
      <c r="Q3" s="245" t="str">
        <f>IF(OR('[3]2026 január'!G2=0,
       ISBLANK('[3]2026 január'!G2)),
    "",
    '[3]2026 január'!G2
)</f>
        <v/>
      </c>
      <c r="R3" s="49">
        <f>'[3]2026 január'!W2</f>
        <v>0</v>
      </c>
      <c r="S3" s="49" t="e">
        <f>P3-Q3-R3-G3-H3</f>
        <v>#VALUE!</v>
      </c>
      <c r="T3" s="49"/>
      <c r="U3" s="4"/>
      <c r="V3" s="245">
        <f>IF('[3]2026 január'!S2=0,
    "",
    '[3]2026 január'!S2
)</f>
        <v>-6793</v>
      </c>
      <c r="W3" s="245" t="str">
        <f>IF('[3]2026 január'!T2=0,
    "",
    '[3]2026 január'!T2
)</f>
        <v/>
      </c>
      <c r="X3" s="245" t="str">
        <f>IF('[3]2026 január'!U2=0,
    "",
    '[3]2026 január'!U2
)</f>
        <v/>
      </c>
      <c r="Y3" s="245" t="str">
        <f>IF('[3]2026 január'!V2=0,
    "",
    '[3]2026 január'!V2
)</f>
        <v/>
      </c>
      <c r="Z3" s="245" t="str">
        <f>IF('[3]2026 január'!W2=0,
    "",
    '[3]2026 január'!W2
)</f>
        <v/>
      </c>
      <c r="AA3" s="245" t="str">
        <f>IF('[3]2026 január'!X2=0,
    "",
    '[3]2026 január'!X2
)</f>
        <v/>
      </c>
      <c r="AB3" s="245">
        <f>IF('[3]2026 január'!Y2=0,
    "",
    '[3]2026 január'!Y2
)</f>
        <v>-6793</v>
      </c>
      <c r="AC3" s="245" t="str">
        <f>IF('[3]2026 január'!Z2=0,
    "",
    '[3]2026 január'!Z2
)</f>
        <v/>
      </c>
      <c r="AD3" s="245" t="str">
        <f>IF('[3]2026 január'!AA2=0,
    "",
    '[3]2026 január'!AA2
)</f>
        <v/>
      </c>
      <c r="AE3" s="245" t="str">
        <f>IF('[3]2026 január'!AB2=0,
    "",
    '[3]2026 január'!AB2
)</f>
        <v/>
      </c>
      <c r="AF3" s="245" t="str">
        <f>IF('[3]2026 január'!AC2=0,
    "",
    '[3]2026 január'!AC2
)</f>
        <v/>
      </c>
      <c r="AG3" s="245" t="str">
        <f>IF('[3]2026 január'!AD2=0,
    "",
    '[3]2026 január'!AD2
)</f>
        <v/>
      </c>
      <c r="AH3" s="245" t="str">
        <f>IF('[3]2026 január'!AE$2=0,
    "",
    '[3]2026 január'!AE$2
)</f>
        <v/>
      </c>
      <c r="AI3" s="245" t="str">
        <f>IF('[3]2026 január'!AF2=0,
    "",
    '[3]2026 január'!AF2
)</f>
        <v/>
      </c>
      <c r="AJ3" s="245" t="str">
        <f>IF('[3]2026 január'!AG2=0,
    "",
    '[3]2026 január'!AG2
)</f>
        <v/>
      </c>
      <c r="AK3" s="245" t="str">
        <f>IF('[3]2026 január'!AH2=0,
    "",
    '[3]2026 január'!AH2
)</f>
        <v/>
      </c>
    </row>
    <row r="4" spans="1:37" ht="14.25" customHeight="1">
      <c r="A4" s="162">
        <v>46024</v>
      </c>
      <c r="B4" s="163"/>
      <c r="C4" s="163"/>
      <c r="D4" s="163"/>
      <c r="E4" s="163"/>
      <c r="F4" s="163"/>
      <c r="G4" s="163"/>
      <c r="H4" s="163"/>
      <c r="I4" s="163"/>
      <c r="J4" s="163"/>
      <c r="K4" s="167"/>
      <c r="L4" s="165"/>
      <c r="M4" s="171"/>
      <c r="N4" s="174"/>
      <c r="O4" s="49"/>
      <c r="P4" s="245" t="str">
        <f>IF('[3]2026 január'!B$3=0,
    "",
    '[3]2026 január'!B$3
)</f>
        <v/>
      </c>
      <c r="Q4" s="245" t="str">
        <f>IF(OR('[3]2026 január'!G3=0,
       ISBLANK('[3]2026 január'!G3)),
    "",
    '[3]2026 január'!G3
)</f>
        <v/>
      </c>
      <c r="R4" s="49">
        <f>'[3]2026 január'!W3</f>
        <v>0</v>
      </c>
      <c r="S4" s="49"/>
      <c r="T4" s="49"/>
      <c r="U4" s="4"/>
      <c r="V4" s="245">
        <f>IF('[3]2026 január'!S3=0,
    "",
    '[3]2026 január'!S3
)</f>
        <v>-6793</v>
      </c>
      <c r="W4" s="245" t="str">
        <f>IF('[3]2026 január'!T3=0,
    "",
    '[3]2026 január'!T3
)</f>
        <v/>
      </c>
      <c r="X4" s="245" t="str">
        <f>IF('[3]2026 január'!U3=0,
    "",
    '[3]2026 január'!U3
)</f>
        <v/>
      </c>
      <c r="Y4" s="245" t="str">
        <f>IF('[3]2026 január'!V3=0,
    "",
    '[3]2026 január'!V3
)</f>
        <v/>
      </c>
      <c r="Z4" s="245" t="str">
        <f>IF('[3]2026 január'!W3=0,
    "",
    '[3]2026 január'!W3
)</f>
        <v/>
      </c>
      <c r="AA4" s="245" t="str">
        <f>IF('[3]2026 január'!X3=0,
    "",
    '[3]2026 január'!X3
)</f>
        <v/>
      </c>
      <c r="AB4" s="245">
        <f>IF('[3]2026 január'!Y3=0,
    "",
    '[3]2026 január'!Y3
)</f>
        <v>-6793</v>
      </c>
      <c r="AC4" s="245" t="str">
        <f>IF('[3]2026 január'!Z3=0,
    "",
    '[3]2026 január'!Z3
)</f>
        <v/>
      </c>
      <c r="AD4" s="245" t="str">
        <f>IF('[3]2026 január'!AA3=0,
    "",
    '[3]2026 január'!AA3
)</f>
        <v/>
      </c>
      <c r="AE4" s="245" t="str">
        <f>IF('[3]2026 január'!AB3=0,
    "",
    '[3]2026 január'!AB3
)</f>
        <v/>
      </c>
      <c r="AF4" s="245" t="str">
        <f>IF('[3]2026 január'!AC3=0,
    "",
    '[3]2026 január'!AC3
)</f>
        <v/>
      </c>
      <c r="AG4" s="245" t="str">
        <f>IF('[3]2026 január'!AD3=0,
    "",
    '[3]2026 január'!AD3
)</f>
        <v/>
      </c>
      <c r="AH4" s="245" t="str">
        <f>IF('[3]2026 január'!AE$3=0,
    "",
    '[3]2026 január'!AE$3
)</f>
        <v/>
      </c>
      <c r="AI4" s="245" t="str">
        <f>IF('[3]2026 január'!AF3=0,
    "",
    '[3]2026 január'!AF3
)</f>
        <v/>
      </c>
      <c r="AJ4" s="245" t="str">
        <f>IF('[3]2026 január'!AG3=0,
    "",
    '[3]2026 január'!AG3
)</f>
        <v/>
      </c>
      <c r="AK4" s="245" t="str">
        <f>IF('[3]2026 január'!AH3=0,
    "",
    '[3]2026 január'!AH3
)</f>
        <v/>
      </c>
    </row>
    <row r="5" spans="1:37" ht="14.25" customHeight="1">
      <c r="A5" s="162">
        <v>46025</v>
      </c>
      <c r="B5" s="163"/>
      <c r="C5" s="163"/>
      <c r="D5" s="163"/>
      <c r="E5" s="163"/>
      <c r="F5" s="163"/>
      <c r="G5" s="163"/>
      <c r="H5" s="163"/>
      <c r="I5" s="163"/>
      <c r="J5" s="163"/>
      <c r="K5" s="167"/>
      <c r="L5" s="167"/>
      <c r="M5" s="172"/>
      <c r="N5" s="174"/>
      <c r="O5" s="49"/>
      <c r="P5" s="245" t="str">
        <f>IF('[3]2026 január'!B$4=0,
    "",
    '[3]2026 január'!B$4
)</f>
        <v/>
      </c>
      <c r="Q5" s="245" t="str">
        <f>IF(OR('[3]2026 január'!G4=0,
       ISBLANK('[3]2026 január'!G4)),
    "",
    '[3]2026 január'!G4
)</f>
        <v/>
      </c>
      <c r="R5" s="49">
        <f>'[3]2026 január'!W4</f>
        <v>0</v>
      </c>
      <c r="S5" s="49"/>
      <c r="T5" s="49"/>
      <c r="U5" s="4"/>
      <c r="V5" s="245">
        <f>IF('[3]2026 január'!S4=0,
    "",
    '[3]2026 január'!S4
)</f>
        <v>-6793</v>
      </c>
      <c r="W5" s="245" t="str">
        <f>IF('[3]2026 január'!T4=0,
    "",
    '[3]2026 január'!T4
)</f>
        <v/>
      </c>
      <c r="X5" s="245" t="str">
        <f>IF('[3]2026 január'!U4=0,
    "",
    '[3]2026 január'!U4
)</f>
        <v/>
      </c>
      <c r="Y5" s="245" t="str">
        <f>IF('[3]2026 január'!V4=0,
    "",
    '[3]2026 január'!V4
)</f>
        <v/>
      </c>
      <c r="Z5" s="245" t="str">
        <f>IF('[3]2026 január'!W4=0,
    "",
    '[3]2026 január'!W4
)</f>
        <v/>
      </c>
      <c r="AA5" s="245" t="str">
        <f>IF('[3]2026 január'!X4=0,
    "",
    '[3]2026 január'!X4
)</f>
        <v/>
      </c>
      <c r="AB5" s="245">
        <f>IF('[3]2026 január'!Y4=0,
    "",
    '[3]2026 január'!Y4
)</f>
        <v>-6793</v>
      </c>
      <c r="AC5" s="245" t="str">
        <f>IF('[3]2026 január'!Z4=0,
    "",
    '[3]2026 január'!Z4
)</f>
        <v/>
      </c>
      <c r="AD5" s="245" t="str">
        <f>IF('[3]2026 január'!AA4=0,
    "",
    '[3]2026 január'!AA4
)</f>
        <v/>
      </c>
      <c r="AE5" s="245" t="str">
        <f>IF('[3]2026 január'!AB4=0,
    "",
    '[3]2026 január'!AB4
)</f>
        <v/>
      </c>
      <c r="AF5" s="245" t="str">
        <f>IF('[3]2026 január'!AC4=0,
    "",
    '[3]2026 január'!AC4
)</f>
        <v/>
      </c>
      <c r="AG5" s="245" t="str">
        <f>IF('[3]2026 január'!AD4=0,
    "",
    '[3]2026 január'!AD4
)</f>
        <v/>
      </c>
      <c r="AH5" s="245" t="str">
        <f>IF('[3]2026 január'!AE$4=0,
    "",
    '[3]2026 január'!AE$4
)</f>
        <v/>
      </c>
      <c r="AI5" s="245" t="str">
        <f>IF('[3]2026 január'!AF4=0,
    "",
    '[3]2026 január'!AF4
)</f>
        <v/>
      </c>
      <c r="AJ5" s="245" t="str">
        <f>IF('[3]2026 január'!AG4=0,
    "",
    '[3]2026 január'!AG4
)</f>
        <v/>
      </c>
      <c r="AK5" s="245" t="str">
        <f>IF('[3]2026 január'!AH4=0,
    "",
    '[3]2026 január'!AH4
)</f>
        <v/>
      </c>
    </row>
    <row r="6" spans="1:37" ht="14.25" customHeight="1">
      <c r="A6" s="162">
        <v>46026</v>
      </c>
      <c r="B6" s="163"/>
      <c r="C6" s="163"/>
      <c r="D6" s="163"/>
      <c r="E6" s="163"/>
      <c r="F6" s="163"/>
      <c r="G6" s="163"/>
      <c r="H6" s="163"/>
      <c r="I6" s="163"/>
      <c r="J6" s="163"/>
      <c r="K6" s="167"/>
      <c r="L6" s="167"/>
      <c r="M6" s="397"/>
      <c r="N6" s="174"/>
      <c r="O6" s="49"/>
      <c r="P6" s="245" t="str">
        <f>IF('[3]2026 január'!B$5=0,
    "",
    '[3]2026 január'!B$5
)</f>
        <v/>
      </c>
      <c r="Q6" s="245" t="str">
        <f>IF(OR('[3]2026 január'!G5=0,
       ISBLANK('[3]2026 január'!G5)),
    "",
    '[3]2026 január'!G5
)</f>
        <v/>
      </c>
      <c r="R6" s="49">
        <f>'[3]2026 január'!W5</f>
        <v>0</v>
      </c>
      <c r="S6" s="49"/>
      <c r="T6" s="49"/>
      <c r="U6" s="4"/>
      <c r="V6" s="245">
        <f>IF('[3]2026 január'!S5=0,
    "",
    '[3]2026 január'!S5
)</f>
        <v>-6793</v>
      </c>
      <c r="W6" s="245" t="str">
        <f>IF('[3]2026 január'!T5=0,
    "",
    '[3]2026 január'!T5
)</f>
        <v/>
      </c>
      <c r="X6" s="245" t="str">
        <f>IF('[3]2026 január'!U5=0,
    "",
    '[3]2026 január'!U5
)</f>
        <v/>
      </c>
      <c r="Y6" s="245" t="str">
        <f>IF('[3]2026 január'!V5=0,
    "",
    '[3]2026 január'!V5
)</f>
        <v/>
      </c>
      <c r="Z6" s="245" t="str">
        <f>IF('[3]2026 január'!W5=0,
    "",
    '[3]2026 január'!W5
)</f>
        <v/>
      </c>
      <c r="AA6" s="245" t="str">
        <f>IF('[3]2026 január'!X5=0,
    "",
    '[3]2026 január'!X5
)</f>
        <v/>
      </c>
      <c r="AB6" s="245">
        <f>IF('[3]2026 január'!Y5=0,
    "",
    '[3]2026 január'!Y5
)</f>
        <v>-6793</v>
      </c>
      <c r="AC6" s="245" t="str">
        <f>IF('[3]2026 január'!Z5=0,
    "",
    '[3]2026 január'!Z5
)</f>
        <v/>
      </c>
      <c r="AD6" s="245" t="str">
        <f>IF('[3]2026 január'!AA5=0,
    "",
    '[3]2026 január'!AA5
)</f>
        <v/>
      </c>
      <c r="AE6" s="245" t="str">
        <f>IF('[3]2026 január'!AB5=0,
    "",
    '[3]2026 január'!AB5
)</f>
        <v/>
      </c>
      <c r="AF6" s="245" t="str">
        <f>IF('[3]2026 január'!AC5=0,
    "",
    '[3]2026 január'!AC5
)</f>
        <v/>
      </c>
      <c r="AG6" s="245" t="str">
        <f>IF('[3]2026 január'!AD5=0,
    "",
    '[3]2026 január'!AD5
)</f>
        <v/>
      </c>
      <c r="AH6" s="245" t="str">
        <f>IF('[3]2026 január'!AE$5=0,
    "",
    '[3]2026 január'!AE$5
)</f>
        <v/>
      </c>
      <c r="AI6" s="245" t="str">
        <f>IF('[3]2026 január'!AF5=0,
    "",
    '[3]2026 január'!AF5
)</f>
        <v/>
      </c>
      <c r="AJ6" s="245" t="str">
        <f>IF('[3]2026 január'!AG5=0,
    "",
    '[3]2026 január'!AG5
)</f>
        <v/>
      </c>
      <c r="AK6" s="245" t="str">
        <f>IF('[3]2026 január'!AH5=0,
    "",
    '[3]2026 január'!AH5
)</f>
        <v/>
      </c>
    </row>
    <row r="7" spans="1:37" ht="14.25" customHeight="1">
      <c r="A7" s="5">
        <v>46027</v>
      </c>
      <c r="B7" s="11">
        <v>85880</v>
      </c>
      <c r="C7" s="11">
        <v>50</v>
      </c>
      <c r="D7" s="11">
        <v>72430</v>
      </c>
      <c r="E7" s="11">
        <v>2290</v>
      </c>
      <c r="F7" s="11">
        <v>6030</v>
      </c>
      <c r="G7" s="11">
        <v>2100</v>
      </c>
      <c r="H7" s="11">
        <v>78700</v>
      </c>
      <c r="I7" s="11">
        <v>78700</v>
      </c>
      <c r="J7" s="374">
        <v>1747</v>
      </c>
      <c r="K7" s="87">
        <v>203428540</v>
      </c>
      <c r="L7" s="87"/>
      <c r="M7" s="398"/>
      <c r="N7" s="169"/>
      <c r="O7" s="49"/>
      <c r="P7" s="245">
        <f>IF('[3]2026 január'!B$6=0,
    "",
    '[3]2026 január'!B$6
)</f>
        <v>85880</v>
      </c>
      <c r="Q7" s="245" t="str">
        <f>IF(OR('[3]2026 január'!G6=0,
       ISBLANK('[3]2026 január'!G6)),
    "",
    '[3]2026 január'!G6
)</f>
        <v/>
      </c>
      <c r="R7" s="49">
        <f>'[3]2026 január'!W6</f>
        <v>0</v>
      </c>
      <c r="S7" s="49"/>
      <c r="T7" s="49"/>
      <c r="U7" s="4"/>
      <c r="V7" s="245">
        <f>IF('[3]2026 január'!S6=0,
    "",
    '[3]2026 január'!S6
)</f>
        <v>-6793</v>
      </c>
      <c r="W7" s="245">
        <f>IF('[3]2026 január'!T6=0,
    "",
    '[3]2026 január'!T6
)</f>
        <v>7180</v>
      </c>
      <c r="X7" s="245" t="str">
        <f>IF('[3]2026 január'!U6=0,
    "",
    '[3]2026 január'!U6
)</f>
        <v/>
      </c>
      <c r="Y7" s="245" t="str">
        <f>IF('[3]2026 január'!V6=0,
    "",
    '[3]2026 január'!V6
)</f>
        <v/>
      </c>
      <c r="Z7" s="245" t="str">
        <f>IF('[3]2026 január'!W6=0,
    "",
    '[3]2026 január'!W6
)</f>
        <v/>
      </c>
      <c r="AA7" s="245" t="str">
        <f>IF('[3]2026 január'!X6=0,
    "",
    '[3]2026 január'!X6
)</f>
        <v/>
      </c>
      <c r="AB7" s="245">
        <f>IF('[3]2026 január'!Y6=0,
    "",
    '[3]2026 január'!Y6
)</f>
        <v>387</v>
      </c>
      <c r="AC7" s="245" t="str">
        <f>IF('[3]2026 január'!Z6=0,
    "",
    '[3]2026 január'!Z6
)</f>
        <v/>
      </c>
      <c r="AD7" s="245" t="str">
        <f>IF('[3]2026 január'!AA6=0,
    "",
    '[3]2026 január'!AA6
)</f>
        <v/>
      </c>
      <c r="AE7" s="245" t="str">
        <f>IF('[3]2026 január'!AB6=0,
    "",
    '[3]2026 január'!AB6
)</f>
        <v/>
      </c>
      <c r="AF7" s="245" t="str">
        <f>IF('[3]2026 január'!AC6=0,
    "",
    '[3]2026 január'!AC6
)</f>
        <v/>
      </c>
      <c r="AG7" s="245" t="str">
        <f>IF('[3]2026 január'!AD6=0,
    "",
    '[3]2026 január'!AD6
)</f>
        <v/>
      </c>
      <c r="AH7" s="245" t="str">
        <f>IF('[3]2026 január'!AE$6=0,
    "",
    '[3]2026 január'!AE$6
)</f>
        <v/>
      </c>
      <c r="AI7" s="245" t="str">
        <f>IF('[3]2026 január'!AF6=0,
    "",
    '[3]2026 január'!AF6
)</f>
        <v/>
      </c>
      <c r="AJ7" s="245" t="str">
        <f>IF('[3]2026 január'!AG6=0,
    "",
    '[3]2026 január'!AG6
)</f>
        <v/>
      </c>
      <c r="AK7" s="245" t="str">
        <f>IF('[3]2026 január'!AH6=0,
    "",
    '[3]2026 január'!AH6
)</f>
        <v/>
      </c>
    </row>
    <row r="8" spans="1:37" ht="14.25" customHeight="1">
      <c r="A8" s="5">
        <v>46028</v>
      </c>
      <c r="B8" s="11">
        <v>171325</v>
      </c>
      <c r="C8" s="11"/>
      <c r="D8" s="11">
        <v>149038</v>
      </c>
      <c r="E8" s="11">
        <v>6177</v>
      </c>
      <c r="F8" s="11">
        <v>15180</v>
      </c>
      <c r="G8" s="11">
        <v>17410</v>
      </c>
      <c r="H8" s="11">
        <v>152475</v>
      </c>
      <c r="I8" s="11">
        <v>152475</v>
      </c>
      <c r="J8" s="38" t="s">
        <v>236</v>
      </c>
      <c r="K8" s="87">
        <v>203598935</v>
      </c>
      <c r="L8" s="87"/>
      <c r="M8" s="406">
        <v>510</v>
      </c>
      <c r="N8" s="169"/>
      <c r="O8" s="49"/>
      <c r="P8" s="245">
        <f>IF('[3]2026 január'!B$7=0,
    "",
    '[3]2026 január'!B$7
)</f>
        <v>171325</v>
      </c>
      <c r="Q8" s="245" t="str">
        <f>IF(OR('[3]2026 január'!G7=0,
       ISBLANK('[3]2026 január'!G7)),
    "",
    '[3]2026 január'!G7
)</f>
        <v/>
      </c>
      <c r="R8" s="49">
        <f>'[3]2026 január'!W7</f>
        <v>0</v>
      </c>
      <c r="S8" s="49"/>
      <c r="T8" s="49"/>
      <c r="U8" s="4"/>
      <c r="V8" s="245">
        <f>IF('[3]2026 január'!S7=0,
    "",
    '[3]2026 január'!S7
)</f>
        <v>387</v>
      </c>
      <c r="W8" s="245">
        <f>IF('[3]2026 január'!T7=0,
    "",
    '[3]2026 január'!T7
)</f>
        <v>18850</v>
      </c>
      <c r="X8" s="245" t="str">
        <f>IF('[3]2026 január'!U7=0,
    "",
    '[3]2026 január'!U7
)</f>
        <v/>
      </c>
      <c r="Y8" s="245" t="str">
        <f>IF('[3]2026 január'!V7=0,
    "",
    '[3]2026 január'!V7
)</f>
        <v/>
      </c>
      <c r="Z8" s="245" t="str">
        <f>IF('[3]2026 január'!W7=0,
    "",
    '[3]2026 január'!W7
)</f>
        <v/>
      </c>
      <c r="AA8" s="245" t="str">
        <f>IF('[3]2026 január'!X7=0,
    "",
    '[3]2026 január'!X7
)</f>
        <v/>
      </c>
      <c r="AB8" s="245">
        <f>IF('[3]2026 január'!Y7=0,
    "",
    '[3]2026 január'!Y7
)</f>
        <v>19237</v>
      </c>
      <c r="AC8" s="245" t="str">
        <f>IF('[3]2026 január'!Z7=0,
    "",
    '[3]2026 január'!Z7
)</f>
        <v/>
      </c>
      <c r="AD8" s="245" t="str">
        <f>IF('[3]2026 január'!AA7=0,
    "",
    '[3]2026 január'!AA7
)</f>
        <v/>
      </c>
      <c r="AE8" s="245" t="str">
        <f>IF('[3]2026 január'!AB7=0,
    "",
    '[3]2026 január'!AB7
)</f>
        <v/>
      </c>
      <c r="AF8" s="245" t="str">
        <f>IF('[3]2026 január'!AC7=0,
    "",
    '[3]2026 január'!AC7
)</f>
        <v/>
      </c>
      <c r="AG8" s="245" t="str">
        <f>IF('[3]2026 január'!AD7=0,
    "",
    '[3]2026 január'!AD7
)</f>
        <v/>
      </c>
      <c r="AH8" s="245" t="str">
        <f>IF('[3]2026 január'!AE$7=0,
    "",
    '[3]2026 január'!AE$7
)</f>
        <v/>
      </c>
      <c r="AI8" s="245" t="str">
        <f>IF('[3]2026 január'!AF7=0,
    "",
    '[3]2026 január'!AF7
)</f>
        <v/>
      </c>
      <c r="AJ8" s="245" t="str">
        <f>IF('[3]2026 január'!AG7=0,
    "",
    '[3]2026 január'!AG7
)</f>
        <v/>
      </c>
      <c r="AK8" s="245" t="str">
        <f>IF('[3]2026 január'!AH7=0,
    "",
    '[3]2026 január'!AH7
)</f>
        <v/>
      </c>
    </row>
    <row r="9" spans="1:37" ht="14.25" customHeight="1">
      <c r="A9" s="5">
        <v>46029</v>
      </c>
      <c r="B9" s="11">
        <v>148130</v>
      </c>
      <c r="C9" s="11">
        <v>0</v>
      </c>
      <c r="D9" s="11">
        <v>128225</v>
      </c>
      <c r="E9" s="11">
        <v>1240</v>
      </c>
      <c r="F9" s="11">
        <v>17620</v>
      </c>
      <c r="G9" s="11">
        <v>10350</v>
      </c>
      <c r="H9" s="11">
        <v>136735</v>
      </c>
      <c r="I9" s="11">
        <v>136735</v>
      </c>
      <c r="J9" s="38" t="s">
        <v>237</v>
      </c>
      <c r="K9" s="87">
        <v>203746020</v>
      </c>
      <c r="L9" s="87"/>
      <c r="M9" s="398"/>
      <c r="N9" s="170"/>
      <c r="O9" s="49"/>
      <c r="P9" s="245">
        <f>IF('[3]2026 január'!B$8=0,
    "",
    '[3]2026 január'!B$8
)</f>
        <v>148130</v>
      </c>
      <c r="Q9" s="245" t="str">
        <f>IF(OR('[3]2026 január'!G8=0,
       ISBLANK('[3]2026 január'!G8)),
    "",
    '[3]2026 január'!G8
)</f>
        <v/>
      </c>
      <c r="R9" s="49">
        <f>'[3]2026 január'!W8</f>
        <v>0</v>
      </c>
      <c r="S9" s="49"/>
      <c r="T9" s="49"/>
      <c r="U9" s="4"/>
      <c r="V9" s="245">
        <f>IF('[3]2026 január'!S8=0,
    "",
    '[3]2026 január'!S8
)</f>
        <v>19237</v>
      </c>
      <c r="W9" s="245">
        <f>IF('[3]2026 január'!T8=0,
    "",
    '[3]2026 január'!T8
)</f>
        <v>11395</v>
      </c>
      <c r="X9" s="245" t="str">
        <f>IF('[3]2026 január'!U8=0,
    "",
    '[3]2026 január'!U8
)</f>
        <v/>
      </c>
      <c r="Y9" s="245" t="str">
        <f>IF('[3]2026 január'!V8=0,
    "",
    '[3]2026 január'!V8
)</f>
        <v/>
      </c>
      <c r="Z9" s="245" t="str">
        <f>IF('[3]2026 január'!W8=0,
    "",
    '[3]2026 január'!W8
)</f>
        <v/>
      </c>
      <c r="AA9" s="245" t="str">
        <f>IF('[3]2026 január'!X8=0,
    "",
    '[3]2026 január'!X8
)</f>
        <v/>
      </c>
      <c r="AB9" s="245">
        <f>IF('[3]2026 január'!Y8=0,
    "",
    '[3]2026 január'!Y8
)</f>
        <v>30632</v>
      </c>
      <c r="AC9" s="245" t="str">
        <f>IF('[3]2026 január'!Z8=0,
    "",
    '[3]2026 január'!Z8
)</f>
        <v/>
      </c>
      <c r="AD9" s="245" t="str">
        <f>IF('[3]2026 január'!AA8=0,
    "",
    '[3]2026 január'!AA8
)</f>
        <v/>
      </c>
      <c r="AE9" s="245" t="str">
        <f>IF('[3]2026 január'!AB8=0,
    "",
    '[3]2026 január'!AB8
)</f>
        <v/>
      </c>
      <c r="AF9" s="245" t="str">
        <f>IF('[3]2026 január'!AC8=0,
    "",
    '[3]2026 január'!AC8
)</f>
        <v/>
      </c>
      <c r="AG9" s="245" t="str">
        <f>IF('[3]2026 január'!AD8=0,
    "",
    '[3]2026 január'!AD8
)</f>
        <v/>
      </c>
      <c r="AH9" s="245" t="str">
        <f>IF('[3]2026 január'!AE$8=0,
    "",
    '[3]2026 január'!AE$8
)</f>
        <v/>
      </c>
      <c r="AI9" s="245" t="str">
        <f>IF('[3]2026 január'!AF8=0,
    "",
    '[3]2026 január'!AF8
)</f>
        <v/>
      </c>
      <c r="AJ9" s="245" t="str">
        <f>IF('[3]2026 január'!AG8=0,
    "",
    '[3]2026 január'!AG8
)</f>
        <v/>
      </c>
      <c r="AK9" s="245" t="str">
        <f>IF('[3]2026 január'!AH8=0,
    "",
    '[3]2026 január'!AH8
)</f>
        <v/>
      </c>
    </row>
    <row r="10" spans="1:37" ht="14.25" customHeight="1">
      <c r="A10" s="5">
        <v>46030</v>
      </c>
      <c r="B10" s="11">
        <v>173760</v>
      </c>
      <c r="C10" s="11">
        <v>750</v>
      </c>
      <c r="D10" s="11">
        <v>141790</v>
      </c>
      <c r="E10" s="11">
        <v>2750</v>
      </c>
      <c r="F10" s="11">
        <v>28860</v>
      </c>
      <c r="G10" s="11">
        <v>21050</v>
      </c>
      <c r="H10" s="11">
        <v>153100</v>
      </c>
      <c r="I10" s="11">
        <v>153100</v>
      </c>
      <c r="J10" s="38" t="s">
        <v>238</v>
      </c>
      <c r="K10" s="87">
        <v>203920170</v>
      </c>
      <c r="L10" s="87"/>
      <c r="M10" s="398"/>
      <c r="N10" s="169"/>
      <c r="O10" s="49"/>
      <c r="P10" s="245">
        <f>IF('[3]2026 január'!B$9=0,
    "",
    '[3]2026 január'!B$9
)</f>
        <v>173760</v>
      </c>
      <c r="Q10" s="245" t="str">
        <f>IF(OR('[3]2026 január'!G9=0,
       ISBLANK('[3]2026 január'!G9)),
    "",
    '[3]2026 január'!G9
)</f>
        <v/>
      </c>
      <c r="R10" s="49">
        <f>'[3]2026 január'!W9</f>
        <v>0</v>
      </c>
      <c r="S10" s="49"/>
      <c r="T10" s="49"/>
      <c r="U10" s="4"/>
      <c r="V10" s="245">
        <f>IF('[3]2026 január'!S9=0,
    "",
    '[3]2026 január'!S9
)</f>
        <v>30632</v>
      </c>
      <c r="W10" s="245">
        <f>IF('[3]2026 január'!T9=0,
    "",
    '[3]2026 január'!T9
)</f>
        <v>20660</v>
      </c>
      <c r="X10" s="245" t="str">
        <f>IF('[3]2026 január'!U9=0,
    "",
    '[3]2026 január'!U9
)</f>
        <v/>
      </c>
      <c r="Y10" s="245" t="str">
        <f>IF('[3]2026 január'!V9=0,
    "",
    '[3]2026 január'!V9
)</f>
        <v/>
      </c>
      <c r="Z10" s="245" t="str">
        <f>IF('[3]2026 január'!W9=0,
    "",
    '[3]2026 január'!W9
)</f>
        <v/>
      </c>
      <c r="AA10" s="245" t="str">
        <f>IF('[3]2026 január'!X9=0,
    "",
    '[3]2026 január'!X9
)</f>
        <v/>
      </c>
      <c r="AB10" s="245">
        <f>IF('[3]2026 január'!Y9=0,
    "",
    '[3]2026 január'!Y9
)</f>
        <v>51292</v>
      </c>
      <c r="AC10" s="245" t="str">
        <f>IF('[3]2026 január'!Z9=0,
    "",
    '[3]2026 január'!Z9
)</f>
        <v/>
      </c>
      <c r="AD10" s="245" t="str">
        <f>IF('[3]2026 január'!AA9=0,
    "",
    '[3]2026 január'!AA9
)</f>
        <v/>
      </c>
      <c r="AE10" s="245" t="str">
        <f>IF('[3]2026 január'!AB9=0,
    "",
    '[3]2026 január'!AB9
)</f>
        <v/>
      </c>
      <c r="AF10" s="245" t="str">
        <f>IF('[3]2026 január'!AC9=0,
    "",
    '[3]2026 január'!AC9
)</f>
        <v/>
      </c>
      <c r="AG10" s="245" t="str">
        <f>IF('[3]2026 január'!AD9=0,
    "",
    '[3]2026 január'!AD9
)</f>
        <v/>
      </c>
      <c r="AH10" s="245" t="str">
        <f>IF('[3]2026 január'!AE$9=0,
    "",
    '[3]2026 január'!AE$9
)</f>
        <v/>
      </c>
      <c r="AI10" s="245" t="str">
        <f>IF('[3]2026 január'!AF9=0,
    "",
    '[3]2026 január'!AF9
)</f>
        <v/>
      </c>
      <c r="AJ10" s="245" t="str">
        <f>IF('[3]2026 január'!AG9=0,
    "",
    '[3]2026 január'!AG9
)</f>
        <v/>
      </c>
      <c r="AK10" s="245" t="str">
        <f>IF('[3]2026 január'!AH9=0,
    "",
    '[3]2026 január'!AH9
)</f>
        <v/>
      </c>
    </row>
    <row r="11" spans="1:37" ht="14.25" customHeight="1">
      <c r="A11" s="5">
        <v>46031</v>
      </c>
      <c r="B11" s="11">
        <v>99485</v>
      </c>
      <c r="C11" s="11">
        <v>300</v>
      </c>
      <c r="D11" s="11">
        <v>86295</v>
      </c>
      <c r="E11" s="11">
        <v>8490</v>
      </c>
      <c r="F11" s="11">
        <v>5150</v>
      </c>
      <c r="G11" s="11">
        <v>9620</v>
      </c>
      <c r="H11" s="11">
        <v>90615</v>
      </c>
      <c r="I11" s="11">
        <v>90615</v>
      </c>
      <c r="J11" s="38" t="s">
        <v>239</v>
      </c>
      <c r="K11" s="87">
        <v>204020405</v>
      </c>
      <c r="L11" s="87"/>
      <c r="M11" s="398"/>
      <c r="N11" s="169"/>
      <c r="O11" s="49"/>
      <c r="P11" s="245">
        <f>IF('[3]2026 január'!B$10=0,
    "",
    '[3]2026 január'!B$10
)</f>
        <v>99485</v>
      </c>
      <c r="Q11" s="245" t="str">
        <f>IF(OR('[3]2026 január'!G10=0,
       ISBLANK('[3]2026 január'!G10)),
    "",
    '[3]2026 január'!G10
)</f>
        <v/>
      </c>
      <c r="R11" s="49">
        <f>'[3]2026 január'!W10</f>
        <v>0</v>
      </c>
      <c r="S11" s="49"/>
      <c r="T11" s="49"/>
      <c r="U11" s="4"/>
      <c r="V11" s="245">
        <f>IF('[3]2026 január'!S10=0,
    "",
    '[3]2026 január'!S10
)</f>
        <v>51292</v>
      </c>
      <c r="W11" s="245">
        <f>IF('[3]2026 január'!T10=0,
    "",
    '[3]2026 január'!T10
)</f>
        <v>8870</v>
      </c>
      <c r="X11" s="245" t="str">
        <f>IF('[3]2026 január'!U10=0,
    "",
    '[3]2026 január'!U10
)</f>
        <v/>
      </c>
      <c r="Y11" s="245" t="str">
        <f>IF('[3]2026 január'!V10=0,
    "",
    '[3]2026 január'!V10
)</f>
        <v/>
      </c>
      <c r="Z11" s="245" t="str">
        <f>IF('[3]2026 január'!W10=0,
    "",
    '[3]2026 január'!W10
)</f>
        <v/>
      </c>
      <c r="AA11" s="245" t="str">
        <f>IF('[3]2026 január'!X10=0,
    "",
    '[3]2026 január'!X10
)</f>
        <v/>
      </c>
      <c r="AB11" s="245">
        <f>IF('[3]2026 január'!Y10=0,
    "",
    '[3]2026 január'!Y10
)</f>
        <v>60162</v>
      </c>
      <c r="AC11" s="245" t="str">
        <f>IF('[3]2026 január'!Z10=0,
    "",
    '[3]2026 január'!Z10
)</f>
        <v/>
      </c>
      <c r="AD11" s="245" t="str">
        <f>IF('[3]2026 január'!AA10=0,
    "",
    '[3]2026 január'!AA10
)</f>
        <v/>
      </c>
      <c r="AE11" s="245" t="str">
        <f>IF('[3]2026 január'!AB10=0,
    "",
    '[3]2026 január'!AB10
)</f>
        <v/>
      </c>
      <c r="AF11" s="245" t="str">
        <f>IF('[3]2026 január'!AC10=0,
    "",
    '[3]2026 január'!AC10
)</f>
        <v/>
      </c>
      <c r="AG11" s="245" t="str">
        <f>IF('[3]2026 január'!AD10=0,
    "",
    '[3]2026 január'!AD10
)</f>
        <v/>
      </c>
      <c r="AH11" s="245" t="str">
        <f>IF('[3]2026 január'!AE$10=0,
    "",
    '[3]2026 január'!AE$10
)</f>
        <v/>
      </c>
      <c r="AI11" s="245" t="str">
        <f>IF('[3]2026 január'!AF10=0,
    "",
    '[3]2026 január'!AF10
)</f>
        <v/>
      </c>
      <c r="AJ11" s="245" t="str">
        <f>IF('[3]2026 január'!AG10=0,
    "",
    '[3]2026 január'!AG10
)</f>
        <v/>
      </c>
      <c r="AK11" s="245" t="str">
        <f>IF('[3]2026 január'!AH10=0,
    "",
    '[3]2026 január'!AH10
)</f>
        <v/>
      </c>
    </row>
    <row r="12" spans="1:37" ht="14.25" customHeight="1">
      <c r="A12" s="162">
        <v>46032</v>
      </c>
      <c r="B12" s="163">
        <v>29770</v>
      </c>
      <c r="C12" s="163">
        <v>0</v>
      </c>
      <c r="D12" s="163">
        <v>28370</v>
      </c>
      <c r="E12" s="163">
        <v>1050</v>
      </c>
      <c r="F12" s="163">
        <v>350</v>
      </c>
      <c r="G12" s="163">
        <v>3360</v>
      </c>
      <c r="H12" s="163">
        <v>26410</v>
      </c>
      <c r="I12" s="163">
        <v>26410</v>
      </c>
      <c r="J12" s="222" t="s">
        <v>240</v>
      </c>
      <c r="K12" s="167">
        <v>204050175</v>
      </c>
      <c r="L12" s="167"/>
      <c r="M12" s="397"/>
      <c r="N12" s="174"/>
      <c r="O12" s="49"/>
      <c r="P12" s="245">
        <f>IF('[3]2026 január'!B$11=0,
    "",
    '[3]2026 január'!B$11
)</f>
        <v>29770</v>
      </c>
      <c r="Q12" s="245" t="str">
        <f>IF(OR('[3]2026 január'!G11=0,
       ISBLANK('[3]2026 január'!G11)),
    "",
    '[3]2026 január'!G11
)</f>
        <v/>
      </c>
      <c r="R12" s="49">
        <f>'[3]2026 január'!W11</f>
        <v>0</v>
      </c>
      <c r="S12" s="49"/>
      <c r="T12" s="49"/>
      <c r="U12" s="4"/>
      <c r="V12" s="245">
        <f>IF('[3]2026 január'!S11=0,
    "",
    '[3]2026 január'!S11
)</f>
        <v>60162</v>
      </c>
      <c r="W12" s="245">
        <f>IF('[3]2026 január'!T11=0,
    "",
    '[3]2026 január'!T11
)</f>
        <v>3360</v>
      </c>
      <c r="X12" s="245" t="str">
        <f>IF('[3]2026 január'!U11=0,
    "",
    '[3]2026 január'!U11
)</f>
        <v/>
      </c>
      <c r="Y12" s="245" t="str">
        <f>IF('[3]2026 január'!V11=0,
    "",
    '[3]2026 január'!V11
)</f>
        <v/>
      </c>
      <c r="Z12" s="245" t="str">
        <f>IF('[3]2026 január'!W11=0,
    "",
    '[3]2026 január'!W11
)</f>
        <v/>
      </c>
      <c r="AA12" s="245" t="str">
        <f>IF('[3]2026 január'!X11=0,
    "",
    '[3]2026 január'!X11
)</f>
        <v/>
      </c>
      <c r="AB12" s="245">
        <f>IF('[3]2026 január'!Y11=0,
    "",
    '[3]2026 január'!Y11
)</f>
        <v>63522</v>
      </c>
      <c r="AC12" s="245" t="str">
        <f>IF('[3]2026 január'!Z11=0,
    "",
    '[3]2026 január'!Z11
)</f>
        <v/>
      </c>
      <c r="AD12" s="245" t="str">
        <f>IF('[3]2026 január'!AA11=0,
    "",
    '[3]2026 január'!AA11
)</f>
        <v/>
      </c>
      <c r="AE12" s="245" t="str">
        <f>IF('[3]2026 január'!AB11=0,
    "",
    '[3]2026 január'!AB11
)</f>
        <v/>
      </c>
      <c r="AF12" s="245" t="str">
        <f>IF('[3]2026 január'!AC11=0,
    "",
    '[3]2026 január'!AC11
)</f>
        <v/>
      </c>
      <c r="AG12" s="245" t="str">
        <f>IF('[3]2026 január'!AD11=0,
    "",
    '[3]2026 január'!AD11
)</f>
        <v/>
      </c>
      <c r="AH12" s="245" t="str">
        <f>IF('[3]2026 január'!AE$11=0,
    "",
    '[3]2026 január'!AE$11
)</f>
        <v/>
      </c>
      <c r="AI12" s="245" t="str">
        <f>IF('[3]2026 január'!AF11=0,
    "",
    '[3]2026 január'!AF11
)</f>
        <v/>
      </c>
      <c r="AJ12" s="245" t="str">
        <f>IF('[3]2026 január'!AG11=0,
    "",
    '[3]2026 január'!AG11
)</f>
        <v/>
      </c>
      <c r="AK12" s="245" t="str">
        <f>IF('[3]2026 január'!AH11=0,
    "",
    '[3]2026 január'!AH11
)</f>
        <v/>
      </c>
    </row>
    <row r="13" spans="1:37" ht="14.25" customHeight="1">
      <c r="A13" s="162">
        <v>46033</v>
      </c>
      <c r="B13" s="163"/>
      <c r="C13" s="163"/>
      <c r="D13" s="163"/>
      <c r="E13" s="163"/>
      <c r="F13" s="163"/>
      <c r="G13" s="163"/>
      <c r="H13" s="163"/>
      <c r="I13" s="163"/>
      <c r="J13" s="222"/>
      <c r="K13" s="390"/>
      <c r="L13" s="167"/>
      <c r="M13" s="397"/>
      <c r="N13" s="174"/>
      <c r="O13" s="49"/>
      <c r="P13" s="245" t="str">
        <f>IF('[3]2026 január'!B$12=0,
    "",
    '[3]2026 január'!B$12
)</f>
        <v/>
      </c>
      <c r="Q13" s="245" t="str">
        <f>IF(OR('[3]2026 január'!G12=0,
       ISBLANK('[3]2026 január'!G12)),
    "",
    '[3]2026 január'!G12
)</f>
        <v/>
      </c>
      <c r="R13" s="49">
        <f>'[3]2026 január'!W12</f>
        <v>0</v>
      </c>
      <c r="S13" s="49"/>
      <c r="T13" s="49"/>
      <c r="U13" s="4"/>
      <c r="V13" s="245">
        <f>IF('[3]2026 január'!S12=0,
    "",
    '[3]2026 január'!S12
)</f>
        <v>63522</v>
      </c>
      <c r="W13" s="245" t="str">
        <f>IF('[3]2026 január'!T12=0,
    "",
    '[3]2026 január'!T12
)</f>
        <v/>
      </c>
      <c r="X13" s="245" t="str">
        <f>IF('[3]2026 január'!U12=0,
    "",
    '[3]2026 január'!U12
)</f>
        <v/>
      </c>
      <c r="Y13" s="245" t="str">
        <f>IF('[3]2026 január'!V12=0,
    "",
    '[3]2026 január'!V12
)</f>
        <v/>
      </c>
      <c r="Z13" s="245" t="str">
        <f>IF('[3]2026 január'!W12=0,
    "",
    '[3]2026 január'!W12
)</f>
        <v/>
      </c>
      <c r="AA13" s="245" t="str">
        <f>IF('[3]2026 január'!X12=0,
    "",
    '[3]2026 január'!X12
)</f>
        <v/>
      </c>
      <c r="AB13" s="245">
        <f>IF('[3]2026 január'!Y12=0,
    "",
    '[3]2026 január'!Y12
)</f>
        <v>63522</v>
      </c>
      <c r="AC13" s="245" t="str">
        <f>IF('[3]2026 január'!Z12=0,
    "",
    '[3]2026 január'!Z12
)</f>
        <v/>
      </c>
      <c r="AD13" s="245" t="str">
        <f>IF('[3]2026 január'!AA12=0,
    "",
    '[3]2026 január'!AA12
)</f>
        <v/>
      </c>
      <c r="AE13" s="245" t="str">
        <f>IF('[3]2026 január'!AB12=0,
    "",
    '[3]2026 január'!AB12
)</f>
        <v/>
      </c>
      <c r="AF13" s="245" t="str">
        <f>IF('[3]2026 január'!AC12=0,
    "",
    '[3]2026 január'!AC12
)</f>
        <v/>
      </c>
      <c r="AG13" s="245" t="str">
        <f>IF('[3]2026 január'!AD12=0,
    "",
    '[3]2026 január'!AD12
)</f>
        <v/>
      </c>
      <c r="AH13" s="245" t="str">
        <f>IF('[3]2026 január'!AE$12=0,
    "",
    '[3]2026 január'!AE$12
)</f>
        <v/>
      </c>
      <c r="AI13" s="245" t="str">
        <f>IF('[3]2026 január'!AF12=0,
    "",
    '[3]2026 január'!AF12
)</f>
        <v/>
      </c>
      <c r="AJ13" s="245" t="str">
        <f>IF('[3]2026 január'!AG12=0,
    "",
    '[3]2026 január'!AG12
)</f>
        <v/>
      </c>
      <c r="AK13" s="245" t="str">
        <f>IF('[3]2026 január'!AH12=0,
    "",
    '[3]2026 január'!AH12
)</f>
        <v/>
      </c>
    </row>
    <row r="14" spans="1:37" ht="14.25" customHeight="1">
      <c r="A14" s="5">
        <v>46034</v>
      </c>
      <c r="B14" s="11">
        <v>135650</v>
      </c>
      <c r="C14" s="11">
        <v>950</v>
      </c>
      <c r="D14" s="11">
        <v>126190</v>
      </c>
      <c r="E14" s="11">
        <v>1870</v>
      </c>
      <c r="F14" s="11">
        <v>5120</v>
      </c>
      <c r="G14" s="11">
        <v>13630</v>
      </c>
      <c r="H14" s="11">
        <v>120500</v>
      </c>
      <c r="I14" s="11">
        <v>120500</v>
      </c>
      <c r="J14" s="38" t="s">
        <v>241</v>
      </c>
      <c r="K14" s="87">
        <v>204184305</v>
      </c>
      <c r="L14" s="87"/>
      <c r="M14" s="398"/>
      <c r="N14" s="169"/>
      <c r="O14" s="49"/>
      <c r="P14" s="245">
        <f>IF('[3]2026 január'!B$13=0,
    "",
    '[3]2026 január'!B$13
)</f>
        <v>135650</v>
      </c>
      <c r="Q14" s="245" t="str">
        <f>IF(OR('[3]2026 január'!G13=0,
       ISBLANK('[3]2026 január'!G13)),
    "",
    '[3]2026 január'!G13
)</f>
        <v/>
      </c>
      <c r="R14" s="49">
        <f>'[3]2026 január'!W13</f>
        <v>0</v>
      </c>
      <c r="S14" s="49"/>
      <c r="T14" s="49"/>
      <c r="U14" s="4"/>
      <c r="V14" s="245">
        <f>IF('[3]2026 január'!S13=0,
    "",
    '[3]2026 január'!S13
)</f>
        <v>63522</v>
      </c>
      <c r="W14" s="245">
        <f>IF('[3]2026 január'!T13=0,
    "",
    '[3]2026 január'!T13
)</f>
        <v>15150</v>
      </c>
      <c r="X14" s="245" t="str">
        <f>IF('[3]2026 január'!U13=0,
    "",
    '[3]2026 január'!U13
)</f>
        <v/>
      </c>
      <c r="Y14" s="245" t="str">
        <f>IF('[3]2026 január'!V13=0,
    "",
    '[3]2026 január'!V13
)</f>
        <v/>
      </c>
      <c r="Z14" s="245" t="str">
        <f>IF('[3]2026 január'!W13=0,
    "",
    '[3]2026 január'!W13
)</f>
        <v/>
      </c>
      <c r="AA14" s="245" t="str">
        <f>IF('[3]2026 január'!X13=0,
    "",
    '[3]2026 január'!X13
)</f>
        <v/>
      </c>
      <c r="AB14" s="245">
        <f>IF('[3]2026 január'!Y13=0,
    "",
    '[3]2026 január'!Y13
)</f>
        <v>78672</v>
      </c>
      <c r="AC14" s="245" t="str">
        <f>IF('[3]2026 január'!Z13=0,
    "",
    '[3]2026 január'!Z13
)</f>
        <v/>
      </c>
      <c r="AD14" s="245" t="str">
        <f>IF('[3]2026 január'!AA13=0,
    "",
    '[3]2026 január'!AA13
)</f>
        <v/>
      </c>
      <c r="AE14" s="245" t="str">
        <f>IF('[3]2026 január'!AB13=0,
    "",
    '[3]2026 január'!AB13
)</f>
        <v/>
      </c>
      <c r="AF14" s="245" t="str">
        <f>IF('[3]2026 január'!AC13=0,
    "",
    '[3]2026 január'!AC13
)</f>
        <v/>
      </c>
      <c r="AG14" s="245" t="str">
        <f>IF('[3]2026 január'!AD13=0,
    "",
    '[3]2026 január'!AD13
)</f>
        <v/>
      </c>
      <c r="AH14" s="245" t="str">
        <f>IF('[3]2026 január'!AE$13=0,
    "",
    '[3]2026 január'!AE$13
)</f>
        <v/>
      </c>
      <c r="AI14" s="245" t="str">
        <f>IF('[3]2026 január'!AF13=0,
    "",
    '[3]2026 január'!AF13
)</f>
        <v/>
      </c>
      <c r="AJ14" s="245" t="str">
        <f>IF('[3]2026 január'!AG13=0,
    "",
    '[3]2026 január'!AG13
)</f>
        <v/>
      </c>
      <c r="AK14" s="245" t="str">
        <f>IF('[3]2026 január'!AH13=0,
    "",
    '[3]2026 január'!AH13
)</f>
        <v/>
      </c>
    </row>
    <row r="15" spans="1:37" ht="14.25" customHeight="1">
      <c r="A15" s="5">
        <v>46035</v>
      </c>
      <c r="B15" s="11">
        <v>180610</v>
      </c>
      <c r="C15" s="11">
        <v>900</v>
      </c>
      <c r="D15" s="11">
        <v>156490</v>
      </c>
      <c r="E15" s="11">
        <v>5000</v>
      </c>
      <c r="F15" s="11">
        <v>14640</v>
      </c>
      <c r="G15" s="11">
        <v>14035</v>
      </c>
      <c r="H15" s="11">
        <v>162995</v>
      </c>
      <c r="I15" s="11">
        <v>162995</v>
      </c>
      <c r="J15" s="38" t="s">
        <v>242</v>
      </c>
      <c r="K15" s="87">
        <v>204361335</v>
      </c>
      <c r="L15" s="87"/>
      <c r="M15" s="398"/>
      <c r="N15" s="169"/>
      <c r="O15" s="49"/>
      <c r="P15" s="245">
        <f>IF('[3]2026 január'!B$14=0,
    "",
    '[3]2026 január'!B$14
)</f>
        <v>180610</v>
      </c>
      <c r="Q15" s="245" t="str">
        <f>IF(OR('[3]2026 január'!G14=0,
       ISBLANK('[3]2026 január'!G14)),
    "",
    '[3]2026 január'!G14
)</f>
        <v/>
      </c>
      <c r="R15" s="49">
        <f>'[3]2026 január'!W14</f>
        <v>0</v>
      </c>
      <c r="S15" s="49"/>
      <c r="T15" s="49"/>
      <c r="U15" s="4"/>
      <c r="V15" s="245">
        <f>IF('[3]2026 január'!S14=0,
    "",
    '[3]2026 január'!S14
)</f>
        <v>78672</v>
      </c>
      <c r="W15" s="245">
        <f>IF('[3]2026 január'!T14=0,
    "",
    '[3]2026 január'!T14
)</f>
        <v>17615</v>
      </c>
      <c r="X15" s="245" t="str">
        <f>IF('[3]2026 január'!U14=0,
    "",
    '[3]2026 január'!U14
)</f>
        <v/>
      </c>
      <c r="Y15" s="245" t="str">
        <f>IF('[3]2026 január'!V14=0,
    "",
    '[3]2026 január'!V14
)</f>
        <v/>
      </c>
      <c r="Z15" s="245" t="str">
        <f>IF('[3]2026 január'!W14=0,
    "",
    '[3]2026 január'!W14
)</f>
        <v/>
      </c>
      <c r="AA15" s="245" t="str">
        <f>IF('[3]2026 január'!X14=0,
    "",
    '[3]2026 január'!X14
)</f>
        <v/>
      </c>
      <c r="AB15" s="245">
        <f>IF('[3]2026 január'!Y14=0,
    "",
    '[3]2026 január'!Y14
)</f>
        <v>96287</v>
      </c>
      <c r="AC15" s="245" t="str">
        <f>IF('[3]2026 január'!Z14=0,
    "",
    '[3]2026 január'!Z14
)</f>
        <v/>
      </c>
      <c r="AD15" s="245" t="str">
        <f>IF('[3]2026 január'!AA14=0,
    "",
    '[3]2026 január'!AA14
)</f>
        <v/>
      </c>
      <c r="AE15" s="245" t="str">
        <f>IF('[3]2026 január'!AB14=0,
    "",
    '[3]2026 január'!AB14
)</f>
        <v/>
      </c>
      <c r="AF15" s="245" t="str">
        <f>IF('[3]2026 január'!AC14=0,
    "",
    '[3]2026 január'!AC14
)</f>
        <v/>
      </c>
      <c r="AG15" s="245" t="str">
        <f>IF('[3]2026 január'!AD14=0,
    "",
    '[3]2026 január'!AD14
)</f>
        <v/>
      </c>
      <c r="AH15" s="245" t="str">
        <f>IF('[3]2026 január'!AE$14=0,
    "",
    '[3]2026 január'!AE$14
)</f>
        <v/>
      </c>
      <c r="AI15" s="245" t="str">
        <f>IF('[3]2026 január'!AF14=0,
    "",
    '[3]2026 január'!AF14
)</f>
        <v/>
      </c>
      <c r="AJ15" s="245" t="str">
        <f>IF('[3]2026 január'!AG14=0,
    "",
    '[3]2026 január'!AG14
)</f>
        <v/>
      </c>
      <c r="AK15" s="245" t="str">
        <f>IF('[3]2026 január'!AH14=0,
    "",
    '[3]2026 január'!AH14
)</f>
        <v/>
      </c>
    </row>
    <row r="16" spans="1:37" ht="14.25" customHeight="1">
      <c r="A16" s="5">
        <v>46036</v>
      </c>
      <c r="B16" s="11">
        <v>228065</v>
      </c>
      <c r="C16" s="11">
        <v>50</v>
      </c>
      <c r="D16" s="11">
        <v>184885</v>
      </c>
      <c r="E16" s="11">
        <v>850</v>
      </c>
      <c r="F16" s="11">
        <v>33900</v>
      </c>
      <c r="G16" s="11">
        <v>18900</v>
      </c>
      <c r="H16" s="11">
        <v>200785</v>
      </c>
      <c r="I16" s="11">
        <v>200785</v>
      </c>
      <c r="J16" s="38" t="s">
        <v>243</v>
      </c>
      <c r="K16" s="87">
        <v>204581020</v>
      </c>
      <c r="L16" s="87"/>
      <c r="M16" s="398"/>
      <c r="N16" s="169"/>
      <c r="O16" s="49"/>
      <c r="P16" s="245">
        <f>IF('[3]2026 január'!B$15=0,
    "",
    '[3]2026 január'!B$15
)</f>
        <v>228065</v>
      </c>
      <c r="Q16" s="245" t="str">
        <f>IF(OR('[3]2026 január'!G15=0,
       ISBLANK('[3]2026 január'!G15)),
    "",
    '[3]2026 január'!G15
)</f>
        <v/>
      </c>
      <c r="R16" s="49">
        <f>'[3]2026 január'!W15</f>
        <v>0</v>
      </c>
      <c r="S16" s="49"/>
      <c r="T16" s="49"/>
      <c r="U16" s="4"/>
      <c r="V16" s="245">
        <f>IF('[3]2026 január'!S15=0,
    "",
    '[3]2026 január'!S15
)</f>
        <v>96287</v>
      </c>
      <c r="W16" s="245">
        <f>IF('[3]2026 január'!T15=0,
    "",
    '[3]2026 január'!T15
)</f>
        <v>27280</v>
      </c>
      <c r="X16" s="245" t="str">
        <f>IF('[3]2026 január'!U15=0,
    "",
    '[3]2026 január'!U15
)</f>
        <v/>
      </c>
      <c r="Y16" s="245" t="str">
        <f>IF('[3]2026 január'!V15=0,
    "",
    '[3]2026 január'!V15
)</f>
        <v/>
      </c>
      <c r="Z16" s="245" t="str">
        <f>IF('[3]2026 január'!W15=0,
    "",
    '[3]2026 január'!W15
)</f>
        <v/>
      </c>
      <c r="AA16" s="245" t="str">
        <f>IF('[3]2026 január'!X15=0,
    "",
    '[3]2026 január'!X15
)</f>
        <v/>
      </c>
      <c r="AB16" s="245">
        <f>IF('[3]2026 január'!Y15=0,
    "",
    '[3]2026 január'!Y15
)</f>
        <v>123567</v>
      </c>
      <c r="AC16" s="245" t="str">
        <f>IF('[3]2026 január'!Z15=0,
    "",
    '[3]2026 január'!Z15
)</f>
        <v/>
      </c>
      <c r="AD16" s="245" t="str">
        <f>IF('[3]2026 január'!AA15=0,
    "",
    '[3]2026 január'!AA15
)</f>
        <v/>
      </c>
      <c r="AE16" s="245" t="str">
        <f>IF('[3]2026 január'!AB15=0,
    "",
    '[3]2026 január'!AB15
)</f>
        <v/>
      </c>
      <c r="AF16" s="245" t="str">
        <f>IF('[3]2026 január'!AC15=0,
    "",
    '[3]2026 január'!AC15
)</f>
        <v/>
      </c>
      <c r="AG16" s="245" t="str">
        <f>IF('[3]2026 január'!AD15=0,
    "",
    '[3]2026 január'!AD15
)</f>
        <v/>
      </c>
      <c r="AH16" s="245" t="str">
        <f>IF('[3]2026 január'!AE$15=0,
    "",
    '[3]2026 január'!AE$15
)</f>
        <v/>
      </c>
      <c r="AI16" s="245" t="str">
        <f>IF('[3]2026 január'!AF15=0,
    "",
    '[3]2026 január'!AF15
)</f>
        <v/>
      </c>
      <c r="AJ16" s="245" t="str">
        <f>IF('[3]2026 január'!AG15=0,
    "",
    '[3]2026 január'!AG15
)</f>
        <v/>
      </c>
      <c r="AK16" s="245" t="str">
        <f>IF('[3]2026 január'!AH15=0,
    "",
    '[3]2026 január'!AH15
)</f>
        <v/>
      </c>
    </row>
    <row r="17" spans="1:37" ht="14.25" customHeight="1">
      <c r="A17" s="5">
        <v>46037</v>
      </c>
      <c r="B17" s="11">
        <v>241125</v>
      </c>
      <c r="C17" s="11">
        <v>50</v>
      </c>
      <c r="D17" s="11">
        <v>191920</v>
      </c>
      <c r="E17" s="11">
        <v>4610</v>
      </c>
      <c r="F17" s="11">
        <v>33620</v>
      </c>
      <c r="G17" s="11">
        <v>30060</v>
      </c>
      <c r="H17" s="11">
        <v>200140</v>
      </c>
      <c r="I17" s="11">
        <v>200140</v>
      </c>
      <c r="J17" s="38" t="s">
        <v>244</v>
      </c>
      <c r="K17" s="87">
        <v>204811220</v>
      </c>
      <c r="L17" s="87"/>
      <c r="M17" s="398"/>
      <c r="N17" s="169"/>
      <c r="O17" s="49"/>
      <c r="P17" s="245">
        <f>IF('[3]2026 január'!B$16=0,
    "",
    '[3]2026 január'!B$16
)</f>
        <v>241125</v>
      </c>
      <c r="Q17" s="245" t="str">
        <f>IF(OR('[3]2026 január'!G16=0,
       ISBLANK('[3]2026 január'!G16)),
    "",
    '[3]2026 január'!G16
)</f>
        <v/>
      </c>
      <c r="R17" s="49">
        <f>'[3]2026 január'!W16</f>
        <v>0</v>
      </c>
      <c r="S17" s="49"/>
      <c r="T17" s="49"/>
      <c r="U17" s="4"/>
      <c r="V17" s="245">
        <f>IF('[3]2026 január'!S16=0,
    "",
    '[3]2026 január'!S16
)</f>
        <v>123567</v>
      </c>
      <c r="W17" s="245">
        <f>IF('[3]2026 január'!T16=0,
    "",
    '[3]2026 január'!T16
)</f>
        <v>40985</v>
      </c>
      <c r="X17" s="245" t="str">
        <f>IF('[3]2026 január'!U16=0,
    "",
    '[3]2026 január'!U16
)</f>
        <v/>
      </c>
      <c r="Y17" s="245" t="str">
        <f>IF('[3]2026 január'!V16=0,
    "",
    '[3]2026 január'!V16
)</f>
        <v/>
      </c>
      <c r="Z17" s="245" t="str">
        <f>IF('[3]2026 január'!W16=0,
    "",
    '[3]2026 január'!W16
)</f>
        <v/>
      </c>
      <c r="AA17" s="245" t="str">
        <f>IF('[3]2026 január'!X16=0,
    "",
    '[3]2026 január'!X16
)</f>
        <v/>
      </c>
      <c r="AB17" s="245">
        <f>IF('[3]2026 január'!Y16=0,
    "",
    '[3]2026 január'!Y16
)</f>
        <v>164552</v>
      </c>
      <c r="AC17" s="245" t="str">
        <f>IF('[3]2026 január'!Z16=0,
    "",
    '[3]2026 január'!Z16
)</f>
        <v/>
      </c>
      <c r="AD17" s="245" t="str">
        <f>IF('[3]2026 január'!AA16=0,
    "",
    '[3]2026 január'!AA16
)</f>
        <v/>
      </c>
      <c r="AE17" s="245" t="str">
        <f>IF('[3]2026 január'!AB16=0,
    "",
    '[3]2026 január'!AB16
)</f>
        <v/>
      </c>
      <c r="AF17" s="245" t="str">
        <f>IF('[3]2026 január'!AC16=0,
    "",
    '[3]2026 január'!AC16
)</f>
        <v/>
      </c>
      <c r="AG17" s="245" t="str">
        <f>IF('[3]2026 január'!AD16=0,
    "",
    '[3]2026 január'!AD16
)</f>
        <v/>
      </c>
      <c r="AH17" s="245" t="str">
        <f>IF('[3]2026 január'!AE$16=0,
    "",
    '[3]2026 január'!AE$16
)</f>
        <v/>
      </c>
      <c r="AI17" s="245" t="str">
        <f>IF('[3]2026 január'!AF16=0,
    "",
    '[3]2026 január'!AF16
)</f>
        <v/>
      </c>
      <c r="AJ17" s="245" t="str">
        <f>IF('[3]2026 január'!AG16=0,
    "",
    '[3]2026 január'!AG16
)</f>
        <v/>
      </c>
      <c r="AK17" s="245" t="str">
        <f>IF('[3]2026 január'!AH16=0,
    "",
    '[3]2026 január'!AH16
)</f>
        <v/>
      </c>
    </row>
    <row r="18" spans="1:37" ht="14.25" customHeight="1">
      <c r="A18" s="5">
        <v>46038</v>
      </c>
      <c r="B18" s="11">
        <v>177235</v>
      </c>
      <c r="C18" s="11">
        <v>0</v>
      </c>
      <c r="D18" s="11">
        <v>153705</v>
      </c>
      <c r="E18" s="11">
        <v>5150</v>
      </c>
      <c r="F18" s="11">
        <v>14630</v>
      </c>
      <c r="G18" s="11">
        <v>38600</v>
      </c>
      <c r="H18" s="11">
        <v>134885</v>
      </c>
      <c r="I18" s="11">
        <v>134885</v>
      </c>
      <c r="J18" s="38" t="s">
        <v>245</v>
      </c>
      <c r="K18" s="87">
        <v>204984705</v>
      </c>
      <c r="L18" s="87"/>
      <c r="M18" s="398"/>
      <c r="N18" s="169"/>
      <c r="O18" s="49"/>
      <c r="P18" s="245">
        <f>IF('[3]2026 január'!B$17=0,
    "",
    '[3]2026 január'!B$17
)</f>
        <v>177235</v>
      </c>
      <c r="Q18" s="245" t="str">
        <f>IF(OR('[3]2026 január'!G17=0,
       ISBLANK('[3]2026 január'!G17)),
    "",
    '[3]2026 január'!G17
)</f>
        <v/>
      </c>
      <c r="R18" s="49">
        <f>'[3]2026 január'!W17</f>
        <v>0</v>
      </c>
      <c r="S18" s="49"/>
      <c r="T18" s="49"/>
      <c r="U18" s="4"/>
      <c r="V18" s="245">
        <f>IF('[3]2026 január'!S17=0,
    "",
    '[3]2026 január'!S17
)</f>
        <v>164552</v>
      </c>
      <c r="W18" s="245">
        <f>IF('[3]2026 január'!T17=0,
    "",
    '[3]2026 január'!T17
)</f>
        <v>42350</v>
      </c>
      <c r="X18" s="245" t="str">
        <f>IF('[3]2026 január'!U17=0,
    "",
    '[3]2026 január'!U17
)</f>
        <v/>
      </c>
      <c r="Y18" s="245" t="str">
        <f>IF('[3]2026 január'!V17=0,
    "",
    '[3]2026 január'!V17
)</f>
        <v/>
      </c>
      <c r="Z18" s="245" t="str">
        <f>IF('[3]2026 január'!W17=0,
    "",
    '[3]2026 január'!W17
)</f>
        <v/>
      </c>
      <c r="AA18" s="245" t="str">
        <f>IF('[3]2026 január'!X17=0,
    "",
    '[3]2026 január'!X17
)</f>
        <v/>
      </c>
      <c r="AB18" s="245">
        <f>IF('[3]2026 január'!Y17=0,
    "",
    '[3]2026 január'!Y17
)</f>
        <v>206902</v>
      </c>
      <c r="AC18" s="245" t="str">
        <f>IF('[3]2026 január'!Z17=0,
    "",
    '[3]2026 január'!Z17
)</f>
        <v/>
      </c>
      <c r="AD18" s="245" t="str">
        <f>IF('[3]2026 január'!AA17=0,
    "",
    '[3]2026 január'!AA17
)</f>
        <v/>
      </c>
      <c r="AE18" s="245" t="str">
        <f>IF('[3]2026 január'!AB17=0,
    "",
    '[3]2026 január'!AB17
)</f>
        <v/>
      </c>
      <c r="AF18" s="245" t="str">
        <f>IF('[3]2026 január'!AC17=0,
    "",
    '[3]2026 január'!AC17
)</f>
        <v/>
      </c>
      <c r="AG18" s="245" t="str">
        <f>IF('[3]2026 január'!AD17=0,
    "",
    '[3]2026 január'!AD17
)</f>
        <v/>
      </c>
      <c r="AH18" s="245" t="str">
        <f>IF('[3]2026 január'!AE$17=0,
    "",
    '[3]2026 január'!AE$17
)</f>
        <v/>
      </c>
      <c r="AI18" s="245" t="str">
        <f>IF('[3]2026 január'!AF17=0,
    "",
    '[3]2026 január'!AF17
)</f>
        <v/>
      </c>
      <c r="AJ18" s="245" t="str">
        <f>IF('[3]2026 január'!AG17=0,
    "",
    '[3]2026 január'!AG17
)</f>
        <v/>
      </c>
      <c r="AK18" s="245" t="str">
        <f>IF('[3]2026 január'!AH17=0,
    "",
    '[3]2026 január'!AH17
)</f>
        <v/>
      </c>
    </row>
    <row r="19" spans="1:37" ht="14.25" customHeight="1">
      <c r="A19" s="162">
        <v>46039</v>
      </c>
      <c r="B19" s="163"/>
      <c r="C19" s="163"/>
      <c r="D19" s="163"/>
      <c r="E19" s="163"/>
      <c r="F19" s="163"/>
      <c r="G19" s="163"/>
      <c r="H19" s="163"/>
      <c r="I19" s="163"/>
      <c r="J19" s="222"/>
      <c r="K19" s="167"/>
      <c r="L19" s="167"/>
      <c r="M19" s="397"/>
      <c r="N19" s="174"/>
      <c r="O19" s="49"/>
      <c r="P19" s="245" t="str">
        <f>IF('[3]2026 január'!B$18=0,
    "",
    '[3]2026 január'!B$18
)</f>
        <v/>
      </c>
      <c r="Q19" s="245" t="str">
        <f>IF(OR('[3]2026 január'!G18=0,
       ISBLANK('[3]2026 január'!G18)),
    "",
    '[3]2026 január'!G18
)</f>
        <v/>
      </c>
      <c r="R19" s="49">
        <f>'[3]2026 január'!W18</f>
        <v>0</v>
      </c>
      <c r="S19" s="49"/>
      <c r="T19" s="49"/>
      <c r="U19" s="4"/>
      <c r="V19" s="245">
        <f>IF('[3]2026 január'!S18=0,
    "",
    '[3]2026 január'!S18
)</f>
        <v>206902</v>
      </c>
      <c r="W19" s="245" t="str">
        <f>IF('[3]2026 január'!T18=0,
    "",
    '[3]2026 január'!T18
)</f>
        <v/>
      </c>
      <c r="X19" s="245" t="str">
        <f>IF('[3]2026 január'!U18=0,
    "",
    '[3]2026 január'!U18
)</f>
        <v/>
      </c>
      <c r="Y19" s="245" t="str">
        <f>IF('[3]2026 január'!V18=0,
    "",
    '[3]2026 január'!V18
)</f>
        <v/>
      </c>
      <c r="Z19" s="245" t="str">
        <f>IF('[3]2026 január'!W18=0,
    "",
    '[3]2026 január'!W18
)</f>
        <v/>
      </c>
      <c r="AA19" s="245" t="str">
        <f>IF('[3]2026 január'!X18=0,
    "",
    '[3]2026 január'!X18
)</f>
        <v/>
      </c>
      <c r="AB19" s="245">
        <f>IF('[3]2026 január'!Y18=0,
    "",
    '[3]2026 január'!Y18
)</f>
        <v>206902</v>
      </c>
      <c r="AC19" s="245" t="str">
        <f>IF('[3]2026 január'!Z18=0,
    "",
    '[3]2026 január'!Z18
)</f>
        <v/>
      </c>
      <c r="AD19" s="245" t="str">
        <f>IF('[3]2026 január'!AA18=0,
    "",
    '[3]2026 január'!AA18
)</f>
        <v/>
      </c>
      <c r="AE19" s="245" t="str">
        <f>IF('[3]2026 január'!AB18=0,
    "",
    '[3]2026 január'!AB18
)</f>
        <v/>
      </c>
      <c r="AF19" s="245" t="str">
        <f>IF('[3]2026 január'!AC18=0,
    "",
    '[3]2026 január'!AC18
)</f>
        <v/>
      </c>
      <c r="AG19" s="245" t="str">
        <f>IF('[3]2026 január'!AD18=0,
    "",
    '[3]2026 január'!AD18
)</f>
        <v/>
      </c>
      <c r="AH19" s="245" t="str">
        <f>IF('[3]2026 január'!AE$18=0,
    "",
    '[3]2026 január'!AE$18
)</f>
        <v/>
      </c>
      <c r="AI19" s="245" t="str">
        <f>IF('[3]2026 január'!AF18=0,
    "",
    '[3]2026 január'!AF18
)</f>
        <v/>
      </c>
      <c r="AJ19" s="245" t="str">
        <f>IF('[3]2026 január'!AG18=0,
    "",
    '[3]2026 január'!AG18
)</f>
        <v/>
      </c>
      <c r="AK19" s="245" t="str">
        <f>IF('[3]2026 január'!AH18=0,
    "",
    '[3]2026 január'!AH18
)</f>
        <v/>
      </c>
    </row>
    <row r="20" spans="1:37" ht="14.25" customHeight="1">
      <c r="A20" s="162">
        <v>46040</v>
      </c>
      <c r="B20" s="163"/>
      <c r="C20" s="163"/>
      <c r="D20" s="163"/>
      <c r="E20" s="163"/>
      <c r="F20" s="163"/>
      <c r="G20" s="163"/>
      <c r="H20" s="163"/>
      <c r="I20" s="163"/>
      <c r="J20" s="222"/>
      <c r="K20" s="167"/>
      <c r="L20" s="167"/>
      <c r="M20" s="397"/>
      <c r="N20" s="174"/>
      <c r="O20" s="49"/>
      <c r="P20" s="245" t="str">
        <f>IF('[3]2026 január'!B$19=0,
    "",
    '[3]2026 január'!B$19
)</f>
        <v/>
      </c>
      <c r="Q20" s="245" t="str">
        <f>IF(OR('[3]2026 január'!G19=0,
       ISBLANK('[3]2026 január'!G19)),
    "",
    '[3]2026 január'!G19
)</f>
        <v/>
      </c>
      <c r="R20" s="49">
        <f>'[3]2026 január'!W19</f>
        <v>0</v>
      </c>
      <c r="S20" s="49"/>
      <c r="T20" s="49"/>
      <c r="U20" s="4"/>
      <c r="V20" s="245">
        <f>IF('[3]2026 január'!S19=0,
    "",
    '[3]2026 január'!S19
)</f>
        <v>206902</v>
      </c>
      <c r="W20" s="245" t="str">
        <f>IF('[3]2026 január'!T19=0,
    "",
    '[3]2026 január'!T19
)</f>
        <v/>
      </c>
      <c r="X20" s="245" t="str">
        <f>IF('[3]2026 január'!U19=0,
    "",
    '[3]2026 január'!U19
)</f>
        <v/>
      </c>
      <c r="Y20" s="245" t="str">
        <f>IF('[3]2026 január'!V19=0,
    "",
    '[3]2026 január'!V19
)</f>
        <v/>
      </c>
      <c r="Z20" s="245" t="str">
        <f>IF('[3]2026 január'!W19=0,
    "",
    '[3]2026 január'!W19
)</f>
        <v/>
      </c>
      <c r="AA20" s="245" t="str">
        <f>IF('[3]2026 január'!X19=0,
    "",
    '[3]2026 január'!X19
)</f>
        <v/>
      </c>
      <c r="AB20" s="245">
        <f>IF('[3]2026 január'!Y19=0,
    "",
    '[3]2026 január'!Y19
)</f>
        <v>206902</v>
      </c>
      <c r="AC20" s="245" t="str">
        <f>IF('[3]2026 január'!Z19=0,
    "",
    '[3]2026 január'!Z19
)</f>
        <v/>
      </c>
      <c r="AD20" s="245" t="str">
        <f>IF('[3]2026 január'!AA19=0,
    "",
    '[3]2026 január'!AA19
)</f>
        <v/>
      </c>
      <c r="AE20" s="245" t="str">
        <f>IF('[3]2026 január'!AB19=0,
    "",
    '[3]2026 január'!AB19
)</f>
        <v/>
      </c>
      <c r="AF20" s="245" t="str">
        <f>IF('[3]2026 január'!AC19=0,
    "",
    '[3]2026 január'!AC19
)</f>
        <v/>
      </c>
      <c r="AG20" s="245" t="str">
        <f>IF('[3]2026 január'!AD19=0,
    "",
    '[3]2026 január'!AD19
)</f>
        <v/>
      </c>
      <c r="AH20" s="245" t="str">
        <f>IF('[3]2026 január'!AE$19=0,
    "",
    '[3]2026 január'!AE$19
)</f>
        <v/>
      </c>
      <c r="AI20" s="245" t="str">
        <f>IF('[3]2026 január'!AF19=0,
    "",
    '[3]2026 január'!AF19
)</f>
        <v/>
      </c>
      <c r="AJ20" s="245" t="str">
        <f>IF('[3]2026 január'!AG19=0,
    "",
    '[3]2026 január'!AG19
)</f>
        <v/>
      </c>
      <c r="AK20" s="245" t="str">
        <f>IF('[3]2026 január'!AH19=0,
    "",
    '[3]2026 január'!AH19
)</f>
        <v/>
      </c>
    </row>
    <row r="21" spans="1:37" ht="14.25" customHeight="1">
      <c r="A21" s="5">
        <v>46041</v>
      </c>
      <c r="B21" s="11">
        <v>160360</v>
      </c>
      <c r="C21" s="11">
        <v>0</v>
      </c>
      <c r="D21" s="11">
        <v>141890</v>
      </c>
      <c r="E21" s="11">
        <v>6970</v>
      </c>
      <c r="F21" s="11">
        <v>8960</v>
      </c>
      <c r="G21" s="11">
        <v>19270</v>
      </c>
      <c r="H21" s="11">
        <v>138550</v>
      </c>
      <c r="I21" s="11">
        <v>138550</v>
      </c>
      <c r="J21" s="38" t="s">
        <v>246</v>
      </c>
      <c r="K21" s="87">
        <v>205142525</v>
      </c>
      <c r="L21" s="87"/>
      <c r="M21" s="398"/>
      <c r="N21" s="169"/>
      <c r="O21" s="49"/>
      <c r="P21" s="245">
        <f>IF('[3]2026 január'!B$20=0,
    "",
    '[3]2026 január'!B$20
)</f>
        <v>160360</v>
      </c>
      <c r="Q21" s="245" t="str">
        <f>IF(OR('[3]2026 január'!G20=0,
       ISBLANK('[3]2026 január'!G20)),
    "",
    '[3]2026 január'!G20
)</f>
        <v/>
      </c>
      <c r="R21" s="49">
        <f>'[3]2026 január'!W20</f>
        <v>0</v>
      </c>
      <c r="S21" s="49"/>
      <c r="T21" s="49"/>
      <c r="U21" s="4"/>
      <c r="V21" s="245">
        <f>IF('[3]2026 január'!S20=0,
    "",
    '[3]2026 január'!S20
)</f>
        <v>206902</v>
      </c>
      <c r="W21" s="245">
        <f>IF('[3]2026 január'!T20=0,
    "",
    '[3]2026 január'!T20
)</f>
        <v>21810</v>
      </c>
      <c r="X21" s="245" t="str">
        <f>IF('[3]2026 január'!U20=0,
    "",
    '[3]2026 január'!U20
)</f>
        <v/>
      </c>
      <c r="Y21" s="245" t="str">
        <f>IF('[3]2026 január'!V20=0,
    "",
    '[3]2026 január'!V20
)</f>
        <v/>
      </c>
      <c r="Z21" s="245" t="str">
        <f>IF('[3]2026 január'!W20=0,
    "",
    '[3]2026 január'!W20
)</f>
        <v/>
      </c>
      <c r="AA21" s="245" t="str">
        <f>IF('[3]2026 január'!X20=0,
    "",
    '[3]2026 január'!X20
)</f>
        <v/>
      </c>
      <c r="AB21" s="245">
        <f>IF('[3]2026 január'!Y20=0,
    "",
    '[3]2026 január'!Y20
)</f>
        <v>228712</v>
      </c>
      <c r="AC21" s="245" t="str">
        <f>IF('[3]2026 január'!Z20=0,
    "",
    '[3]2026 január'!Z20
)</f>
        <v/>
      </c>
      <c r="AD21" s="245" t="str">
        <f>IF('[3]2026 január'!AA20=0,
    "",
    '[3]2026 január'!AA20
)</f>
        <v/>
      </c>
      <c r="AE21" s="245" t="str">
        <f>IF('[3]2026 január'!AB20=0,
    "",
    '[3]2026 január'!AB20
)</f>
        <v/>
      </c>
      <c r="AF21" s="245" t="str">
        <f>IF('[3]2026 január'!AC20=0,
    "",
    '[3]2026 január'!AC20
)</f>
        <v/>
      </c>
      <c r="AG21" s="245" t="str">
        <f>IF('[3]2026 január'!AD20=0,
    "",
    '[3]2026 január'!AD20
)</f>
        <v/>
      </c>
      <c r="AH21" s="245" t="str">
        <f>IF('[3]2026 január'!AE$20=0,
    "",
    '[3]2026 január'!AE$20
)</f>
        <v/>
      </c>
      <c r="AI21" s="245" t="str">
        <f>IF('[3]2026 január'!AF20=0,
    "",
    '[3]2026 január'!AF20
)</f>
        <v/>
      </c>
      <c r="AJ21" s="245" t="str">
        <f>IF('[3]2026 január'!AG20=0,
    "",
    '[3]2026 január'!AG20
)</f>
        <v/>
      </c>
      <c r="AK21" s="245" t="str">
        <f>IF('[3]2026 január'!AH20=0,
    "",
    '[3]2026 január'!AH20
)</f>
        <v/>
      </c>
    </row>
    <row r="22" spans="1:37" ht="14.25" customHeight="1">
      <c r="A22" s="5">
        <v>46042</v>
      </c>
      <c r="B22" s="11">
        <v>248400</v>
      </c>
      <c r="C22" s="11">
        <v>1400</v>
      </c>
      <c r="D22" s="11">
        <v>211300</v>
      </c>
      <c r="E22" s="11">
        <v>9120</v>
      </c>
      <c r="F22" s="11">
        <v>18310</v>
      </c>
      <c r="G22" s="11">
        <v>23165</v>
      </c>
      <c r="H22" s="11">
        <v>216965</v>
      </c>
      <c r="I22" s="11">
        <v>216965</v>
      </c>
      <c r="J22" s="38" t="s">
        <v>247</v>
      </c>
      <c r="K22" s="87">
        <v>205382655</v>
      </c>
      <c r="L22" s="87"/>
      <c r="M22" s="398"/>
      <c r="N22" s="169"/>
      <c r="O22" s="49"/>
      <c r="P22" s="245">
        <f>IF('[3]2026 január'!B$21=0,
    "",
    '[3]2026 január'!B$21
)</f>
        <v>248400</v>
      </c>
      <c r="Q22" s="245" t="str">
        <f>IF(OR('[3]2026 január'!G21=0,
       ISBLANK('[3]2026 január'!G21)),
    "",
    '[3]2026 január'!G21
)</f>
        <v/>
      </c>
      <c r="R22" s="49">
        <f>'[3]2026 január'!W21</f>
        <v>0</v>
      </c>
      <c r="S22" s="49"/>
      <c r="T22" s="49"/>
      <c r="U22" s="4"/>
      <c r="V22" s="245">
        <f>IF('[3]2026 január'!S21=0,
    "",
    '[3]2026 január'!S21
)</f>
        <v>228712</v>
      </c>
      <c r="W22" s="245">
        <f>IF('[3]2026 január'!T21=0,
    "",
    '[3]2026 január'!T21
)</f>
        <v>31435</v>
      </c>
      <c r="X22" s="245" t="str">
        <f>IF('[3]2026 január'!U21=0,
    "",
    '[3]2026 január'!U21
)</f>
        <v/>
      </c>
      <c r="Y22" s="245" t="str">
        <f>IF('[3]2026 január'!V21=0,
    "",
    '[3]2026 január'!V21
)</f>
        <v/>
      </c>
      <c r="Z22" s="245" t="str">
        <f>IF('[3]2026 január'!W21=0,
    "",
    '[3]2026 január'!W21
)</f>
        <v/>
      </c>
      <c r="AA22" s="245" t="str">
        <f>IF('[3]2026 január'!X21=0,
    "",
    '[3]2026 január'!X21
)</f>
        <v/>
      </c>
      <c r="AB22" s="245">
        <f>IF('[3]2026 január'!Y21=0,
    "",
    '[3]2026 január'!Y21
)</f>
        <v>260147</v>
      </c>
      <c r="AC22" s="245" t="str">
        <f>IF('[3]2026 január'!Z21=0,
    "",
    '[3]2026 január'!Z21
)</f>
        <v/>
      </c>
      <c r="AD22" s="245" t="str">
        <f>IF('[3]2026 január'!AA21=0,
    "",
    '[3]2026 január'!AA21
)</f>
        <v/>
      </c>
      <c r="AE22" s="245" t="str">
        <f>IF('[3]2026 január'!AB21=0,
    "",
    '[3]2026 január'!AB21
)</f>
        <v/>
      </c>
      <c r="AF22" s="245" t="str">
        <f>IF('[3]2026 január'!AC21=0,
    "",
    '[3]2026 január'!AC21
)</f>
        <v/>
      </c>
      <c r="AG22" s="245" t="str">
        <f>IF('[3]2026 január'!AD21=0,
    "",
    '[3]2026 január'!AD21
)</f>
        <v/>
      </c>
      <c r="AH22" s="245" t="str">
        <f>IF('[3]2026 január'!AE$21=0,
    "",
    '[3]2026 január'!AE$21
)</f>
        <v/>
      </c>
      <c r="AI22" s="245" t="str">
        <f>IF('[3]2026 január'!AF21=0,
    "",
    '[3]2026 január'!AF21
)</f>
        <v/>
      </c>
      <c r="AJ22" s="245" t="str">
        <f>IF('[3]2026 január'!AG21=0,
    "",
    '[3]2026 január'!AG21
)</f>
        <v/>
      </c>
      <c r="AK22" s="245" t="str">
        <f>IF('[3]2026 január'!AH21=0,
    "",
    '[3]2026 január'!AH21
)</f>
        <v/>
      </c>
    </row>
    <row r="23" spans="1:37" ht="14.25" customHeight="1">
      <c r="A23" s="5">
        <v>46043</v>
      </c>
      <c r="B23" s="11">
        <v>218170</v>
      </c>
      <c r="C23" s="11">
        <v>50</v>
      </c>
      <c r="D23" s="11">
        <v>199405</v>
      </c>
      <c r="E23" s="11">
        <v>935</v>
      </c>
      <c r="F23" s="11">
        <v>15060</v>
      </c>
      <c r="G23" s="11">
        <v>21550</v>
      </c>
      <c r="H23" s="11">
        <v>193900</v>
      </c>
      <c r="I23" s="11">
        <v>193900</v>
      </c>
      <c r="J23" s="38" t="s">
        <v>248</v>
      </c>
      <c r="K23" s="87">
        <v>205595105</v>
      </c>
      <c r="L23" s="87"/>
      <c r="M23" s="398"/>
      <c r="N23" s="169"/>
      <c r="O23" s="49"/>
      <c r="P23" s="245">
        <f>IF('[3]2026 január'!B$22=0,
    "",
    '[3]2026 január'!B$22
)</f>
        <v>218170</v>
      </c>
      <c r="Q23" s="245" t="str">
        <f>IF(OR('[3]2026 január'!G22=0,
       ISBLANK('[3]2026 január'!G22)),
    "",
    '[3]2026 január'!G22
)</f>
        <v/>
      </c>
      <c r="R23" s="49">
        <f>'[3]2026 január'!W22</f>
        <v>0</v>
      </c>
      <c r="S23" s="49"/>
      <c r="T23" s="49"/>
      <c r="U23" s="4"/>
      <c r="V23" s="245">
        <f>IF('[3]2026 január'!S22=0,
    "",
    '[3]2026 január'!S22
)</f>
        <v>260147</v>
      </c>
      <c r="W23" s="245">
        <f>IF('[3]2026 január'!T22=0,
    "",
    '[3]2026 január'!T22
)</f>
        <v>24270</v>
      </c>
      <c r="X23" s="245" t="str">
        <f>IF('[3]2026 január'!U22=0,
    "",
    '[3]2026 január'!U22
)</f>
        <v/>
      </c>
      <c r="Y23" s="245" t="str">
        <f>IF('[3]2026 január'!V22=0,
    "",
    '[3]2026 január'!V22
)</f>
        <v/>
      </c>
      <c r="Z23" s="245" t="str">
        <f>IF('[3]2026 január'!W22=0,
    "",
    '[3]2026 január'!W22
)</f>
        <v/>
      </c>
      <c r="AA23" s="245" t="str">
        <f>IF('[3]2026 január'!X22=0,
    "",
    '[3]2026 január'!X22
)</f>
        <v/>
      </c>
      <c r="AB23" s="245">
        <f>IF('[3]2026 január'!Y22=0,
    "",
    '[3]2026 január'!Y22
)</f>
        <v>284417</v>
      </c>
      <c r="AC23" s="245" t="str">
        <f>IF('[3]2026 január'!Z22=0,
    "",
    '[3]2026 január'!Z22
)</f>
        <v/>
      </c>
      <c r="AD23" s="245" t="str">
        <f>IF('[3]2026 január'!AA22=0,
    "",
    '[3]2026 január'!AA22
)</f>
        <v/>
      </c>
      <c r="AE23" s="245" t="str">
        <f>IF('[3]2026 január'!AB22=0,
    "",
    '[3]2026 január'!AB22
)</f>
        <v/>
      </c>
      <c r="AF23" s="245" t="str">
        <f>IF('[3]2026 január'!AC22=0,
    "",
    '[3]2026 január'!AC22
)</f>
        <v/>
      </c>
      <c r="AG23" s="245" t="str">
        <f>IF('[3]2026 január'!AD22=0,
    "",
    '[3]2026 január'!AD22
)</f>
        <v/>
      </c>
      <c r="AH23" s="245" t="str">
        <f>IF('[3]2026 január'!AE$22=0,
    "",
    '[3]2026 január'!AE$22
)</f>
        <v/>
      </c>
      <c r="AI23" s="245" t="str">
        <f>IF('[3]2026 január'!AF22=0,
    "",
    '[3]2026 január'!AF22
)</f>
        <v/>
      </c>
      <c r="AJ23" s="245" t="str">
        <f>IF('[3]2026 január'!AG22=0,
    "",
    '[3]2026 január'!AG22
)</f>
        <v/>
      </c>
      <c r="AK23" s="245" t="str">
        <f>IF('[3]2026 január'!AH22=0,
    "",
    '[3]2026 január'!AH22
)</f>
        <v/>
      </c>
    </row>
    <row r="24" spans="1:37" ht="14.25" customHeight="1">
      <c r="A24" s="5">
        <v>46044</v>
      </c>
      <c r="B24" s="11">
        <v>248545</v>
      </c>
      <c r="C24" s="11">
        <v>350</v>
      </c>
      <c r="D24" s="11">
        <v>226160</v>
      </c>
      <c r="E24" s="11">
        <v>4750</v>
      </c>
      <c r="F24" s="11">
        <v>11606</v>
      </c>
      <c r="G24" s="11">
        <v>45185</v>
      </c>
      <c r="H24" s="11">
        <v>197680</v>
      </c>
      <c r="I24" s="11">
        <v>197680</v>
      </c>
      <c r="J24" s="38" t="s">
        <v>249</v>
      </c>
      <c r="K24" s="87">
        <v>205840971</v>
      </c>
      <c r="L24" s="87"/>
      <c r="M24" s="398"/>
      <c r="N24" s="169"/>
      <c r="O24" s="49"/>
      <c r="P24" s="245">
        <f>IF('[3]2026 január'!B$23=0,
    "",
    '[3]2026 január'!B$23
)</f>
        <v>248545</v>
      </c>
      <c r="Q24" s="245" t="str">
        <f>IF(OR('[3]2026 január'!G23=0,
       ISBLANK('[3]2026 január'!G23)),
    "",
    '[3]2026 január'!G23
)</f>
        <v/>
      </c>
      <c r="R24" s="49">
        <f>'[3]2026 január'!W23</f>
        <v>200000</v>
      </c>
      <c r="S24" s="49"/>
      <c r="T24" s="49"/>
      <c r="U24" s="4"/>
      <c r="V24" s="245">
        <f>IF('[3]2026 január'!S23=0,
    "",
    '[3]2026 január'!S23
)</f>
        <v>284417</v>
      </c>
      <c r="W24" s="245">
        <f>IF('[3]2026 január'!T23=0,
    "",
    '[3]2026 január'!T23
)</f>
        <v>50865</v>
      </c>
      <c r="X24" s="245" t="str">
        <f>IF('[3]2026 január'!U23=0,
    "",
    '[3]2026 január'!U23
)</f>
        <v/>
      </c>
      <c r="Y24" s="245" t="str">
        <f>IF('[3]2026 január'!V23=0,
    "",
    '[3]2026 január'!V23
)</f>
        <v/>
      </c>
      <c r="Z24" s="245">
        <f>IF('[3]2026 január'!W23=0,
    "",
    '[3]2026 január'!W23
)</f>
        <v>200000</v>
      </c>
      <c r="AA24" s="245" t="str">
        <f>IF('[3]2026 január'!X23=0,
    "",
    '[3]2026 január'!X23
)</f>
        <v/>
      </c>
      <c r="AB24" s="245">
        <f>IF('[3]2026 január'!Y23=0,
    "",
    '[3]2026 január'!Y23
)</f>
        <v>135282</v>
      </c>
      <c r="AC24" s="245" t="str">
        <f>IF('[3]2026 január'!Z23=0,
    "",
    '[3]2026 január'!Z23
)</f>
        <v/>
      </c>
      <c r="AD24" s="245" t="str">
        <f>IF('[3]2026 január'!AA23=0,
    "",
    '[3]2026 január'!AA23
)</f>
        <v/>
      </c>
      <c r="AE24" s="245" t="str">
        <f>IF('[3]2026 január'!AB23=0,
    "",
    '[3]2026 január'!AB23
)</f>
        <v/>
      </c>
      <c r="AF24" s="245" t="str">
        <f>IF('[3]2026 január'!AC23=0,
    "",
    '[3]2026 január'!AC23
)</f>
        <v/>
      </c>
      <c r="AG24" s="245" t="str">
        <f>IF('[3]2026 január'!AD23=0,
    "",
    '[3]2026 január'!AD23
)</f>
        <v/>
      </c>
      <c r="AH24" s="245" t="str">
        <f>IF('[3]2026 január'!AE$23=0,
    "",
    '[3]2026 január'!AE$23
)</f>
        <v/>
      </c>
      <c r="AI24" s="245" t="str">
        <f>IF('[3]2026 január'!AF23=0,
    "",
    '[3]2026 január'!AF23
)</f>
        <v/>
      </c>
      <c r="AJ24" s="245" t="str">
        <f>IF('[3]2026 január'!AG23=0,
    "",
    '[3]2026 január'!AG23
)</f>
        <v/>
      </c>
      <c r="AK24" s="245" t="str">
        <f>IF('[3]2026 január'!AH23=0,
    "",
    '[3]2026 január'!AH23
)</f>
        <v/>
      </c>
    </row>
    <row r="25" spans="1:37" ht="14.25" customHeight="1">
      <c r="A25" s="5">
        <v>46045</v>
      </c>
      <c r="B25" s="11">
        <v>150880</v>
      </c>
      <c r="C25" s="11">
        <v>0</v>
      </c>
      <c r="D25" s="11">
        <v>122425</v>
      </c>
      <c r="E25" s="11">
        <v>2475</v>
      </c>
      <c r="F25" s="11">
        <v>23760</v>
      </c>
      <c r="G25" s="11">
        <v>32330</v>
      </c>
      <c r="H25" s="11">
        <v>116330</v>
      </c>
      <c r="I25" s="11">
        <v>116330</v>
      </c>
      <c r="J25" s="38" t="s">
        <v>250</v>
      </c>
      <c r="K25" s="87">
        <v>205989631</v>
      </c>
      <c r="L25" s="87"/>
      <c r="M25" s="398"/>
      <c r="N25" s="169"/>
      <c r="O25" s="49"/>
      <c r="P25" s="245">
        <f>IF('[3]2026 január'!B$24=0,
    "",
    '[3]2026 január'!B$24
)</f>
        <v>150850</v>
      </c>
      <c r="Q25" s="245" t="str">
        <f>IF(OR('[3]2026 január'!G24=0,
       ISBLANK('[3]2026 január'!G24)),
    "",
    '[3]2026 január'!G24
)</f>
        <v/>
      </c>
      <c r="R25" s="49">
        <f>'[3]2026 január'!W24</f>
        <v>0</v>
      </c>
      <c r="S25" s="49"/>
      <c r="T25" s="49"/>
      <c r="U25" s="4"/>
      <c r="V25" s="245">
        <f>IF('[3]2026 január'!S24=0,
    "",
    '[3]2026 január'!S24
)</f>
        <v>135282</v>
      </c>
      <c r="W25" s="245">
        <f>IF('[3]2026 január'!T24=0,
    "",
    '[3]2026 január'!T24
)</f>
        <v>34520</v>
      </c>
      <c r="X25" s="245" t="str">
        <f>IF('[3]2026 január'!U24=0,
    "",
    '[3]2026 január'!U24
)</f>
        <v/>
      </c>
      <c r="Y25" s="245" t="str">
        <f>IF('[3]2026 január'!V24=0,
    "",
    '[3]2026 január'!V24
)</f>
        <v/>
      </c>
      <c r="Z25" s="245" t="str">
        <f>IF('[3]2026 január'!W24=0,
    "",
    '[3]2026 január'!W24
)</f>
        <v/>
      </c>
      <c r="AA25" s="245" t="str">
        <f>IF('[3]2026 január'!X24=0,
    "",
    '[3]2026 január'!X24
)</f>
        <v/>
      </c>
      <c r="AB25" s="245">
        <f>IF('[3]2026 január'!Y24=0,
    "",
    '[3]2026 január'!Y24
)</f>
        <v>169802</v>
      </c>
      <c r="AC25" s="245" t="str">
        <f>IF('[3]2026 január'!Z24=0,
    "",
    '[3]2026 január'!Z24
)</f>
        <v/>
      </c>
      <c r="AD25" s="245" t="str">
        <f>IF('[3]2026 január'!AA24=0,
    "",
    '[3]2026 január'!AA24
)</f>
        <v/>
      </c>
      <c r="AE25" s="245" t="str">
        <f>IF('[3]2026 január'!AB24=0,
    "",
    '[3]2026 január'!AB24
)</f>
        <v/>
      </c>
      <c r="AF25" s="245" t="str">
        <f>IF('[3]2026 január'!AC24=0,
    "",
    '[3]2026 január'!AC24
)</f>
        <v/>
      </c>
      <c r="AG25" s="245" t="str">
        <f>IF('[3]2026 január'!AD24=0,
    "",
    '[3]2026 január'!AD24
)</f>
        <v/>
      </c>
      <c r="AH25" s="245" t="str">
        <f>IF('[3]2026 január'!AE$24=0,
    "",
    '[3]2026 január'!AE$24
)</f>
        <v/>
      </c>
      <c r="AI25" s="245" t="str">
        <f>IF('[3]2026 január'!AF24=0,
    "",
    '[3]2026 január'!AF24
)</f>
        <v/>
      </c>
      <c r="AJ25" s="245" t="str">
        <f>IF('[3]2026 január'!AG24=0,
    "",
    '[3]2026 január'!AG24
)</f>
        <v/>
      </c>
      <c r="AK25" s="245" t="str">
        <f>IF('[3]2026 január'!AH24=0,
    "",
    '[3]2026 január'!AH24
)</f>
        <v/>
      </c>
    </row>
    <row r="26" spans="1:37" ht="14.25" customHeight="1">
      <c r="A26" s="162">
        <v>46046</v>
      </c>
      <c r="B26" s="163"/>
      <c r="C26" s="163"/>
      <c r="D26" s="163"/>
      <c r="E26" s="163"/>
      <c r="F26" s="163"/>
      <c r="G26" s="163"/>
      <c r="H26" s="163"/>
      <c r="I26" s="163"/>
      <c r="J26" s="222"/>
      <c r="K26" s="167"/>
      <c r="L26" s="167"/>
      <c r="M26" s="397"/>
      <c r="N26" s="174"/>
      <c r="O26" s="49"/>
      <c r="P26" s="245" t="str">
        <f>IF('[3]2026 január'!B$25=0,
    "",
    '[3]2026 január'!B$25
)</f>
        <v/>
      </c>
      <c r="Q26" s="245" t="str">
        <f>IF(OR('[3]2026 január'!G25=0,
       ISBLANK('[3]2026 január'!G25)),
    "",
    '[3]2026 január'!G25
)</f>
        <v/>
      </c>
      <c r="R26" s="49">
        <f>'[3]2026 január'!W25</f>
        <v>0</v>
      </c>
      <c r="S26" s="49"/>
      <c r="T26" s="49"/>
      <c r="U26" s="4"/>
      <c r="V26" s="245">
        <f>IF('[3]2026 január'!S25=0,
    "",
    '[3]2026 január'!S25
)</f>
        <v>169802</v>
      </c>
      <c r="W26" s="245" t="str">
        <f>IF('[3]2026 január'!T25=0,
    "",
    '[3]2026 január'!T25
)</f>
        <v/>
      </c>
      <c r="X26" s="245" t="str">
        <f>IF('[3]2026 január'!U25=0,
    "",
    '[3]2026 január'!U25
)</f>
        <v/>
      </c>
      <c r="Y26" s="245" t="str">
        <f>IF('[3]2026 január'!V25=0,
    "",
    '[3]2026 január'!V25
)</f>
        <v/>
      </c>
      <c r="Z26" s="245" t="str">
        <f>IF('[3]2026 január'!W25=0,
    "",
    '[3]2026 január'!W25
)</f>
        <v/>
      </c>
      <c r="AA26" s="245" t="str">
        <f>IF('[3]2026 január'!X25=0,
    "",
    '[3]2026 január'!X25
)</f>
        <v/>
      </c>
      <c r="AB26" s="245">
        <f>IF('[3]2026 január'!Y25=0,
    "",
    '[3]2026 január'!Y25
)</f>
        <v>169802</v>
      </c>
      <c r="AC26" s="245" t="str">
        <f>IF('[3]2026 január'!Z25=0,
    "",
    '[3]2026 január'!Z25
)</f>
        <v/>
      </c>
      <c r="AD26" s="245" t="str">
        <f>IF('[3]2026 január'!AA25=0,
    "",
    '[3]2026 január'!AA25
)</f>
        <v/>
      </c>
      <c r="AE26" s="245" t="str">
        <f>IF('[3]2026 január'!AB25=0,
    "",
    '[3]2026 január'!AB25
)</f>
        <v/>
      </c>
      <c r="AF26" s="245" t="str">
        <f>IF('[3]2026 január'!AC25=0,
    "",
    '[3]2026 január'!AC25
)</f>
        <v/>
      </c>
      <c r="AG26" s="245" t="str">
        <f>IF('[3]2026 január'!AD25=0,
    "",
    '[3]2026 január'!AD25
)</f>
        <v/>
      </c>
      <c r="AH26" s="245" t="str">
        <f>IF('[3]2026 január'!AE$25=0,
    "",
    '[3]2026 január'!AE$25
)</f>
        <v/>
      </c>
      <c r="AI26" s="245" t="str">
        <f>IF('[3]2026 január'!AF25=0,
    "",
    '[3]2026 január'!AF25
)</f>
        <v/>
      </c>
      <c r="AJ26" s="245" t="str">
        <f>IF('[3]2026 január'!AG25=0,
    "",
    '[3]2026 január'!AG25
)</f>
        <v/>
      </c>
      <c r="AK26" s="245" t="str">
        <f>IF('[3]2026 január'!AH25=0,
    "",
    '[3]2026 január'!AH25
)</f>
        <v/>
      </c>
    </row>
    <row r="27" spans="1:37" ht="14.25" customHeight="1">
      <c r="A27" s="162">
        <v>46047</v>
      </c>
      <c r="B27" s="163"/>
      <c r="C27" s="163"/>
      <c r="D27" s="163"/>
      <c r="E27" s="163"/>
      <c r="F27" s="163"/>
      <c r="G27" s="163"/>
      <c r="H27" s="163"/>
      <c r="I27" s="163"/>
      <c r="J27" s="222"/>
      <c r="K27" s="167"/>
      <c r="L27" s="167"/>
      <c r="M27" s="397"/>
      <c r="N27" s="174"/>
      <c r="O27" s="49"/>
      <c r="P27" s="245" t="str">
        <f>IF('[3]2026 január'!B$26=0,
    "",
    '[3]2026 január'!B$26
)</f>
        <v/>
      </c>
      <c r="Q27" s="245" t="str">
        <f>IF(OR('[3]2026 január'!G26=0,
       ISBLANK('[3]2026 január'!G26)),
    "",
    '[3]2026 január'!G26
)</f>
        <v/>
      </c>
      <c r="R27" s="49">
        <f>'[3]2026 január'!W26</f>
        <v>0</v>
      </c>
      <c r="S27" s="49"/>
      <c r="T27" s="49"/>
      <c r="U27" s="4"/>
      <c r="V27" s="245">
        <f>IF('[3]2026 január'!S26=0,
    "",
    '[3]2026 január'!S26
)</f>
        <v>169802</v>
      </c>
      <c r="W27" s="245" t="str">
        <f>IF('[3]2026 január'!T26=0,
    "",
    '[3]2026 január'!T26
)</f>
        <v/>
      </c>
      <c r="X27" s="245" t="str">
        <f>IF('[3]2026 január'!U26=0,
    "",
    '[3]2026 január'!U26
)</f>
        <v/>
      </c>
      <c r="Y27" s="245" t="str">
        <f>IF('[3]2026 január'!V26=0,
    "",
    '[3]2026 január'!V26
)</f>
        <v/>
      </c>
      <c r="Z27" s="245" t="str">
        <f>IF('[3]2026 január'!W26=0,
    "",
    '[3]2026 január'!W26
)</f>
        <v/>
      </c>
      <c r="AA27" s="245" t="str">
        <f>IF('[3]2026 január'!X26=0,
    "",
    '[3]2026 január'!X26
)</f>
        <v/>
      </c>
      <c r="AB27" s="245">
        <f>IF('[3]2026 január'!Y26=0,
    "",
    '[3]2026 január'!Y26
)</f>
        <v>169802</v>
      </c>
      <c r="AC27" s="245" t="str">
        <f>IF('[3]2026 január'!Z26=0,
    "",
    '[3]2026 január'!Z26
)</f>
        <v/>
      </c>
      <c r="AD27" s="245" t="str">
        <f>IF('[3]2026 január'!AA26=0,
    "",
    '[3]2026 január'!AA26
)</f>
        <v/>
      </c>
      <c r="AE27" s="245" t="str">
        <f>IF('[3]2026 január'!AB26=0,
    "",
    '[3]2026 január'!AB26
)</f>
        <v/>
      </c>
      <c r="AF27" s="245" t="str">
        <f>IF('[3]2026 január'!AC26=0,
    "",
    '[3]2026 január'!AC26
)</f>
        <v/>
      </c>
      <c r="AG27" s="245" t="str">
        <f>IF('[3]2026 január'!AD26=0,
    "",
    '[3]2026 január'!AD26
)</f>
        <v/>
      </c>
      <c r="AH27" s="245" t="str">
        <f>IF('[3]2026 január'!AE$26=0,
    "",
    '[3]2026 január'!AE$26
)</f>
        <v/>
      </c>
      <c r="AI27" s="245" t="str">
        <f>IF('[3]2026 január'!AF26=0,
    "",
    '[3]2026 január'!AF26
)</f>
        <v/>
      </c>
      <c r="AJ27" s="245" t="str">
        <f>IF('[3]2026 január'!AG26=0,
    "",
    '[3]2026 január'!AG26
)</f>
        <v/>
      </c>
      <c r="AK27" s="245" t="str">
        <f>IF('[3]2026 január'!AH26=0,
    "",
    '[3]2026 január'!AH26
)</f>
        <v/>
      </c>
    </row>
    <row r="28" spans="1:37" ht="14.25" customHeight="1">
      <c r="A28" s="5">
        <v>46048</v>
      </c>
      <c r="B28" s="11">
        <v>160590</v>
      </c>
      <c r="C28" s="11">
        <v>850</v>
      </c>
      <c r="D28" s="11">
        <v>125825</v>
      </c>
      <c r="E28" s="11">
        <v>970</v>
      </c>
      <c r="F28" s="11">
        <v>24120</v>
      </c>
      <c r="G28" s="11">
        <v>19950</v>
      </c>
      <c r="H28" s="11">
        <v>131815</v>
      </c>
      <c r="I28" s="11">
        <v>131815</v>
      </c>
      <c r="J28" s="38" t="s">
        <v>251</v>
      </c>
      <c r="K28" s="87">
        <v>206141396</v>
      </c>
      <c r="L28" s="87"/>
      <c r="M28" s="398"/>
      <c r="N28" s="169"/>
      <c r="O28" s="49"/>
      <c r="P28" s="245">
        <f>IF('[3]2026 január'!B$27=0,
    "",
    '[3]2026 január'!B$27
)</f>
        <v>160590</v>
      </c>
      <c r="Q28" s="245" t="str">
        <f>IF(OR('[3]2026 január'!G27=0,
       ISBLANK('[3]2026 január'!G27)),
    "",
    '[3]2026 január'!G27
)</f>
        <v/>
      </c>
      <c r="R28" s="49">
        <f>'[3]2026 január'!W27</f>
        <v>0</v>
      </c>
      <c r="S28" s="49"/>
      <c r="T28" s="49"/>
      <c r="U28" s="4"/>
      <c r="V28" s="245">
        <f>IF('[3]2026 január'!S27=0,
    "",
    '[3]2026 január'!S27
)</f>
        <v>169802</v>
      </c>
      <c r="W28" s="245">
        <f>IF('[3]2026 január'!T27=0,
    "",
    '[3]2026 január'!T27
)</f>
        <v>28775</v>
      </c>
      <c r="X28" s="245" t="str">
        <f>IF('[3]2026 január'!U27=0,
    "",
    '[3]2026 január'!U27
)</f>
        <v/>
      </c>
      <c r="Y28" s="245" t="str">
        <f>IF('[3]2026 január'!V27=0,
    "",
    '[3]2026 január'!V27
)</f>
        <v/>
      </c>
      <c r="Z28" s="245" t="str">
        <f>IF('[3]2026 január'!W27=0,
    "",
    '[3]2026 január'!W27
)</f>
        <v/>
      </c>
      <c r="AA28" s="245" t="str">
        <f>IF('[3]2026 január'!X27=0,
    "",
    '[3]2026 január'!X27
)</f>
        <v/>
      </c>
      <c r="AB28" s="245">
        <f>IF('[3]2026 január'!Y27=0,
    "",
    '[3]2026 január'!Y27
)</f>
        <v>198577</v>
      </c>
      <c r="AC28" s="245" t="str">
        <f>IF('[3]2026 január'!Z27=0,
    "",
    '[3]2026 január'!Z27
)</f>
        <v/>
      </c>
      <c r="AD28" s="245" t="str">
        <f>IF('[3]2026 január'!AA27=0,
    "",
    '[3]2026 január'!AA27
)</f>
        <v/>
      </c>
      <c r="AE28" s="245" t="str">
        <f>IF('[3]2026 január'!AB27=0,
    "",
    '[3]2026 január'!AB27
)</f>
        <v/>
      </c>
      <c r="AF28" s="245" t="str">
        <f>IF('[3]2026 január'!AC27=0,
    "",
    '[3]2026 január'!AC27
)</f>
        <v/>
      </c>
      <c r="AG28" s="245" t="str">
        <f>IF('[3]2026 január'!AD27=0,
    "",
    '[3]2026 január'!AD27
)</f>
        <v/>
      </c>
      <c r="AH28" s="245" t="str">
        <f>IF('[3]2026 január'!AE$27=0,
    "",
    '[3]2026 január'!AE$27
)</f>
        <v/>
      </c>
      <c r="AI28" s="245" t="str">
        <f>IF('[3]2026 január'!AF27=0,
    "",
    '[3]2026 január'!AF27
)</f>
        <v/>
      </c>
      <c r="AJ28" s="245" t="str">
        <f>IF('[3]2026 január'!AG27=0,
    "",
    '[3]2026 január'!AG27
)</f>
        <v/>
      </c>
      <c r="AK28" s="245" t="str">
        <f>IF('[3]2026 január'!AH27=0,
    "",
    '[3]2026 január'!AH27
)</f>
        <v/>
      </c>
    </row>
    <row r="29" spans="1:37" ht="14.25" customHeight="1">
      <c r="A29" s="5">
        <v>46049</v>
      </c>
      <c r="B29" s="11">
        <v>177445</v>
      </c>
      <c r="C29" s="11">
        <v>0</v>
      </c>
      <c r="D29" s="11">
        <v>162315</v>
      </c>
      <c r="E29" s="11">
        <v>590</v>
      </c>
      <c r="F29" s="11">
        <v>7750</v>
      </c>
      <c r="G29" s="11">
        <v>39680</v>
      </c>
      <c r="H29" s="11">
        <v>130975</v>
      </c>
      <c r="I29" s="11">
        <v>130975</v>
      </c>
      <c r="J29" s="38" t="s">
        <v>252</v>
      </c>
      <c r="K29" s="87">
        <v>206312051</v>
      </c>
      <c r="L29" s="87"/>
      <c r="M29" s="398"/>
      <c r="N29" s="169"/>
      <c r="O29" s="49"/>
      <c r="P29" s="245">
        <f>IF('[3]2026 január'!B$28=0,
    "",
    '[3]2026 január'!B$28
)</f>
        <v>177445</v>
      </c>
      <c r="Q29" s="245" t="str">
        <f>IF(OR('[3]2026 január'!G28=0,
       ISBLANK('[3]2026 január'!G28)),
    "",
    '[3]2026 január'!G28
)</f>
        <v/>
      </c>
      <c r="R29" s="49">
        <f>'[3]2026 január'!W28</f>
        <v>0</v>
      </c>
      <c r="S29" s="49"/>
      <c r="T29" s="49"/>
      <c r="U29" s="4"/>
      <c r="V29" s="245">
        <f>IF('[3]2026 január'!S28=0,
    "",
    '[3]2026 január'!S28
)</f>
        <v>198577</v>
      </c>
      <c r="W29" s="245">
        <f>IF('[3]2026 január'!T28=0,
    "",
    '[3]2026 január'!T28
)</f>
        <v>46470</v>
      </c>
      <c r="X29" s="245" t="str">
        <f>IF('[3]2026 január'!U28=0,
    "",
    '[3]2026 január'!U28
)</f>
        <v/>
      </c>
      <c r="Y29" s="245" t="str">
        <f>IF('[3]2026 január'!V28=0,
    "",
    '[3]2026 január'!V28
)</f>
        <v/>
      </c>
      <c r="Z29" s="245" t="str">
        <f>IF('[3]2026 január'!W28=0,
    "",
    '[3]2026 január'!W28
)</f>
        <v/>
      </c>
      <c r="AA29" s="245" t="str">
        <f>IF('[3]2026 január'!X28=0,
    "",
    '[3]2026 január'!X28
)</f>
        <v/>
      </c>
      <c r="AB29" s="245">
        <f>IF('[3]2026 január'!Y28=0,
    "",
    '[3]2026 január'!Y28
)</f>
        <v>245047</v>
      </c>
      <c r="AC29" s="245" t="str">
        <f>IF('[3]2026 január'!Z28=0,
    "",
    '[3]2026 január'!Z28
)</f>
        <v/>
      </c>
      <c r="AD29" s="245" t="str">
        <f>IF('[3]2026 január'!AA28=0,
    "",
    '[3]2026 január'!AA28
)</f>
        <v/>
      </c>
      <c r="AE29" s="245" t="str">
        <f>IF('[3]2026 január'!AB28=0,
    "",
    '[3]2026 január'!AB28
)</f>
        <v/>
      </c>
      <c r="AF29" s="245" t="str">
        <f>IF('[3]2026 január'!AC28=0,
    "",
    '[3]2026 január'!AC28
)</f>
        <v/>
      </c>
      <c r="AG29" s="245" t="str">
        <f>IF('[3]2026 január'!AD28=0,
    "",
    '[3]2026 január'!AD28
)</f>
        <v/>
      </c>
      <c r="AH29" s="245" t="str">
        <f>IF('[3]2026 január'!AE$28=0,
    "",
    '[3]2026 január'!AE$28
)</f>
        <v/>
      </c>
      <c r="AI29" s="245" t="str">
        <f>IF('[3]2026 január'!AF28=0,
    "",
    '[3]2026 január'!AF28
)</f>
        <v/>
      </c>
      <c r="AJ29" s="245" t="str">
        <f>IF('[3]2026 január'!AG28=0,
    "",
    '[3]2026 január'!AG28
)</f>
        <v/>
      </c>
      <c r="AK29" s="245" t="str">
        <f>IF('[3]2026 január'!AH28=0,
    "",
    '[3]2026 január'!AH28
)</f>
        <v/>
      </c>
    </row>
    <row r="30" spans="1:37" ht="14.25" customHeight="1">
      <c r="A30" s="5">
        <v>46050</v>
      </c>
      <c r="B30" s="11">
        <v>202975</v>
      </c>
      <c r="C30" s="11">
        <v>100</v>
      </c>
      <c r="D30" s="11">
        <v>167475</v>
      </c>
      <c r="E30" s="11">
        <v>435</v>
      </c>
      <c r="F30" s="11">
        <v>21735</v>
      </c>
      <c r="G30" s="11">
        <v>30530</v>
      </c>
      <c r="H30" s="11">
        <v>159215</v>
      </c>
      <c r="I30" s="11">
        <v>159215</v>
      </c>
      <c r="J30" s="38" t="s">
        <v>253</v>
      </c>
      <c r="K30" s="87">
        <v>206501796</v>
      </c>
      <c r="L30" s="87"/>
      <c r="M30" s="398"/>
      <c r="N30" s="169"/>
      <c r="O30" s="49"/>
      <c r="P30" s="245">
        <f>IF('[3]2026 január'!B$29=0,
    "",
    '[3]2026 január'!B$29
)</f>
        <v>202975</v>
      </c>
      <c r="Q30" s="245" t="str">
        <f>IF(OR('[3]2026 január'!G29=0,
       ISBLANK('[3]2026 január'!G29)),
    "",
    '[3]2026 január'!G29
)</f>
        <v/>
      </c>
      <c r="R30" s="49">
        <f>'[3]2026 január'!W29</f>
        <v>200000</v>
      </c>
      <c r="S30" s="49"/>
      <c r="T30" s="49"/>
      <c r="U30" s="4"/>
      <c r="V30" s="245">
        <f>IF('[3]2026 január'!S29=0,
    "",
    '[3]2026 január'!S29
)</f>
        <v>245047</v>
      </c>
      <c r="W30" s="245">
        <f>IF('[3]2026 január'!T29=0,
    "",
    '[3]2026 január'!T29
)</f>
        <v>43760</v>
      </c>
      <c r="X30" s="245" t="str">
        <f>IF('[3]2026 január'!U29=0,
    "",
    '[3]2026 január'!U29
)</f>
        <v/>
      </c>
      <c r="Y30" s="245" t="str">
        <f>IF('[3]2026 január'!V29=0,
    "",
    '[3]2026 január'!V29
)</f>
        <v/>
      </c>
      <c r="Z30" s="245">
        <f>IF('[3]2026 január'!W29=0,
    "",
    '[3]2026 január'!W29
)</f>
        <v>200000</v>
      </c>
      <c r="AA30" s="245" t="str">
        <f>IF('[3]2026 január'!X29=0,
    "",
    '[3]2026 január'!X29
)</f>
        <v/>
      </c>
      <c r="AB30" s="245">
        <f>IF('[3]2026 január'!Y29=0,
    "",
    '[3]2026 január'!Y29
)</f>
        <v>88807</v>
      </c>
      <c r="AC30" s="245" t="str">
        <f>IF('[3]2026 január'!Z29=0,
    "",
    '[3]2026 január'!Z29
)</f>
        <v/>
      </c>
      <c r="AD30" s="245" t="str">
        <f>IF('[3]2026 január'!AA29=0,
    "",
    '[3]2026 január'!AA29
)</f>
        <v/>
      </c>
      <c r="AE30" s="245" t="str">
        <f>IF('[3]2026 január'!AB29=0,
    "",
    '[3]2026 január'!AB29
)</f>
        <v/>
      </c>
      <c r="AF30" s="245" t="str">
        <f>IF('[3]2026 január'!AC29=0,
    "",
    '[3]2026 január'!AC29
)</f>
        <v/>
      </c>
      <c r="AG30" s="245" t="str">
        <f>IF('[3]2026 január'!AD29=0,
    "",
    '[3]2026 január'!AD29
)</f>
        <v/>
      </c>
      <c r="AH30" s="245" t="str">
        <f>IF('[3]2026 január'!AE$29=0,
    "",
    '[3]2026 január'!AE$29
)</f>
        <v/>
      </c>
      <c r="AI30" s="245" t="str">
        <f>IF('[3]2026 január'!AF29=0,
    "",
    '[3]2026 január'!AF29
)</f>
        <v/>
      </c>
      <c r="AJ30" s="245" t="str">
        <f>IF('[3]2026 január'!AG29=0,
    "",
    '[3]2026 január'!AG29
)</f>
        <v/>
      </c>
      <c r="AK30" s="245" t="str">
        <f>IF('[3]2026 január'!AH29=0,
    "",
    '[3]2026 január'!AH29
)</f>
        <v/>
      </c>
    </row>
    <row r="31" spans="1:37" ht="14.25" customHeight="1">
      <c r="A31" s="5">
        <v>46051</v>
      </c>
      <c r="B31" s="11">
        <v>248455</v>
      </c>
      <c r="C31" s="11">
        <v>0</v>
      </c>
      <c r="D31" s="11">
        <v>226275</v>
      </c>
      <c r="E31" s="11">
        <v>2190</v>
      </c>
      <c r="F31" s="11">
        <v>22670</v>
      </c>
      <c r="G31" s="11">
        <v>42145</v>
      </c>
      <c r="H31" s="11">
        <v>208090</v>
      </c>
      <c r="I31" s="11">
        <v>208090</v>
      </c>
      <c r="J31" s="38" t="s">
        <v>254</v>
      </c>
      <c r="K31" s="87">
        <v>206752931</v>
      </c>
      <c r="L31" s="87"/>
      <c r="M31" s="398" t="s">
        <v>255</v>
      </c>
      <c r="N31" s="169"/>
      <c r="O31" s="49"/>
      <c r="P31" s="245">
        <f>IF('[3]2026 január'!B$30=0,
    "",
    '[3]2026 január'!B$30
)</f>
        <v>248455</v>
      </c>
      <c r="Q31" s="245" t="str">
        <f>IF(OR('[3]2026 január'!G30=0,
       ISBLANK('[3]2026 január'!G30)),
    "",
    '[3]2026 január'!G30
)</f>
        <v/>
      </c>
      <c r="R31" s="49">
        <f>'[3]2026 január'!W30</f>
        <v>0</v>
      </c>
      <c r="S31" s="49"/>
      <c r="T31" s="49"/>
      <c r="U31" s="4"/>
      <c r="V31" s="245">
        <f>IF('[3]2026 január'!S30=0,
    "",
    '[3]2026 január'!S30
)</f>
        <v>88807</v>
      </c>
      <c r="W31" s="245">
        <f>IF('[3]2026 január'!T30=0,
    "",
    '[3]2026 január'!T30
)</f>
        <v>40365</v>
      </c>
      <c r="X31" s="245" t="str">
        <f>IF('[3]2026 január'!U30=0,
    "",
    '[3]2026 január'!U30
)</f>
        <v/>
      </c>
      <c r="Y31" s="245" t="str">
        <f>IF('[3]2026 január'!V30=0,
    "",
    '[3]2026 január'!V30
)</f>
        <v/>
      </c>
      <c r="Z31" s="245" t="str">
        <f>IF('[3]2026 január'!W30=0,
    "",
    '[3]2026 január'!W30
)</f>
        <v/>
      </c>
      <c r="AA31" s="245" t="str">
        <f>IF('[3]2026 január'!X30=0,
    "",
    '[3]2026 január'!X30
)</f>
        <v/>
      </c>
      <c r="AB31" s="245">
        <f>IF('[3]2026 január'!Y30=0,
    "",
    '[3]2026 január'!Y30
)</f>
        <v>129172</v>
      </c>
      <c r="AC31" s="245" t="str">
        <f>IF('[3]2026 január'!Z30=0,
    "",
    '[3]2026 január'!Z30
)</f>
        <v/>
      </c>
      <c r="AD31" s="245" t="str">
        <f>IF('[3]2026 január'!AA30=0,
    "",
    '[3]2026 január'!AA30
)</f>
        <v/>
      </c>
      <c r="AE31" s="245" t="str">
        <f>IF('[3]2026 január'!AB30=0,
    "",
    '[3]2026 január'!AB30
)</f>
        <v/>
      </c>
      <c r="AF31" s="245" t="str">
        <f>IF('[3]2026 január'!AC30=0,
    "",
    '[3]2026 január'!AC30
)</f>
        <v/>
      </c>
      <c r="AG31" s="245" t="str">
        <f>IF('[3]2026 január'!AD30=0,
    "",
    '[3]2026 január'!AD30
)</f>
        <v/>
      </c>
      <c r="AH31" s="245" t="str">
        <f>IF('[3]2026 január'!AE$30=0,
    "",
    '[3]2026 január'!AE$30
)</f>
        <v/>
      </c>
      <c r="AI31" s="245" t="str">
        <f>IF('[3]2026 január'!AF30=0,
    "",
    '[3]2026 január'!AF30
)</f>
        <v/>
      </c>
      <c r="AJ31" s="245" t="str">
        <f>IF('[3]2026 január'!AG30=0,
    "",
    '[3]2026 január'!AG30
)</f>
        <v/>
      </c>
      <c r="AK31" s="245" t="str">
        <f>IF('[3]2026 január'!AH30=0,
    "",
    '[3]2026 január'!AH30
)</f>
        <v/>
      </c>
    </row>
    <row r="32" spans="1:37" ht="14.25" customHeight="1">
      <c r="A32" s="5">
        <v>46052</v>
      </c>
      <c r="B32" s="11">
        <v>183600</v>
      </c>
      <c r="C32" s="11">
        <v>300</v>
      </c>
      <c r="D32" s="11">
        <v>162220</v>
      </c>
      <c r="E32" s="11">
        <v>3410</v>
      </c>
      <c r="F32" s="11">
        <v>17670</v>
      </c>
      <c r="G32" s="11">
        <v>38990</v>
      </c>
      <c r="H32" s="11">
        <v>144610</v>
      </c>
      <c r="I32" s="228">
        <v>144610</v>
      </c>
      <c r="J32" s="143" t="s">
        <v>256</v>
      </c>
      <c r="K32" s="230">
        <v>206936531</v>
      </c>
      <c r="L32" s="230"/>
      <c r="M32" s="399"/>
      <c r="N32" s="232"/>
      <c r="O32" s="49"/>
      <c r="P32" s="245">
        <f>IF('[3]2026 január'!B$31=0,
    "",
    '[3]2026 január'!B$31
)</f>
        <v>183600</v>
      </c>
      <c r="Q32" s="245" t="str">
        <f>IF(OR('[3]2026 január'!G31=0,
       ISBLANK('[3]2026 január'!G31)),
    "",
    '[3]2026 január'!G31
)</f>
        <v/>
      </c>
      <c r="R32" s="49">
        <f>'[3]2026 január'!W31</f>
        <v>0</v>
      </c>
      <c r="S32" s="49"/>
      <c r="T32" s="49"/>
      <c r="U32" s="4"/>
      <c r="V32" s="245">
        <f>IF('[3]2026 január'!S31=0,
    "",
    '[3]2026 január'!S31
)</f>
        <v>129172</v>
      </c>
      <c r="W32" s="245">
        <f>IF('[3]2026 január'!T31=0,
    "",
    '[3]2026 január'!T31
)</f>
        <v>38990</v>
      </c>
      <c r="X32" s="245" t="str">
        <f>IF('[3]2026 január'!U31=0,
    "",
    '[3]2026 január'!U31
)</f>
        <v/>
      </c>
      <c r="Y32" s="245" t="str">
        <f>IF('[3]2026 január'!V31=0,
    "",
    '[3]2026 január'!V31
)</f>
        <v/>
      </c>
      <c r="Z32" s="245" t="str">
        <f>IF('[3]2026 január'!W31=0,
    "",
    '[3]2026 január'!W31
)</f>
        <v/>
      </c>
      <c r="AA32" s="245" t="str">
        <f>IF('[3]2026 január'!X31=0,
    "",
    '[3]2026 január'!X31
)</f>
        <v/>
      </c>
      <c r="AB32" s="245">
        <f>IF('[3]2026 január'!Y31=0,
    "",
    '[3]2026 január'!Y31
)</f>
        <v>168162</v>
      </c>
      <c r="AC32" s="245" t="str">
        <f>IF('[3]2026 január'!Z31=0,
    "",
    '[3]2026 január'!Z31
)</f>
        <v/>
      </c>
      <c r="AD32" s="245" t="str">
        <f>IF('[3]2026 január'!AA31=0,
    "",
    '[3]2026 január'!AA31
)</f>
        <v/>
      </c>
      <c r="AE32" s="245" t="str">
        <f>IF('[3]2026 január'!AB31=0,
    "",
    '[3]2026 január'!AB31
)</f>
        <v/>
      </c>
      <c r="AF32" s="245" t="str">
        <f>IF('[3]2026 január'!AC31=0,
    "",
    '[3]2026 január'!AC31
)</f>
        <v/>
      </c>
      <c r="AG32" s="245" t="str">
        <f>IF('[3]2026 január'!AD31=0,
    "",
    '[3]2026 január'!AD31
)</f>
        <v/>
      </c>
      <c r="AH32" s="245" t="str">
        <f>IF('[3]2026 január'!AE$31=0,
    "",
    '[3]2026 január'!AE$31
)</f>
        <v/>
      </c>
      <c r="AI32" s="245" t="str">
        <f>IF('[3]2026 január'!AF31=0,
    "",
    '[3]2026 január'!AF31
)</f>
        <v/>
      </c>
      <c r="AJ32" s="245" t="str">
        <f>IF('[3]2026 január'!AG31=0,
    "",
    '[3]2026 január'!AG31
)</f>
        <v/>
      </c>
      <c r="AK32" s="245" t="str">
        <f>IF('[3]2026 január'!AH31=0,
    "",
    '[3]2026 január'!AH31
)</f>
        <v/>
      </c>
    </row>
    <row r="33" spans="1:37" ht="14.25" customHeight="1">
      <c r="A33" s="162">
        <v>46053</v>
      </c>
      <c r="B33" s="163"/>
      <c r="C33" s="163"/>
      <c r="D33" s="163"/>
      <c r="E33" s="163"/>
      <c r="F33" s="163"/>
      <c r="G33" s="163"/>
      <c r="H33" s="167"/>
      <c r="I33" s="163"/>
      <c r="J33" s="222"/>
      <c r="K33" s="163"/>
      <c r="L33" s="163"/>
      <c r="M33" s="400"/>
      <c r="N33" s="174"/>
      <c r="O33" s="49"/>
      <c r="P33" s="245" t="str">
        <f>IF('[3]2026 január'!B$32=0,
    "",
    '[3]2026 január'!B$32
)</f>
        <v/>
      </c>
      <c r="Q33" s="245" t="str">
        <f>IF(OR('[3]2026 január'!G32=0,
       ISBLANK('[3]2026 január'!G32)),
    "",
    '[3]2026 január'!G32
)</f>
        <v/>
      </c>
      <c r="R33" s="49">
        <f>'[3]2026 január'!W32</f>
        <v>0</v>
      </c>
      <c r="S33" s="49"/>
      <c r="T33" s="49"/>
      <c r="U33" s="4"/>
      <c r="V33" s="245">
        <f>IF('[3]2026 január'!S32=0,
    "",
    '[3]2026 január'!S32
)</f>
        <v>168162</v>
      </c>
      <c r="W33" s="245" t="str">
        <f>IF('[3]2026 január'!T32=0,
    "",
    '[3]2026 január'!T32
)</f>
        <v/>
      </c>
      <c r="X33" s="245" t="str">
        <f>IF('[3]2026 január'!U32=0,
    "",
    '[3]2026 január'!U32
)</f>
        <v/>
      </c>
      <c r="Y33" s="245" t="str">
        <f>IF('[3]2026 január'!V32=0,
    "",
    '[3]2026 január'!V32
)</f>
        <v/>
      </c>
      <c r="Z33" s="245" t="str">
        <f>IF('[3]2026 január'!W32=0,
    "",
    '[3]2026 január'!W32
)</f>
        <v/>
      </c>
      <c r="AA33" s="245" t="str">
        <f>IF('[3]2026 január'!X32=0,
    "",
    '[3]2026 január'!X32
)</f>
        <v/>
      </c>
      <c r="AB33" s="245">
        <f>IF('[3]2026 január'!Y32=0,
    "",
    '[3]2026 január'!Y32
)</f>
        <v>168162</v>
      </c>
      <c r="AC33" s="245" t="str">
        <f>IF('[3]2026 január'!Z32=0,
    "",
    '[3]2026 január'!Z32
)</f>
        <v/>
      </c>
      <c r="AD33" s="245" t="str">
        <f>IF('[3]2026 január'!AA32=0,
    "",
    '[3]2026 január'!AA32
)</f>
        <v/>
      </c>
      <c r="AE33" s="245" t="str">
        <f>IF('[3]2026 január'!AB32=0,
    "",
    '[3]2026 január'!AB32
)</f>
        <v/>
      </c>
      <c r="AF33" s="245" t="str">
        <f>IF('[3]2026 január'!AC32=0,
    "",
    '[3]2026 január'!AC32
)</f>
        <v/>
      </c>
      <c r="AG33" s="245" t="str">
        <f>IF('[3]2026 január'!AD32=0,
    "",
    '[3]2026 január'!AD32
)</f>
        <v/>
      </c>
      <c r="AH33" s="245" t="str">
        <f>IF('[3]2026 január'!AE$32=0,
    "",
    '[3]2026 január'!AE$32
)</f>
        <v/>
      </c>
      <c r="AI33" s="245" t="str">
        <f>IF('[3]2026 január'!AF32=0,
    "",
    '[3]2026 január'!AF32
)</f>
        <v/>
      </c>
      <c r="AJ33" s="245" t="str">
        <f>IF('[3]2026 január'!AG32=0,
    "",
    '[3]2026 január'!AG32
)</f>
        <v/>
      </c>
      <c r="AK33" s="245" t="str">
        <f>IF('[3]2026 január'!AH32=0,
    "",
    '[3]2026 január'!AH32
)</f>
        <v/>
      </c>
    </row>
    <row r="34" spans="1:37" ht="14.25" customHeight="1">
      <c r="A34" s="84" t="s">
        <v>43</v>
      </c>
      <c r="B34" s="389"/>
      <c r="C34" s="22">
        <f>SUM(C1:C33)</f>
        <v>6100</v>
      </c>
      <c r="D34" s="22">
        <f>SUM(D1:D33)</f>
        <v>3164628.05</v>
      </c>
      <c r="E34" s="22">
        <f>SUM(E1:E33)</f>
        <v>71322.179999999993</v>
      </c>
      <c r="F34" s="22">
        <f>SUM(F1:F33)</f>
        <v>346741.27</v>
      </c>
      <c r="G34" s="23">
        <f>SUM(G3:G33)</f>
        <v>491910</v>
      </c>
      <c r="H34" s="216">
        <f>SUM(H3:H33)</f>
        <v>3095470</v>
      </c>
      <c r="I34" s="215"/>
      <c r="J34" s="395"/>
      <c r="K34" s="12"/>
      <c r="L34" s="19"/>
      <c r="M34" s="401"/>
      <c r="N34" s="10"/>
      <c r="O34" s="4"/>
      <c r="P34" s="245">
        <f>IF('[3]2026 január'!B$33=0,
    "",
    '[3]2026 január'!B$33
)</f>
        <v>3670425</v>
      </c>
      <c r="Q34" s="245" t="str">
        <f>IF(OR('[3]2026 január'!G33=0,
       ISBLANK('[3]2026 január'!G33)),
    "",
    '[3]2026 január'!G33
)</f>
        <v/>
      </c>
      <c r="R34" s="79">
        <f>'[3]2026 január'!W33</f>
        <v>0</v>
      </c>
      <c r="S34" s="4"/>
      <c r="T34" s="4"/>
      <c r="U34" s="4"/>
      <c r="V34" s="260" t="str">
        <f>IF('[3]2026 január'!S33=0,
    "",
    '[3]2026 január'!S33
)</f>
        <v/>
      </c>
      <c r="W34" s="260" t="str">
        <f>IF('[3]2026 január'!T33=0,
    "",
    '[3]2026 január'!T33
)</f>
        <v/>
      </c>
      <c r="X34" s="260" t="str">
        <f>IF('[3]2026 január'!U33=0,
    "",
    '[3]2026 január'!U33
)</f>
        <v/>
      </c>
      <c r="Y34" s="260" t="str">
        <f>IF('[3]2026 január'!V33=0,
    "",
    '[3]2026 január'!V33
)</f>
        <v/>
      </c>
      <c r="Z34" s="260" t="str">
        <f>IF('[3]2026 január'!W33=0,
    "",
    '[3]2026 január'!W33
)</f>
        <v/>
      </c>
      <c r="AA34" s="260" t="str">
        <f>IF('[3]2026 január'!X33=0,
    "",
    '[3]2026 január'!X33
)</f>
        <v/>
      </c>
      <c r="AB34" s="260" t="str">
        <f>IF('[3]2026 január'!Y33=0,
    "",
    '[3]2026 január'!Y33
)</f>
        <v/>
      </c>
      <c r="AC34" s="260" t="str">
        <f>IF('[3]2026 január'!Z33=0,
    "",
    '[3]2026 január'!Z33
)</f>
        <v/>
      </c>
      <c r="AD34" s="260" t="str">
        <f>IF('[3]2026 január'!AA33=0,
    "",
    '[3]2026 január'!AA33
)</f>
        <v/>
      </c>
      <c r="AE34" s="260" t="str">
        <f>IF('[3]2026 január'!AB33=0,
    "",
    '[3]2026 január'!AB33
)</f>
        <v/>
      </c>
      <c r="AF34" s="260" t="str">
        <f>IF('[3]2026 január'!AC33=0,
    "",
    '[3]2026 január'!AC33
)</f>
        <v/>
      </c>
      <c r="AG34" s="260" t="str">
        <f>IF('[3]2026 január'!AD33=0,
    "",
    '[3]2026 január'!AD33
)</f>
        <v/>
      </c>
      <c r="AH34" s="260" t="str">
        <f>IF('[3]2026 január'!AE$33=0,
    "",
    '[3]2026 január'!AE$33
)</f>
        <v/>
      </c>
      <c r="AI34" s="260" t="str">
        <f>IF('[3]2026 január'!AF33=0,
    "",
    '[3]2026 január'!AF33
)</f>
        <v/>
      </c>
      <c r="AJ34" s="260" t="str">
        <f>IF('[3]2026 január'!AG33=0,
    "",
    '[3]2026 január'!AG33
)</f>
        <v/>
      </c>
      <c r="AK34" s="260" t="str">
        <f>IF('[3]2026 január'!AH33=0,
    "",
    '[3]2026 január'!AH33
)</f>
        <v/>
      </c>
    </row>
    <row r="35" spans="1:37" ht="14.25" customHeight="1">
      <c r="A35" s="85"/>
      <c r="B35" s="11"/>
      <c r="C35" s="26">
        <f>C34+D34+E34+F34</f>
        <v>3588791.5</v>
      </c>
      <c r="D35" s="9"/>
      <c r="E35" s="9"/>
      <c r="F35" s="9"/>
      <c r="G35" s="25">
        <f>G34+H34</f>
        <v>3587380</v>
      </c>
      <c r="H35" s="9"/>
      <c r="I35"/>
      <c r="J35"/>
      <c r="K35" s="187"/>
      <c r="L35"/>
      <c r="N35" s="4"/>
      <c r="O35" s="4"/>
      <c r="P35" s="4"/>
      <c r="Q35" s="4"/>
      <c r="R35" s="4"/>
      <c r="S35" s="4"/>
      <c r="T35" s="4"/>
      <c r="U35" s="4"/>
      <c r="V35" s="4"/>
      <c r="W35" s="4"/>
      <c r="Y35" s="244"/>
      <c r="Z35" s="4"/>
      <c r="AA35" s="4"/>
      <c r="AB35" s="4"/>
      <c r="AC35" s="4"/>
      <c r="AD35" s="4"/>
      <c r="AE35" s="4"/>
      <c r="AF35" s="4"/>
      <c r="AG35" s="4"/>
      <c r="AH35" s="4"/>
    </row>
    <row r="36" spans="1:37" ht="14.25" customHeight="1">
      <c r="B36" s="49"/>
      <c r="L36"/>
    </row>
    <row r="37" spans="1:37" ht="14.25" customHeight="1">
      <c r="L37"/>
    </row>
    <row r="38" spans="1:37" ht="14.25" customHeight="1">
      <c r="L38"/>
    </row>
    <row r="39" spans="1:37" ht="14.25" customHeight="1">
      <c r="A39" s="263" t="s">
        <v>108</v>
      </c>
      <c r="B39" s="387"/>
      <c r="C39" s="264"/>
      <c r="D39" s="264"/>
      <c r="E39" s="264"/>
      <c r="F39" s="193"/>
      <c r="G39" s="193"/>
      <c r="H39" s="193"/>
      <c r="I39" s="193"/>
      <c r="J39" s="193"/>
      <c r="K39" s="391"/>
      <c r="L39" s="262"/>
    </row>
    <row r="40" spans="1:37" ht="14.25" customHeight="1">
      <c r="A40" s="200"/>
      <c r="C40" s="82"/>
      <c r="D40" s="82"/>
      <c r="J40" s="4"/>
      <c r="L40" s="67"/>
    </row>
    <row r="41" spans="1:37" ht="14.25" customHeight="1">
      <c r="A41" s="201"/>
      <c r="B41" s="388"/>
      <c r="C41" s="202"/>
      <c r="D41" s="202"/>
      <c r="E41" s="196"/>
      <c r="F41" s="196"/>
      <c r="G41" s="196"/>
      <c r="H41" s="196"/>
      <c r="I41" s="196"/>
      <c r="J41" s="196"/>
      <c r="K41" s="392"/>
      <c r="L41" s="261"/>
    </row>
    <row r="42" spans="1:37" ht="14.25" customHeight="1">
      <c r="L42"/>
    </row>
    <row r="43" spans="1:37" ht="14.25" customHeight="1">
      <c r="A43" s="81" t="s">
        <v>4</v>
      </c>
      <c r="B43" s="378"/>
      <c r="C43" s="30"/>
      <c r="D43" s="30"/>
      <c r="E43" s="30"/>
      <c r="F43" s="30"/>
      <c r="G43" s="30"/>
      <c r="H43" s="30"/>
      <c r="I43" s="30"/>
      <c r="J43" s="39"/>
      <c r="K43" s="376"/>
      <c r="L43" s="281"/>
      <c r="M43" s="418"/>
      <c r="N43" s="178"/>
      <c r="O43" s="155"/>
      <c r="Y43"/>
      <c r="AA43" s="419"/>
    </row>
    <row r="44" spans="1:37" ht="14.25" customHeight="1">
      <c r="A44" s="162">
        <v>46054</v>
      </c>
      <c r="B44" s="163"/>
      <c r="C44" s="163"/>
      <c r="D44" s="163"/>
      <c r="E44" s="163"/>
      <c r="F44" s="163"/>
      <c r="G44" s="163"/>
      <c r="H44" s="163"/>
      <c r="I44" s="163"/>
      <c r="J44" s="164"/>
      <c r="K44" s="165"/>
      <c r="L44" s="282"/>
      <c r="M44" s="414"/>
      <c r="N44" s="179"/>
      <c r="O44" s="155"/>
      <c r="P44" s="245" t="str">
        <f>IF('[3]2026 február'!B$2=0,
    "",
    '[3]2026 február'!B$2
)</f>
        <v/>
      </c>
      <c r="Y44"/>
      <c r="AA44" s="420"/>
    </row>
    <row r="45" spans="1:37" ht="14.25" customHeight="1">
      <c r="A45" s="162">
        <v>46055</v>
      </c>
      <c r="B45" s="11">
        <v>101770</v>
      </c>
      <c r="C45" s="11">
        <v>200</v>
      </c>
      <c r="D45" s="11">
        <v>89605</v>
      </c>
      <c r="E45" s="11">
        <v>770</v>
      </c>
      <c r="F45" s="11">
        <v>6510</v>
      </c>
      <c r="G45" s="11">
        <v>11160</v>
      </c>
      <c r="H45" s="11">
        <v>85925</v>
      </c>
      <c r="I45" s="11">
        <v>85925</v>
      </c>
      <c r="J45" s="44" t="s">
        <v>257</v>
      </c>
      <c r="K45" s="86">
        <v>207033616</v>
      </c>
      <c r="L45" s="410"/>
      <c r="M45" s="241"/>
      <c r="N45" s="9"/>
      <c r="O45" s="155"/>
      <c r="P45" s="245">
        <f>IF('[3]2026 február'!B$3=0,
    "",
    '[3]2026 február'!B$3
)</f>
        <v>101770</v>
      </c>
      <c r="Y45"/>
      <c r="AA45" s="9"/>
    </row>
    <row r="46" spans="1:37" ht="14.25" customHeight="1">
      <c r="A46" s="162">
        <v>46056</v>
      </c>
      <c r="B46" s="11">
        <v>122395</v>
      </c>
      <c r="C46" s="11">
        <v>300</v>
      </c>
      <c r="D46" s="11">
        <v>111480</v>
      </c>
      <c r="E46" s="11">
        <v>670</v>
      </c>
      <c r="F46" s="11">
        <v>3760</v>
      </c>
      <c r="G46" s="11">
        <v>12280</v>
      </c>
      <c r="H46" s="11">
        <v>103930</v>
      </c>
      <c r="I46" s="11">
        <v>103930</v>
      </c>
      <c r="J46" s="44" t="s">
        <v>258</v>
      </c>
      <c r="K46" s="87">
        <v>207149826</v>
      </c>
      <c r="L46" s="284"/>
      <c r="M46" s="241"/>
      <c r="N46" s="9"/>
      <c r="O46" s="155"/>
      <c r="P46" s="245">
        <f>IF('[3]2026 február'!B$4=0,
    "",
    '[3]2026 február'!B$4
)</f>
        <v>122395</v>
      </c>
      <c r="Y46"/>
      <c r="AA46" s="9"/>
    </row>
    <row r="47" spans="1:37" ht="14.25" customHeight="1">
      <c r="A47" s="162">
        <v>46057</v>
      </c>
      <c r="B47" s="11">
        <v>206560</v>
      </c>
      <c r="C47" s="11">
        <v>0</v>
      </c>
      <c r="D47" s="11">
        <v>141970</v>
      </c>
      <c r="E47" s="11">
        <v>0</v>
      </c>
      <c r="F47" s="11">
        <v>0</v>
      </c>
      <c r="G47" s="11">
        <v>1530</v>
      </c>
      <c r="H47" s="11">
        <v>140440</v>
      </c>
      <c r="I47" s="11">
        <v>140440</v>
      </c>
      <c r="J47" s="44" t="s">
        <v>259</v>
      </c>
      <c r="K47" s="87">
        <v>207291796</v>
      </c>
      <c r="L47" s="284"/>
      <c r="M47" s="241"/>
      <c r="N47" s="9"/>
      <c r="O47" s="155"/>
      <c r="P47" s="245">
        <f>IF('[3]2026 február'!B$5=0,
    "",
    '[3]2026 február'!B$5
)</f>
        <v>206560</v>
      </c>
      <c r="Y47"/>
      <c r="AA47" s="9"/>
    </row>
    <row r="48" spans="1:37" ht="14.25" customHeight="1">
      <c r="A48" s="162">
        <v>46058</v>
      </c>
      <c r="B48" s="11">
        <v>175545</v>
      </c>
      <c r="C48" s="11">
        <v>0</v>
      </c>
      <c r="D48" s="11">
        <v>160435</v>
      </c>
      <c r="E48" s="11">
        <v>0</v>
      </c>
      <c r="F48" s="11">
        <v>0</v>
      </c>
      <c r="G48" s="11">
        <v>7120</v>
      </c>
      <c r="H48" s="11">
        <v>153315</v>
      </c>
      <c r="I48" s="11">
        <v>153315</v>
      </c>
      <c r="J48" s="44" t="s">
        <v>260</v>
      </c>
      <c r="K48" s="87">
        <v>207452231</v>
      </c>
      <c r="L48" s="284"/>
      <c r="M48" s="241"/>
      <c r="N48" s="9"/>
      <c r="O48" s="155"/>
      <c r="P48" s="245">
        <f>IF('[3]2026 február'!B$6=0,
    "",
    '[3]2026 február'!B$6
)</f>
        <v>175545</v>
      </c>
      <c r="Y48"/>
      <c r="AA48" s="9"/>
    </row>
    <row r="49" spans="1:27" ht="14.25" customHeight="1">
      <c r="A49" s="162">
        <v>46059</v>
      </c>
      <c r="B49" s="11">
        <v>108825</v>
      </c>
      <c r="C49" s="11">
        <v>250</v>
      </c>
      <c r="D49" s="11">
        <v>85210</v>
      </c>
      <c r="E49" s="11">
        <v>270</v>
      </c>
      <c r="F49" s="11">
        <v>8615</v>
      </c>
      <c r="G49" s="11">
        <v>2250</v>
      </c>
      <c r="H49" s="11">
        <v>92095</v>
      </c>
      <c r="I49" s="11">
        <v>92095</v>
      </c>
      <c r="J49" s="44" t="s">
        <v>261</v>
      </c>
      <c r="K49" s="87">
        <v>207546576</v>
      </c>
      <c r="L49" s="284"/>
      <c r="M49" s="241"/>
      <c r="N49" s="9"/>
      <c r="O49" s="155"/>
      <c r="P49" s="245">
        <f>IF('[3]2026 február'!B$7=0,
    "",
    '[3]2026 február'!B$7
)</f>
        <v>108825</v>
      </c>
      <c r="Y49"/>
      <c r="AA49" s="9"/>
    </row>
    <row r="50" spans="1:27" ht="14.25" customHeight="1">
      <c r="A50" s="162">
        <v>46060</v>
      </c>
      <c r="B50" s="163"/>
      <c r="C50" s="163"/>
      <c r="D50" s="163"/>
      <c r="E50" s="163"/>
      <c r="F50" s="163"/>
      <c r="G50" s="163"/>
      <c r="H50" s="163"/>
      <c r="I50" s="163"/>
      <c r="J50" s="164"/>
      <c r="K50" s="167"/>
      <c r="L50" s="283"/>
      <c r="M50" s="414"/>
      <c r="N50" s="179"/>
      <c r="O50" s="155"/>
      <c r="P50" s="245" t="str">
        <f>IF('[3]2026 február'!B$8=0,
    "",
    '[3]2026 február'!B$8
)</f>
        <v/>
      </c>
      <c r="Y50"/>
      <c r="AA50" s="179"/>
    </row>
    <row r="51" spans="1:27" ht="14.25" customHeight="1">
      <c r="A51" s="162">
        <v>46061</v>
      </c>
      <c r="B51" s="163"/>
      <c r="C51" s="163"/>
      <c r="D51" s="163"/>
      <c r="E51" s="163"/>
      <c r="F51" s="163"/>
      <c r="G51" s="163"/>
      <c r="H51" s="163"/>
      <c r="I51" s="163"/>
      <c r="J51" s="164"/>
      <c r="K51" s="167"/>
      <c r="L51" s="283"/>
      <c r="M51" s="414"/>
      <c r="N51" s="179"/>
      <c r="O51" s="155"/>
      <c r="P51" s="245" t="str">
        <f>IF('[3]2026 február'!B$9=0,
    "",
    '[3]2026 február'!B$9
)</f>
        <v/>
      </c>
      <c r="Y51"/>
      <c r="AA51" s="179"/>
    </row>
    <row r="52" spans="1:27" ht="14.25" customHeight="1">
      <c r="A52" s="162">
        <v>46062</v>
      </c>
      <c r="B52" s="11"/>
      <c r="C52" s="11"/>
      <c r="D52" s="11"/>
      <c r="E52" s="11"/>
      <c r="F52" s="11"/>
      <c r="G52" s="11"/>
      <c r="H52" s="11"/>
      <c r="I52" s="11"/>
      <c r="J52" s="44"/>
      <c r="K52" s="87"/>
      <c r="L52" s="284"/>
      <c r="M52" s="241"/>
      <c r="N52" s="9"/>
      <c r="O52" s="155"/>
      <c r="P52" s="245" t="str">
        <f>IF('[3]2026 február'!B$10=0,
    "",
    '[3]2026 február'!B$10
)</f>
        <v/>
      </c>
      <c r="Y52"/>
      <c r="AA52" s="9"/>
    </row>
    <row r="53" spans="1:27" ht="14.25" customHeight="1">
      <c r="A53" s="162">
        <v>46063</v>
      </c>
      <c r="B53" s="11"/>
      <c r="C53" s="11"/>
      <c r="D53" s="11"/>
      <c r="E53" s="11"/>
      <c r="F53" s="11"/>
      <c r="G53" s="11"/>
      <c r="H53" s="11"/>
      <c r="I53" s="11"/>
      <c r="J53" s="44"/>
      <c r="K53" s="87"/>
      <c r="L53" s="284"/>
      <c r="M53" s="241"/>
      <c r="N53" s="9"/>
      <c r="O53" s="155"/>
      <c r="P53" s="245" t="str">
        <f>IF('[3]2026 február'!B$11=0,
    "",
    '[3]2026 február'!B$11
)</f>
        <v/>
      </c>
      <c r="Y53"/>
      <c r="AA53" s="9"/>
    </row>
    <row r="54" spans="1:27" ht="14.25" customHeight="1">
      <c r="A54" s="162">
        <v>46064</v>
      </c>
      <c r="B54" s="11"/>
      <c r="C54" s="11"/>
      <c r="D54" s="11"/>
      <c r="E54" s="11"/>
      <c r="F54" s="11"/>
      <c r="G54" s="11"/>
      <c r="H54" s="11"/>
      <c r="I54" s="11"/>
      <c r="J54" s="44"/>
      <c r="K54" s="87"/>
      <c r="L54" s="284"/>
      <c r="M54" s="241"/>
      <c r="N54" s="9"/>
      <c r="O54" s="155"/>
      <c r="P54" s="245" t="str">
        <f>IF('[3]2026 február'!B$12=0,
    "",
    '[3]2026 február'!B$12
)</f>
        <v/>
      </c>
      <c r="Y54"/>
      <c r="AA54" s="9"/>
    </row>
    <row r="55" spans="1:27" ht="14.25" customHeight="1">
      <c r="A55" s="162">
        <v>46065</v>
      </c>
      <c r="B55" s="11"/>
      <c r="C55" s="11"/>
      <c r="D55" s="11"/>
      <c r="E55" s="11"/>
      <c r="F55" s="11"/>
      <c r="G55" s="11"/>
      <c r="H55" s="11"/>
      <c r="I55" s="11"/>
      <c r="J55" s="44"/>
      <c r="K55" s="87"/>
      <c r="L55" s="284"/>
      <c r="M55" s="126"/>
      <c r="N55" s="9"/>
      <c r="O55" s="155"/>
      <c r="P55" s="245" t="str">
        <f>IF('[3]2026 február'!B$13=0,
    "",
    '[3]2026 február'!B$13
)</f>
        <v/>
      </c>
      <c r="Y55"/>
      <c r="AA55" s="9"/>
    </row>
    <row r="56" spans="1:27" ht="14.25" customHeight="1">
      <c r="A56" s="162">
        <v>46066</v>
      </c>
      <c r="B56" s="11"/>
      <c r="C56" s="11"/>
      <c r="D56" s="11"/>
      <c r="E56" s="11"/>
      <c r="F56" s="11"/>
      <c r="G56" s="11"/>
      <c r="H56" s="11"/>
      <c r="I56" s="11"/>
      <c r="J56" s="44"/>
      <c r="K56" s="87"/>
      <c r="L56" s="284"/>
      <c r="M56" s="241"/>
      <c r="N56" s="9"/>
      <c r="O56" s="155"/>
      <c r="P56" s="245" t="str">
        <f>IF('[3]2026 február'!B$14=0,
    "",
    '[3]2026 február'!B$14
)</f>
        <v/>
      </c>
      <c r="Y56"/>
      <c r="AA56" s="9"/>
    </row>
    <row r="57" spans="1:27" ht="14.25" customHeight="1">
      <c r="A57" s="162">
        <v>46067</v>
      </c>
      <c r="B57" s="163"/>
      <c r="C57" s="163"/>
      <c r="D57" s="163"/>
      <c r="E57" s="163"/>
      <c r="F57" s="163"/>
      <c r="G57" s="163"/>
      <c r="H57" s="163"/>
      <c r="I57" s="163"/>
      <c r="J57" s="164"/>
      <c r="K57" s="167"/>
      <c r="L57" s="283"/>
      <c r="M57" s="414"/>
      <c r="N57" s="179"/>
      <c r="O57" s="155"/>
      <c r="P57" s="245" t="str">
        <f>IF('[3]2026 február'!B$15=0,
    "",
    '[3]2026 február'!B$15
)</f>
        <v/>
      </c>
      <c r="Y57"/>
      <c r="AA57" s="179"/>
    </row>
    <row r="58" spans="1:27" ht="14.25" customHeight="1">
      <c r="A58" s="162">
        <v>46068</v>
      </c>
      <c r="B58" s="163"/>
      <c r="C58" s="163"/>
      <c r="D58" s="163"/>
      <c r="E58" s="163"/>
      <c r="F58" s="163"/>
      <c r="G58" s="163"/>
      <c r="H58" s="163"/>
      <c r="I58" s="163"/>
      <c r="J58" s="164"/>
      <c r="K58" s="167"/>
      <c r="L58" s="283"/>
      <c r="M58" s="414"/>
      <c r="N58" s="179"/>
      <c r="O58" s="155"/>
      <c r="P58" s="245" t="str">
        <f>IF('[3]2026 február'!B$16=0,
    "",
    '[3]2026 február'!B$16
)</f>
        <v/>
      </c>
      <c r="Y58"/>
      <c r="AA58" s="179"/>
    </row>
    <row r="59" spans="1:27" ht="14.25" customHeight="1">
      <c r="A59" s="162">
        <v>46069</v>
      </c>
      <c r="B59" s="11"/>
      <c r="C59" s="11"/>
      <c r="D59" s="11"/>
      <c r="E59" s="11"/>
      <c r="F59" s="11"/>
      <c r="G59" s="11"/>
      <c r="H59" s="11"/>
      <c r="I59" s="11"/>
      <c r="J59" s="44"/>
      <c r="K59" s="87"/>
      <c r="L59" s="284"/>
      <c r="M59" s="241"/>
      <c r="N59" s="9"/>
      <c r="O59" s="155"/>
      <c r="P59" s="245" t="str">
        <f>IF('[3]2026 február'!B$17=0,
    "",
    '[3]2026 február'!B$17
)</f>
        <v/>
      </c>
      <c r="Y59"/>
      <c r="AA59" s="9"/>
    </row>
    <row r="60" spans="1:27" ht="14.25" customHeight="1">
      <c r="A60" s="162">
        <v>46070</v>
      </c>
      <c r="B60" s="11"/>
      <c r="C60" s="11"/>
      <c r="D60" s="11"/>
      <c r="E60" s="11"/>
      <c r="F60" s="11"/>
      <c r="G60" s="11"/>
      <c r="H60" s="11"/>
      <c r="I60" s="11"/>
      <c r="J60" s="44"/>
      <c r="K60" s="87"/>
      <c r="L60" s="284"/>
      <c r="M60" s="241"/>
      <c r="N60" s="9"/>
      <c r="O60" s="155"/>
      <c r="P60" s="245" t="str">
        <f>IF('[3]2026 február'!B$18=0,
    "",
    '[3]2026 február'!B$18
)</f>
        <v/>
      </c>
      <c r="Y60"/>
      <c r="AA60" s="9"/>
    </row>
    <row r="61" spans="1:27" ht="14.25" customHeight="1">
      <c r="A61" s="162">
        <v>46071</v>
      </c>
      <c r="B61" s="11"/>
      <c r="C61" s="11"/>
      <c r="D61" s="11"/>
      <c r="E61" s="11"/>
      <c r="F61" s="11"/>
      <c r="G61" s="11"/>
      <c r="H61" s="11"/>
      <c r="I61" s="11"/>
      <c r="J61" s="44"/>
      <c r="K61" s="87"/>
      <c r="L61" s="284"/>
      <c r="M61" s="241"/>
      <c r="N61" s="9"/>
      <c r="O61" s="155"/>
      <c r="P61" s="245" t="str">
        <f>IF('[3]2026 február'!B$19=0,
    "",
    '[3]2026 február'!B$19
)</f>
        <v/>
      </c>
      <c r="Y61"/>
      <c r="AA61" s="9"/>
    </row>
    <row r="62" spans="1:27" ht="14.25" customHeight="1">
      <c r="A62" s="162">
        <v>46072</v>
      </c>
      <c r="B62" s="11"/>
      <c r="C62" s="11"/>
      <c r="D62" s="11"/>
      <c r="E62" s="11"/>
      <c r="F62" s="11"/>
      <c r="G62" s="11"/>
      <c r="H62" s="11"/>
      <c r="I62" s="11"/>
      <c r="J62" s="44"/>
      <c r="K62" s="87"/>
      <c r="L62" s="284"/>
      <c r="M62" s="241"/>
      <c r="N62" s="9"/>
      <c r="O62" s="155"/>
      <c r="P62" s="245" t="str">
        <f>IF('[3]2026 február'!B$20=0,
    "",
    '[3]2026 február'!B$20
)</f>
        <v/>
      </c>
      <c r="Y62"/>
      <c r="AA62" s="9"/>
    </row>
    <row r="63" spans="1:27" ht="14.25" customHeight="1">
      <c r="A63" s="162">
        <v>46073</v>
      </c>
      <c r="B63" s="11"/>
      <c r="C63" s="11"/>
      <c r="D63" s="11"/>
      <c r="E63" s="11"/>
      <c r="F63" s="11"/>
      <c r="G63" s="11"/>
      <c r="H63" s="11"/>
      <c r="I63" s="11"/>
      <c r="J63" s="44"/>
      <c r="K63" s="87"/>
      <c r="L63" s="284"/>
      <c r="M63" s="241"/>
      <c r="N63" s="9"/>
      <c r="O63" s="155"/>
      <c r="P63" s="245" t="str">
        <f>IF('[3]2026 február'!B$21=0,
    "",
    '[3]2026 február'!B$21
)</f>
        <v/>
      </c>
      <c r="Y63"/>
      <c r="AA63" s="9"/>
    </row>
    <row r="64" spans="1:27" ht="14.25" customHeight="1">
      <c r="A64" s="162">
        <v>46074</v>
      </c>
      <c r="B64" s="163"/>
      <c r="C64" s="163"/>
      <c r="D64" s="163"/>
      <c r="E64" s="163"/>
      <c r="F64" s="163"/>
      <c r="G64" s="163"/>
      <c r="H64" s="163"/>
      <c r="I64" s="163"/>
      <c r="J64" s="164"/>
      <c r="K64" s="167"/>
      <c r="L64" s="283"/>
      <c r="M64" s="414"/>
      <c r="N64" s="179"/>
      <c r="O64" s="155"/>
      <c r="P64" s="245" t="str">
        <f>IF('[3]2026 február'!B$22=0,
    "",
    '[3]2026 február'!B$22
)</f>
        <v/>
      </c>
      <c r="Y64"/>
      <c r="AA64" s="179"/>
    </row>
    <row r="65" spans="1:27" ht="14.25" customHeight="1">
      <c r="A65" s="162">
        <v>46075</v>
      </c>
      <c r="B65" s="163"/>
      <c r="C65" s="163"/>
      <c r="D65" s="163"/>
      <c r="E65" s="163"/>
      <c r="F65" s="163"/>
      <c r="G65" s="163"/>
      <c r="H65" s="163"/>
      <c r="I65" s="163"/>
      <c r="J65" s="164"/>
      <c r="K65" s="167"/>
      <c r="L65" s="283"/>
      <c r="M65" s="414"/>
      <c r="N65" s="179"/>
      <c r="O65" s="155"/>
      <c r="P65" s="245" t="str">
        <f>IF('[3]2026 február'!B$23=0,
    "",
    '[3]2026 február'!B$23
)</f>
        <v/>
      </c>
      <c r="Y65"/>
      <c r="AA65" s="179"/>
    </row>
    <row r="66" spans="1:27" ht="14.25" customHeight="1">
      <c r="A66" s="162">
        <v>46076</v>
      </c>
      <c r="B66" s="11"/>
      <c r="C66" s="11"/>
      <c r="D66" s="11"/>
      <c r="E66" s="11"/>
      <c r="F66" s="11"/>
      <c r="G66" s="11"/>
      <c r="H66" s="11"/>
      <c r="I66" s="11"/>
      <c r="J66" s="44"/>
      <c r="K66" s="87"/>
      <c r="L66" s="284"/>
      <c r="M66" s="241"/>
      <c r="N66" s="9"/>
      <c r="O66" s="155"/>
      <c r="P66" s="245" t="str">
        <f>IF('[3]2026 február'!B$24=0,
    "",
    '[3]2026 február'!B$24
)</f>
        <v/>
      </c>
      <c r="Y66"/>
      <c r="AA66" s="9"/>
    </row>
    <row r="67" spans="1:27" ht="14.25" customHeight="1">
      <c r="A67" s="162">
        <v>46077</v>
      </c>
      <c r="B67" s="11"/>
      <c r="C67" s="11"/>
      <c r="D67" s="11"/>
      <c r="E67" s="11"/>
      <c r="F67" s="11"/>
      <c r="G67" s="11"/>
      <c r="H67" s="11"/>
      <c r="I67" s="11"/>
      <c r="J67" s="44"/>
      <c r="K67" s="87"/>
      <c r="L67" s="284"/>
      <c r="M67" s="241"/>
      <c r="N67" s="9"/>
      <c r="O67" s="155"/>
      <c r="P67" s="245" t="str">
        <f>IF('[3]2026 február'!B$25=0,
    "",
    '[3]2026 február'!B$25
)</f>
        <v/>
      </c>
      <c r="Y67"/>
      <c r="AA67" s="9"/>
    </row>
    <row r="68" spans="1:27" ht="14.25" customHeight="1">
      <c r="A68" s="162">
        <v>46078</v>
      </c>
      <c r="B68" s="11"/>
      <c r="C68" s="11"/>
      <c r="D68" s="11"/>
      <c r="E68" s="11"/>
      <c r="F68" s="11"/>
      <c r="G68" s="11"/>
      <c r="H68" s="11"/>
      <c r="I68" s="11"/>
      <c r="J68" s="44"/>
      <c r="K68" s="87"/>
      <c r="L68" s="284"/>
      <c r="M68" s="241"/>
      <c r="N68" s="9"/>
      <c r="O68" s="155"/>
      <c r="P68" s="245" t="str">
        <f>IF('[3]2026 február'!B$26=0,
    "",
    '[3]2026 február'!B$26
)</f>
        <v/>
      </c>
      <c r="Y68"/>
      <c r="AA68" s="9"/>
    </row>
    <row r="69" spans="1:27" ht="14.25" customHeight="1">
      <c r="A69" s="162">
        <v>46079</v>
      </c>
      <c r="B69" s="11"/>
      <c r="C69" s="11"/>
      <c r="D69" s="11"/>
      <c r="E69" s="11"/>
      <c r="F69" s="11"/>
      <c r="G69" s="11"/>
      <c r="H69" s="11"/>
      <c r="I69" s="11"/>
      <c r="J69" s="44"/>
      <c r="K69" s="87"/>
      <c r="L69" s="284"/>
      <c r="M69" s="241"/>
      <c r="N69" s="9"/>
      <c r="O69" s="155"/>
      <c r="P69" s="245" t="str">
        <f>IF('[3]2026 február'!B$27=0,
    "",
    '[3]2026 február'!B$27
)</f>
        <v/>
      </c>
      <c r="Y69"/>
      <c r="AA69" s="9"/>
    </row>
    <row r="70" spans="1:27" ht="14.25" customHeight="1">
      <c r="A70" s="162">
        <v>46080</v>
      </c>
      <c r="B70" s="11"/>
      <c r="C70" s="11"/>
      <c r="D70" s="11"/>
      <c r="E70" s="11"/>
      <c r="F70" s="11"/>
      <c r="G70" s="11"/>
      <c r="H70" s="11"/>
      <c r="I70" s="11"/>
      <c r="J70" s="44"/>
      <c r="K70" s="87"/>
      <c r="L70" s="284"/>
      <c r="M70" s="241"/>
      <c r="N70" s="9"/>
      <c r="O70" s="155"/>
      <c r="P70" s="245" t="str">
        <f>IF('[3]2026 február'!B$28=0,
    "",
    '[3]2026 február'!B$28
)</f>
        <v/>
      </c>
      <c r="Y70"/>
      <c r="AA70" s="9"/>
    </row>
    <row r="71" spans="1:27" ht="14.25" customHeight="1">
      <c r="A71" s="162">
        <v>46081</v>
      </c>
      <c r="B71" s="163"/>
      <c r="C71" s="163"/>
      <c r="D71" s="163"/>
      <c r="E71" s="163"/>
      <c r="F71" s="163"/>
      <c r="G71" s="163"/>
      <c r="H71" s="163"/>
      <c r="I71" s="163"/>
      <c r="J71" s="164"/>
      <c r="K71" s="167"/>
      <c r="L71" s="283"/>
      <c r="M71" s="414"/>
      <c r="N71" s="179"/>
      <c r="O71" s="155"/>
      <c r="P71" s="245" t="str">
        <f>IF('[3]2026 február'!B$29=0,
    "",
    '[3]2026 február'!B$29
)</f>
        <v/>
      </c>
      <c r="Y71"/>
      <c r="AA71" s="179"/>
    </row>
    <row r="72" spans="1:27" ht="14.25" customHeight="1">
      <c r="A72" s="5"/>
      <c r="B72" s="11"/>
      <c r="C72" s="11"/>
      <c r="D72" s="11"/>
      <c r="E72" s="11"/>
      <c r="F72" s="11"/>
      <c r="G72" s="11"/>
      <c r="H72" s="11"/>
      <c r="I72" s="11"/>
      <c r="J72" s="44"/>
      <c r="K72" s="87"/>
      <c r="L72" s="284"/>
      <c r="M72" s="241"/>
      <c r="N72" s="9"/>
      <c r="O72" s="155"/>
      <c r="P72" s="245" t="str">
        <f>IF('[3]2026 február'!B$30=0,
    "",
    '[3]2026 február'!B$30
)</f>
        <v/>
      </c>
      <c r="Y72"/>
      <c r="AA72" s="9"/>
    </row>
    <row r="73" spans="1:27" ht="14.25" customHeight="1">
      <c r="A73" s="5"/>
      <c r="B73" s="11"/>
      <c r="C73" s="11"/>
      <c r="D73" s="11"/>
      <c r="E73" s="11"/>
      <c r="F73" s="11"/>
      <c r="G73" s="11"/>
      <c r="H73" s="11"/>
      <c r="I73" s="11"/>
      <c r="J73" s="44"/>
      <c r="K73" s="87"/>
      <c r="L73" s="284"/>
      <c r="M73" s="241"/>
      <c r="N73" s="9"/>
      <c r="O73" s="155"/>
      <c r="P73" s="245" t="str">
        <f>IF('[3]2026 február'!B$31=0,
    "",
    '[3]2026 február'!B$31
)</f>
        <v/>
      </c>
      <c r="Y73"/>
      <c r="AA73" s="9"/>
    </row>
    <row r="74" spans="1:27" ht="14.25" customHeight="1">
      <c r="A74" s="162"/>
      <c r="B74" s="11"/>
      <c r="C74" s="11"/>
      <c r="D74" s="11"/>
      <c r="E74" s="11"/>
      <c r="F74" s="11"/>
      <c r="G74" s="11"/>
      <c r="H74" s="11"/>
      <c r="I74" s="11"/>
      <c r="J74" s="229"/>
      <c r="K74" s="230"/>
      <c r="L74" s="412"/>
      <c r="M74" s="421"/>
      <c r="N74" s="9"/>
      <c r="O74" s="155"/>
      <c r="P74" s="245" t="str">
        <f>IF('[3]2026 február'!B$32=0,
    "",
    '[3]2026 február'!B$32
)</f>
        <v/>
      </c>
      <c r="Y74"/>
      <c r="AA74" s="9"/>
    </row>
    <row r="75" spans="1:27" ht="14.25" customHeight="1">
      <c r="A75" s="21" t="s">
        <v>43</v>
      </c>
      <c r="B75" s="389"/>
      <c r="C75" s="22">
        <f>SUM(C42:C74)</f>
        <v>750</v>
      </c>
      <c r="D75" s="22">
        <f>SUM(D42:D74)</f>
        <v>588700</v>
      </c>
      <c r="E75" s="22">
        <f>SUM(E42:E74)</f>
        <v>1710</v>
      </c>
      <c r="F75" s="22">
        <f>SUM(F42:F74)</f>
        <v>18885</v>
      </c>
      <c r="G75" s="23">
        <f>SUM(G42:G74)</f>
        <v>34340</v>
      </c>
      <c r="H75" s="23">
        <f>SUM(H44:H74)</f>
        <v>575705</v>
      </c>
      <c r="I75" s="47"/>
      <c r="J75" s="37"/>
      <c r="K75" s="19"/>
      <c r="L75" s="278"/>
      <c r="M75" s="241"/>
      <c r="N75" s="9"/>
      <c r="O75" s="155"/>
      <c r="P75" s="245">
        <f>IF('[3]2026 február'!B$33=0,
    "",
    '[3]2026 február'!B$33
)</f>
        <v>715095</v>
      </c>
      <c r="Y75"/>
      <c r="AA75" s="9"/>
    </row>
    <row r="76" spans="1:27" ht="14.25" customHeight="1">
      <c r="A76" s="5"/>
      <c r="B76" s="11"/>
      <c r="C76" s="34">
        <f>C75+D75+E75+F75</f>
        <v>610045</v>
      </c>
      <c r="D76" s="10"/>
      <c r="E76" s="10"/>
      <c r="F76" s="10"/>
      <c r="G76" s="62">
        <f>G75+H75</f>
        <v>610045</v>
      </c>
      <c r="H76" s="10"/>
      <c r="I76" s="10"/>
      <c r="J76" s="38"/>
      <c r="K76" s="11"/>
      <c r="L76" s="286"/>
      <c r="M76" s="241"/>
      <c r="N76" s="9"/>
      <c r="O76" s="155"/>
      <c r="Y76"/>
      <c r="AA76" s="9"/>
    </row>
    <row r="77" spans="1:27" ht="14.25" customHeight="1">
      <c r="L77"/>
    </row>
    <row r="78" spans="1:27" ht="14.25" customHeight="1">
      <c r="A78" s="436" t="s">
        <v>108</v>
      </c>
      <c r="B78" s="437"/>
      <c r="C78" s="438"/>
      <c r="D78" s="438"/>
      <c r="E78" s="438"/>
      <c r="F78" s="439"/>
      <c r="G78" s="439"/>
      <c r="H78" s="439"/>
      <c r="I78" s="439"/>
      <c r="J78" s="440"/>
      <c r="K78" s="441"/>
      <c r="L78"/>
    </row>
    <row r="79" spans="1:27" ht="14.25" customHeight="1">
      <c r="A79" s="442"/>
      <c r="B79" s="435"/>
      <c r="C79" s="435"/>
      <c r="D79" s="435"/>
      <c r="E79" s="435"/>
      <c r="F79" s="435"/>
      <c r="G79" s="429"/>
      <c r="H79" s="429"/>
      <c r="I79" s="429"/>
      <c r="J79" s="429"/>
      <c r="K79" s="443"/>
      <c r="L79"/>
    </row>
    <row r="80" spans="1:27" ht="14.25" customHeight="1">
      <c r="A80" s="477"/>
      <c r="B80" s="478"/>
      <c r="C80" s="478"/>
      <c r="D80" s="478"/>
      <c r="E80" s="478"/>
      <c r="F80" s="478"/>
      <c r="G80" s="444"/>
      <c r="H80" s="444"/>
      <c r="I80" s="444"/>
      <c r="J80" s="444"/>
      <c r="K80" s="445"/>
      <c r="L80"/>
    </row>
    <row r="81" spans="12:12" ht="14.25" customHeight="1">
      <c r="L81"/>
    </row>
    <row r="82" spans="12:12" ht="14.25" customHeight="1">
      <c r="L82"/>
    </row>
    <row r="83" spans="12:12" ht="14.25" customHeight="1">
      <c r="L83"/>
    </row>
    <row r="84" spans="12:12" ht="14.25" customHeight="1">
      <c r="L84"/>
    </row>
    <row r="85" spans="12:12" ht="14.25" customHeight="1">
      <c r="L85"/>
    </row>
    <row r="86" spans="12:12" ht="14.25" customHeight="1">
      <c r="L86"/>
    </row>
    <row r="87" spans="12:12" ht="14.25" customHeight="1">
      <c r="L87"/>
    </row>
    <row r="88" spans="12:12" ht="14.25" customHeight="1">
      <c r="L88"/>
    </row>
    <row r="89" spans="12:12" ht="14.25" customHeight="1">
      <c r="L89"/>
    </row>
    <row r="90" spans="12:12" ht="14.25" customHeight="1">
      <c r="L90"/>
    </row>
    <row r="91" spans="12:12" ht="14.25" customHeight="1">
      <c r="L91"/>
    </row>
    <row r="92" spans="12:12" ht="14.25" customHeight="1">
      <c r="L92"/>
    </row>
    <row r="93" spans="12:12" ht="14.25" customHeight="1">
      <c r="L93"/>
    </row>
    <row r="94" spans="12:12" ht="14.25" customHeight="1">
      <c r="L94"/>
    </row>
    <row r="95" spans="12:12" ht="14.25" customHeight="1">
      <c r="L95"/>
    </row>
    <row r="96" spans="12:12" ht="14.25" customHeight="1">
      <c r="L96"/>
    </row>
    <row r="97" spans="12:12" ht="14.25" customHeight="1">
      <c r="L97"/>
    </row>
    <row r="98" spans="12:12" ht="14.25" customHeight="1">
      <c r="L98"/>
    </row>
    <row r="99" spans="12:12" ht="14.25" customHeight="1">
      <c r="L99"/>
    </row>
    <row r="100" spans="12:12" ht="14.25" customHeight="1">
      <c r="L100"/>
    </row>
    <row r="101" spans="12:12" ht="14.25" customHeight="1">
      <c r="L101"/>
    </row>
    <row r="102" spans="12:12" ht="14.25" customHeight="1">
      <c r="L102"/>
    </row>
    <row r="103" spans="12:12" ht="14.25" customHeight="1">
      <c r="L103"/>
    </row>
    <row r="104" spans="12:12" ht="14.25" customHeight="1">
      <c r="L104"/>
    </row>
    <row r="105" spans="12:12" ht="14.25" customHeight="1">
      <c r="L105"/>
    </row>
    <row r="106" spans="12:12" ht="14.25" customHeight="1">
      <c r="L106"/>
    </row>
    <row r="107" spans="12:12" ht="14.25" customHeight="1">
      <c r="L107"/>
    </row>
    <row r="108" spans="12:12" ht="14.25" customHeight="1">
      <c r="L108"/>
    </row>
    <row r="109" spans="12:12" ht="14.25" customHeight="1">
      <c r="L109"/>
    </row>
    <row r="110" spans="12:12" ht="14.25" customHeight="1">
      <c r="L110"/>
    </row>
    <row r="111" spans="12:12" ht="14.25" customHeight="1">
      <c r="L111"/>
    </row>
    <row r="112" spans="12:12" ht="14.25" customHeight="1">
      <c r="L112"/>
    </row>
    <row r="113" spans="12:12" ht="14.25" customHeight="1">
      <c r="L113"/>
    </row>
    <row r="114" spans="12:12" ht="14.25" customHeight="1">
      <c r="L114"/>
    </row>
    <row r="115" spans="12:12" ht="14.25" customHeight="1">
      <c r="L115"/>
    </row>
    <row r="116" spans="12:12" ht="14.25" customHeight="1">
      <c r="L116"/>
    </row>
    <row r="117" spans="12:12" ht="14.25" customHeight="1">
      <c r="L117"/>
    </row>
    <row r="118" spans="12:12" ht="14.25" customHeight="1">
      <c r="L118"/>
    </row>
    <row r="119" spans="12:12" ht="14.25" customHeight="1">
      <c r="L119"/>
    </row>
    <row r="120" spans="12:12" ht="14.25" customHeight="1">
      <c r="L120"/>
    </row>
    <row r="121" spans="12:12" ht="14.25" customHeight="1">
      <c r="L121"/>
    </row>
    <row r="122" spans="12:12" ht="14.25" customHeight="1">
      <c r="L122"/>
    </row>
    <row r="123" spans="12:12" ht="14.25" customHeight="1">
      <c r="L123"/>
    </row>
    <row r="124" spans="12:12" ht="14.25" customHeight="1">
      <c r="L124"/>
    </row>
    <row r="125" spans="12:12" ht="14.25" customHeight="1">
      <c r="L125"/>
    </row>
    <row r="126" spans="12:12" ht="14.25" customHeight="1">
      <c r="L126"/>
    </row>
    <row r="127" spans="12:12" ht="14.25" customHeight="1">
      <c r="L127"/>
    </row>
    <row r="128" spans="12:12" ht="14.25" customHeight="1">
      <c r="L128"/>
    </row>
    <row r="129" spans="12:12" ht="14.25" customHeight="1">
      <c r="L129"/>
    </row>
    <row r="130" spans="12:12" ht="14.25" customHeight="1">
      <c r="L130"/>
    </row>
    <row r="131" spans="12:12" ht="14.25" customHeight="1">
      <c r="L131"/>
    </row>
    <row r="132" spans="12:12" ht="14.25" customHeight="1">
      <c r="L132"/>
    </row>
    <row r="133" spans="12:12" ht="14.25" customHeight="1">
      <c r="L133"/>
    </row>
    <row r="134" spans="12:12" ht="14.25" customHeight="1">
      <c r="L134"/>
    </row>
    <row r="135" spans="12:12" ht="14.25" customHeight="1">
      <c r="L135"/>
    </row>
    <row r="136" spans="12:12" ht="14.25" customHeight="1">
      <c r="L136"/>
    </row>
    <row r="137" spans="12:12" ht="14.25" customHeight="1">
      <c r="L137"/>
    </row>
    <row r="138" spans="12:12" ht="14.25" customHeight="1">
      <c r="L138"/>
    </row>
    <row r="139" spans="12:12" ht="14.25" customHeight="1">
      <c r="L139"/>
    </row>
    <row r="140" spans="12:12" ht="14.25" customHeight="1">
      <c r="L140"/>
    </row>
    <row r="141" spans="12:12" ht="14.25" customHeight="1">
      <c r="L141"/>
    </row>
    <row r="142" spans="12:12" ht="14.25" customHeight="1">
      <c r="L142"/>
    </row>
    <row r="143" spans="12:12" ht="14.25" customHeight="1">
      <c r="L143"/>
    </row>
    <row r="144" spans="12:12" ht="14.25" customHeight="1">
      <c r="L144"/>
    </row>
    <row r="145" spans="12:12" ht="14.25" customHeight="1">
      <c r="L145"/>
    </row>
    <row r="146" spans="12:12" ht="14.25" customHeight="1">
      <c r="L146"/>
    </row>
    <row r="147" spans="12:12" ht="14.25" customHeight="1">
      <c r="L147"/>
    </row>
    <row r="148" spans="12:12" ht="14.25" customHeight="1">
      <c r="L148"/>
    </row>
    <row r="149" spans="12:12" ht="14.25" customHeight="1">
      <c r="L149"/>
    </row>
    <row r="150" spans="12:12" ht="14.25" customHeight="1">
      <c r="L150"/>
    </row>
    <row r="151" spans="12:12" ht="14.25" customHeight="1">
      <c r="L151"/>
    </row>
    <row r="152" spans="12:12" ht="14.25" customHeight="1">
      <c r="L152"/>
    </row>
    <row r="153" spans="12:12" ht="14.25" customHeight="1">
      <c r="L153"/>
    </row>
    <row r="154" spans="12:12" ht="14.25" customHeight="1">
      <c r="L154"/>
    </row>
    <row r="155" spans="12:12" ht="14.25" customHeight="1">
      <c r="L155"/>
    </row>
    <row r="156" spans="12:12" ht="14.25" customHeight="1">
      <c r="L156"/>
    </row>
    <row r="157" spans="12:12" ht="14.2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84"/>
    <row r="185"/>
    <row r="186"/>
    <row r="190"/>
    <row r="191"/>
    <row r="221"/>
    <row r="222"/>
    <row r="223"/>
    <row r="229"/>
    <row r="262"/>
    <row r="263"/>
    <row r="267"/>
    <row r="268"/>
    <row r="300"/>
    <row r="301"/>
    <row r="304"/>
    <row r="337"/>
    <row r="338"/>
    <row r="346"/>
    <row r="361"/>
    <row r="378"/>
    <row r="379"/>
    <row r="380"/>
    <row r="383"/>
    <row r="416"/>
    <row r="417"/>
    <row r="424"/>
    <row r="457"/>
    <row r="458"/>
  </sheetData>
  <sheetProtection formatCells="0" formatColumns="0" formatRows="0"/>
  <protectedRanges>
    <protectedRange sqref="AL2:BN35 A36:BN38 A42:BN42 O39:BN41 A77:BN77 AB43:BN76 A81:BN501 L78:BN80" name="Range1"/>
    <protectedRange sqref="A1:B1" name="Range1_1"/>
    <protectedRange sqref="O35:AK35" name="Range1_4"/>
    <protectedRange sqref="O2 T2:AK2" name="Range1_2_1"/>
    <protectedRange sqref="N35" name="Range1_4_1"/>
    <protectedRange sqref="N2" name="Range1_2_1_1"/>
    <protectedRange sqref="O43:AA43 O76:AA76 O44:O75 Q44:AA75" name="Range1_2"/>
  </protectedRanges>
  <mergeCells count="1">
    <mergeCell ref="A80:F80"/>
  </mergeCells>
  <conditionalFormatting sqref="A2:L12 A15:L33 A13:J13 A14:K14 L13:L14">
    <cfRule type="containsText" dxfId="338" priority="35" stopIfTrue="1" operator="containsText" text="ELTÉRÉS!">
      <formula>NOT(ISERROR(SEARCH("ELTÉRÉS!",A2)))</formula>
    </cfRule>
    <cfRule type="containsText" dxfId="337" priority="36" stopIfTrue="1" operator="containsText" text="STIMMEL!">
      <formula>NOT(ISERROR(SEARCH("STIMMEL!",A2)))</formula>
    </cfRule>
  </conditionalFormatting>
  <conditionalFormatting sqref="A2:L12 A13:J13 L13 A14:L33">
    <cfRule type="cellIs" dxfId="336" priority="34" operator="equal">
      <formula>0.01</formula>
    </cfRule>
  </conditionalFormatting>
  <conditionalFormatting sqref="M2">
    <cfRule type="containsText" dxfId="335" priority="26" stopIfTrue="1" operator="containsText" text="ELTÉRÉS!">
      <formula>NOT(ISERROR(SEARCH("ELTÉRÉS!",M2)))</formula>
    </cfRule>
    <cfRule type="containsText" dxfId="334" priority="27" stopIfTrue="1" operator="containsText" text="STIMMEL!">
      <formula>NOT(ISERROR(SEARCH("STIMMEL!",M2)))</formula>
    </cfRule>
  </conditionalFormatting>
  <conditionalFormatting sqref="M2">
    <cfRule type="cellIs" dxfId="333" priority="25" operator="equal">
      <formula>0.01</formula>
    </cfRule>
  </conditionalFormatting>
  <conditionalFormatting sqref="M3:M33">
    <cfRule type="containsText" dxfId="332" priority="23" stopIfTrue="1" operator="containsText" text="ELTÉRÉS!">
      <formula>NOT(ISERROR(SEARCH("ELTÉRÉS!",M3)))</formula>
    </cfRule>
    <cfRule type="containsText" dxfId="331" priority="24" stopIfTrue="1" operator="containsText" text="STIMMEL!">
      <formula>NOT(ISERROR(SEARCH("STIMMEL!",M3)))</formula>
    </cfRule>
  </conditionalFormatting>
  <conditionalFormatting sqref="M3:M33">
    <cfRule type="cellIs" dxfId="330" priority="22" operator="equal">
      <formula>0.01</formula>
    </cfRule>
  </conditionalFormatting>
  <conditionalFormatting sqref="M39:N41">
    <cfRule type="containsText" dxfId="329" priority="20" stopIfTrue="1" operator="containsText" text="ELTÉRÉS!">
      <formula>NOT(ISERROR(SEARCH("ELTÉRÉS!",M39)))</formula>
    </cfRule>
    <cfRule type="containsText" dxfId="328" priority="21" stopIfTrue="1" operator="containsText" text="STIMMEL!">
      <formula>NOT(ISERROR(SEARCH("STIMMEL!",M39)))</formula>
    </cfRule>
  </conditionalFormatting>
  <conditionalFormatting sqref="M39:N41">
    <cfRule type="cellIs" dxfId="327" priority="19" operator="equal">
      <formula>0.01</formula>
    </cfRule>
  </conditionalFormatting>
  <conditionalFormatting sqref="A39:B39 E40:L41 F39:L39">
    <cfRule type="containsText" dxfId="326" priority="17" stopIfTrue="1" operator="containsText" text="ELTÉRÉS!">
      <formula>NOT(ISERROR(SEARCH("ELTÉRÉS!",A39)))</formula>
    </cfRule>
    <cfRule type="containsText" dxfId="325" priority="18" stopIfTrue="1" operator="containsText" text="STIMMEL!">
      <formula>NOT(ISERROR(SEARCH("STIMMEL!",A39)))</formula>
    </cfRule>
  </conditionalFormatting>
  <conditionalFormatting sqref="A39:B39 E40:L41 F39:L39">
    <cfRule type="cellIs" dxfId="324" priority="16" operator="equal">
      <formula>0.01</formula>
    </cfRule>
  </conditionalFormatting>
  <conditionalFormatting sqref="C43:N76 A43:A76">
    <cfRule type="containsText" dxfId="323" priority="14" stopIfTrue="1" operator="containsText" text="ELTÉRÉS!">
      <formula>NOT(ISERROR(SEARCH("ELTÉRÉS!",A43)))</formula>
    </cfRule>
    <cfRule type="containsText" dxfId="322" priority="15" stopIfTrue="1" operator="containsText" text="STIMMEL!">
      <formula>NOT(ISERROR(SEARCH("STIMMEL!",A43)))</formula>
    </cfRule>
  </conditionalFormatting>
  <conditionalFormatting sqref="C43:N76 A43:A76">
    <cfRule type="cellIs" dxfId="321" priority="13" operator="equal">
      <formula>0.01</formula>
    </cfRule>
  </conditionalFormatting>
  <conditionalFormatting sqref="B43:B74">
    <cfRule type="containsText" dxfId="320" priority="11" stopIfTrue="1" operator="containsText" text="ELTÉRÉS!">
      <formula>NOT(ISERROR(SEARCH("ELTÉRÉS!",B43)))</formula>
    </cfRule>
    <cfRule type="containsText" dxfId="319" priority="12" stopIfTrue="1" operator="containsText" text="STIMMEL!">
      <formula>NOT(ISERROR(SEARCH("STIMMEL!",B43)))</formula>
    </cfRule>
  </conditionalFormatting>
  <conditionalFormatting sqref="B43:B74">
    <cfRule type="cellIs" dxfId="318" priority="10" operator="equal">
      <formula>0.01</formula>
    </cfRule>
  </conditionalFormatting>
  <conditionalFormatting sqref="F78:K78">
    <cfRule type="containsText" dxfId="317" priority="8" stopIfTrue="1" operator="containsText" text="ELTÉRÉS!">
      <formula>NOT(ISERROR(SEARCH("ELTÉRÉS!",F78)))</formula>
    </cfRule>
    <cfRule type="containsText" dxfId="316" priority="9" stopIfTrue="1" operator="containsText" text="STIMMEL!">
      <formula>NOT(ISERROR(SEARCH("STIMMEL!",F78)))</formula>
    </cfRule>
  </conditionalFormatting>
  <conditionalFormatting sqref="F78:K78">
    <cfRule type="cellIs" dxfId="315" priority="7" operator="equal">
      <formula>0.01</formula>
    </cfRule>
  </conditionalFormatting>
  <conditionalFormatting sqref="A78">
    <cfRule type="containsText" dxfId="314" priority="5" stopIfTrue="1" operator="containsText" text="ELTÉRÉS!">
      <formula>NOT(ISERROR(SEARCH("ELTÉRÉS!",A78)))</formula>
    </cfRule>
    <cfRule type="containsText" dxfId="313" priority="6" stopIfTrue="1" operator="containsText" text="STIMMEL!">
      <formula>NOT(ISERROR(SEARCH("STIMMEL!",A78)))</formula>
    </cfRule>
  </conditionalFormatting>
  <conditionalFormatting sqref="A78">
    <cfRule type="cellIs" dxfId="312" priority="4" operator="equal">
      <formula>0.01</formula>
    </cfRule>
  </conditionalFormatting>
  <conditionalFormatting sqref="B78">
    <cfRule type="containsText" dxfId="311" priority="2" stopIfTrue="1" operator="containsText" text="ELTÉRÉS!">
      <formula>NOT(ISERROR(SEARCH("ELTÉRÉS!",B78)))</formula>
    </cfRule>
    <cfRule type="containsText" dxfId="310" priority="3" stopIfTrue="1" operator="containsText" text="STIMMEL!">
      <formula>NOT(ISERROR(SEARCH("STIMMEL!",B78)))</formula>
    </cfRule>
  </conditionalFormatting>
  <conditionalFormatting sqref="B78">
    <cfRule type="cellIs" dxfId="309" priority="1" operator="equal">
      <formula>0.01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EED4-1059-4079-ADE5-211A70736CD3}">
  <dimension ref="A1:Z458"/>
  <sheetViews>
    <sheetView workbookViewId="0">
      <pane ySplit="1" topLeftCell="C36" activePane="bottomLeft" state="frozen"/>
      <selection pane="bottomLeft" activeCell="E85" sqref="E85"/>
    </sheetView>
  </sheetViews>
  <sheetFormatPr defaultRowHeight="15" customHeight="1"/>
  <cols>
    <col min="1" max="1" width="13.85546875" bestFit="1" customWidth="1"/>
    <col min="2" max="2" width="13.85546875" customWidth="1"/>
    <col min="3" max="3" width="14" customWidth="1"/>
    <col min="4" max="4" width="17.42578125" customWidth="1"/>
    <col min="5" max="5" width="13.7109375" customWidth="1"/>
    <col min="6" max="6" width="15.5703125" customWidth="1"/>
    <col min="7" max="7" width="11.5703125" bestFit="1" customWidth="1"/>
    <col min="8" max="8" width="14.140625" customWidth="1"/>
    <col min="9" max="9" width="15.42578125" customWidth="1"/>
    <col min="10" max="10" width="11.140625" customWidth="1"/>
    <col min="11" max="11" width="16.42578125" customWidth="1"/>
    <col min="12" max="12" width="17.42578125" customWidth="1"/>
    <col min="14" max="14" width="16" customWidth="1"/>
    <col min="16" max="16" width="13.5703125" customWidth="1"/>
  </cols>
  <sheetData>
    <row r="1" spans="1:26" ht="32.25" customHeight="1">
      <c r="A1" s="83" t="s">
        <v>71</v>
      </c>
      <c r="B1" s="377" t="s">
        <v>77</v>
      </c>
      <c r="C1" s="3">
        <v>0</v>
      </c>
      <c r="D1" s="3">
        <v>0.05</v>
      </c>
      <c r="E1" s="3">
        <v>0.18</v>
      </c>
      <c r="F1" s="3">
        <v>0.27</v>
      </c>
      <c r="G1" s="2" t="s">
        <v>78</v>
      </c>
      <c r="H1" s="2" t="s">
        <v>79</v>
      </c>
      <c r="I1" s="48" t="s">
        <v>80</v>
      </c>
      <c r="J1" s="36" t="s">
        <v>116</v>
      </c>
      <c r="K1" s="213" t="s">
        <v>82</v>
      </c>
      <c r="L1" s="76" t="s">
        <v>83</v>
      </c>
      <c r="M1" s="59" t="s">
        <v>84</v>
      </c>
      <c r="N1" s="59" t="s">
        <v>85</v>
      </c>
      <c r="P1" t="s">
        <v>262</v>
      </c>
    </row>
    <row r="2" spans="1:26" ht="21">
      <c r="A2" s="81" t="s">
        <v>3</v>
      </c>
      <c r="B2" s="378"/>
      <c r="C2" s="30"/>
      <c r="D2" s="30"/>
      <c r="E2" s="30"/>
      <c r="F2" s="30"/>
      <c r="G2" s="30"/>
      <c r="H2" s="30"/>
      <c r="I2" s="30"/>
      <c r="J2" s="30"/>
      <c r="K2" s="39"/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>
      <c r="A3" s="162">
        <v>46023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L3" s="165"/>
      <c r="M3" s="171"/>
      <c r="N3" s="174"/>
      <c r="O3" s="49"/>
      <c r="P3" s="49">
        <f>'[4]2026 január'!B$2</f>
        <v>0</v>
      </c>
      <c r="Q3" s="49"/>
      <c r="R3" s="49"/>
      <c r="S3" s="49"/>
      <c r="T3" s="49"/>
      <c r="U3" s="49"/>
      <c r="V3" s="4"/>
      <c r="W3" s="52"/>
    </row>
    <row r="4" spans="1:26">
      <c r="A4" s="162">
        <v>46024</v>
      </c>
      <c r="B4" s="163"/>
      <c r="C4" s="163"/>
      <c r="D4" s="163"/>
      <c r="E4" s="163"/>
      <c r="F4" s="163"/>
      <c r="G4" s="163"/>
      <c r="H4" s="163"/>
      <c r="I4" s="163"/>
      <c r="J4" s="163"/>
      <c r="K4" s="164"/>
      <c r="L4" s="165"/>
      <c r="M4" s="171"/>
      <c r="N4" s="174"/>
      <c r="O4" s="49"/>
      <c r="P4" s="49">
        <f>'[4]2026 január'!B$3</f>
        <v>0</v>
      </c>
      <c r="Q4" s="49"/>
      <c r="R4" s="49"/>
      <c r="S4" s="49"/>
      <c r="T4" s="49"/>
      <c r="U4" s="49"/>
      <c r="V4" s="4"/>
      <c r="W4" s="49"/>
    </row>
    <row r="5" spans="1:26">
      <c r="A5" s="162">
        <v>46025</v>
      </c>
      <c r="B5" s="163"/>
      <c r="C5" s="163"/>
      <c r="D5" s="163"/>
      <c r="E5" s="163"/>
      <c r="F5" s="163"/>
      <c r="G5" s="163"/>
      <c r="H5" s="163"/>
      <c r="I5" s="163"/>
      <c r="J5" s="163"/>
      <c r="K5" s="164"/>
      <c r="L5" s="167"/>
      <c r="M5" s="172"/>
      <c r="N5" s="174"/>
      <c r="O5" s="49"/>
      <c r="P5" s="49">
        <f>'[4]2026 január'!B$4</f>
        <v>0</v>
      </c>
      <c r="Q5" s="49"/>
      <c r="R5" s="49"/>
      <c r="S5" s="49"/>
      <c r="T5" s="49"/>
      <c r="U5" s="49"/>
      <c r="V5" s="4"/>
      <c r="W5" s="49"/>
    </row>
    <row r="6" spans="1:26">
      <c r="A6" s="162">
        <v>46026</v>
      </c>
      <c r="B6" s="163"/>
      <c r="C6" s="163"/>
      <c r="D6" s="163"/>
      <c r="E6" s="163"/>
      <c r="F6" s="163"/>
      <c r="G6" s="163"/>
      <c r="H6" s="163"/>
      <c r="I6" s="163"/>
      <c r="J6" s="163"/>
      <c r="K6" s="164"/>
      <c r="L6" s="167"/>
      <c r="M6" s="172"/>
      <c r="N6" s="174"/>
      <c r="O6" s="49"/>
      <c r="P6" s="49">
        <f>'[4]2026 január'!B$5</f>
        <v>0</v>
      </c>
      <c r="Q6" s="49"/>
      <c r="R6" s="49"/>
      <c r="S6" s="49"/>
      <c r="T6" s="49"/>
      <c r="U6" s="49"/>
      <c r="V6" s="4"/>
      <c r="W6" s="49"/>
    </row>
    <row r="7" spans="1:26">
      <c r="A7" s="5">
        <v>46027</v>
      </c>
      <c r="B7" s="11">
        <v>54705</v>
      </c>
      <c r="C7" s="11">
        <v>555</v>
      </c>
      <c r="D7" s="11">
        <v>35565</v>
      </c>
      <c r="E7" s="11"/>
      <c r="F7" s="11">
        <v>6000</v>
      </c>
      <c r="G7" s="11">
        <v>3080</v>
      </c>
      <c r="H7" s="11">
        <v>39040</v>
      </c>
      <c r="I7" s="11">
        <v>39040</v>
      </c>
      <c r="J7" s="374" t="s">
        <v>73</v>
      </c>
      <c r="K7" s="87">
        <v>4258296</v>
      </c>
      <c r="L7" s="87"/>
      <c r="M7" s="173"/>
      <c r="N7" s="169"/>
      <c r="O7" s="49"/>
      <c r="P7" s="49">
        <f>'[4]2026 január'!B$6</f>
        <v>54705</v>
      </c>
      <c r="Q7" s="49"/>
      <c r="R7" s="49"/>
      <c r="S7" s="49"/>
      <c r="T7" s="49"/>
      <c r="U7" s="49"/>
      <c r="V7" s="4"/>
      <c r="W7" s="49"/>
    </row>
    <row r="8" spans="1:26">
      <c r="A8" s="5">
        <v>46028</v>
      </c>
      <c r="B8" s="11">
        <v>78180</v>
      </c>
      <c r="C8" s="11">
        <v>550</v>
      </c>
      <c r="D8" s="11">
        <v>48690</v>
      </c>
      <c r="E8" s="11"/>
      <c r="F8" s="11">
        <v>5041</v>
      </c>
      <c r="G8" s="11">
        <v>7670</v>
      </c>
      <c r="H8" s="11">
        <v>46611</v>
      </c>
      <c r="I8" s="11">
        <v>46611</v>
      </c>
      <c r="J8" s="374" t="s">
        <v>263</v>
      </c>
      <c r="K8" s="87">
        <v>4312577</v>
      </c>
      <c r="L8" s="87"/>
      <c r="M8" s="173"/>
      <c r="N8" s="169"/>
      <c r="O8" s="49"/>
      <c r="P8" s="49">
        <f>'[4]2026 január'!B$7</f>
        <v>77760</v>
      </c>
      <c r="Q8" s="49"/>
      <c r="R8" s="49"/>
      <c r="S8" s="49"/>
      <c r="T8" s="49"/>
      <c r="U8" s="49"/>
      <c r="V8" s="4"/>
      <c r="W8" s="49"/>
    </row>
    <row r="9" spans="1:26">
      <c r="A9" s="5">
        <v>46029</v>
      </c>
      <c r="B9" s="11">
        <v>91795</v>
      </c>
      <c r="C9" s="11"/>
      <c r="D9" s="11">
        <v>64110</v>
      </c>
      <c r="E9" s="11"/>
      <c r="F9" s="11">
        <v>7983</v>
      </c>
      <c r="G9" s="11">
        <v>4470</v>
      </c>
      <c r="H9" s="11">
        <v>67623</v>
      </c>
      <c r="I9" s="11">
        <v>67623</v>
      </c>
      <c r="J9" s="374" t="s">
        <v>264</v>
      </c>
      <c r="K9" s="87">
        <v>4384670</v>
      </c>
      <c r="L9" s="87"/>
      <c r="M9" s="173"/>
      <c r="N9" s="170"/>
      <c r="O9" s="49"/>
      <c r="P9" s="49">
        <f>'[4]2026 január'!B$8</f>
        <v>91795</v>
      </c>
      <c r="Q9" s="49"/>
      <c r="R9" s="49"/>
      <c r="S9" s="49"/>
      <c r="T9" s="49"/>
      <c r="U9" s="49"/>
      <c r="V9" s="4"/>
      <c r="W9" s="49"/>
    </row>
    <row r="10" spans="1:26">
      <c r="A10" s="5">
        <v>46030</v>
      </c>
      <c r="B10" s="11">
        <v>89300</v>
      </c>
      <c r="C10" s="11">
        <v>850</v>
      </c>
      <c r="D10" s="11">
        <v>61605</v>
      </c>
      <c r="E10" s="11"/>
      <c r="F10" s="11">
        <v>10357</v>
      </c>
      <c r="G10" s="11">
        <v>7335</v>
      </c>
      <c r="H10" s="11">
        <v>65477</v>
      </c>
      <c r="I10" s="11">
        <v>65477</v>
      </c>
      <c r="J10" s="374" t="s">
        <v>265</v>
      </c>
      <c r="K10" s="87">
        <v>4457482</v>
      </c>
      <c r="L10" s="87"/>
      <c r="M10" s="173"/>
      <c r="N10" s="169"/>
      <c r="O10" s="49"/>
      <c r="P10" s="49">
        <f>'[4]2026 január'!B$9</f>
        <v>86920</v>
      </c>
      <c r="Q10" s="49"/>
      <c r="R10" s="49"/>
      <c r="S10" s="49"/>
      <c r="T10" s="49"/>
      <c r="U10" s="49"/>
      <c r="V10" s="4"/>
      <c r="W10" s="49"/>
    </row>
    <row r="11" spans="1:26">
      <c r="A11" s="5">
        <v>46031</v>
      </c>
      <c r="B11" s="11">
        <v>67720</v>
      </c>
      <c r="C11" s="11">
        <v>150</v>
      </c>
      <c r="D11" s="11">
        <v>43340</v>
      </c>
      <c r="E11" s="11">
        <v>360</v>
      </c>
      <c r="F11" s="11">
        <v>970</v>
      </c>
      <c r="G11" s="11">
        <v>5450</v>
      </c>
      <c r="H11" s="11">
        <v>39370</v>
      </c>
      <c r="I11" s="11">
        <v>39370</v>
      </c>
      <c r="J11" s="374" t="s">
        <v>266</v>
      </c>
      <c r="K11" s="87">
        <v>4502302</v>
      </c>
      <c r="L11" s="87"/>
      <c r="M11" s="173"/>
      <c r="N11" s="169"/>
      <c r="O11" s="49"/>
      <c r="P11" s="49">
        <f>'[4]2026 január'!B$10</f>
        <v>67300</v>
      </c>
      <c r="Q11" s="49"/>
      <c r="R11" s="49"/>
      <c r="S11" s="49"/>
      <c r="T11" s="49"/>
      <c r="U11" s="49"/>
      <c r="V11" s="4"/>
      <c r="W11" s="49"/>
    </row>
    <row r="12" spans="1:26">
      <c r="A12" s="162">
        <v>46032</v>
      </c>
      <c r="B12" s="163"/>
      <c r="C12" s="163"/>
      <c r="D12" s="163"/>
      <c r="E12" s="163"/>
      <c r="F12" s="163"/>
      <c r="G12" s="163"/>
      <c r="H12" s="163"/>
      <c r="I12" s="163"/>
      <c r="J12" s="393"/>
      <c r="K12" s="164"/>
      <c r="L12" s="167"/>
      <c r="M12" s="172"/>
      <c r="N12" s="174"/>
      <c r="O12" s="49"/>
      <c r="P12" s="49">
        <f>'[4]2026 január'!B$11</f>
        <v>0</v>
      </c>
      <c r="Q12" s="49"/>
      <c r="R12" s="49"/>
      <c r="S12" s="49"/>
      <c r="T12" s="49"/>
      <c r="U12" s="49"/>
      <c r="V12" s="4"/>
      <c r="W12" s="49"/>
    </row>
    <row r="13" spans="1:26">
      <c r="A13" s="162">
        <v>46033</v>
      </c>
      <c r="B13" s="163"/>
      <c r="C13" s="163"/>
      <c r="D13" s="163"/>
      <c r="E13" s="163"/>
      <c r="F13" s="163"/>
      <c r="G13" s="163"/>
      <c r="H13" s="163"/>
      <c r="I13" s="163"/>
      <c r="J13" s="393"/>
      <c r="K13" s="164"/>
      <c r="L13" s="167"/>
      <c r="M13" s="172"/>
      <c r="N13" s="174"/>
      <c r="O13" s="49"/>
      <c r="P13" s="49">
        <f>'[4]2026 január'!B$12</f>
        <v>0</v>
      </c>
      <c r="Q13" s="49"/>
      <c r="R13" s="49"/>
      <c r="S13" s="49"/>
      <c r="T13" s="49"/>
      <c r="U13" s="49"/>
      <c r="V13" s="4"/>
      <c r="W13" s="49"/>
    </row>
    <row r="14" spans="1:26">
      <c r="A14" s="5">
        <v>46034</v>
      </c>
      <c r="B14" s="11">
        <v>112915</v>
      </c>
      <c r="C14" s="11">
        <v>1100</v>
      </c>
      <c r="D14" s="11">
        <v>67783</v>
      </c>
      <c r="E14" s="11"/>
      <c r="F14" s="11">
        <v>13074</v>
      </c>
      <c r="G14" s="11">
        <v>8930</v>
      </c>
      <c r="H14" s="91">
        <v>73027</v>
      </c>
      <c r="I14" s="91">
        <v>70027</v>
      </c>
      <c r="J14" s="374" t="s">
        <v>267</v>
      </c>
      <c r="K14" s="87">
        <v>4584259</v>
      </c>
      <c r="L14" s="87"/>
      <c r="M14" s="173"/>
      <c r="N14" s="169"/>
      <c r="O14" s="49"/>
      <c r="P14" s="49">
        <f>'[4]2026 január'!B$13</f>
        <v>110565</v>
      </c>
      <c r="Q14" s="49"/>
      <c r="R14" s="49"/>
      <c r="S14" s="49"/>
      <c r="T14" s="49"/>
      <c r="U14" s="49"/>
      <c r="V14" s="4"/>
      <c r="W14" s="49"/>
    </row>
    <row r="15" spans="1:26">
      <c r="A15" s="5">
        <v>46035</v>
      </c>
      <c r="B15" s="11">
        <v>81750</v>
      </c>
      <c r="C15" s="11"/>
      <c r="D15" s="11">
        <v>48810</v>
      </c>
      <c r="E15" s="11"/>
      <c r="F15" s="11">
        <v>3558</v>
      </c>
      <c r="G15" s="11">
        <v>5650</v>
      </c>
      <c r="H15" s="11">
        <v>46718</v>
      </c>
      <c r="I15" s="11">
        <v>46718</v>
      </c>
      <c r="J15" s="374" t="s">
        <v>268</v>
      </c>
      <c r="K15" s="87">
        <v>4636627</v>
      </c>
      <c r="L15" s="87"/>
      <c r="M15" s="173"/>
      <c r="N15" s="169"/>
      <c r="O15" s="49"/>
      <c r="P15" s="49">
        <f>'[4]2026 január'!B$14</f>
        <v>81750</v>
      </c>
      <c r="Q15" s="49"/>
      <c r="R15" s="49"/>
      <c r="S15" s="49"/>
      <c r="T15" s="49"/>
      <c r="U15" s="49"/>
      <c r="V15" s="4"/>
      <c r="W15" s="49"/>
    </row>
    <row r="16" spans="1:26">
      <c r="A16" s="5">
        <v>46036</v>
      </c>
      <c r="B16" s="11">
        <v>64765</v>
      </c>
      <c r="C16" s="11">
        <v>700</v>
      </c>
      <c r="D16" s="11">
        <v>17620</v>
      </c>
      <c r="E16" s="11"/>
      <c r="F16" s="11">
        <v>11073</v>
      </c>
      <c r="G16" s="11">
        <v>4540</v>
      </c>
      <c r="H16" s="11">
        <v>24853</v>
      </c>
      <c r="I16" s="11">
        <v>24853</v>
      </c>
      <c r="J16" s="374" t="s">
        <v>269</v>
      </c>
      <c r="K16" s="87">
        <v>4666020</v>
      </c>
      <c r="L16" s="87"/>
      <c r="M16" s="173"/>
      <c r="N16" s="169"/>
      <c r="O16" s="49"/>
      <c r="P16" s="49">
        <f>'[4]2026 január'!B$15</f>
        <v>64765</v>
      </c>
      <c r="Q16" s="49"/>
      <c r="R16" s="49"/>
      <c r="S16" s="49"/>
      <c r="T16" s="49"/>
      <c r="U16" s="49"/>
      <c r="V16" s="4"/>
      <c r="W16" s="49"/>
    </row>
    <row r="17" spans="1:23">
      <c r="A17" s="5">
        <v>46037</v>
      </c>
      <c r="B17" s="11">
        <v>90860</v>
      </c>
      <c r="C17" s="11">
        <v>600</v>
      </c>
      <c r="D17" s="11">
        <v>55420</v>
      </c>
      <c r="E17" s="11"/>
      <c r="F17" s="11">
        <v>1430</v>
      </c>
      <c r="G17" s="11">
        <v>5230</v>
      </c>
      <c r="H17" s="11">
        <v>52220</v>
      </c>
      <c r="I17" s="11">
        <v>52213</v>
      </c>
      <c r="J17" s="374" t="s">
        <v>270</v>
      </c>
      <c r="K17" s="87">
        <v>4723470</v>
      </c>
      <c r="L17" s="87"/>
      <c r="M17" s="173"/>
      <c r="N17" s="169"/>
      <c r="O17" s="49"/>
      <c r="P17" s="49">
        <f>'[4]2026 január'!B$16</f>
        <v>90860</v>
      </c>
      <c r="Q17" s="49"/>
      <c r="R17" s="49"/>
      <c r="S17" s="49"/>
      <c r="T17" s="49"/>
      <c r="U17" s="49"/>
      <c r="V17" s="4"/>
      <c r="W17" s="49"/>
    </row>
    <row r="18" spans="1:23">
      <c r="A18" s="5">
        <v>46038</v>
      </c>
      <c r="B18" s="11"/>
      <c r="C18" s="11"/>
      <c r="D18" s="11"/>
      <c r="E18" s="11"/>
      <c r="F18" s="11"/>
      <c r="G18" s="11"/>
      <c r="H18" s="11"/>
      <c r="I18" s="11"/>
      <c r="J18" s="374"/>
      <c r="K18" s="44"/>
      <c r="L18" s="87"/>
      <c r="M18" s="173"/>
      <c r="N18" s="169"/>
      <c r="O18" s="49"/>
      <c r="P18" s="49">
        <f>'[4]2026 január'!B$17</f>
        <v>47705</v>
      </c>
      <c r="Q18" s="49"/>
      <c r="R18" s="49"/>
      <c r="S18" s="49"/>
      <c r="T18" s="49"/>
      <c r="U18" s="49"/>
      <c r="V18" s="4"/>
      <c r="W18" s="49"/>
    </row>
    <row r="19" spans="1:23">
      <c r="A19" s="162">
        <v>46039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4"/>
      <c r="L19" s="167"/>
      <c r="M19" s="172"/>
      <c r="N19" s="174"/>
      <c r="O19" s="49"/>
      <c r="P19" s="49">
        <f>'[4]2026 január'!B$18</f>
        <v>0</v>
      </c>
      <c r="Q19" s="49"/>
      <c r="R19" s="49"/>
      <c r="S19" s="49"/>
      <c r="T19" s="49"/>
      <c r="U19" s="49"/>
      <c r="V19" s="4"/>
      <c r="W19" s="49"/>
    </row>
    <row r="20" spans="1:23">
      <c r="A20" s="162">
        <v>46040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4"/>
      <c r="L20" s="167"/>
      <c r="M20" s="172"/>
      <c r="N20" s="174"/>
      <c r="O20" s="49"/>
      <c r="P20" s="49">
        <f>'[4]2026 január'!B$19</f>
        <v>0</v>
      </c>
      <c r="Q20" s="49"/>
      <c r="R20" s="49"/>
      <c r="S20" s="49"/>
      <c r="T20" s="49"/>
      <c r="U20" s="49"/>
      <c r="V20" s="4"/>
      <c r="W20" s="49"/>
    </row>
    <row r="21" spans="1:23">
      <c r="A21" s="5">
        <v>46041</v>
      </c>
      <c r="B21" s="11"/>
      <c r="C21" s="11"/>
      <c r="D21" s="11"/>
      <c r="E21" s="11"/>
      <c r="F21" s="11"/>
      <c r="G21" s="11"/>
      <c r="H21" s="11"/>
      <c r="I21" s="11"/>
      <c r="J21" s="11"/>
      <c r="K21" s="44"/>
      <c r="L21" s="87"/>
      <c r="M21" s="173"/>
      <c r="N21" s="169"/>
      <c r="O21" s="49"/>
      <c r="P21" s="49">
        <f>'[4]2026 január'!B$20</f>
        <v>98476</v>
      </c>
      <c r="Q21" s="49"/>
      <c r="R21" s="49"/>
      <c r="S21" s="49"/>
      <c r="T21" s="49"/>
      <c r="U21" s="49"/>
      <c r="V21" s="4"/>
      <c r="W21" s="49"/>
    </row>
    <row r="22" spans="1:23">
      <c r="A22" s="5">
        <v>46042</v>
      </c>
      <c r="B22" s="11"/>
      <c r="C22" s="11"/>
      <c r="D22" s="11"/>
      <c r="E22" s="11"/>
      <c r="F22" s="11"/>
      <c r="G22" s="11"/>
      <c r="H22" s="11"/>
      <c r="I22" s="11"/>
      <c r="J22" s="11"/>
      <c r="K22" s="44"/>
      <c r="L22" s="87"/>
      <c r="M22" s="173"/>
      <c r="N22" s="169"/>
      <c r="O22" s="49"/>
      <c r="P22" s="49">
        <f>'[4]2026 január'!B$21</f>
        <v>102553</v>
      </c>
      <c r="Q22" s="49"/>
      <c r="R22" s="49"/>
      <c r="S22" s="49"/>
      <c r="T22" s="49"/>
      <c r="U22" s="49"/>
      <c r="V22" s="4"/>
      <c r="W22" s="49"/>
    </row>
    <row r="23" spans="1:23">
      <c r="A23" s="5">
        <v>46043</v>
      </c>
      <c r="B23" s="11"/>
      <c r="C23" s="11"/>
      <c r="D23" s="11"/>
      <c r="E23" s="11"/>
      <c r="F23" s="11"/>
      <c r="G23" s="11"/>
      <c r="H23" s="11"/>
      <c r="I23" s="11"/>
      <c r="J23" s="11"/>
      <c r="K23" s="44"/>
      <c r="L23" s="87"/>
      <c r="M23" s="173"/>
      <c r="N23" s="169"/>
      <c r="O23" s="49"/>
      <c r="P23" s="49">
        <f>'[4]2026 január'!B$22</f>
        <v>100102</v>
      </c>
      <c r="Q23" s="49"/>
      <c r="R23" s="49"/>
      <c r="S23" s="49"/>
      <c r="T23" s="49"/>
      <c r="U23" s="49"/>
      <c r="V23" s="4"/>
      <c r="W23" s="49"/>
    </row>
    <row r="24" spans="1:23">
      <c r="A24" s="5">
        <v>46044</v>
      </c>
      <c r="B24" s="11"/>
      <c r="C24" s="11"/>
      <c r="D24" s="11"/>
      <c r="E24" s="11"/>
      <c r="F24" s="11"/>
      <c r="G24" s="11"/>
      <c r="H24" s="11"/>
      <c r="I24" s="11"/>
      <c r="J24" s="11"/>
      <c r="K24" s="44"/>
      <c r="L24" s="87"/>
      <c r="M24" s="173"/>
      <c r="N24" s="169"/>
      <c r="O24" s="49"/>
      <c r="P24" s="49">
        <f>'[4]2026 január'!B$23</f>
        <v>134773</v>
      </c>
      <c r="Q24" s="49"/>
      <c r="R24" s="49"/>
      <c r="S24" s="49"/>
      <c r="T24" s="49"/>
      <c r="U24" s="49"/>
      <c r="V24" s="4"/>
      <c r="W24" s="49"/>
    </row>
    <row r="25" spans="1:23">
      <c r="A25" s="5">
        <v>46045</v>
      </c>
      <c r="B25" s="11"/>
      <c r="C25" s="11"/>
      <c r="D25" s="11"/>
      <c r="E25" s="11"/>
      <c r="F25" s="11"/>
      <c r="G25" s="11"/>
      <c r="H25" s="11"/>
      <c r="I25" s="11"/>
      <c r="J25" s="11"/>
      <c r="K25" s="44"/>
      <c r="L25" s="87"/>
      <c r="M25" s="173"/>
      <c r="N25" s="169"/>
      <c r="O25" s="49"/>
      <c r="P25" s="49">
        <f>'[4]2026 január'!B$24</f>
        <v>102605</v>
      </c>
      <c r="Q25" s="49"/>
      <c r="R25" s="49"/>
      <c r="S25" s="49"/>
      <c r="T25" s="49"/>
      <c r="U25" s="49"/>
      <c r="V25" s="4"/>
      <c r="W25" s="49"/>
    </row>
    <row r="26" spans="1:23">
      <c r="A26" s="162">
        <v>46046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4"/>
      <c r="L26" s="167"/>
      <c r="M26" s="172"/>
      <c r="N26" s="174"/>
      <c r="O26" s="49"/>
      <c r="P26" s="49">
        <f>'[4]2026 január'!B$25</f>
        <v>0</v>
      </c>
      <c r="Q26" s="49"/>
      <c r="R26" s="49"/>
      <c r="S26" s="49"/>
      <c r="T26" s="49"/>
      <c r="U26" s="49"/>
      <c r="V26" s="4"/>
      <c r="W26" s="49"/>
    </row>
    <row r="27" spans="1:23">
      <c r="A27" s="162">
        <v>46047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4"/>
      <c r="L27" s="167"/>
      <c r="M27" s="172"/>
      <c r="N27" s="174"/>
      <c r="O27" s="49"/>
      <c r="P27" s="49">
        <f>'[4]2026 január'!B$26</f>
        <v>0</v>
      </c>
      <c r="Q27" s="49"/>
      <c r="R27" s="49"/>
      <c r="S27" s="49"/>
      <c r="T27" s="49"/>
      <c r="U27" s="49"/>
      <c r="V27" s="4"/>
      <c r="W27" s="49"/>
    </row>
    <row r="28" spans="1:23">
      <c r="A28" s="5">
        <v>46048</v>
      </c>
      <c r="B28" s="11"/>
      <c r="C28" s="11"/>
      <c r="D28" s="11"/>
      <c r="E28" s="11"/>
      <c r="F28" s="11"/>
      <c r="G28" s="11"/>
      <c r="H28" s="11"/>
      <c r="I28" s="11"/>
      <c r="J28" s="11"/>
      <c r="K28" s="44"/>
      <c r="L28" s="87"/>
      <c r="M28" s="173"/>
      <c r="N28" s="169"/>
      <c r="O28" s="49"/>
      <c r="P28" s="49">
        <f>'[4]2026 január'!B$27</f>
        <v>118750</v>
      </c>
      <c r="Q28" s="49"/>
      <c r="R28" s="49"/>
      <c r="S28" s="49"/>
      <c r="T28" s="49"/>
      <c r="U28" s="49"/>
      <c r="V28" s="4"/>
      <c r="W28" s="49"/>
    </row>
    <row r="29" spans="1:23">
      <c r="A29" s="5">
        <v>46049</v>
      </c>
      <c r="B29" s="11"/>
      <c r="C29" s="11"/>
      <c r="D29" s="11"/>
      <c r="E29" s="11"/>
      <c r="F29" s="11"/>
      <c r="G29" s="11"/>
      <c r="H29" s="11"/>
      <c r="I29" s="11"/>
      <c r="J29" s="11"/>
      <c r="K29" s="44"/>
      <c r="L29" s="87"/>
      <c r="M29" s="173"/>
      <c r="N29" s="169"/>
      <c r="O29" s="49"/>
      <c r="P29" s="49">
        <f>'[4]2026 január'!B$28</f>
        <v>123103</v>
      </c>
      <c r="Q29" s="49"/>
      <c r="R29" s="49"/>
      <c r="S29" s="49"/>
      <c r="T29" s="49"/>
      <c r="U29" s="49"/>
      <c r="V29" s="4"/>
      <c r="W29" s="49"/>
    </row>
    <row r="30" spans="1:23">
      <c r="A30" s="5">
        <v>46050</v>
      </c>
      <c r="B30" s="11"/>
      <c r="C30" s="11"/>
      <c r="D30" s="11"/>
      <c r="E30" s="11"/>
      <c r="F30" s="11"/>
      <c r="G30" s="11"/>
      <c r="H30" s="11"/>
      <c r="I30" s="11"/>
      <c r="J30" s="11"/>
      <c r="K30" s="44"/>
      <c r="L30" s="87"/>
      <c r="M30" s="173"/>
      <c r="N30" s="169"/>
      <c r="O30" s="49"/>
      <c r="P30" s="49">
        <f>'[4]2026 január'!B$29</f>
        <v>130968</v>
      </c>
      <c r="Q30" s="49"/>
      <c r="R30" s="49"/>
      <c r="S30" s="49"/>
      <c r="T30" s="49"/>
      <c r="U30" s="49"/>
      <c r="V30" s="4"/>
      <c r="W30" s="49"/>
    </row>
    <row r="31" spans="1:23">
      <c r="A31" s="5">
        <v>46051</v>
      </c>
      <c r="B31" s="11"/>
      <c r="C31" s="11"/>
      <c r="D31" s="11"/>
      <c r="E31" s="11"/>
      <c r="F31" s="11"/>
      <c r="G31" s="11"/>
      <c r="H31" s="11"/>
      <c r="I31" s="11"/>
      <c r="J31" s="11"/>
      <c r="K31" s="44"/>
      <c r="L31" s="87"/>
      <c r="M31" s="173"/>
      <c r="N31" s="169"/>
      <c r="O31" s="49"/>
      <c r="P31" s="49">
        <f>'[4]2026 január'!B$30</f>
        <v>69155</v>
      </c>
      <c r="Q31" s="49"/>
      <c r="R31" s="49"/>
      <c r="S31" s="49"/>
      <c r="T31" s="49"/>
      <c r="U31" s="49"/>
      <c r="V31" s="4"/>
      <c r="W31" s="49"/>
    </row>
    <row r="32" spans="1:23">
      <c r="A32" s="5">
        <v>46052</v>
      </c>
      <c r="B32" s="11"/>
      <c r="C32" s="11"/>
      <c r="D32" s="11"/>
      <c r="E32" s="11"/>
      <c r="F32" s="11"/>
      <c r="G32" s="11"/>
      <c r="H32" s="11"/>
      <c r="I32" s="11"/>
      <c r="J32" s="11"/>
      <c r="K32" s="44"/>
      <c r="L32" s="87"/>
      <c r="M32" s="173"/>
      <c r="N32" s="169"/>
      <c r="O32" s="49"/>
      <c r="P32" s="49">
        <f>'[4]2026 január'!B$31</f>
        <v>73206</v>
      </c>
      <c r="Q32" s="49"/>
      <c r="R32" s="49"/>
      <c r="S32" s="49"/>
      <c r="T32" s="49"/>
      <c r="U32" s="49"/>
      <c r="V32" s="4"/>
      <c r="W32" s="49"/>
    </row>
    <row r="33" spans="1:23">
      <c r="A33" s="162">
        <v>46053</v>
      </c>
      <c r="B33" s="163"/>
      <c r="C33" s="163"/>
      <c r="D33" s="163"/>
      <c r="E33" s="163"/>
      <c r="F33" s="163"/>
      <c r="G33" s="163"/>
      <c r="H33" s="163"/>
      <c r="I33" s="163"/>
      <c r="J33" s="163"/>
      <c r="K33" s="164"/>
      <c r="L33" s="167"/>
      <c r="M33" s="172"/>
      <c r="N33" s="174"/>
      <c r="O33" s="49"/>
      <c r="P33" s="49">
        <f>'[4]2026 január'!B$32</f>
        <v>0</v>
      </c>
      <c r="Q33" s="49"/>
      <c r="R33" s="49"/>
      <c r="S33" s="49"/>
      <c r="T33" s="49"/>
      <c r="U33" s="49"/>
      <c r="V33" s="4"/>
      <c r="W33" s="52"/>
    </row>
    <row r="34" spans="1:23" ht="18.75">
      <c r="A34" s="84" t="s">
        <v>43</v>
      </c>
      <c r="B34" s="389"/>
      <c r="C34" s="22">
        <f>SUM(C1:C33)</f>
        <v>4505</v>
      </c>
      <c r="D34" s="22">
        <f>SUM(D1:D33)</f>
        <v>442943.05</v>
      </c>
      <c r="E34" s="22">
        <f>SUM(E1:E33)</f>
        <v>360.18</v>
      </c>
      <c r="F34" s="22">
        <f>SUM(F1:F33)</f>
        <v>59486.270000000004</v>
      </c>
      <c r="G34" s="23">
        <f>SUM(G3:G33)</f>
        <v>52355</v>
      </c>
      <c r="H34" s="23">
        <f>SUM(H3:H33)</f>
        <v>454939</v>
      </c>
      <c r="I34" s="47"/>
      <c r="J34" s="47"/>
      <c r="K34" s="12"/>
      <c r="L34" s="19"/>
      <c r="M34" s="60"/>
      <c r="N34" s="4"/>
      <c r="O34" s="79"/>
      <c r="P34" s="4"/>
      <c r="Q34" s="4"/>
      <c r="R34" s="4"/>
      <c r="S34" s="79"/>
      <c r="T34" s="4"/>
      <c r="U34" s="4"/>
      <c r="V34" s="4"/>
      <c r="W34" s="4"/>
    </row>
    <row r="35" spans="1:23">
      <c r="A35" s="85"/>
      <c r="B35" s="382"/>
      <c r="C35" s="26">
        <f>C34+D34+E34+F34</f>
        <v>507294.5</v>
      </c>
      <c r="D35" s="9"/>
      <c r="E35" s="9"/>
      <c r="F35" s="9"/>
      <c r="G35" s="25">
        <f>G34+H34</f>
        <v>507294</v>
      </c>
      <c r="H35" s="9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>
      <c r="B36" s="383"/>
    </row>
    <row r="37" spans="1:23">
      <c r="B37" s="383"/>
    </row>
    <row r="38" spans="1:23">
      <c r="B38" s="383"/>
    </row>
    <row r="39" spans="1:23" ht="15" customHeight="1">
      <c r="A39" s="422" t="s">
        <v>108</v>
      </c>
      <c r="B39" s="423"/>
      <c r="C39" s="424"/>
      <c r="D39" s="424"/>
      <c r="E39" s="424"/>
      <c r="F39" s="425"/>
      <c r="G39" s="425"/>
      <c r="H39" s="425"/>
      <c r="I39" s="425"/>
      <c r="J39" s="426"/>
      <c r="K39" s="427"/>
      <c r="L39" s="4"/>
    </row>
    <row r="40" spans="1:23" ht="15" customHeight="1">
      <c r="A40" s="428" t="s">
        <v>271</v>
      </c>
      <c r="B40" s="429"/>
      <c r="C40" s="429"/>
      <c r="D40" s="429"/>
      <c r="E40" s="429"/>
      <c r="F40" s="429"/>
      <c r="G40" s="429"/>
      <c r="H40" s="429"/>
      <c r="I40" s="429"/>
      <c r="J40" s="429"/>
      <c r="K40" s="430"/>
      <c r="L40" s="4"/>
    </row>
    <row r="41" spans="1:23">
      <c r="A41" s="431" t="s">
        <v>272</v>
      </c>
      <c r="B41" s="432"/>
      <c r="C41" s="432"/>
      <c r="D41" s="432"/>
      <c r="E41" s="432"/>
      <c r="F41" s="432"/>
      <c r="G41" s="432"/>
      <c r="H41" s="432"/>
      <c r="I41" s="432"/>
      <c r="J41" s="432"/>
      <c r="K41" s="433"/>
      <c r="L41" s="4"/>
    </row>
    <row r="42" spans="1:23" ht="15" customHeight="1">
      <c r="B42" s="383"/>
    </row>
    <row r="43" spans="1:23" ht="15" customHeight="1">
      <c r="A43" s="81" t="s">
        <v>4</v>
      </c>
      <c r="B43" s="378"/>
      <c r="C43" s="30"/>
      <c r="D43" s="30"/>
      <c r="E43" s="30"/>
      <c r="F43" s="30"/>
      <c r="G43" s="30"/>
      <c r="H43" s="30"/>
      <c r="I43" s="30"/>
      <c r="J43" s="39"/>
      <c r="K43" s="376"/>
      <c r="L43" s="281"/>
      <c r="M43" s="418"/>
      <c r="N43" s="178"/>
    </row>
    <row r="44" spans="1:23" ht="15" customHeight="1">
      <c r="A44" s="162">
        <v>46054</v>
      </c>
      <c r="B44" s="163"/>
      <c r="C44" s="163"/>
      <c r="D44" s="163"/>
      <c r="E44" s="163"/>
      <c r="F44" s="163"/>
      <c r="G44" s="163"/>
      <c r="H44" s="163"/>
      <c r="I44" s="163"/>
      <c r="J44" s="164"/>
      <c r="K44" s="165"/>
      <c r="L44" s="282"/>
      <c r="M44" s="414"/>
      <c r="N44" s="179"/>
      <c r="P44" s="49">
        <f>'[4]2026 február'!B$2</f>
        <v>0</v>
      </c>
    </row>
    <row r="45" spans="1:23" ht="15" customHeight="1">
      <c r="A45" s="162">
        <v>46055</v>
      </c>
      <c r="B45" s="11"/>
      <c r="C45" s="11"/>
      <c r="D45" s="11"/>
      <c r="E45" s="11"/>
      <c r="F45" s="11"/>
      <c r="G45" s="11"/>
      <c r="H45" s="11"/>
      <c r="I45" s="11"/>
      <c r="J45" s="44"/>
      <c r="K45" s="86"/>
      <c r="L45" s="410"/>
      <c r="M45" s="241"/>
      <c r="N45" s="9"/>
      <c r="P45" s="49">
        <f>'[4]2026 február'!B$3</f>
        <v>99480</v>
      </c>
    </row>
    <row r="46" spans="1:23" ht="15" customHeight="1">
      <c r="A46" s="162">
        <v>46056</v>
      </c>
      <c r="B46" s="11"/>
      <c r="C46" s="11"/>
      <c r="D46" s="11"/>
      <c r="E46" s="11"/>
      <c r="F46" s="11"/>
      <c r="G46" s="11"/>
      <c r="H46" s="11"/>
      <c r="I46" s="11"/>
      <c r="J46" s="44"/>
      <c r="K46" s="87"/>
      <c r="L46" s="284"/>
      <c r="M46" s="241"/>
      <c r="N46" s="9"/>
      <c r="P46" s="49">
        <f>'[4]2026 február'!B$4</f>
        <v>128013</v>
      </c>
    </row>
    <row r="47" spans="1:23" ht="15" customHeight="1">
      <c r="A47" s="162">
        <v>46057</v>
      </c>
      <c r="B47" s="11"/>
      <c r="C47" s="11"/>
      <c r="D47" s="11"/>
      <c r="E47" s="11"/>
      <c r="F47" s="11"/>
      <c r="G47" s="11"/>
      <c r="H47" s="11"/>
      <c r="I47" s="11"/>
      <c r="J47" s="44"/>
      <c r="K47" s="87"/>
      <c r="L47" s="284"/>
      <c r="M47" s="241"/>
      <c r="N47" s="9"/>
      <c r="P47" s="49">
        <f>'[4]2026 február'!B$5</f>
        <v>108851</v>
      </c>
    </row>
    <row r="48" spans="1:23" ht="15" customHeight="1">
      <c r="A48" s="162">
        <v>46058</v>
      </c>
      <c r="B48" s="11"/>
      <c r="C48" s="11"/>
      <c r="D48" s="11"/>
      <c r="E48" s="11"/>
      <c r="F48" s="11"/>
      <c r="G48" s="11"/>
      <c r="H48" s="11"/>
      <c r="I48" s="11"/>
      <c r="J48" s="44"/>
      <c r="K48" s="87"/>
      <c r="L48" s="284"/>
      <c r="M48" s="241"/>
      <c r="N48" s="9"/>
      <c r="P48" s="49">
        <f>'[4]2026 február'!B$6</f>
        <v>102689</v>
      </c>
    </row>
    <row r="49" spans="1:16" ht="15" customHeight="1">
      <c r="A49" s="162">
        <v>46059</v>
      </c>
      <c r="B49" s="11"/>
      <c r="C49" s="11"/>
      <c r="D49" s="11"/>
      <c r="E49" s="11"/>
      <c r="F49" s="11"/>
      <c r="G49" s="11"/>
      <c r="H49" s="11"/>
      <c r="I49" s="11"/>
      <c r="J49" s="44"/>
      <c r="K49" s="87"/>
      <c r="L49" s="284"/>
      <c r="M49" s="241"/>
      <c r="N49" s="9"/>
      <c r="P49" s="49">
        <f>'[4]2026 február'!B$7</f>
        <v>0</v>
      </c>
    </row>
    <row r="50" spans="1:16" ht="15" customHeight="1">
      <c r="A50" s="162">
        <v>46060</v>
      </c>
      <c r="B50" s="163"/>
      <c r="C50" s="163"/>
      <c r="D50" s="163"/>
      <c r="E50" s="163"/>
      <c r="F50" s="163"/>
      <c r="G50" s="163"/>
      <c r="H50" s="163"/>
      <c r="I50" s="163"/>
      <c r="J50" s="164"/>
      <c r="K50" s="167"/>
      <c r="L50" s="283"/>
      <c r="M50" s="414"/>
      <c r="N50" s="179"/>
      <c r="P50" s="49">
        <f>'[4]2026 február'!B$8</f>
        <v>0</v>
      </c>
    </row>
    <row r="51" spans="1:16" ht="15" customHeight="1">
      <c r="A51" s="162">
        <v>46061</v>
      </c>
      <c r="B51" s="163"/>
      <c r="C51" s="163"/>
      <c r="D51" s="163"/>
      <c r="E51" s="163"/>
      <c r="F51" s="163"/>
      <c r="G51" s="163"/>
      <c r="H51" s="163"/>
      <c r="I51" s="163"/>
      <c r="J51" s="164"/>
      <c r="K51" s="167"/>
      <c r="L51" s="283"/>
      <c r="M51" s="414"/>
      <c r="N51" s="179"/>
      <c r="P51" s="49">
        <f>'[4]2026 február'!B$9</f>
        <v>0</v>
      </c>
    </row>
    <row r="52" spans="1:16" ht="15" customHeight="1">
      <c r="A52" s="162">
        <v>46062</v>
      </c>
      <c r="B52" s="11"/>
      <c r="C52" s="11"/>
      <c r="D52" s="11"/>
      <c r="E52" s="11"/>
      <c r="F52" s="11"/>
      <c r="G52" s="11"/>
      <c r="H52" s="11"/>
      <c r="I52" s="11"/>
      <c r="J52" s="44"/>
      <c r="K52" s="87"/>
      <c r="L52" s="284"/>
      <c r="M52" s="241"/>
      <c r="N52" s="9"/>
      <c r="P52" s="49">
        <f>'[4]2026 február'!B$10</f>
        <v>0</v>
      </c>
    </row>
    <row r="53" spans="1:16" ht="15" customHeight="1">
      <c r="A53" s="162">
        <v>46063</v>
      </c>
      <c r="B53" s="11"/>
      <c r="C53" s="11"/>
      <c r="D53" s="11"/>
      <c r="E53" s="11"/>
      <c r="F53" s="11"/>
      <c r="G53" s="11"/>
      <c r="H53" s="11"/>
      <c r="I53" s="11"/>
      <c r="J53" s="44"/>
      <c r="K53" s="87"/>
      <c r="L53" s="284"/>
      <c r="M53" s="241"/>
      <c r="N53" s="9"/>
      <c r="P53" s="49">
        <f>'[4]2026 február'!B$11</f>
        <v>0</v>
      </c>
    </row>
    <row r="54" spans="1:16" ht="15" customHeight="1">
      <c r="A54" s="162">
        <v>46064</v>
      </c>
      <c r="B54" s="11"/>
      <c r="C54" s="11"/>
      <c r="D54" s="11"/>
      <c r="E54" s="11"/>
      <c r="F54" s="11"/>
      <c r="G54" s="11"/>
      <c r="H54" s="11"/>
      <c r="I54" s="11"/>
      <c r="J54" s="44"/>
      <c r="K54" s="87"/>
      <c r="L54" s="284"/>
      <c r="M54" s="241"/>
      <c r="N54" s="9"/>
      <c r="P54" s="49">
        <f>'[4]2026 február'!B$12</f>
        <v>0</v>
      </c>
    </row>
    <row r="55" spans="1:16" ht="15" customHeight="1">
      <c r="A55" s="162">
        <v>46065</v>
      </c>
      <c r="B55" s="11"/>
      <c r="C55" s="11"/>
      <c r="D55" s="11"/>
      <c r="E55" s="11"/>
      <c r="F55" s="11"/>
      <c r="G55" s="11"/>
      <c r="H55" s="11"/>
      <c r="I55" s="11"/>
      <c r="J55" s="44"/>
      <c r="K55" s="87"/>
      <c r="L55" s="284"/>
      <c r="M55" s="126"/>
      <c r="N55" s="9"/>
      <c r="P55" s="49">
        <f>'[4]2026 február'!B$13</f>
        <v>0</v>
      </c>
    </row>
    <row r="56" spans="1:16" ht="15" customHeight="1">
      <c r="A56" s="162">
        <v>46066</v>
      </c>
      <c r="B56" s="11"/>
      <c r="C56" s="11"/>
      <c r="D56" s="11"/>
      <c r="E56" s="11"/>
      <c r="F56" s="11"/>
      <c r="G56" s="11"/>
      <c r="H56" s="11"/>
      <c r="I56" s="11"/>
      <c r="J56" s="44"/>
      <c r="K56" s="87"/>
      <c r="L56" s="284"/>
      <c r="M56" s="241"/>
      <c r="N56" s="9"/>
      <c r="P56" s="49">
        <f>'[4]2026 február'!B$14</f>
        <v>0</v>
      </c>
    </row>
    <row r="57" spans="1:16" ht="15" customHeight="1">
      <c r="A57" s="162">
        <v>46067</v>
      </c>
      <c r="B57" s="163"/>
      <c r="C57" s="163"/>
      <c r="D57" s="163"/>
      <c r="E57" s="163"/>
      <c r="F57" s="163"/>
      <c r="G57" s="163"/>
      <c r="H57" s="163"/>
      <c r="I57" s="163"/>
      <c r="J57" s="164"/>
      <c r="K57" s="167"/>
      <c r="L57" s="283"/>
      <c r="M57" s="414"/>
      <c r="N57" s="179"/>
      <c r="P57" s="49">
        <f>'[4]2026 február'!B$15</f>
        <v>0</v>
      </c>
    </row>
    <row r="58" spans="1:16" ht="15" customHeight="1">
      <c r="A58" s="162">
        <v>46068</v>
      </c>
      <c r="B58" s="163"/>
      <c r="C58" s="163"/>
      <c r="D58" s="163"/>
      <c r="E58" s="163"/>
      <c r="F58" s="163"/>
      <c r="G58" s="163"/>
      <c r="H58" s="163"/>
      <c r="I58" s="163"/>
      <c r="J58" s="164"/>
      <c r="K58" s="167"/>
      <c r="L58" s="283"/>
      <c r="M58" s="414"/>
      <c r="N58" s="179"/>
      <c r="P58" s="49">
        <f>'[4]2026 február'!B$16</f>
        <v>0</v>
      </c>
    </row>
    <row r="59" spans="1:16" ht="15" customHeight="1">
      <c r="A59" s="162">
        <v>46069</v>
      </c>
      <c r="B59" s="11"/>
      <c r="C59" s="11"/>
      <c r="D59" s="11"/>
      <c r="E59" s="11"/>
      <c r="F59" s="11"/>
      <c r="G59" s="11"/>
      <c r="H59" s="11"/>
      <c r="I59" s="11"/>
      <c r="J59" s="44"/>
      <c r="K59" s="87"/>
      <c r="L59" s="284"/>
      <c r="M59" s="241"/>
      <c r="N59" s="9"/>
      <c r="P59" s="49">
        <f>'[4]2026 február'!B$17</f>
        <v>0</v>
      </c>
    </row>
    <row r="60" spans="1:16" ht="15" customHeight="1">
      <c r="A60" s="162">
        <v>46070</v>
      </c>
      <c r="B60" s="11"/>
      <c r="C60" s="11"/>
      <c r="D60" s="11"/>
      <c r="E60" s="11"/>
      <c r="F60" s="11"/>
      <c r="G60" s="11"/>
      <c r="H60" s="11"/>
      <c r="I60" s="11"/>
      <c r="J60" s="44"/>
      <c r="K60" s="87"/>
      <c r="L60" s="284"/>
      <c r="M60" s="241"/>
      <c r="N60" s="9"/>
      <c r="P60" s="49">
        <f>'[4]2026 február'!B$18</f>
        <v>0</v>
      </c>
    </row>
    <row r="61" spans="1:16" ht="15" customHeight="1">
      <c r="A61" s="162">
        <v>46071</v>
      </c>
      <c r="B61" s="11"/>
      <c r="C61" s="11"/>
      <c r="D61" s="11"/>
      <c r="E61" s="11"/>
      <c r="F61" s="11"/>
      <c r="G61" s="11"/>
      <c r="H61" s="11"/>
      <c r="I61" s="11"/>
      <c r="J61" s="44"/>
      <c r="K61" s="87"/>
      <c r="L61" s="284"/>
      <c r="M61" s="241"/>
      <c r="N61" s="9"/>
      <c r="P61" s="49">
        <f>'[4]2026 február'!B$19</f>
        <v>0</v>
      </c>
    </row>
    <row r="62" spans="1:16" ht="15" customHeight="1">
      <c r="A62" s="162">
        <v>46072</v>
      </c>
      <c r="B62" s="11"/>
      <c r="C62" s="11"/>
      <c r="D62" s="11"/>
      <c r="E62" s="11"/>
      <c r="F62" s="11"/>
      <c r="G62" s="11"/>
      <c r="H62" s="11"/>
      <c r="I62" s="11"/>
      <c r="J62" s="44"/>
      <c r="K62" s="87"/>
      <c r="L62" s="284"/>
      <c r="M62" s="241"/>
      <c r="N62" s="9"/>
      <c r="P62" s="49">
        <f>'[4]2026 február'!B$20</f>
        <v>0</v>
      </c>
    </row>
    <row r="63" spans="1:16" ht="15" customHeight="1">
      <c r="A63" s="162">
        <v>46073</v>
      </c>
      <c r="B63" s="11"/>
      <c r="C63" s="11"/>
      <c r="D63" s="11"/>
      <c r="E63" s="11"/>
      <c r="F63" s="11"/>
      <c r="G63" s="11"/>
      <c r="H63" s="11"/>
      <c r="I63" s="11"/>
      <c r="J63" s="44"/>
      <c r="K63" s="87"/>
      <c r="L63" s="284"/>
      <c r="M63" s="241"/>
      <c r="N63" s="9"/>
      <c r="P63" s="49">
        <f>'[4]2026 február'!B$21</f>
        <v>0</v>
      </c>
    </row>
    <row r="64" spans="1:16" ht="15" customHeight="1">
      <c r="A64" s="162">
        <v>46074</v>
      </c>
      <c r="B64" s="163"/>
      <c r="C64" s="163"/>
      <c r="D64" s="163"/>
      <c r="E64" s="163"/>
      <c r="F64" s="163"/>
      <c r="G64" s="163"/>
      <c r="H64" s="163"/>
      <c r="I64" s="163"/>
      <c r="J64" s="164"/>
      <c r="K64" s="167"/>
      <c r="L64" s="283"/>
      <c r="M64" s="414"/>
      <c r="N64" s="179"/>
      <c r="P64" s="49">
        <f>'[4]2026 február'!B$22</f>
        <v>0</v>
      </c>
    </row>
    <row r="65" spans="1:16" ht="15" customHeight="1">
      <c r="A65" s="162">
        <v>46075</v>
      </c>
      <c r="B65" s="163"/>
      <c r="C65" s="163"/>
      <c r="D65" s="163"/>
      <c r="E65" s="163"/>
      <c r="F65" s="163"/>
      <c r="G65" s="163"/>
      <c r="H65" s="163"/>
      <c r="I65" s="163"/>
      <c r="J65" s="164"/>
      <c r="K65" s="167"/>
      <c r="L65" s="283"/>
      <c r="M65" s="414"/>
      <c r="N65" s="179"/>
      <c r="P65" s="49">
        <f>'[4]2026 február'!B$23</f>
        <v>0</v>
      </c>
    </row>
    <row r="66" spans="1:16" ht="15" customHeight="1">
      <c r="A66" s="162">
        <v>46076</v>
      </c>
      <c r="B66" s="11"/>
      <c r="C66" s="11"/>
      <c r="D66" s="11"/>
      <c r="E66" s="11"/>
      <c r="F66" s="11"/>
      <c r="G66" s="11"/>
      <c r="H66" s="11"/>
      <c r="I66" s="11"/>
      <c r="J66" s="44"/>
      <c r="K66" s="87"/>
      <c r="L66" s="284"/>
      <c r="M66" s="241"/>
      <c r="N66" s="9"/>
      <c r="P66" s="49">
        <f>'[4]2026 február'!B$24</f>
        <v>0</v>
      </c>
    </row>
    <row r="67" spans="1:16" ht="15" customHeight="1">
      <c r="A67" s="162">
        <v>46077</v>
      </c>
      <c r="B67" s="11"/>
      <c r="C67" s="11"/>
      <c r="D67" s="11"/>
      <c r="E67" s="11"/>
      <c r="F67" s="11"/>
      <c r="G67" s="11"/>
      <c r="H67" s="11"/>
      <c r="I67" s="11"/>
      <c r="J67" s="44"/>
      <c r="K67" s="87"/>
      <c r="L67" s="284"/>
      <c r="M67" s="241"/>
      <c r="N67" s="9"/>
      <c r="P67" s="49">
        <f>'[4]2026 február'!B$25</f>
        <v>0</v>
      </c>
    </row>
    <row r="68" spans="1:16" ht="15" customHeight="1">
      <c r="A68" s="162">
        <v>46078</v>
      </c>
      <c r="B68" s="11"/>
      <c r="C68" s="11"/>
      <c r="D68" s="11"/>
      <c r="E68" s="11"/>
      <c r="F68" s="11"/>
      <c r="G68" s="11"/>
      <c r="H68" s="11"/>
      <c r="I68" s="11"/>
      <c r="J68" s="44"/>
      <c r="K68" s="87"/>
      <c r="L68" s="284"/>
      <c r="M68" s="241"/>
      <c r="N68" s="9"/>
      <c r="P68" s="49">
        <f>'[4]2026 február'!B$26</f>
        <v>0</v>
      </c>
    </row>
    <row r="69" spans="1:16">
      <c r="A69" s="162">
        <v>46079</v>
      </c>
      <c r="B69" s="11"/>
      <c r="C69" s="11"/>
      <c r="D69" s="11"/>
      <c r="E69" s="11"/>
      <c r="F69" s="11"/>
      <c r="G69" s="11"/>
      <c r="H69" s="11"/>
      <c r="I69" s="11"/>
      <c r="J69" s="44"/>
      <c r="K69" s="87"/>
      <c r="L69" s="284"/>
      <c r="M69" s="241"/>
      <c r="N69" s="9"/>
      <c r="P69" s="49">
        <f>'[4]2026 február'!B$27</f>
        <v>0</v>
      </c>
    </row>
    <row r="70" spans="1:16">
      <c r="A70" s="162">
        <v>46080</v>
      </c>
      <c r="B70" s="11"/>
      <c r="C70" s="11"/>
      <c r="D70" s="11"/>
      <c r="E70" s="11"/>
      <c r="F70" s="11"/>
      <c r="G70" s="11"/>
      <c r="H70" s="11"/>
      <c r="I70" s="11"/>
      <c r="J70" s="44"/>
      <c r="K70" s="87"/>
      <c r="L70" s="284"/>
      <c r="M70" s="241"/>
      <c r="N70" s="9"/>
      <c r="P70" s="49">
        <f>'[4]2026 február'!B$28</f>
        <v>0</v>
      </c>
    </row>
    <row r="71" spans="1:16">
      <c r="A71" s="162">
        <v>46081</v>
      </c>
      <c r="B71" s="163"/>
      <c r="C71" s="163"/>
      <c r="D71" s="163"/>
      <c r="E71" s="163"/>
      <c r="F71" s="163"/>
      <c r="G71" s="163"/>
      <c r="H71" s="163"/>
      <c r="I71" s="163"/>
      <c r="J71" s="164"/>
      <c r="K71" s="167"/>
      <c r="L71" s="283"/>
      <c r="M71" s="414"/>
      <c r="N71" s="179"/>
      <c r="P71" s="49">
        <f>'[4]2026 február'!B$29</f>
        <v>0</v>
      </c>
    </row>
    <row r="72" spans="1:16" ht="15" customHeight="1">
      <c r="A72" s="5"/>
      <c r="B72" s="11"/>
      <c r="C72" s="11"/>
      <c r="D72" s="11"/>
      <c r="E72" s="11"/>
      <c r="F72" s="11"/>
      <c r="G72" s="11"/>
      <c r="H72" s="11"/>
      <c r="I72" s="11"/>
      <c r="J72" s="44"/>
      <c r="K72" s="87"/>
      <c r="L72" s="284"/>
      <c r="M72" s="241"/>
      <c r="N72" s="9"/>
      <c r="P72" s="49">
        <f>'[4]2026 február'!B$30</f>
        <v>0</v>
      </c>
    </row>
    <row r="73" spans="1:16">
      <c r="A73" s="5"/>
      <c r="B73" s="11"/>
      <c r="C73" s="11"/>
      <c r="D73" s="11"/>
      <c r="E73" s="11"/>
      <c r="F73" s="11"/>
      <c r="G73" s="11"/>
      <c r="H73" s="11"/>
      <c r="I73" s="11"/>
      <c r="J73" s="44"/>
      <c r="K73" s="87"/>
      <c r="L73" s="284"/>
      <c r="M73" s="241"/>
      <c r="N73" s="9"/>
      <c r="P73" s="49">
        <f>'[4]2026 február'!B$31</f>
        <v>0</v>
      </c>
    </row>
    <row r="74" spans="1:16">
      <c r="A74" s="162"/>
      <c r="B74" s="11"/>
      <c r="C74" s="11"/>
      <c r="D74" s="11"/>
      <c r="E74" s="11"/>
      <c r="F74" s="11"/>
      <c r="G74" s="11"/>
      <c r="H74" s="11"/>
      <c r="I74" s="11"/>
      <c r="J74" s="229"/>
      <c r="K74" s="230"/>
      <c r="L74" s="412"/>
      <c r="M74" s="421"/>
      <c r="N74" s="9"/>
      <c r="P74" s="49">
        <f>'[4]2026 február'!B$32</f>
        <v>0</v>
      </c>
    </row>
    <row r="75" spans="1:16" ht="15" customHeight="1">
      <c r="A75" s="21" t="s">
        <v>43</v>
      </c>
      <c r="B75" s="389"/>
      <c r="C75" s="22">
        <f>SUM(C42:C74)</f>
        <v>0</v>
      </c>
      <c r="D75" s="22">
        <f>SUM(D42:D74)</f>
        <v>0</v>
      </c>
      <c r="E75" s="22">
        <f>SUM(E42:E74)</f>
        <v>0</v>
      </c>
      <c r="F75" s="22">
        <f>SUM(F42:F74)</f>
        <v>0</v>
      </c>
      <c r="G75" s="23">
        <f>SUM(G42:G74)</f>
        <v>0</v>
      </c>
      <c r="H75" s="23">
        <f>SUM(H44:H74)</f>
        <v>0</v>
      </c>
      <c r="I75" s="47"/>
      <c r="J75" s="37"/>
      <c r="K75" s="19"/>
      <c r="L75" s="278"/>
      <c r="M75" s="241"/>
      <c r="N75" s="9"/>
    </row>
    <row r="76" spans="1:16" ht="15" customHeight="1">
      <c r="A76" s="5"/>
      <c r="B76" s="11"/>
      <c r="C76" s="34">
        <f>C75+D75+E75+F75</f>
        <v>0</v>
      </c>
      <c r="D76" s="10"/>
      <c r="E76" s="10"/>
      <c r="F76" s="10"/>
      <c r="G76" s="62">
        <f>G75+H75</f>
        <v>0</v>
      </c>
      <c r="H76" s="10"/>
      <c r="I76" s="10"/>
      <c r="J76" s="38"/>
      <c r="K76" s="11"/>
      <c r="L76" s="286"/>
      <c r="M76" s="241"/>
      <c r="N76" s="9"/>
    </row>
    <row r="77" spans="1:16" ht="15" customHeight="1">
      <c r="B77" s="383"/>
    </row>
    <row r="78" spans="1:16" ht="15" customHeight="1">
      <c r="A78" s="436" t="s">
        <v>108</v>
      </c>
      <c r="B78" s="437"/>
      <c r="C78" s="438"/>
      <c r="D78" s="438"/>
      <c r="E78" s="438"/>
      <c r="F78" s="439"/>
      <c r="G78" s="439"/>
      <c r="H78" s="439"/>
      <c r="I78" s="439"/>
      <c r="J78" s="440"/>
      <c r="K78" s="441"/>
    </row>
    <row r="79" spans="1:16" ht="15" customHeight="1">
      <c r="A79" s="442"/>
      <c r="B79" s="435"/>
      <c r="C79" s="435"/>
      <c r="D79" s="435"/>
      <c r="E79" s="435"/>
      <c r="F79" s="435"/>
      <c r="G79" s="429"/>
      <c r="H79" s="429"/>
      <c r="I79" s="429"/>
      <c r="J79" s="429"/>
      <c r="K79" s="443"/>
    </row>
    <row r="80" spans="1:16" ht="15" customHeight="1">
      <c r="A80" s="477"/>
      <c r="B80" s="478"/>
      <c r="C80" s="478"/>
      <c r="D80" s="478"/>
      <c r="E80" s="478"/>
      <c r="F80" s="478"/>
      <c r="G80" s="444"/>
      <c r="H80" s="444"/>
      <c r="I80" s="444"/>
      <c r="J80" s="444"/>
      <c r="K80" s="445"/>
    </row>
    <row r="81" spans="2:2" ht="15" customHeight="1">
      <c r="B81" s="383"/>
    </row>
    <row r="82" spans="2:2" ht="15" customHeight="1">
      <c r="B82" s="383"/>
    </row>
    <row r="83" spans="2:2" ht="15" customHeight="1">
      <c r="B83" s="383"/>
    </row>
    <row r="84" spans="2:2" ht="15" customHeight="1">
      <c r="B84" s="383"/>
    </row>
    <row r="85" spans="2:2" ht="15" customHeight="1">
      <c r="B85" s="383"/>
    </row>
    <row r="86" spans="2:2" ht="15" customHeight="1">
      <c r="B86" s="383"/>
    </row>
    <row r="87" spans="2:2" ht="15" customHeight="1">
      <c r="B87" s="383"/>
    </row>
    <row r="88" spans="2:2" ht="15" customHeight="1">
      <c r="B88" s="383"/>
    </row>
    <row r="89" spans="2:2" ht="15" customHeight="1">
      <c r="B89" s="383"/>
    </row>
    <row r="90" spans="2:2" ht="15" customHeight="1">
      <c r="B90" s="383"/>
    </row>
    <row r="91" spans="2:2" ht="15" customHeight="1">
      <c r="B91" s="383"/>
    </row>
    <row r="92" spans="2:2" ht="15" customHeight="1">
      <c r="B92" s="383"/>
    </row>
    <row r="93" spans="2:2" ht="15" customHeight="1">
      <c r="B93" s="383"/>
    </row>
    <row r="94" spans="2:2" ht="15" customHeight="1">
      <c r="B94" s="383"/>
    </row>
    <row r="95" spans="2:2" ht="15" customHeight="1">
      <c r="B95" s="383"/>
    </row>
    <row r="96" spans="2:2" ht="15" customHeight="1">
      <c r="B96" s="383"/>
    </row>
    <row r="97" spans="2:2" ht="15" customHeight="1">
      <c r="B97" s="383"/>
    </row>
    <row r="98" spans="2:2" ht="15" customHeight="1">
      <c r="B98" s="383"/>
    </row>
    <row r="99" spans="2:2" ht="15" customHeight="1">
      <c r="B99" s="383"/>
    </row>
    <row r="100" spans="2:2" ht="15" customHeight="1">
      <c r="B100" s="383"/>
    </row>
    <row r="101" spans="2:2" ht="15" customHeight="1">
      <c r="B101" s="383"/>
    </row>
    <row r="102" spans="2:2" ht="15" customHeight="1">
      <c r="B102" s="383"/>
    </row>
    <row r="103" spans="2:2" ht="15" customHeight="1">
      <c r="B103" s="383"/>
    </row>
    <row r="104" spans="2:2">
      <c r="B104" s="383"/>
    </row>
    <row r="105" spans="2:2">
      <c r="B105" s="383"/>
    </row>
    <row r="106" spans="2:2">
      <c r="B106" s="383"/>
    </row>
    <row r="107" spans="2:2" ht="15" customHeight="1">
      <c r="B107" s="383"/>
    </row>
    <row r="108" spans="2:2" ht="15" customHeight="1">
      <c r="B108" s="383"/>
    </row>
    <row r="109" spans="2:2" ht="15" customHeight="1">
      <c r="B109" s="383"/>
    </row>
    <row r="110" spans="2:2" ht="15" customHeight="1">
      <c r="B110" s="383"/>
    </row>
    <row r="111" spans="2:2" ht="15" customHeight="1">
      <c r="B111" s="383"/>
    </row>
    <row r="112" spans="2:2" ht="15" customHeight="1">
      <c r="B112" s="383"/>
    </row>
    <row r="113" spans="2:2" ht="15" customHeight="1">
      <c r="B113" s="383"/>
    </row>
    <row r="114" spans="2:2" ht="15" customHeight="1">
      <c r="B114" s="383"/>
    </row>
    <row r="115" spans="2:2" ht="15" customHeight="1">
      <c r="B115" s="383"/>
    </row>
    <row r="116" spans="2:2" ht="15" customHeight="1">
      <c r="B116" s="383"/>
    </row>
    <row r="117" spans="2:2">
      <c r="B117" s="383"/>
    </row>
    <row r="118" spans="2:2">
      <c r="B118" s="383"/>
    </row>
    <row r="119" spans="2:2" ht="15" customHeight="1">
      <c r="B119" s="383"/>
    </row>
    <row r="120" spans="2:2" ht="15" customHeight="1">
      <c r="B120" s="383"/>
    </row>
    <row r="121" spans="2:2" ht="15" customHeight="1">
      <c r="B121" s="383"/>
    </row>
    <row r="122" spans="2:2" ht="15" customHeight="1">
      <c r="B122" s="383"/>
    </row>
    <row r="123" spans="2:2" ht="15" customHeight="1">
      <c r="B123" s="383"/>
    </row>
    <row r="124" spans="2:2" ht="15" customHeight="1">
      <c r="B124" s="383"/>
    </row>
    <row r="125" spans="2:2" ht="15" customHeight="1">
      <c r="B125" s="383"/>
    </row>
    <row r="126" spans="2:2" ht="15" customHeight="1">
      <c r="B126" s="383"/>
    </row>
    <row r="127" spans="2:2" ht="15" customHeight="1">
      <c r="B127" s="383"/>
    </row>
    <row r="128" spans="2:2" ht="15" customHeight="1">
      <c r="B128" s="383"/>
    </row>
    <row r="129" spans="2:2" ht="15" customHeight="1">
      <c r="B129" s="383"/>
    </row>
    <row r="130" spans="2:2" ht="15" customHeight="1">
      <c r="B130" s="383"/>
    </row>
    <row r="131" spans="2:2" ht="15" customHeight="1">
      <c r="B131" s="383"/>
    </row>
    <row r="132" spans="2:2" ht="15" customHeight="1">
      <c r="B132" s="383"/>
    </row>
    <row r="133" spans="2:2" ht="15" customHeight="1">
      <c r="B133" s="383"/>
    </row>
    <row r="134" spans="2:2" ht="15" customHeight="1">
      <c r="B134" s="383"/>
    </row>
    <row r="135" spans="2:2" ht="15" customHeight="1">
      <c r="B135" s="383"/>
    </row>
    <row r="136" spans="2:2" ht="15" customHeight="1">
      <c r="B136" s="383"/>
    </row>
    <row r="137" spans="2:2" ht="15" customHeight="1">
      <c r="B137" s="383"/>
    </row>
    <row r="138" spans="2:2" ht="15" customHeight="1">
      <c r="B138" s="383"/>
    </row>
    <row r="139" spans="2:2" ht="15" customHeight="1">
      <c r="B139" s="383"/>
    </row>
    <row r="140" spans="2:2" ht="15" customHeight="1">
      <c r="B140" s="383"/>
    </row>
    <row r="141" spans="2:2" ht="15" customHeight="1">
      <c r="B141" s="383"/>
    </row>
    <row r="142" spans="2:2" ht="15" customHeight="1">
      <c r="B142" s="383"/>
    </row>
    <row r="143" spans="2:2" ht="15" customHeight="1">
      <c r="B143" s="383"/>
    </row>
    <row r="144" spans="2:2" ht="15" customHeight="1">
      <c r="B144" s="383"/>
    </row>
    <row r="145" spans="2:2" ht="15" customHeight="1">
      <c r="B145" s="383"/>
    </row>
    <row r="146" spans="2:2" ht="15" customHeight="1">
      <c r="B146" s="383"/>
    </row>
    <row r="147" spans="2:2" ht="15" customHeight="1">
      <c r="B147" s="383"/>
    </row>
    <row r="148" spans="2:2">
      <c r="B148" s="383"/>
    </row>
    <row r="149" spans="2:2">
      <c r="B149" s="383"/>
    </row>
    <row r="150" spans="2:2">
      <c r="B150" s="383"/>
    </row>
    <row r="151" spans="2:2">
      <c r="B151" s="383"/>
    </row>
    <row r="152" spans="2:2" ht="15" customHeight="1">
      <c r="B152" s="383"/>
    </row>
    <row r="153" spans="2:2">
      <c r="B153" s="383"/>
    </row>
    <row r="154" spans="2:2" ht="15" customHeight="1">
      <c r="B154" s="383"/>
    </row>
    <row r="155" spans="2:2" ht="15" customHeight="1">
      <c r="B155" s="383"/>
    </row>
    <row r="156" spans="2:2" ht="15" customHeight="1">
      <c r="B156" s="383"/>
    </row>
    <row r="157" spans="2:2" ht="15" customHeight="1">
      <c r="B157" s="383"/>
    </row>
    <row r="158" spans="2:2" ht="15" customHeight="1">
      <c r="B158" s="383"/>
    </row>
    <row r="159" spans="2:2" ht="15" customHeight="1">
      <c r="B159" s="383"/>
    </row>
    <row r="160" spans="2:2" ht="15" customHeight="1">
      <c r="B160" s="383"/>
    </row>
    <row r="161" spans="2:2" ht="15" customHeight="1">
      <c r="B161" s="383"/>
    </row>
    <row r="162" spans="2:2" ht="15" customHeight="1">
      <c r="B162" s="383"/>
    </row>
    <row r="163" spans="2:2" ht="15" customHeight="1">
      <c r="B163" s="383"/>
    </row>
    <row r="164" spans="2:2" ht="15" customHeight="1">
      <c r="B164" s="383"/>
    </row>
    <row r="165" spans="2:2" ht="15" customHeight="1">
      <c r="B165" s="383"/>
    </row>
    <row r="166" spans="2:2" ht="15" customHeight="1">
      <c r="B166" s="383"/>
    </row>
    <row r="167" spans="2:2" ht="15" customHeight="1">
      <c r="B167" s="383"/>
    </row>
    <row r="168" spans="2:2" ht="15" customHeight="1">
      <c r="B168" s="383"/>
    </row>
    <row r="169" spans="2:2" ht="15" customHeight="1">
      <c r="B169" s="383"/>
    </row>
    <row r="170" spans="2:2" ht="15" customHeight="1">
      <c r="B170" s="383"/>
    </row>
    <row r="171" spans="2:2" ht="15" customHeight="1">
      <c r="B171" s="383"/>
    </row>
    <row r="172" spans="2:2" ht="15" customHeight="1">
      <c r="B172" s="383"/>
    </row>
    <row r="173" spans="2:2" ht="15" customHeight="1">
      <c r="B173" s="383"/>
    </row>
    <row r="174" spans="2:2" ht="15" customHeight="1">
      <c r="B174" s="383"/>
    </row>
    <row r="175" spans="2:2" ht="15" customHeight="1">
      <c r="B175" s="383"/>
    </row>
    <row r="176" spans="2:2" ht="15" customHeight="1">
      <c r="B176" s="383"/>
    </row>
    <row r="177" spans="2:2" ht="15" customHeight="1">
      <c r="B177" s="383"/>
    </row>
    <row r="178" spans="2:2" ht="15" customHeight="1">
      <c r="B178" s="383"/>
    </row>
    <row r="179" spans="2:2" ht="15" customHeight="1">
      <c r="B179" s="383"/>
    </row>
    <row r="180" spans="2:2" ht="15" customHeight="1">
      <c r="B180" s="383"/>
    </row>
    <row r="181" spans="2:2" ht="15" customHeight="1">
      <c r="B181" s="383"/>
    </row>
    <row r="182" spans="2:2" ht="15" customHeight="1">
      <c r="B182" s="383"/>
    </row>
    <row r="183" spans="2:2" ht="15" customHeight="1">
      <c r="B183" s="383"/>
    </row>
    <row r="184" spans="2:2">
      <c r="B184" s="383"/>
    </row>
    <row r="185" spans="2:2">
      <c r="B185" s="383"/>
    </row>
    <row r="186" spans="2:2">
      <c r="B186" s="383"/>
    </row>
    <row r="187" spans="2:2" ht="15" customHeight="1">
      <c r="B187" s="383"/>
    </row>
    <row r="188" spans="2:2" ht="15" customHeight="1">
      <c r="B188" s="383"/>
    </row>
    <row r="189" spans="2:2" ht="15" customHeight="1">
      <c r="B189" s="383"/>
    </row>
    <row r="190" spans="2:2">
      <c r="B190" s="383"/>
    </row>
    <row r="191" spans="2:2">
      <c r="B191" s="383"/>
    </row>
    <row r="192" spans="2:2" ht="15" customHeight="1">
      <c r="B192" s="383"/>
    </row>
    <row r="193" spans="2:2" ht="15" customHeight="1">
      <c r="B193" s="383"/>
    </row>
    <row r="194" spans="2:2" ht="15" customHeight="1">
      <c r="B194" s="383"/>
    </row>
    <row r="195" spans="2:2" ht="15" customHeight="1">
      <c r="B195" s="383"/>
    </row>
    <row r="196" spans="2:2" ht="15" customHeight="1">
      <c r="B196" s="383"/>
    </row>
    <row r="197" spans="2:2" ht="15" customHeight="1">
      <c r="B197" s="383"/>
    </row>
    <row r="198" spans="2:2" ht="15" customHeight="1">
      <c r="B198" s="383"/>
    </row>
    <row r="199" spans="2:2" ht="15" customHeight="1">
      <c r="B199" s="383"/>
    </row>
    <row r="200" spans="2:2" ht="15" customHeight="1">
      <c r="B200" s="383"/>
    </row>
    <row r="201" spans="2:2" ht="15" customHeight="1">
      <c r="B201" s="383"/>
    </row>
    <row r="202" spans="2:2" ht="15" customHeight="1">
      <c r="B202" s="383"/>
    </row>
    <row r="203" spans="2:2" ht="15" customHeight="1">
      <c r="B203" s="383"/>
    </row>
    <row r="204" spans="2:2" ht="15" customHeight="1">
      <c r="B204" s="383"/>
    </row>
    <row r="205" spans="2:2" ht="15" customHeight="1">
      <c r="B205" s="383"/>
    </row>
    <row r="206" spans="2:2" ht="15" customHeight="1">
      <c r="B206" s="383"/>
    </row>
    <row r="207" spans="2:2" ht="15" customHeight="1">
      <c r="B207" s="383"/>
    </row>
    <row r="208" spans="2:2" ht="15" customHeight="1">
      <c r="B208" s="383"/>
    </row>
    <row r="209" spans="2:2" ht="15" customHeight="1">
      <c r="B209" s="383"/>
    </row>
    <row r="210" spans="2:2" ht="15" customHeight="1">
      <c r="B210" s="383"/>
    </row>
    <row r="211" spans="2:2" ht="15" customHeight="1">
      <c r="B211" s="383"/>
    </row>
    <row r="212" spans="2:2" ht="15" customHeight="1">
      <c r="B212" s="383"/>
    </row>
    <row r="213" spans="2:2" ht="15" customHeight="1">
      <c r="B213" s="383"/>
    </row>
    <row r="214" spans="2:2" ht="15" customHeight="1">
      <c r="B214" s="383"/>
    </row>
    <row r="215" spans="2:2" ht="15" customHeight="1">
      <c r="B215" s="383"/>
    </row>
    <row r="216" spans="2:2" ht="15" customHeight="1">
      <c r="B216" s="383"/>
    </row>
    <row r="217" spans="2:2" ht="15" customHeight="1">
      <c r="B217" s="383"/>
    </row>
    <row r="218" spans="2:2" ht="15" customHeight="1">
      <c r="B218" s="383"/>
    </row>
    <row r="219" spans="2:2" ht="15" customHeight="1">
      <c r="B219" s="383"/>
    </row>
    <row r="220" spans="2:2" ht="15" customHeight="1">
      <c r="B220" s="383"/>
    </row>
    <row r="221" spans="2:2">
      <c r="B221" s="383"/>
    </row>
    <row r="222" spans="2:2">
      <c r="B222" s="383"/>
    </row>
    <row r="223" spans="2:2">
      <c r="B223" s="383"/>
    </row>
    <row r="224" spans="2:2" ht="15" customHeight="1">
      <c r="B224" s="383"/>
    </row>
    <row r="225" spans="2:2" ht="15" customHeight="1">
      <c r="B225" s="383"/>
    </row>
    <row r="226" spans="2:2" ht="15" customHeight="1">
      <c r="B226" s="383"/>
    </row>
    <row r="227" spans="2:2" ht="15" customHeight="1">
      <c r="B227" s="383"/>
    </row>
    <row r="228" spans="2:2" ht="15" customHeight="1">
      <c r="B228" s="383"/>
    </row>
    <row r="229" spans="2:2">
      <c r="B229" s="383"/>
    </row>
    <row r="230" spans="2:2" ht="15" customHeight="1">
      <c r="B230" s="383"/>
    </row>
    <row r="231" spans="2:2" ht="15" customHeight="1">
      <c r="B231" s="383"/>
    </row>
    <row r="232" spans="2:2" ht="15" customHeight="1">
      <c r="B232" s="383"/>
    </row>
    <row r="233" spans="2:2" ht="15" customHeight="1">
      <c r="B233" s="383"/>
    </row>
    <row r="234" spans="2:2" ht="15" customHeight="1">
      <c r="B234" s="383"/>
    </row>
    <row r="235" spans="2:2" ht="15" customHeight="1">
      <c r="B235" s="383"/>
    </row>
    <row r="236" spans="2:2" ht="15" customHeight="1">
      <c r="B236" s="383"/>
    </row>
    <row r="237" spans="2:2" ht="15" customHeight="1">
      <c r="B237" s="383"/>
    </row>
    <row r="238" spans="2:2" ht="15" customHeight="1">
      <c r="B238" s="383"/>
    </row>
    <row r="239" spans="2:2" ht="15" customHeight="1">
      <c r="B239" s="383"/>
    </row>
    <row r="240" spans="2:2" ht="15" customHeight="1">
      <c r="B240" s="383"/>
    </row>
    <row r="241" spans="2:2" ht="15" customHeight="1">
      <c r="B241" s="383"/>
    </row>
    <row r="242" spans="2:2" ht="15" customHeight="1">
      <c r="B242" s="383"/>
    </row>
    <row r="243" spans="2:2" ht="15" customHeight="1">
      <c r="B243" s="383"/>
    </row>
    <row r="244" spans="2:2" ht="15" customHeight="1">
      <c r="B244" s="383"/>
    </row>
    <row r="245" spans="2:2" ht="15" customHeight="1">
      <c r="B245" s="383"/>
    </row>
    <row r="246" spans="2:2" ht="15" customHeight="1">
      <c r="B246" s="383"/>
    </row>
    <row r="247" spans="2:2" ht="15" customHeight="1">
      <c r="B247" s="383"/>
    </row>
    <row r="248" spans="2:2" ht="15" customHeight="1">
      <c r="B248" s="383"/>
    </row>
    <row r="249" spans="2:2" ht="15" customHeight="1">
      <c r="B249" s="383"/>
    </row>
    <row r="250" spans="2:2" ht="15" customHeight="1">
      <c r="B250" s="383"/>
    </row>
    <row r="251" spans="2:2" ht="15" customHeight="1">
      <c r="B251" s="383"/>
    </row>
    <row r="252" spans="2:2" ht="15" customHeight="1">
      <c r="B252" s="383"/>
    </row>
    <row r="253" spans="2:2" ht="15" customHeight="1">
      <c r="B253" s="383"/>
    </row>
    <row r="254" spans="2:2" ht="15" customHeight="1">
      <c r="B254" s="383"/>
    </row>
    <row r="255" spans="2:2" ht="15" customHeight="1">
      <c r="B255" s="383"/>
    </row>
    <row r="256" spans="2:2" ht="15" customHeight="1">
      <c r="B256" s="383"/>
    </row>
    <row r="257" spans="2:2" ht="15" customHeight="1">
      <c r="B257" s="383"/>
    </row>
    <row r="258" spans="2:2" ht="15" customHeight="1">
      <c r="B258" s="383"/>
    </row>
    <row r="259" spans="2:2" ht="15" customHeight="1">
      <c r="B259" s="383"/>
    </row>
    <row r="260" spans="2:2" ht="15" customHeight="1">
      <c r="B260" s="383"/>
    </row>
    <row r="261" spans="2:2" ht="15" customHeight="1">
      <c r="B261" s="383"/>
    </row>
    <row r="262" spans="2:2" ht="15" customHeight="1">
      <c r="B262" s="383"/>
    </row>
    <row r="263" spans="2:2" ht="15" customHeight="1">
      <c r="B263" s="383"/>
    </row>
    <row r="264" spans="2:2">
      <c r="B264" s="383"/>
    </row>
    <row r="265" spans="2:2">
      <c r="B265" s="383"/>
    </row>
    <row r="266" spans="2:2" ht="15" customHeight="1">
      <c r="B266" s="383"/>
    </row>
    <row r="267" spans="2:2">
      <c r="B267" s="383"/>
    </row>
    <row r="268" spans="2:2">
      <c r="B268" s="383"/>
    </row>
    <row r="269" spans="2:2" ht="15" customHeight="1">
      <c r="B269" s="383"/>
    </row>
    <row r="270" spans="2:2" ht="15" customHeight="1">
      <c r="B270" s="383"/>
    </row>
    <row r="271" spans="2:2" ht="15" customHeight="1">
      <c r="B271" s="383"/>
    </row>
    <row r="272" spans="2:2" ht="15" customHeight="1">
      <c r="B272" s="383"/>
    </row>
    <row r="273" spans="2:2" ht="15" customHeight="1">
      <c r="B273" s="383"/>
    </row>
    <row r="274" spans="2:2" ht="15" customHeight="1">
      <c r="B274" s="383"/>
    </row>
    <row r="275" spans="2:2" ht="15" customHeight="1">
      <c r="B275" s="383"/>
    </row>
    <row r="276" spans="2:2" ht="15" customHeight="1">
      <c r="B276" s="383"/>
    </row>
    <row r="277" spans="2:2" ht="15" customHeight="1">
      <c r="B277" s="383"/>
    </row>
    <row r="278" spans="2:2" ht="15" customHeight="1">
      <c r="B278" s="383"/>
    </row>
    <row r="279" spans="2:2" ht="15" customHeight="1">
      <c r="B279" s="383"/>
    </row>
    <row r="280" spans="2:2" ht="15" customHeight="1">
      <c r="B280" s="383"/>
    </row>
    <row r="281" spans="2:2" ht="15" customHeight="1">
      <c r="B281" s="383"/>
    </row>
    <row r="282" spans="2:2" ht="15" customHeight="1">
      <c r="B282" s="383"/>
    </row>
    <row r="283" spans="2:2" ht="15" customHeight="1">
      <c r="B283" s="383"/>
    </row>
    <row r="284" spans="2:2" ht="15" customHeight="1">
      <c r="B284" s="383"/>
    </row>
    <row r="285" spans="2:2" ht="15" customHeight="1">
      <c r="B285" s="383"/>
    </row>
    <row r="286" spans="2:2" ht="15" customHeight="1">
      <c r="B286" s="383"/>
    </row>
    <row r="287" spans="2:2" ht="15" customHeight="1">
      <c r="B287" s="383"/>
    </row>
    <row r="288" spans="2:2" ht="15" customHeight="1">
      <c r="B288" s="383"/>
    </row>
    <row r="289" spans="2:2" ht="15" customHeight="1">
      <c r="B289" s="383"/>
    </row>
    <row r="290" spans="2:2" ht="15" customHeight="1">
      <c r="B290" s="383"/>
    </row>
    <row r="291" spans="2:2" ht="15" customHeight="1">
      <c r="B291" s="383"/>
    </row>
    <row r="292" spans="2:2" ht="15" customHeight="1">
      <c r="B292" s="383"/>
    </row>
    <row r="293" spans="2:2" ht="15" customHeight="1">
      <c r="B293" s="383"/>
    </row>
    <row r="294" spans="2:2" ht="15" customHeight="1">
      <c r="B294" s="383"/>
    </row>
    <row r="295" spans="2:2" ht="15" customHeight="1">
      <c r="B295" s="383"/>
    </row>
    <row r="296" spans="2:2" ht="15" customHeight="1">
      <c r="B296" s="383"/>
    </row>
    <row r="297" spans="2:2" ht="15" customHeight="1">
      <c r="B297" s="383"/>
    </row>
    <row r="298" spans="2:2" ht="15" customHeight="1">
      <c r="B298" s="383"/>
    </row>
    <row r="299" spans="2:2" ht="15" customHeight="1">
      <c r="B299" s="383"/>
    </row>
    <row r="300" spans="2:2">
      <c r="B300" s="383"/>
    </row>
    <row r="301" spans="2:2">
      <c r="B301" s="383"/>
    </row>
    <row r="302" spans="2:2" ht="15" customHeight="1">
      <c r="B302" s="383"/>
    </row>
    <row r="303" spans="2:2" ht="15" customHeight="1">
      <c r="B303" s="383"/>
    </row>
    <row r="304" spans="2:2">
      <c r="B304" s="383"/>
    </row>
    <row r="305" spans="2:2" ht="15" customHeight="1">
      <c r="B305" s="383"/>
    </row>
    <row r="306" spans="2:2" ht="15" customHeight="1">
      <c r="B306" s="383"/>
    </row>
    <row r="307" spans="2:2" ht="15" customHeight="1">
      <c r="B307" s="383"/>
    </row>
    <row r="308" spans="2:2" ht="15" customHeight="1">
      <c r="B308" s="383"/>
    </row>
    <row r="309" spans="2:2" ht="15" customHeight="1">
      <c r="B309" s="383"/>
    </row>
    <row r="310" spans="2:2" ht="15" customHeight="1">
      <c r="B310" s="383"/>
    </row>
    <row r="311" spans="2:2" ht="15" customHeight="1">
      <c r="B311" s="383"/>
    </row>
    <row r="312" spans="2:2" ht="15" customHeight="1">
      <c r="B312" s="383"/>
    </row>
    <row r="313" spans="2:2" ht="15" customHeight="1">
      <c r="B313" s="383"/>
    </row>
    <row r="314" spans="2:2" ht="15" customHeight="1">
      <c r="B314" s="383"/>
    </row>
    <row r="315" spans="2:2" ht="15" customHeight="1">
      <c r="B315" s="383"/>
    </row>
    <row r="316" spans="2:2" ht="15" customHeight="1">
      <c r="B316" s="383"/>
    </row>
    <row r="317" spans="2:2" ht="15" customHeight="1">
      <c r="B317" s="383"/>
    </row>
    <row r="318" spans="2:2" ht="15" customHeight="1">
      <c r="B318" s="383"/>
    </row>
    <row r="319" spans="2:2" ht="15" customHeight="1">
      <c r="B319" s="383"/>
    </row>
    <row r="320" spans="2:2" ht="15" customHeight="1">
      <c r="B320" s="383"/>
    </row>
    <row r="321" spans="2:2" ht="15" customHeight="1">
      <c r="B321" s="383"/>
    </row>
    <row r="322" spans="2:2" ht="15" customHeight="1">
      <c r="B322" s="383"/>
    </row>
    <row r="323" spans="2:2" ht="15" customHeight="1">
      <c r="B323" s="383"/>
    </row>
    <row r="324" spans="2:2" ht="15" customHeight="1">
      <c r="B324" s="383"/>
    </row>
    <row r="325" spans="2:2" ht="15" customHeight="1">
      <c r="B325" s="383"/>
    </row>
    <row r="326" spans="2:2" ht="15" customHeight="1">
      <c r="B326" s="383"/>
    </row>
    <row r="327" spans="2:2" ht="15" customHeight="1">
      <c r="B327" s="383"/>
    </row>
    <row r="328" spans="2:2" ht="15" customHeight="1">
      <c r="B328" s="383"/>
    </row>
    <row r="329" spans="2:2" ht="15" customHeight="1">
      <c r="B329" s="383"/>
    </row>
    <row r="330" spans="2:2" ht="15" customHeight="1">
      <c r="B330" s="383"/>
    </row>
    <row r="331" spans="2:2" ht="15" customHeight="1">
      <c r="B331" s="383"/>
    </row>
    <row r="332" spans="2:2" ht="15" customHeight="1">
      <c r="B332" s="383"/>
    </row>
    <row r="333" spans="2:2" ht="15" customHeight="1">
      <c r="B333" s="383"/>
    </row>
    <row r="334" spans="2:2" ht="15" customHeight="1">
      <c r="B334" s="383"/>
    </row>
    <row r="335" spans="2:2" ht="15" customHeight="1">
      <c r="B335" s="383"/>
    </row>
    <row r="336" spans="2:2" ht="15" customHeight="1">
      <c r="B336" s="383"/>
    </row>
    <row r="337" spans="2:2" ht="15" customHeight="1">
      <c r="B337" s="383"/>
    </row>
    <row r="338" spans="2:2" ht="15" customHeight="1">
      <c r="B338" s="383"/>
    </row>
    <row r="339" spans="2:2" ht="15" customHeight="1">
      <c r="B339" s="383"/>
    </row>
    <row r="340" spans="2:2" ht="15" customHeight="1">
      <c r="B340" s="383"/>
    </row>
    <row r="341" spans="2:2" ht="15" customHeight="1">
      <c r="B341" s="383"/>
    </row>
    <row r="342" spans="2:2" ht="15" customHeight="1">
      <c r="B342" s="383"/>
    </row>
    <row r="343" spans="2:2">
      <c r="B343" s="383"/>
    </row>
    <row r="344" spans="2:2">
      <c r="B344" s="383"/>
    </row>
    <row r="345" spans="2:2">
      <c r="B345" s="383"/>
    </row>
    <row r="346" spans="2:2">
      <c r="B346" s="383"/>
    </row>
    <row r="347" spans="2:2" ht="15" customHeight="1">
      <c r="B347" s="383"/>
    </row>
    <row r="348" spans="2:2" ht="15" customHeight="1">
      <c r="B348" s="383"/>
    </row>
    <row r="349" spans="2:2" ht="15" customHeight="1">
      <c r="B349" s="383"/>
    </row>
    <row r="350" spans="2:2" ht="15" customHeight="1">
      <c r="B350" s="383"/>
    </row>
    <row r="351" spans="2:2" ht="15" customHeight="1">
      <c r="B351" s="383"/>
    </row>
    <row r="352" spans="2:2" ht="15" customHeight="1">
      <c r="B352" s="383"/>
    </row>
    <row r="353" spans="2:2">
      <c r="B353" s="383"/>
    </row>
    <row r="354" spans="2:2" ht="15" customHeight="1">
      <c r="B354" s="383"/>
    </row>
    <row r="355" spans="2:2" ht="15" customHeight="1">
      <c r="B355" s="383"/>
    </row>
    <row r="356" spans="2:2" ht="15" customHeight="1">
      <c r="B356" s="383"/>
    </row>
    <row r="357" spans="2:2" ht="15" customHeight="1">
      <c r="B357" s="383"/>
    </row>
    <row r="358" spans="2:2" ht="15" customHeight="1">
      <c r="B358" s="383"/>
    </row>
    <row r="359" spans="2:2">
      <c r="B359" s="383"/>
    </row>
    <row r="360" spans="2:2" ht="15" customHeight="1">
      <c r="B360" s="383"/>
    </row>
    <row r="361" spans="2:2" ht="15" customHeight="1">
      <c r="B361" s="383"/>
    </row>
    <row r="362" spans="2:2" ht="15" customHeight="1">
      <c r="B362" s="383"/>
    </row>
    <row r="363" spans="2:2" ht="15" customHeight="1">
      <c r="B363" s="383"/>
    </row>
    <row r="364" spans="2:2" ht="15" customHeight="1">
      <c r="B364" s="383"/>
    </row>
    <row r="365" spans="2:2" ht="15" customHeight="1">
      <c r="B365" s="383"/>
    </row>
    <row r="366" spans="2:2" ht="15" customHeight="1">
      <c r="B366" s="383"/>
    </row>
    <row r="367" spans="2:2">
      <c r="B367" s="383"/>
    </row>
    <row r="368" spans="2:2">
      <c r="B368" s="383"/>
    </row>
    <row r="369" spans="2:2">
      <c r="B369" s="383"/>
    </row>
    <row r="370" spans="2:2" ht="15" customHeight="1">
      <c r="B370" s="383"/>
    </row>
    <row r="371" spans="2:2" ht="15" customHeight="1">
      <c r="B371" s="383"/>
    </row>
    <row r="372" spans="2:2" ht="15" customHeight="1">
      <c r="B372" s="383"/>
    </row>
    <row r="373" spans="2:2" ht="15" customHeight="1">
      <c r="B373" s="383"/>
    </row>
    <row r="374" spans="2:2" ht="15" customHeight="1">
      <c r="B374" s="383"/>
    </row>
    <row r="375" spans="2:2" ht="15" customHeight="1">
      <c r="B375" s="383"/>
    </row>
    <row r="376" spans="2:2" ht="15" customHeight="1">
      <c r="B376" s="383"/>
    </row>
    <row r="377" spans="2:2" ht="15" customHeight="1">
      <c r="B377" s="383"/>
    </row>
    <row r="378" spans="2:2">
      <c r="B378" s="383"/>
    </row>
    <row r="379" spans="2:2" ht="15" customHeight="1">
      <c r="B379" s="383"/>
    </row>
    <row r="380" spans="2:2" ht="15" customHeight="1">
      <c r="B380" s="383"/>
    </row>
    <row r="381" spans="2:2">
      <c r="B381" s="383"/>
    </row>
    <row r="382" spans="2:2">
      <c r="B382" s="383"/>
    </row>
    <row r="383" spans="2:2">
      <c r="B383" s="383"/>
    </row>
    <row r="384" spans="2:2">
      <c r="B384" s="383"/>
    </row>
    <row r="385" spans="2:2" ht="15" customHeight="1">
      <c r="B385" s="383"/>
    </row>
    <row r="386" spans="2:2">
      <c r="B386" s="383"/>
    </row>
    <row r="387" spans="2:2" ht="15" customHeight="1">
      <c r="B387" s="383"/>
    </row>
    <row r="388" spans="2:2" ht="15" customHeight="1">
      <c r="B388" s="383"/>
    </row>
    <row r="389" spans="2:2" ht="15" customHeight="1">
      <c r="B389" s="383"/>
    </row>
    <row r="390" spans="2:2" ht="15" customHeight="1">
      <c r="B390" s="383"/>
    </row>
    <row r="391" spans="2:2" ht="15" customHeight="1">
      <c r="B391" s="383"/>
    </row>
    <row r="392" spans="2:2" ht="15" customHeight="1">
      <c r="B392" s="383"/>
    </row>
    <row r="393" spans="2:2" ht="15" customHeight="1">
      <c r="B393" s="383"/>
    </row>
    <row r="394" spans="2:2" ht="15" customHeight="1">
      <c r="B394" s="383"/>
    </row>
    <row r="395" spans="2:2" ht="15" customHeight="1">
      <c r="B395" s="383"/>
    </row>
    <row r="396" spans="2:2" ht="15" customHeight="1">
      <c r="B396" s="383"/>
    </row>
    <row r="397" spans="2:2" ht="15" customHeight="1">
      <c r="B397" s="383"/>
    </row>
    <row r="398" spans="2:2" ht="15" customHeight="1">
      <c r="B398" s="383"/>
    </row>
    <row r="399" spans="2:2" ht="15" customHeight="1">
      <c r="B399" s="383"/>
    </row>
    <row r="400" spans="2:2" ht="15" customHeight="1">
      <c r="B400" s="383"/>
    </row>
    <row r="401" spans="2:2" ht="15" customHeight="1">
      <c r="B401" s="383"/>
    </row>
    <row r="402" spans="2:2" ht="15" customHeight="1">
      <c r="B402" s="383"/>
    </row>
    <row r="403" spans="2:2" ht="15" customHeight="1">
      <c r="B403" s="383"/>
    </row>
    <row r="404" spans="2:2" ht="15" customHeight="1">
      <c r="B404" s="383"/>
    </row>
    <row r="405" spans="2:2" ht="15" customHeight="1">
      <c r="B405" s="383"/>
    </row>
    <row r="406" spans="2:2" ht="15" customHeight="1">
      <c r="B406" s="383"/>
    </row>
    <row r="407" spans="2:2" ht="15" customHeight="1">
      <c r="B407" s="383"/>
    </row>
    <row r="408" spans="2:2" ht="15" customHeight="1">
      <c r="B408" s="383"/>
    </row>
    <row r="409" spans="2:2" ht="15" customHeight="1">
      <c r="B409" s="383"/>
    </row>
    <row r="410" spans="2:2" ht="15" customHeight="1">
      <c r="B410" s="383"/>
    </row>
    <row r="411" spans="2:2" ht="15" customHeight="1">
      <c r="B411" s="383"/>
    </row>
    <row r="412" spans="2:2" ht="15" customHeight="1">
      <c r="B412" s="383"/>
    </row>
    <row r="413" spans="2:2" ht="15" customHeight="1">
      <c r="B413" s="383"/>
    </row>
    <row r="414" spans="2:2" ht="15" customHeight="1">
      <c r="B414" s="383"/>
    </row>
    <row r="415" spans="2:2" ht="15" customHeight="1">
      <c r="B415" s="383"/>
    </row>
    <row r="416" spans="2:2" ht="15" customHeight="1">
      <c r="B416" s="383"/>
    </row>
    <row r="417" spans="2:2" ht="15" customHeight="1">
      <c r="B417" s="383"/>
    </row>
    <row r="418" spans="2:2" ht="15" customHeight="1">
      <c r="B418" s="383"/>
    </row>
    <row r="419" spans="2:2">
      <c r="B419" s="383"/>
    </row>
    <row r="420" spans="2:2">
      <c r="B420" s="383"/>
    </row>
    <row r="421" spans="2:2">
      <c r="B421" s="383"/>
    </row>
    <row r="422" spans="2:2" ht="15" customHeight="1">
      <c r="B422" s="383"/>
    </row>
    <row r="423" spans="2:2" ht="15" customHeight="1">
      <c r="B423" s="383"/>
    </row>
    <row r="424" spans="2:2">
      <c r="B424" s="383"/>
    </row>
    <row r="425" spans="2:2" ht="15" customHeight="1">
      <c r="B425" s="383"/>
    </row>
    <row r="426" spans="2:2" ht="15" customHeight="1">
      <c r="B426" s="383"/>
    </row>
    <row r="427" spans="2:2" ht="15" customHeight="1">
      <c r="B427" s="383"/>
    </row>
    <row r="428" spans="2:2" ht="15" customHeight="1">
      <c r="B428" s="383"/>
    </row>
    <row r="429" spans="2:2" ht="15" customHeight="1">
      <c r="B429" s="383"/>
    </row>
    <row r="430" spans="2:2" ht="15" customHeight="1">
      <c r="B430" s="383"/>
    </row>
    <row r="431" spans="2:2" ht="15" customHeight="1">
      <c r="B431" s="383"/>
    </row>
    <row r="432" spans="2:2" ht="15" customHeight="1">
      <c r="B432" s="383"/>
    </row>
    <row r="433" spans="2:2" ht="15" customHeight="1">
      <c r="B433" s="383"/>
    </row>
    <row r="434" spans="2:2" ht="15" customHeight="1">
      <c r="B434" s="383"/>
    </row>
    <row r="435" spans="2:2" ht="15" customHeight="1">
      <c r="B435" s="383"/>
    </row>
    <row r="436" spans="2:2" ht="15" customHeight="1">
      <c r="B436" s="383"/>
    </row>
    <row r="437" spans="2:2" ht="15" customHeight="1">
      <c r="B437" s="383"/>
    </row>
    <row r="438" spans="2:2" ht="15" customHeight="1">
      <c r="B438" s="383"/>
    </row>
    <row r="439" spans="2:2" ht="15" customHeight="1">
      <c r="B439" s="383"/>
    </row>
    <row r="440" spans="2:2" ht="15" customHeight="1">
      <c r="B440" s="383"/>
    </row>
    <row r="441" spans="2:2" ht="15" customHeight="1">
      <c r="B441" s="383"/>
    </row>
    <row r="442" spans="2:2" ht="15" customHeight="1">
      <c r="B442" s="383"/>
    </row>
    <row r="443" spans="2:2" ht="15" customHeight="1">
      <c r="B443" s="383"/>
    </row>
    <row r="444" spans="2:2" ht="15" customHeight="1">
      <c r="B444" s="383"/>
    </row>
    <row r="445" spans="2:2" ht="15" customHeight="1">
      <c r="B445" s="383"/>
    </row>
    <row r="446" spans="2:2" ht="15" customHeight="1">
      <c r="B446" s="383"/>
    </row>
    <row r="447" spans="2:2" ht="15" customHeight="1">
      <c r="B447" s="383"/>
    </row>
    <row r="448" spans="2:2" ht="15" customHeight="1">
      <c r="B448" s="383"/>
    </row>
    <row r="449" spans="2:2" ht="15" customHeight="1">
      <c r="B449" s="383"/>
    </row>
    <row r="450" spans="2:2" ht="15" customHeight="1">
      <c r="B450" s="383"/>
    </row>
    <row r="451" spans="2:2" ht="15" customHeight="1">
      <c r="B451" s="383"/>
    </row>
    <row r="452" spans="2:2" ht="15" customHeight="1">
      <c r="B452" s="383"/>
    </row>
    <row r="453" spans="2:2" ht="15" customHeight="1">
      <c r="B453" s="383"/>
    </row>
    <row r="454" spans="2:2" ht="15" customHeight="1">
      <c r="B454" s="383"/>
    </row>
    <row r="455" spans="2:2" ht="15" customHeight="1">
      <c r="B455" s="383"/>
    </row>
    <row r="456" spans="2:2" ht="15" customHeight="1">
      <c r="B456" s="383"/>
    </row>
    <row r="457" spans="2:2">
      <c r="B457" s="383"/>
    </row>
    <row r="458" spans="2:2">
      <c r="B458" s="383"/>
    </row>
  </sheetData>
  <sheetProtection formatCells="0" formatColumns="0" formatRows="0"/>
  <protectedRanges>
    <protectedRange sqref="A36:A38 A459:B583 C42:BC42 M39:BC41 C36:BC38 A42 C77:BC77 O43:BC43 A77 O75:BC76 O44:O74 Q44:BC74 C81:BC582 L78:BC80 A81:A458" name="Range1"/>
    <protectedRange sqref="I1" name="Range2"/>
    <protectedRange sqref="N35:Z35" name="Range1_4"/>
    <protectedRange sqref="N2:Z2" name="Range1_2_1"/>
    <protectedRange sqref="B36:B38 B42 B77 B81:B458" name="Range1_1"/>
    <protectedRange sqref="B1" name="Range1_1_1"/>
  </protectedRanges>
  <mergeCells count="1">
    <mergeCell ref="A80:F80"/>
  </mergeCells>
  <conditionalFormatting sqref="A2 C2:M2">
    <cfRule type="containsText" dxfId="308" priority="50" stopIfTrue="1" operator="containsText" text="ELTÉRÉS!">
      <formula>NOT(ISERROR(SEARCH("ELTÉRÉS!",A2)))</formula>
    </cfRule>
    <cfRule type="containsText" dxfId="307" priority="51" stopIfTrue="1" operator="containsText" text="STIMMEL!">
      <formula>NOT(ISERROR(SEARCH("STIMMEL!",A2)))</formula>
    </cfRule>
  </conditionalFormatting>
  <conditionalFormatting sqref="A2 C2:M2">
    <cfRule type="cellIs" dxfId="306" priority="49" operator="equal">
      <formula>0.01</formula>
    </cfRule>
  </conditionalFormatting>
  <conditionalFormatting sqref="M3:M33">
    <cfRule type="containsText" dxfId="305" priority="47" stopIfTrue="1" operator="containsText" text="ELTÉRÉS!">
      <formula>NOT(ISERROR(SEARCH("ELTÉRÉS!",M3)))</formula>
    </cfRule>
    <cfRule type="containsText" dxfId="304" priority="48" stopIfTrue="1" operator="containsText" text="STIMMEL!">
      <formula>NOT(ISERROR(SEARCH("STIMMEL!",M3)))</formula>
    </cfRule>
  </conditionalFormatting>
  <conditionalFormatting sqref="M3:M33">
    <cfRule type="cellIs" dxfId="303" priority="46" operator="equal">
      <formula>0.01</formula>
    </cfRule>
  </conditionalFormatting>
  <conditionalFormatting sqref="A3:A33 C19:L33 C3:L6 L7:L11 C8:I18 K12:L13 K18:L18 L14:L17">
    <cfRule type="containsText" dxfId="302" priority="44" stopIfTrue="1" operator="containsText" text="ELTÉRÉS!">
      <formula>NOT(ISERROR(SEARCH("ELTÉRÉS!",A3)))</formula>
    </cfRule>
    <cfRule type="containsText" dxfId="301" priority="45" stopIfTrue="1" operator="containsText" text="STIMMEL!">
      <formula>NOT(ISERROR(SEARCH("STIMMEL!",A3)))</formula>
    </cfRule>
  </conditionalFormatting>
  <conditionalFormatting sqref="A3:A33 C19:L33 C3:L6 L7:L11 C8:I18 K12:L13 K18:L18 L14:L17">
    <cfRule type="cellIs" dxfId="300" priority="43" operator="equal">
      <formula>0.01</formula>
    </cfRule>
  </conditionalFormatting>
  <conditionalFormatting sqref="L39:L41">
    <cfRule type="containsText" dxfId="299" priority="38" stopIfTrue="1" operator="containsText" text="ELTÉRÉS!">
      <formula>NOT(ISERROR(SEARCH("ELTÉRÉS!",L39)))</formula>
    </cfRule>
    <cfRule type="containsText" dxfId="298" priority="39" stopIfTrue="1" operator="containsText" text="STIMMEL!">
      <formula>NOT(ISERROR(SEARCH("STIMMEL!",L39)))</formula>
    </cfRule>
  </conditionalFormatting>
  <conditionalFormatting sqref="L39:L41">
    <cfRule type="cellIs" dxfId="297" priority="37" operator="equal">
      <formula>0.01</formula>
    </cfRule>
  </conditionalFormatting>
  <conditionalFormatting sqref="C7:K7 J8:K11 J12:J18">
    <cfRule type="containsText" dxfId="296" priority="35" stopIfTrue="1" operator="containsText" text="ELTÉRÉS!">
      <formula>NOT(ISERROR(SEARCH("ELTÉRÉS!",C7)))</formula>
    </cfRule>
    <cfRule type="containsText" dxfId="295" priority="36" stopIfTrue="1" operator="containsText" text="STIMMEL!">
      <formula>NOT(ISERROR(SEARCH("STIMMEL!",C7)))</formula>
    </cfRule>
  </conditionalFormatting>
  <conditionalFormatting sqref="C7:K7 J8:K11 J12:J18">
    <cfRule type="cellIs" dxfId="294" priority="34" operator="equal">
      <formula>0.01</formula>
    </cfRule>
  </conditionalFormatting>
  <conditionalFormatting sqref="B2:B33">
    <cfRule type="containsText" dxfId="293" priority="32" stopIfTrue="1" operator="containsText" text="ELTÉRÉS!">
      <formula>NOT(ISERROR(SEARCH("ELTÉRÉS!",B2)))</formula>
    </cfRule>
    <cfRule type="containsText" dxfId="292" priority="33" stopIfTrue="1" operator="containsText" text="STIMMEL!">
      <formula>NOT(ISERROR(SEARCH("STIMMEL!",B2)))</formula>
    </cfRule>
  </conditionalFormatting>
  <conditionalFormatting sqref="B2:B33">
    <cfRule type="cellIs" dxfId="291" priority="31" operator="equal">
      <formula>0.01</formula>
    </cfRule>
  </conditionalFormatting>
  <conditionalFormatting sqref="K14:K17">
    <cfRule type="containsText" dxfId="290" priority="26" stopIfTrue="1" operator="containsText" text="ELTÉRÉS!">
      <formula>NOT(ISERROR(SEARCH("ELTÉRÉS!",K14)))</formula>
    </cfRule>
    <cfRule type="containsText" dxfId="289" priority="27" stopIfTrue="1" operator="containsText" text="STIMMEL!">
      <formula>NOT(ISERROR(SEARCH("STIMMEL!",K14)))</formula>
    </cfRule>
  </conditionalFormatting>
  <conditionalFormatting sqref="K14:K17">
    <cfRule type="cellIs" dxfId="288" priority="25" operator="equal">
      <formula>0.01</formula>
    </cfRule>
  </conditionalFormatting>
  <conditionalFormatting sqref="C43:N76 A43:A76">
    <cfRule type="containsText" dxfId="287" priority="23" stopIfTrue="1" operator="containsText" text="ELTÉRÉS!">
      <formula>NOT(ISERROR(SEARCH("ELTÉRÉS!",A43)))</formula>
    </cfRule>
    <cfRule type="containsText" dxfId="286" priority="24" stopIfTrue="1" operator="containsText" text="STIMMEL!">
      <formula>NOT(ISERROR(SEARCH("STIMMEL!",A43)))</formula>
    </cfRule>
  </conditionalFormatting>
  <conditionalFormatting sqref="C43:N76 A43:A76">
    <cfRule type="cellIs" dxfId="285" priority="22" operator="equal">
      <formula>0.01</formula>
    </cfRule>
  </conditionalFormatting>
  <conditionalFormatting sqref="B43:B74">
    <cfRule type="containsText" dxfId="284" priority="20" stopIfTrue="1" operator="containsText" text="ELTÉRÉS!">
      <formula>NOT(ISERROR(SEARCH("ELTÉRÉS!",B43)))</formula>
    </cfRule>
    <cfRule type="containsText" dxfId="283" priority="21" stopIfTrue="1" operator="containsText" text="STIMMEL!">
      <formula>NOT(ISERROR(SEARCH("STIMMEL!",B43)))</formula>
    </cfRule>
  </conditionalFormatting>
  <conditionalFormatting sqref="B43:B74">
    <cfRule type="cellIs" dxfId="282" priority="19" operator="equal">
      <formula>0.01</formula>
    </cfRule>
  </conditionalFormatting>
  <conditionalFormatting sqref="F39:K39">
    <cfRule type="containsText" dxfId="281" priority="17" stopIfTrue="1" operator="containsText" text="ELTÉRÉS!">
      <formula>NOT(ISERROR(SEARCH("ELTÉRÉS!",F39)))</formula>
    </cfRule>
    <cfRule type="containsText" dxfId="280" priority="18" stopIfTrue="1" operator="containsText" text="STIMMEL!">
      <formula>NOT(ISERROR(SEARCH("STIMMEL!",F39)))</formula>
    </cfRule>
  </conditionalFormatting>
  <conditionalFormatting sqref="F39:K39">
    <cfRule type="cellIs" dxfId="279" priority="16" operator="equal">
      <formula>0.01</formula>
    </cfRule>
  </conditionalFormatting>
  <conditionalFormatting sqref="A39">
    <cfRule type="containsText" dxfId="278" priority="14" stopIfTrue="1" operator="containsText" text="ELTÉRÉS!">
      <formula>NOT(ISERROR(SEARCH("ELTÉRÉS!",A39)))</formula>
    </cfRule>
    <cfRule type="containsText" dxfId="277" priority="15" stopIfTrue="1" operator="containsText" text="STIMMEL!">
      <formula>NOT(ISERROR(SEARCH("STIMMEL!",A39)))</formula>
    </cfRule>
  </conditionalFormatting>
  <conditionalFormatting sqref="A39">
    <cfRule type="cellIs" dxfId="276" priority="13" operator="equal">
      <formula>0.01</formula>
    </cfRule>
  </conditionalFormatting>
  <conditionalFormatting sqref="B39">
    <cfRule type="containsText" dxfId="275" priority="11" stopIfTrue="1" operator="containsText" text="ELTÉRÉS!">
      <formula>NOT(ISERROR(SEARCH("ELTÉRÉS!",B39)))</formula>
    </cfRule>
    <cfRule type="containsText" dxfId="274" priority="12" stopIfTrue="1" operator="containsText" text="STIMMEL!">
      <formula>NOT(ISERROR(SEARCH("STIMMEL!",B39)))</formula>
    </cfRule>
  </conditionalFormatting>
  <conditionalFormatting sqref="B39">
    <cfRule type="cellIs" dxfId="273" priority="10" operator="equal">
      <formula>0.01</formula>
    </cfRule>
  </conditionalFormatting>
  <conditionalFormatting sqref="F78:K78">
    <cfRule type="containsText" dxfId="272" priority="8" stopIfTrue="1" operator="containsText" text="ELTÉRÉS!">
      <formula>NOT(ISERROR(SEARCH("ELTÉRÉS!",F78)))</formula>
    </cfRule>
    <cfRule type="containsText" dxfId="271" priority="9" stopIfTrue="1" operator="containsText" text="STIMMEL!">
      <formula>NOT(ISERROR(SEARCH("STIMMEL!",F78)))</formula>
    </cfRule>
  </conditionalFormatting>
  <conditionalFormatting sqref="F78:K78">
    <cfRule type="cellIs" dxfId="270" priority="7" operator="equal">
      <formula>0.01</formula>
    </cfRule>
  </conditionalFormatting>
  <conditionalFormatting sqref="A78">
    <cfRule type="containsText" dxfId="269" priority="5" stopIfTrue="1" operator="containsText" text="ELTÉRÉS!">
      <formula>NOT(ISERROR(SEARCH("ELTÉRÉS!",A78)))</formula>
    </cfRule>
    <cfRule type="containsText" dxfId="268" priority="6" stopIfTrue="1" operator="containsText" text="STIMMEL!">
      <formula>NOT(ISERROR(SEARCH("STIMMEL!",A78)))</formula>
    </cfRule>
  </conditionalFormatting>
  <conditionalFormatting sqref="A78">
    <cfRule type="cellIs" dxfId="267" priority="4" operator="equal">
      <formula>0.01</formula>
    </cfRule>
  </conditionalFormatting>
  <conditionalFormatting sqref="B78">
    <cfRule type="containsText" dxfId="266" priority="2" stopIfTrue="1" operator="containsText" text="ELTÉRÉS!">
      <formula>NOT(ISERROR(SEARCH("ELTÉRÉS!",B78)))</formula>
    </cfRule>
    <cfRule type="containsText" dxfId="265" priority="3" stopIfTrue="1" operator="containsText" text="STIMMEL!">
      <formula>NOT(ISERROR(SEARCH("STIMMEL!",B78)))</formula>
    </cfRule>
  </conditionalFormatting>
  <conditionalFormatting sqref="B78">
    <cfRule type="cellIs" dxfId="264" priority="1" operator="equal">
      <formula>0.01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784B-2134-43ED-B044-88B637C6555C}">
  <dimension ref="A1:AL458"/>
  <sheetViews>
    <sheetView workbookViewId="0">
      <pane ySplit="1" topLeftCell="I37" activePane="bottomLeft" state="frozen"/>
      <selection pane="bottomLeft" activeCell="G53" sqref="G53"/>
    </sheetView>
  </sheetViews>
  <sheetFormatPr defaultRowHeight="15" customHeight="1"/>
  <cols>
    <col min="1" max="1" width="15.7109375" style="77" customWidth="1"/>
    <col min="2" max="2" width="16" style="383" customWidth="1"/>
    <col min="3" max="3" width="11.5703125" style="4" customWidth="1"/>
    <col min="4" max="4" width="12.85546875" style="4" bestFit="1" customWidth="1"/>
    <col min="5" max="5" width="10.7109375" style="4" bestFit="1" customWidth="1"/>
    <col min="6" max="7" width="11.7109375" style="4" bestFit="1" customWidth="1"/>
    <col min="8" max="8" width="12.85546875" style="4" bestFit="1" customWidth="1"/>
    <col min="9" max="9" width="12.85546875" style="4" customWidth="1"/>
    <col min="10" max="10" width="12.7109375" style="40" customWidth="1"/>
    <col min="11" max="11" width="15.5703125" style="4" customWidth="1"/>
    <col min="12" max="12" width="16.28515625" customWidth="1"/>
    <col min="14" max="14" width="18.5703125" customWidth="1"/>
    <col min="16" max="16" width="10.140625" bestFit="1" customWidth="1"/>
    <col min="17" max="38" width="0" hidden="1" customWidth="1"/>
  </cols>
  <sheetData>
    <row r="1" spans="1:38" ht="28.5" customHeight="1">
      <c r="A1" s="83" t="s">
        <v>273</v>
      </c>
      <c r="B1" s="377" t="s">
        <v>77</v>
      </c>
      <c r="C1" s="3">
        <v>0</v>
      </c>
      <c r="D1" s="3">
        <v>0.05</v>
      </c>
      <c r="E1" s="3">
        <v>0.18</v>
      </c>
      <c r="F1" s="3">
        <v>0.27</v>
      </c>
      <c r="G1" s="2" t="s">
        <v>78</v>
      </c>
      <c r="H1" s="2" t="s">
        <v>79</v>
      </c>
      <c r="I1" s="48" t="s">
        <v>80</v>
      </c>
      <c r="J1" s="36" t="s">
        <v>116</v>
      </c>
      <c r="K1" s="2" t="s">
        <v>82</v>
      </c>
      <c r="L1" s="75" t="s">
        <v>83</v>
      </c>
      <c r="M1" s="59" t="s">
        <v>84</v>
      </c>
      <c r="N1" s="59" t="s">
        <v>85</v>
      </c>
    </row>
    <row r="2" spans="1:38" ht="21">
      <c r="A2" s="81" t="s">
        <v>3</v>
      </c>
      <c r="B2" s="378"/>
      <c r="C2" s="30"/>
      <c r="D2" s="30"/>
      <c r="E2" s="30"/>
      <c r="F2" s="30"/>
      <c r="G2" s="30"/>
      <c r="H2" s="30"/>
      <c r="I2" s="30"/>
      <c r="J2" s="30"/>
      <c r="K2" s="39"/>
      <c r="L2" s="30"/>
      <c r="M2" s="31"/>
      <c r="N2" s="31"/>
      <c r="O2" s="31"/>
      <c r="P2" s="234" t="str">
        <f>'[5]2026 január'!B$1</f>
        <v>Novohost</v>
      </c>
      <c r="Q2" s="234" t="str">
        <f>'[5]2026 január'!G1</f>
        <v>Forgalom</v>
      </c>
      <c r="R2" s="234" t="str">
        <f>'[5]2026 január'!W1</f>
        <v>Kivét</v>
      </c>
      <c r="S2" s="234" t="s">
        <v>86</v>
      </c>
      <c r="T2" s="30"/>
      <c r="U2" s="39"/>
      <c r="V2" s="234" t="str">
        <f>'[5]2026 január'!S1</f>
        <v>Pénztár nyitó</v>
      </c>
      <c r="W2" s="234" t="str">
        <f>'[5]2026 január'!T1</f>
        <v>Pénztár kp bevétel</v>
      </c>
      <c r="X2" s="234" t="str">
        <f>'[5]2026 január'!U1</f>
        <v>Egyéb bevétel</v>
      </c>
      <c r="Y2" s="234" t="str">
        <f>'[5]2026 január'!V1</f>
        <v>Költött</v>
      </c>
      <c r="Z2" s="234" t="str">
        <f>'[5]2026 január'!W1</f>
        <v>Kivét</v>
      </c>
      <c r="AA2" s="234" t="str">
        <f>'[5]2026 január'!X1</f>
        <v>Eltérés</v>
      </c>
      <c r="AB2" s="234" t="str">
        <f>'[5]2026 január'!Y1</f>
        <v>Záró</v>
      </c>
      <c r="AC2" s="234" t="str">
        <f>'[5]2026 január'!Z1</f>
        <v>Megjegyzések</v>
      </c>
      <c r="AD2" s="234">
        <f>'[5]2026 január'!AA1</f>
        <v>0</v>
      </c>
      <c r="AE2" s="234">
        <f>'[5]2026 január'!AB1</f>
        <v>0</v>
      </c>
      <c r="AF2" s="234">
        <f>'[5]2026 január'!AC1</f>
        <v>0</v>
      </c>
      <c r="AG2" s="234" t="str">
        <f>'[5]2026 január'!AD1</f>
        <v>Egyéb kiadás</v>
      </c>
      <c r="AH2" s="31"/>
      <c r="AI2" s="31"/>
      <c r="AJ2" s="31"/>
      <c r="AK2" s="31"/>
      <c r="AL2" s="31"/>
    </row>
    <row r="3" spans="1:38">
      <c r="A3" s="162">
        <v>46023</v>
      </c>
      <c r="B3" s="379"/>
      <c r="C3" s="163"/>
      <c r="D3" s="163"/>
      <c r="E3" s="163"/>
      <c r="F3" s="163"/>
      <c r="G3" s="163"/>
      <c r="H3" s="163"/>
      <c r="I3" s="163"/>
      <c r="J3" s="222"/>
      <c r="K3" s="167"/>
      <c r="L3" s="165"/>
      <c r="M3" s="171"/>
      <c r="N3" s="174"/>
      <c r="O3" s="49"/>
      <c r="P3" s="49" t="str">
        <f>IF('[5]2026 január'!B$2=0,
    "",
    '[5]2026 január'!B$2
)</f>
        <v/>
      </c>
      <c r="Q3" s="49" t="str">
        <f>IF(OR('[5]2026 január'!G2=0,
       ISBLANK('[5]2026 január'!G2)),
    "",
    '[5]2026 január'!G2
)</f>
        <v/>
      </c>
      <c r="R3" s="49">
        <f>'[5]2026 január'!W2</f>
        <v>0</v>
      </c>
      <c r="S3" s="49" t="e">
        <f>P3-Q3-R3-G3-H3</f>
        <v>#VALUE!</v>
      </c>
      <c r="T3" s="49"/>
      <c r="U3" s="4"/>
      <c r="V3" s="49">
        <f>IF('[5]2026 január'!S2=0,
    "",
    '[5]2026 január'!S2
)</f>
        <v>175606</v>
      </c>
      <c r="W3" s="49" t="str">
        <f>IF('[5]2026 január'!T2=0,
    "",
    '[5]2026 január'!T2
)</f>
        <v/>
      </c>
      <c r="X3" s="49" t="str">
        <f>IF('[5]2026 január'!U2=0,
    "",
    '[5]2026 január'!U2
)</f>
        <v/>
      </c>
      <c r="Y3" s="49" t="str">
        <f>IF('[5]2026 január'!V2=0,
    "",
    '[5]2026 január'!V2
)</f>
        <v/>
      </c>
      <c r="Z3" s="49" t="str">
        <f>IF('[5]2026 január'!W2=0,
    "",
    '[5]2026 január'!W2
)</f>
        <v/>
      </c>
      <c r="AA3" s="49" t="str">
        <f>IF('[5]2026 január'!X2=0,
    "",
    '[5]2026 január'!X2
)</f>
        <v/>
      </c>
      <c r="AB3" s="49">
        <f>IF('[5]2026 január'!Y2=0,
    "",
    '[5]2026 január'!Y2
)</f>
        <v>175606</v>
      </c>
      <c r="AC3" s="49" t="str">
        <f>IF('[5]2026 január'!Z2=0,
    "",
    '[5]2026 január'!Z2
)</f>
        <v/>
      </c>
      <c r="AD3" s="49" t="str">
        <f>IF('[5]2026 január'!AA2=0,
    "",
    '[5]2026 január'!AA2
)</f>
        <v/>
      </c>
      <c r="AE3" s="49" t="str">
        <f>IF('[5]2026 január'!AB2=0,
    "",
    '[5]2026 január'!AB2
)</f>
        <v/>
      </c>
      <c r="AF3" s="49" t="str">
        <f>IF('[5]2026 január'!AC2=0,
    "",
    '[5]2026 január'!AC2
)</f>
        <v/>
      </c>
      <c r="AG3" s="49" t="str">
        <f>IF('[5]2026 január'!AD2=0,
    "",
    '[5]2026 január'!AD2
)</f>
        <v/>
      </c>
      <c r="AH3" s="49" t="str">
        <f>IF('[5]2026 január'!AE2=0,
    "",
    '[5]2026 január'!AE2
)</f>
        <v/>
      </c>
      <c r="AI3" s="49" t="str">
        <f>IF('[5]2026 január'!AF2=0,
    "",
    '[5]2026 január'!AF2
)</f>
        <v/>
      </c>
      <c r="AJ3" s="49" t="str">
        <f>IF('[5]2026 január'!AG2=0,
    "",
    '[5]2026 január'!AG2
)</f>
        <v/>
      </c>
      <c r="AK3" s="49" t="str">
        <f>IF('[5]2026 január'!AH2=0,
    "",
    '[5]2026 január'!AH2
)</f>
        <v/>
      </c>
    </row>
    <row r="4" spans="1:38">
      <c r="A4" s="162">
        <v>46024</v>
      </c>
      <c r="B4" s="163"/>
      <c r="C4" s="163"/>
      <c r="D4" s="163"/>
      <c r="E4" s="163"/>
      <c r="F4" s="163"/>
      <c r="G4" s="163"/>
      <c r="H4" s="163"/>
      <c r="I4" s="163"/>
      <c r="J4" s="222"/>
      <c r="K4" s="167"/>
      <c r="L4" s="165"/>
      <c r="M4" s="171"/>
      <c r="N4" s="174"/>
      <c r="O4" s="49"/>
      <c r="P4" s="49" t="str">
        <f>IF('[5]2026 január'!B$3=0,
    "",
    '[5]2026 január'!B$3
)</f>
        <v/>
      </c>
      <c r="Q4" s="49" t="str">
        <f>IF(OR('[5]2026 január'!G3=0,
       ISBLANK('[5]2026 január'!G3)),
    "",
    '[5]2026 január'!G3
)</f>
        <v/>
      </c>
      <c r="R4" s="49">
        <f>'[5]2026 január'!W3</f>
        <v>0</v>
      </c>
      <c r="S4" s="49"/>
      <c r="T4" s="49"/>
      <c r="U4" s="4"/>
      <c r="V4" s="49">
        <f>IF('[5]2026 január'!S3=0,
    "",
    '[5]2026 január'!S3
)</f>
        <v>175606</v>
      </c>
      <c r="W4" s="49" t="str">
        <f>IF('[5]2026 január'!T3=0,
    "",
    '[5]2026 január'!T3
)</f>
        <v/>
      </c>
      <c r="X4" s="49" t="str">
        <f>IF('[5]2026 január'!U3=0,
    "",
    '[5]2026 január'!U3
)</f>
        <v/>
      </c>
      <c r="Y4" s="49" t="str">
        <f>IF('[5]2026 január'!V3=0,
    "",
    '[5]2026 január'!V3
)</f>
        <v/>
      </c>
      <c r="Z4" s="49" t="str">
        <f>IF('[5]2026 január'!W3=0,
    "",
    '[5]2026 január'!W3
)</f>
        <v/>
      </c>
      <c r="AA4" s="49" t="str">
        <f>IF('[5]2026 január'!X3=0,
    "",
    '[5]2026 január'!X3
)</f>
        <v/>
      </c>
      <c r="AB4" s="49">
        <f>IF('[5]2026 január'!Y3=0,
    "",
    '[5]2026 január'!Y3
)</f>
        <v>175606</v>
      </c>
      <c r="AC4" s="49" t="str">
        <f>IF('[5]2026 január'!Z3=0,
    "",
    '[5]2026 január'!Z3
)</f>
        <v/>
      </c>
      <c r="AD4" s="49" t="str">
        <f>IF('[5]2026 január'!AA3=0,
    "",
    '[5]2026 január'!AA3
)</f>
        <v/>
      </c>
      <c r="AE4" s="49" t="str">
        <f>IF('[5]2026 január'!AB3=0,
    "",
    '[5]2026 január'!AB3
)</f>
        <v/>
      </c>
      <c r="AF4" s="49" t="str">
        <f>IF('[5]2026 január'!AC3=0,
    "",
    '[5]2026 január'!AC3
)</f>
        <v/>
      </c>
      <c r="AG4" s="49" t="str">
        <f>IF('[5]2026 január'!AD3=0,
    "",
    '[5]2026 január'!AD3
)</f>
        <v/>
      </c>
      <c r="AH4" s="49" t="str">
        <f>IF('[5]2026 január'!AE3=0,
    "",
    '[5]2026 január'!AE3
)</f>
        <v/>
      </c>
      <c r="AI4" s="49" t="str">
        <f>IF('[5]2026 január'!AF3=0,
    "",
    '[5]2026 január'!AF3
)</f>
        <v/>
      </c>
      <c r="AJ4" s="49" t="str">
        <f>IF('[5]2026 január'!AG3=0,
    "",
    '[5]2026 január'!AG3
)</f>
        <v/>
      </c>
      <c r="AK4" s="49" t="str">
        <f>IF('[5]2026 január'!AH3=0,
    "",
    '[5]2026 január'!AH3
)</f>
        <v/>
      </c>
    </row>
    <row r="5" spans="1:38">
      <c r="A5" s="162">
        <v>46025</v>
      </c>
      <c r="B5" s="163"/>
      <c r="C5" s="163"/>
      <c r="D5" s="163"/>
      <c r="E5" s="163"/>
      <c r="F5" s="163"/>
      <c r="G5" s="163"/>
      <c r="H5" s="163"/>
      <c r="I5" s="163"/>
      <c r="J5" s="222"/>
      <c r="K5" s="167"/>
      <c r="L5" s="167"/>
      <c r="M5" s="172"/>
      <c r="N5" s="174"/>
      <c r="O5" s="49"/>
      <c r="P5" s="49" t="str">
        <f>IF('[5]2026 január'!B$4=0,
    "",
    '[5]2026 január'!B$4
)</f>
        <v/>
      </c>
      <c r="Q5" s="49" t="str">
        <f>IF(OR('[5]2026 január'!G4=0,
       ISBLANK('[5]2026 január'!G4)),
    "",
    '[5]2026 január'!G4
)</f>
        <v/>
      </c>
      <c r="R5" s="49">
        <f>'[5]2026 január'!W4</f>
        <v>0</v>
      </c>
      <c r="S5" s="49"/>
      <c r="T5" s="49"/>
      <c r="U5" s="4"/>
      <c r="V5" s="49">
        <f>IF('[5]2026 január'!S4=0,
    "",
    '[5]2026 január'!S4
)</f>
        <v>175606</v>
      </c>
      <c r="W5" s="49" t="str">
        <f>IF('[5]2026 január'!T4=0,
    "",
    '[5]2026 január'!T4
)</f>
        <v/>
      </c>
      <c r="X5" s="49" t="str">
        <f>IF('[5]2026 január'!U4=0,
    "",
    '[5]2026 január'!U4
)</f>
        <v/>
      </c>
      <c r="Y5" s="49" t="str">
        <f>IF('[5]2026 január'!V4=0,
    "",
    '[5]2026 január'!V4
)</f>
        <v/>
      </c>
      <c r="Z5" s="49" t="str">
        <f>IF('[5]2026 január'!W4=0,
    "",
    '[5]2026 január'!W4
)</f>
        <v/>
      </c>
      <c r="AA5" s="49" t="str">
        <f>IF('[5]2026 január'!X4=0,
    "",
    '[5]2026 január'!X4
)</f>
        <v/>
      </c>
      <c r="AB5" s="49">
        <f>IF('[5]2026 január'!Y4=0,
    "",
    '[5]2026 január'!Y4
)</f>
        <v>175606</v>
      </c>
      <c r="AC5" s="49" t="str">
        <f>IF('[5]2026 január'!Z4=0,
    "",
    '[5]2026 január'!Z4
)</f>
        <v/>
      </c>
      <c r="AD5" s="49" t="str">
        <f>IF('[5]2026 január'!AA4=0,
    "",
    '[5]2026 január'!AA4
)</f>
        <v/>
      </c>
      <c r="AE5" s="49" t="str">
        <f>IF('[5]2026 január'!AB4=0,
    "",
    '[5]2026 január'!AB4
)</f>
        <v/>
      </c>
      <c r="AF5" s="49" t="str">
        <f>IF('[5]2026 január'!AC4=0,
    "",
    '[5]2026 január'!AC4
)</f>
        <v/>
      </c>
      <c r="AG5" s="49" t="str">
        <f>IF('[5]2026 január'!AD4=0,
    "",
    '[5]2026 január'!AD4
)</f>
        <v/>
      </c>
      <c r="AH5" s="49" t="str">
        <f>IF('[5]2026 január'!AE4=0,
    "",
    '[5]2026 január'!AE4
)</f>
        <v/>
      </c>
      <c r="AI5" s="49" t="str">
        <f>IF('[5]2026 január'!AF4=0,
    "",
    '[5]2026 január'!AF4
)</f>
        <v/>
      </c>
      <c r="AJ5" s="49" t="str">
        <f>IF('[5]2026 január'!AG4=0,
    "",
    '[5]2026 január'!AG4
)</f>
        <v/>
      </c>
      <c r="AK5" s="49" t="str">
        <f>IF('[5]2026 január'!AH4=0,
    "",
    '[5]2026 január'!AH4
)</f>
        <v/>
      </c>
    </row>
    <row r="6" spans="1:38">
      <c r="A6" s="162">
        <v>46026</v>
      </c>
      <c r="B6" s="163"/>
      <c r="C6" s="163"/>
      <c r="D6" s="163"/>
      <c r="E6" s="163"/>
      <c r="F6" s="163"/>
      <c r="G6" s="163"/>
      <c r="H6" s="163"/>
      <c r="I6" s="163"/>
      <c r="J6" s="222"/>
      <c r="K6" s="167"/>
      <c r="L6" s="167"/>
      <c r="M6" s="172"/>
      <c r="N6" s="174"/>
      <c r="O6" s="49"/>
      <c r="P6" s="49" t="str">
        <f>IF('[5]2026 január'!B$5=0,
    "",
    '[5]2026 január'!B$5
)</f>
        <v/>
      </c>
      <c r="Q6" s="49" t="str">
        <f>IF(OR('[5]2026 január'!G5=0,
       ISBLANK('[5]2026 január'!G5)),
    "",
    '[5]2026 január'!G5
)</f>
        <v/>
      </c>
      <c r="R6" s="49">
        <f>'[5]2026 január'!W5</f>
        <v>0</v>
      </c>
      <c r="S6" s="49"/>
      <c r="T6" s="49"/>
      <c r="U6" s="4"/>
      <c r="V6" s="49">
        <f>IF('[5]2026 január'!S5=0,
    "",
    '[5]2026 január'!S5
)</f>
        <v>175606</v>
      </c>
      <c r="W6" s="49" t="str">
        <f>IF('[5]2026 január'!T5=0,
    "",
    '[5]2026 január'!T5
)</f>
        <v/>
      </c>
      <c r="X6" s="49" t="str">
        <f>IF('[5]2026 január'!U5=0,
    "",
    '[5]2026 január'!U5
)</f>
        <v/>
      </c>
      <c r="Y6" s="49" t="str">
        <f>IF('[5]2026 január'!V5=0,
    "",
    '[5]2026 január'!V5
)</f>
        <v/>
      </c>
      <c r="Z6" s="49" t="str">
        <f>IF('[5]2026 január'!W5=0,
    "",
    '[5]2026 január'!W5
)</f>
        <v/>
      </c>
      <c r="AA6" s="49" t="str">
        <f>IF('[5]2026 január'!X5=0,
    "",
    '[5]2026 január'!X5
)</f>
        <v/>
      </c>
      <c r="AB6" s="49">
        <f>IF('[5]2026 január'!Y5=0,
    "",
    '[5]2026 január'!Y5
)</f>
        <v>175606</v>
      </c>
      <c r="AC6" s="49" t="str">
        <f>IF('[5]2026 január'!Z5=0,
    "",
    '[5]2026 január'!Z5
)</f>
        <v/>
      </c>
      <c r="AD6" s="49" t="str">
        <f>IF('[5]2026 január'!AA5=0,
    "",
    '[5]2026 január'!AA5
)</f>
        <v/>
      </c>
      <c r="AE6" s="49" t="str">
        <f>IF('[5]2026 január'!AB5=0,
    "",
    '[5]2026 január'!AB5
)</f>
        <v/>
      </c>
      <c r="AF6" s="49" t="str">
        <f>IF('[5]2026 január'!AC5=0,
    "",
    '[5]2026 január'!AC5
)</f>
        <v/>
      </c>
      <c r="AG6" s="49" t="str">
        <f>IF('[5]2026 január'!AD5=0,
    "",
    '[5]2026 január'!AD5
)</f>
        <v/>
      </c>
      <c r="AH6" s="49" t="str">
        <f>IF('[5]2026 január'!AE5=0,
    "",
    '[5]2026 január'!AE5
)</f>
        <v/>
      </c>
      <c r="AI6" s="49" t="str">
        <f>IF('[5]2026 január'!AF5=0,
    "",
    '[5]2026 január'!AF5
)</f>
        <v/>
      </c>
      <c r="AJ6" s="49" t="str">
        <f>IF('[5]2026 január'!AG5=0,
    "",
    '[5]2026 január'!AG5
)</f>
        <v/>
      </c>
      <c r="AK6" s="49" t="str">
        <f>IF('[5]2026 január'!AH5=0,
    "",
    '[5]2026 január'!AH5
)</f>
        <v/>
      </c>
    </row>
    <row r="7" spans="1:38">
      <c r="A7" s="5">
        <v>46027</v>
      </c>
      <c r="B7" s="11">
        <v>335145</v>
      </c>
      <c r="C7" s="11">
        <v>250</v>
      </c>
      <c r="D7" s="11">
        <v>309275</v>
      </c>
      <c r="E7" s="11"/>
      <c r="F7" s="11">
        <v>9315</v>
      </c>
      <c r="G7" s="11"/>
      <c r="H7" s="11">
        <v>318840</v>
      </c>
      <c r="I7" s="11">
        <v>318840</v>
      </c>
      <c r="J7" s="38">
        <v>527</v>
      </c>
      <c r="K7" s="87">
        <v>126899507</v>
      </c>
      <c r="L7" s="87"/>
      <c r="M7" s="173"/>
      <c r="N7" s="169"/>
      <c r="O7" s="49"/>
      <c r="P7" s="49">
        <f>IF('[5]2026 január'!B$6=0,
    "",
    '[5]2026 január'!B$6
)</f>
        <v>335145</v>
      </c>
      <c r="Q7" s="49">
        <f>IF(OR('[5]2026 január'!G6=0,
       ISBLANK('[5]2026 január'!G6)),
    "",
    '[5]2026 január'!G6
)</f>
        <v>335145</v>
      </c>
      <c r="R7" s="49">
        <f>'[5]2026 január'!W6</f>
        <v>0</v>
      </c>
      <c r="S7" s="49"/>
      <c r="T7" s="49"/>
      <c r="U7" s="4"/>
      <c r="V7" s="49">
        <f>IF('[5]2026 január'!S6=0,
    "",
    '[5]2026 január'!S6
)</f>
        <v>175606</v>
      </c>
      <c r="W7" s="49">
        <f>IF('[5]2026 január'!T6=0,
    "",
    '[5]2026 január'!T6
)</f>
        <v>16305</v>
      </c>
      <c r="X7" s="49" t="str">
        <f>IF('[5]2026 január'!U6=0,
    "",
    '[5]2026 január'!U6
)</f>
        <v/>
      </c>
      <c r="Y7" s="49">
        <f>IF('[5]2026 január'!V6=0,
    "",
    '[5]2026 január'!V6
)</f>
        <v>4872</v>
      </c>
      <c r="Z7" s="49" t="str">
        <f>IF('[5]2026 január'!W6=0,
    "",
    '[5]2026 január'!W6
)</f>
        <v/>
      </c>
      <c r="AA7" s="49" t="str">
        <f>IF('[5]2026 január'!X6=0,
    "",
    '[5]2026 január'!X6
)</f>
        <v/>
      </c>
      <c r="AB7" s="49">
        <f>IF('[5]2026 január'!Y6=0,
    "",
    '[5]2026 január'!Y6
)</f>
        <v>187039</v>
      </c>
      <c r="AC7" s="49" t="str">
        <f>IF('[5]2026 január'!Z6=0,
    "",
    '[5]2026 január'!Z6
)</f>
        <v>Tesco</v>
      </c>
      <c r="AD7" s="49" t="str">
        <f>IF('[5]2026 január'!AA6=0,
    "",
    '[5]2026 január'!AA6
)</f>
        <v/>
      </c>
      <c r="AE7" s="49" t="str">
        <f>IF('[5]2026 január'!AB6=0,
    "",
    '[5]2026 január'!AB6
)</f>
        <v/>
      </c>
      <c r="AF7" s="49" t="str">
        <f>IF('[5]2026 január'!AC6=0,
    "",
    '[5]2026 január'!AC6
)</f>
        <v/>
      </c>
      <c r="AG7" s="49" t="str">
        <f>IF('[5]2026 január'!AD6=0,
    "",
    '[5]2026 január'!AD6
)</f>
        <v/>
      </c>
      <c r="AH7" s="49" t="str">
        <f>IF('[5]2026 január'!AE6=0,
    "",
    '[5]2026 január'!AE6
)</f>
        <v/>
      </c>
      <c r="AI7" s="49" t="str">
        <f>IF('[5]2026 január'!AF6=0,
    "",
    '[5]2026 január'!AF6
)</f>
        <v/>
      </c>
      <c r="AJ7" s="49" t="str">
        <f>IF('[5]2026 január'!AG6=0,
    "",
    '[5]2026 január'!AG6
)</f>
        <v/>
      </c>
      <c r="AK7" s="49" t="str">
        <f>IF('[5]2026 január'!AH6=0,
    "",
    '[5]2026 január'!AH6
)</f>
        <v/>
      </c>
    </row>
    <row r="8" spans="1:38">
      <c r="A8" s="5">
        <v>46028</v>
      </c>
      <c r="B8" s="11">
        <v>394930</v>
      </c>
      <c r="C8" s="11">
        <v>50</v>
      </c>
      <c r="D8" s="11">
        <v>382715</v>
      </c>
      <c r="E8" s="11"/>
      <c r="F8" s="11">
        <v>6370</v>
      </c>
      <c r="G8" s="11"/>
      <c r="H8" s="11">
        <v>389135</v>
      </c>
      <c r="I8" s="11">
        <v>389135</v>
      </c>
      <c r="J8" s="38">
        <v>528</v>
      </c>
      <c r="K8" s="87">
        <v>127288642</v>
      </c>
      <c r="L8" s="87"/>
      <c r="M8" s="173"/>
      <c r="N8" s="169"/>
      <c r="O8" s="49"/>
      <c r="P8" s="49">
        <f>IF('[5]2026 január'!B$7=0,
    "",
    '[5]2026 január'!B$7
)</f>
        <v>394930</v>
      </c>
      <c r="Q8" s="49">
        <f>IF(OR('[5]2026 január'!G7=0,
       ISBLANK('[5]2026 január'!G7)),
    "",
    '[5]2026 január'!G7
)</f>
        <v>394930</v>
      </c>
      <c r="R8" s="49">
        <f>'[5]2026 január'!W7</f>
        <v>0</v>
      </c>
      <c r="S8" s="49"/>
      <c r="T8" s="49"/>
      <c r="U8" s="4"/>
      <c r="V8" s="49">
        <f>IF('[5]2026 január'!S7=0,
    "",
    '[5]2026 január'!S7
)</f>
        <v>187039</v>
      </c>
      <c r="W8" s="49">
        <f>IF('[5]2026 január'!T7=0,
    "",
    '[5]2026 január'!T7
)</f>
        <v>5795</v>
      </c>
      <c r="X8" s="49">
        <f>IF('[5]2026 január'!U7=0,
    "",
    '[5]2026 január'!U7
)</f>
        <v>10100</v>
      </c>
      <c r="Y8" s="49" t="str">
        <f>IF('[5]2026 január'!V7=0,
    "",
    '[5]2026 január'!V7
)</f>
        <v/>
      </c>
      <c r="Z8" s="49" t="str">
        <f>IF('[5]2026 január'!W7=0,
    "",
    '[5]2026 január'!W7
)</f>
        <v/>
      </c>
      <c r="AA8" s="49" t="str">
        <f>IF('[5]2026 január'!X7=0,
    "",
    '[5]2026 január'!X7
)</f>
        <v/>
      </c>
      <c r="AB8" s="49">
        <f>IF('[5]2026 január'!Y7=0,
    "",
    '[5]2026 január'!Y7
)</f>
        <v>202934</v>
      </c>
      <c r="AC8" s="49" t="str">
        <f>IF('[5]2026 január'!Z7=0,
    "",
    '[5]2026 január'!Z7
)</f>
        <v>Csabi kv</v>
      </c>
      <c r="AD8" s="49" t="str">
        <f>IF('[5]2026 január'!AA7=0,
    "",
    '[5]2026 január'!AA7
)</f>
        <v/>
      </c>
      <c r="AE8" s="49" t="str">
        <f>IF('[5]2026 január'!AB7=0,
    "",
    '[5]2026 január'!AB7
)</f>
        <v/>
      </c>
      <c r="AF8" s="49" t="str">
        <f>IF('[5]2026 január'!AC7=0,
    "",
    '[5]2026 január'!AC7
)</f>
        <v/>
      </c>
      <c r="AG8" s="49" t="str">
        <f>IF('[5]2026 január'!AD7=0,
    "",
    '[5]2026 január'!AD7
)</f>
        <v/>
      </c>
      <c r="AH8" s="49" t="str">
        <f>IF('[5]2026 január'!AE7=0,
    "",
    '[5]2026 január'!AE7
)</f>
        <v/>
      </c>
      <c r="AI8" s="49" t="str">
        <f>IF('[5]2026 január'!AF7=0,
    "",
    '[5]2026 január'!AF7
)</f>
        <v/>
      </c>
      <c r="AJ8" s="49" t="str">
        <f>IF('[5]2026 január'!AG7=0,
    "",
    '[5]2026 január'!AG7
)</f>
        <v/>
      </c>
      <c r="AK8" s="49" t="str">
        <f>IF('[5]2026 január'!AH7=0,
    "",
    '[5]2026 január'!AH7
)</f>
        <v/>
      </c>
    </row>
    <row r="9" spans="1:38">
      <c r="A9" s="5">
        <v>46029</v>
      </c>
      <c r="B9" s="11">
        <v>394160</v>
      </c>
      <c r="C9" s="11">
        <v>100</v>
      </c>
      <c r="D9" s="11">
        <v>385160</v>
      </c>
      <c r="E9" s="11"/>
      <c r="F9" s="11">
        <v>7170</v>
      </c>
      <c r="G9" s="11"/>
      <c r="H9" s="11">
        <v>392430</v>
      </c>
      <c r="I9" s="11">
        <v>392430</v>
      </c>
      <c r="J9" s="38">
        <v>529</v>
      </c>
      <c r="K9" s="87">
        <v>127682072</v>
      </c>
      <c r="L9" s="87"/>
      <c r="M9" s="173"/>
      <c r="N9" s="170"/>
      <c r="O9" s="49"/>
      <c r="P9" s="49">
        <v>394160</v>
      </c>
      <c r="Q9" s="49">
        <f>IF(OR('[5]2026 január'!G8=0,
       ISBLANK('[5]2026 január'!G8)),
    "",
    '[5]2026 január'!G8
)</f>
        <v>394160</v>
      </c>
      <c r="R9" s="49">
        <f>'[5]2026 január'!W8</f>
        <v>0</v>
      </c>
      <c r="S9" s="49"/>
      <c r="T9" s="49"/>
      <c r="U9" s="4"/>
      <c r="V9" s="49">
        <f>IF('[5]2026 január'!S8=0,
    "",
    '[5]2026 január'!S8
)</f>
        <v>202934</v>
      </c>
      <c r="W9" s="49">
        <f>IF('[5]2026 január'!T8=0,
    "",
    '[5]2026 január'!T8
)</f>
        <v>1730</v>
      </c>
      <c r="X9" s="49" t="str">
        <f>IF('[5]2026 január'!U8=0,
    "",
    '[5]2026 január'!U8
)</f>
        <v/>
      </c>
      <c r="Y9" s="49" t="str">
        <f>IF('[5]2026 január'!V8=0,
    "",
    '[5]2026 január'!V8
)</f>
        <v/>
      </c>
      <c r="Z9" s="49" t="str">
        <f>IF('[5]2026 január'!W8=0,
    "",
    '[5]2026 január'!W8
)</f>
        <v/>
      </c>
      <c r="AA9" s="49" t="str">
        <f>IF('[5]2026 január'!X8=0,
    "",
    '[5]2026 január'!X8
)</f>
        <v/>
      </c>
      <c r="AB9" s="49">
        <f>IF('[5]2026 január'!Y8=0,
    "",
    '[5]2026 január'!Y8
)</f>
        <v>204664</v>
      </c>
      <c r="AC9" s="49" t="str">
        <f>IF('[5]2026 január'!Z8=0,
    "",
    '[5]2026 január'!Z8
)</f>
        <v/>
      </c>
      <c r="AD9" s="49" t="str">
        <f>IF('[5]2026 január'!AA8=0,
    "",
    '[5]2026 január'!AA8
)</f>
        <v/>
      </c>
      <c r="AE9" s="49" t="str">
        <f>IF('[5]2026 január'!AB8=0,
    "",
    '[5]2026 január'!AB8
)</f>
        <v/>
      </c>
      <c r="AF9" s="49" t="str">
        <f>IF('[5]2026 január'!AC8=0,
    "",
    '[5]2026 január'!AC8
)</f>
        <v/>
      </c>
      <c r="AG9" s="49" t="str">
        <f>IF('[5]2026 január'!AD8=0,
    "",
    '[5]2026 január'!AD8
)</f>
        <v/>
      </c>
      <c r="AH9" s="49" t="str">
        <f>IF('[5]2026 január'!AE8=0,
    "",
    '[5]2026 január'!AE8
)</f>
        <v/>
      </c>
      <c r="AI9" s="49" t="str">
        <f>IF('[5]2026 január'!AF8=0,
    "",
    '[5]2026 január'!AF8
)</f>
        <v/>
      </c>
      <c r="AJ9" s="49" t="str">
        <f>IF('[5]2026 január'!AG8=0,
    "",
    '[5]2026 január'!AG8
)</f>
        <v/>
      </c>
      <c r="AK9" s="49" t="str">
        <f>IF('[5]2026 január'!AH8=0,
    "",
    '[5]2026 január'!AH8
)</f>
        <v/>
      </c>
    </row>
    <row r="10" spans="1:38">
      <c r="A10" s="5">
        <v>46030</v>
      </c>
      <c r="B10" s="11">
        <v>424420</v>
      </c>
      <c r="C10" s="11">
        <v>200</v>
      </c>
      <c r="D10" s="11">
        <v>400475</v>
      </c>
      <c r="E10" s="11"/>
      <c r="F10" s="11">
        <v>9620</v>
      </c>
      <c r="G10" s="11"/>
      <c r="H10" s="11">
        <v>410295</v>
      </c>
      <c r="I10" s="11">
        <v>410295</v>
      </c>
      <c r="J10" s="38">
        <v>530</v>
      </c>
      <c r="K10" s="87">
        <v>128091367</v>
      </c>
      <c r="L10" s="87"/>
      <c r="M10" s="173"/>
      <c r="N10" s="169"/>
      <c r="O10" s="49"/>
      <c r="P10" s="49">
        <f>IF('[5]2026 január'!B$9=0,
    "",
    '[5]2026 január'!B$9
)</f>
        <v>424420</v>
      </c>
      <c r="Q10" s="49">
        <f>IF(OR('[5]2026 január'!G9=0,
       ISBLANK('[5]2026 január'!G9)),
    "",
    '[5]2026 január'!G9
)</f>
        <v>424420</v>
      </c>
      <c r="R10" s="49">
        <f>'[5]2026 január'!W9</f>
        <v>0</v>
      </c>
      <c r="S10" s="49"/>
      <c r="T10" s="49"/>
      <c r="U10" s="4"/>
      <c r="V10" s="49">
        <f>IF('[5]2026 január'!S9=0,
    "",
    '[5]2026 január'!S9
)</f>
        <v>204664</v>
      </c>
      <c r="W10" s="49">
        <f>IF('[5]2026 január'!T9=0,
    "",
    '[5]2026 január'!T9
)</f>
        <v>14125</v>
      </c>
      <c r="X10" s="49" t="str">
        <f>IF('[5]2026 január'!U9=0,
    "",
    '[5]2026 január'!U9
)</f>
        <v/>
      </c>
      <c r="Y10" s="49" t="str">
        <f>IF('[5]2026 január'!V9=0,
    "",
    '[5]2026 január'!V9
)</f>
        <v/>
      </c>
      <c r="Z10" s="49" t="str">
        <f>IF('[5]2026 január'!W9=0,
    "",
    '[5]2026 január'!W9
)</f>
        <v/>
      </c>
      <c r="AA10" s="49" t="str">
        <f>IF('[5]2026 január'!X9=0,
    "",
    '[5]2026 január'!X9
)</f>
        <v/>
      </c>
      <c r="AB10" s="49">
        <f>IF('[5]2026 január'!Y9=0,
    "",
    '[5]2026 január'!Y9
)</f>
        <v>218789</v>
      </c>
      <c r="AC10" s="49" t="str">
        <f>IF('[5]2026 január'!Z9=0,
    "",
    '[5]2026 január'!Z9
)</f>
        <v/>
      </c>
      <c r="AD10" s="49" t="str">
        <f>IF('[5]2026 január'!AA9=0,
    "",
    '[5]2026 január'!AA9
)</f>
        <v/>
      </c>
      <c r="AE10" s="49" t="str">
        <f>IF('[5]2026 január'!AB9=0,
    "",
    '[5]2026 január'!AB9
)</f>
        <v/>
      </c>
      <c r="AF10" s="49" t="str">
        <f>IF('[5]2026 január'!AC9=0,
    "",
    '[5]2026 január'!AC9
)</f>
        <v/>
      </c>
      <c r="AG10" s="49" t="str">
        <f>IF('[5]2026 január'!AD9=0,
    "",
    '[5]2026 január'!AD9
)</f>
        <v/>
      </c>
      <c r="AH10" s="49" t="str">
        <f>IF('[5]2026 január'!AE9=0,
    "",
    '[5]2026 január'!AE9
)</f>
        <v/>
      </c>
      <c r="AI10" s="49" t="str">
        <f>IF('[5]2026 január'!AF9=0,
    "",
    '[5]2026 január'!AF9
)</f>
        <v/>
      </c>
      <c r="AJ10" s="49" t="str">
        <f>IF('[5]2026 január'!AG9=0,
    "",
    '[5]2026 január'!AG9
)</f>
        <v/>
      </c>
      <c r="AK10" s="49" t="str">
        <f>IF('[5]2026 január'!AH9=0,
    "",
    '[5]2026 január'!AH9
)</f>
        <v/>
      </c>
    </row>
    <row r="11" spans="1:38">
      <c r="A11" s="5">
        <v>46031</v>
      </c>
      <c r="B11" s="11">
        <v>360200</v>
      </c>
      <c r="C11" s="11">
        <v>100</v>
      </c>
      <c r="D11" s="11">
        <v>351950</v>
      </c>
      <c r="E11" s="11"/>
      <c r="F11" s="11">
        <v>8150</v>
      </c>
      <c r="G11" s="11"/>
      <c r="H11" s="11">
        <v>360200</v>
      </c>
      <c r="I11" s="11" t="s">
        <v>274</v>
      </c>
      <c r="J11" s="38">
        <v>531</v>
      </c>
      <c r="K11" s="87">
        <v>128451567</v>
      </c>
      <c r="L11" s="87"/>
      <c r="M11" s="173"/>
      <c r="N11" s="169"/>
      <c r="O11" s="49"/>
      <c r="P11" s="49">
        <f>IF('[5]2026 január'!B$10=0,
    "",
    '[5]2026 január'!B$10
)</f>
        <v>360200</v>
      </c>
      <c r="Q11" s="49">
        <f>IF(OR('[5]2026 január'!G10=0,
       ISBLANK('[5]2026 január'!G10)),
    "",
    '[5]2026 január'!G10
)</f>
        <v>360200</v>
      </c>
      <c r="R11" s="49">
        <f>'[5]2026 január'!W10</f>
        <v>0</v>
      </c>
      <c r="S11" s="49"/>
      <c r="T11" s="49"/>
      <c r="U11" s="4"/>
      <c r="V11" s="49">
        <f>IF('[5]2026 január'!S10=0,
    "",
    '[5]2026 január'!S10
)</f>
        <v>218789</v>
      </c>
      <c r="W11" s="49" t="str">
        <f>IF('[5]2026 január'!T10=0,
    "",
    '[5]2026 január'!T10
)</f>
        <v/>
      </c>
      <c r="X11" s="49" t="str">
        <f>IF('[5]2026 január'!U10=0,
    "",
    '[5]2026 január'!U10
)</f>
        <v/>
      </c>
      <c r="Y11" s="49">
        <f>IF('[5]2026 január'!V10=0,
    "",
    '[5]2026 január'!V10
)</f>
        <v>3840</v>
      </c>
      <c r="Z11" s="49" t="str">
        <f>IF('[5]2026 január'!W10=0,
    "",
    '[5]2026 január'!W10
)</f>
        <v/>
      </c>
      <c r="AA11" s="49" t="str">
        <f>IF('[5]2026 január'!X10=0,
    "",
    '[5]2026 január'!X10
)</f>
        <v/>
      </c>
      <c r="AB11" s="49">
        <f>IF('[5]2026 január'!Y10=0,
    "",
    '[5]2026 január'!Y10
)</f>
        <v>214949</v>
      </c>
      <c r="AC11" s="49" t="str">
        <f>IF('[5]2026 január'!Z10=0,
    "",
    '[5]2026 január'!Z10
)</f>
        <v>Tesco</v>
      </c>
      <c r="AD11" s="49" t="str">
        <f>IF('[5]2026 január'!AA10=0,
    "",
    '[5]2026 január'!AA10
)</f>
        <v/>
      </c>
      <c r="AE11" s="49" t="str">
        <f>IF('[5]2026 január'!AB10=0,
    "",
    '[5]2026 január'!AB10
)</f>
        <v/>
      </c>
      <c r="AF11" s="49" t="str">
        <f>IF('[5]2026 január'!AC10=0,
    "",
    '[5]2026 január'!AC10
)</f>
        <v/>
      </c>
      <c r="AG11" s="49" t="str">
        <f>IF('[5]2026 január'!AD10=0,
    "",
    '[5]2026 január'!AD10
)</f>
        <v/>
      </c>
      <c r="AH11" s="49" t="str">
        <f>IF('[5]2026 január'!AE10=0,
    "",
    '[5]2026 január'!AE10
)</f>
        <v/>
      </c>
      <c r="AI11" s="49" t="str">
        <f>IF('[5]2026 január'!AF10=0,
    "",
    '[5]2026 január'!AF10
)</f>
        <v/>
      </c>
      <c r="AJ11" s="49" t="str">
        <f>IF('[5]2026 január'!AG10=0,
    "",
    '[5]2026 január'!AG10
)</f>
        <v/>
      </c>
      <c r="AK11" s="49" t="str">
        <f>IF('[5]2026 január'!AH10=0,
    "",
    '[5]2026 január'!AH10
)</f>
        <v/>
      </c>
    </row>
    <row r="12" spans="1:38">
      <c r="A12" s="162">
        <v>46032</v>
      </c>
      <c r="B12" s="163">
        <v>94150</v>
      </c>
      <c r="C12" s="163">
        <v>50</v>
      </c>
      <c r="D12" s="163">
        <v>86060</v>
      </c>
      <c r="E12" s="163"/>
      <c r="F12" s="163">
        <v>340</v>
      </c>
      <c r="G12" s="163"/>
      <c r="H12" s="163">
        <v>86450</v>
      </c>
      <c r="I12" s="163">
        <v>86450</v>
      </c>
      <c r="J12" s="222">
        <v>532</v>
      </c>
      <c r="K12" s="163">
        <v>128538017</v>
      </c>
      <c r="L12" s="163"/>
      <c r="M12" s="163"/>
      <c r="N12" s="163"/>
      <c r="O12" s="49"/>
      <c r="P12" s="49">
        <f>IF('[5]2026 január'!B$11=0,
    "",
    '[5]2026 január'!B$11
)</f>
        <v>94150</v>
      </c>
      <c r="Q12" s="49">
        <f>IF(OR('[5]2026 január'!G11=0,
       ISBLANK('[5]2026 január'!G11)),
    "",
    '[5]2026 január'!G11
)</f>
        <v>94150</v>
      </c>
      <c r="R12" s="49">
        <f>'[5]2026 január'!W11</f>
        <v>0</v>
      </c>
      <c r="S12" s="49"/>
      <c r="T12" s="49"/>
      <c r="U12" s="4"/>
      <c r="V12" s="49">
        <f>IF('[5]2026 január'!S11=0,
    "",
    '[5]2026 január'!S11
)</f>
        <v>214949</v>
      </c>
      <c r="W12" s="49">
        <f>IF('[5]2026 január'!T11=0,
    "",
    '[5]2026 január'!T11
)</f>
        <v>7700</v>
      </c>
      <c r="X12" s="49" t="str">
        <f>IF('[5]2026 január'!U11=0,
    "",
    '[5]2026 január'!U11
)</f>
        <v/>
      </c>
      <c r="Y12" s="49" t="str">
        <f>IF('[5]2026 január'!V11=0,
    "",
    '[5]2026 január'!V11
)</f>
        <v/>
      </c>
      <c r="Z12" s="49" t="str">
        <f>IF('[5]2026 január'!W11=0,
    "",
    '[5]2026 január'!W11
)</f>
        <v/>
      </c>
      <c r="AA12" s="49" t="str">
        <f>IF('[5]2026 január'!X11=0,
    "",
    '[5]2026 január'!X11
)</f>
        <v/>
      </c>
      <c r="AB12" s="49">
        <f>IF('[5]2026 január'!Y11=0,
    "",
    '[5]2026 január'!Y11
)</f>
        <v>222649</v>
      </c>
      <c r="AC12" s="49" t="str">
        <f>IF('[5]2026 január'!Z11=0,
    "",
    '[5]2026 január'!Z11
)</f>
        <v/>
      </c>
      <c r="AD12" s="49" t="str">
        <f>IF('[5]2026 január'!AA11=0,
    "",
    '[5]2026 január'!AA11
)</f>
        <v/>
      </c>
      <c r="AE12" s="49" t="str">
        <f>IF('[5]2026 január'!AB11=0,
    "",
    '[5]2026 január'!AB11
)</f>
        <v/>
      </c>
      <c r="AF12" s="49" t="str">
        <f>IF('[5]2026 január'!AC11=0,
    "",
    '[5]2026 január'!AC11
)</f>
        <v/>
      </c>
      <c r="AG12" s="49" t="str">
        <f>IF('[5]2026 január'!AD11=0,
    "",
    '[5]2026 január'!AD11
)</f>
        <v/>
      </c>
      <c r="AH12" s="49" t="str">
        <f>IF('[5]2026 január'!AE11=0,
    "",
    '[5]2026 január'!AE11
)</f>
        <v/>
      </c>
      <c r="AI12" s="49" t="str">
        <f>IF('[5]2026 január'!AF11=0,
    "",
    '[5]2026 január'!AF11
)</f>
        <v/>
      </c>
      <c r="AJ12" s="49" t="str">
        <f>IF('[5]2026 január'!AG11=0,
    "",
    '[5]2026 január'!AG11
)</f>
        <v/>
      </c>
      <c r="AK12" s="49" t="str">
        <f>IF('[5]2026 január'!AH11=0,
    "",
    '[5]2026 január'!AH11
)</f>
        <v/>
      </c>
    </row>
    <row r="13" spans="1:38">
      <c r="A13" s="162">
        <v>46033</v>
      </c>
      <c r="B13" s="163"/>
      <c r="C13" s="163"/>
      <c r="D13" s="163"/>
      <c r="E13" s="163"/>
      <c r="F13" s="163"/>
      <c r="G13" s="163"/>
      <c r="H13" s="163"/>
      <c r="I13" s="163"/>
      <c r="J13" s="222"/>
      <c r="K13" s="167"/>
      <c r="L13" s="167"/>
      <c r="M13" s="172"/>
      <c r="N13" s="174"/>
      <c r="O13" s="49"/>
      <c r="P13" s="49" t="str">
        <f>IF('[5]2026 január'!B$12=0,
    "",
    '[5]2026 január'!B$12
)</f>
        <v/>
      </c>
      <c r="Q13" s="49" t="str">
        <f>IF(OR('[5]2026 január'!G12=0,
       ISBLANK('[5]2026 január'!G12)),
    "",
    '[5]2026 január'!G12
)</f>
        <v/>
      </c>
      <c r="R13" s="49">
        <f>'[5]2026 január'!W12</f>
        <v>0</v>
      </c>
      <c r="S13" s="49"/>
      <c r="T13" s="49"/>
      <c r="U13" s="4"/>
      <c r="V13" s="49">
        <f>IF('[5]2026 január'!S12=0,
    "",
    '[5]2026 január'!S12
)</f>
        <v>222649</v>
      </c>
      <c r="W13" s="49" t="str">
        <f>IF('[5]2026 január'!T12=0,
    "",
    '[5]2026 január'!T12
)</f>
        <v/>
      </c>
      <c r="X13" s="49" t="str">
        <f>IF('[5]2026 január'!U12=0,
    "",
    '[5]2026 január'!U12
)</f>
        <v/>
      </c>
      <c r="Y13" s="49" t="str">
        <f>IF('[5]2026 január'!V12=0,
    "",
    '[5]2026 január'!V12
)</f>
        <v/>
      </c>
      <c r="Z13" s="49" t="str">
        <f>IF('[5]2026 január'!W12=0,
    "",
    '[5]2026 január'!W12
)</f>
        <v/>
      </c>
      <c r="AA13" s="49" t="str">
        <f>IF('[5]2026 január'!X12=0,
    "",
    '[5]2026 január'!X12
)</f>
        <v/>
      </c>
      <c r="AB13" s="49">
        <f>IF('[5]2026 január'!Y12=0,
    "",
    '[5]2026 január'!Y12
)</f>
        <v>222649</v>
      </c>
      <c r="AC13" s="49" t="str">
        <f>IF('[5]2026 január'!Z12=0,
    "",
    '[5]2026 január'!Z12
)</f>
        <v/>
      </c>
      <c r="AD13" s="49" t="str">
        <f>IF('[5]2026 január'!AA12=0,
    "",
    '[5]2026 január'!AA12
)</f>
        <v/>
      </c>
      <c r="AE13" s="49" t="str">
        <f>IF('[5]2026 január'!AB12=0,
    "",
    '[5]2026 január'!AB12
)</f>
        <v/>
      </c>
      <c r="AF13" s="49" t="str">
        <f>IF('[5]2026 január'!AC12=0,
    "",
    '[5]2026 január'!AC12
)</f>
        <v/>
      </c>
      <c r="AG13" s="49" t="str">
        <f>IF('[5]2026 január'!AD12=0,
    "",
    '[5]2026 január'!AD12
)</f>
        <v/>
      </c>
      <c r="AH13" s="49" t="str">
        <f>IF('[5]2026 január'!AE12=0,
    "",
    '[5]2026 január'!AE12
)</f>
        <v/>
      </c>
      <c r="AI13" s="49" t="str">
        <f>IF('[5]2026 január'!AF12=0,
    "",
    '[5]2026 január'!AF12
)</f>
        <v/>
      </c>
      <c r="AJ13" s="49" t="str">
        <f>IF('[5]2026 január'!AG12=0,
    "",
    '[5]2026 január'!AG12
)</f>
        <v/>
      </c>
      <c r="AK13" s="49" t="str">
        <f>IF('[5]2026 január'!AH12=0,
    "",
    '[5]2026 január'!AH12
)</f>
        <v/>
      </c>
    </row>
    <row r="14" spans="1:38">
      <c r="A14" s="5">
        <v>46034</v>
      </c>
      <c r="B14" s="11">
        <v>370915</v>
      </c>
      <c r="C14" s="11">
        <v>200</v>
      </c>
      <c r="D14" s="11">
        <v>345405</v>
      </c>
      <c r="E14" s="11"/>
      <c r="F14" s="11">
        <v>10390</v>
      </c>
      <c r="G14" s="11"/>
      <c r="H14" s="11">
        <v>355995</v>
      </c>
      <c r="I14" s="11">
        <v>355995</v>
      </c>
      <c r="J14" s="38">
        <v>533</v>
      </c>
      <c r="K14" s="87">
        <v>128894012</v>
      </c>
      <c r="L14" s="87"/>
      <c r="M14" s="173"/>
      <c r="N14" s="169"/>
      <c r="O14" s="49"/>
      <c r="P14" s="49">
        <f>IF('[5]2026 január'!B$13=0,
    "",
    '[5]2026 január'!B$13
)</f>
        <v>356155</v>
      </c>
      <c r="Q14" s="49">
        <f>IF(OR('[5]2026 január'!G13=0,
       ISBLANK('[5]2026 január'!G13)),
    "",
    '[5]2026 január'!G13
)</f>
        <v>356155</v>
      </c>
      <c r="R14" s="49">
        <f>'[5]2026 január'!W13</f>
        <v>0</v>
      </c>
      <c r="S14" s="49"/>
      <c r="T14" s="49"/>
      <c r="U14" s="4"/>
      <c r="V14" s="49">
        <f>IF('[5]2026 január'!S13=0,
    "",
    '[5]2026 január'!S13
)</f>
        <v>222649</v>
      </c>
      <c r="W14" s="49">
        <f>IF('[5]2026 január'!T13=0,
    "",
    '[5]2026 január'!T13
)</f>
        <v>160</v>
      </c>
      <c r="X14" s="49" t="str">
        <f>IF('[5]2026 január'!U13=0,
    "",
    '[5]2026 január'!U13
)</f>
        <v/>
      </c>
      <c r="Y14" s="49" t="str">
        <f>IF('[5]2026 január'!V13=0,
    "",
    '[5]2026 január'!V13
)</f>
        <v/>
      </c>
      <c r="Z14" s="49" t="str">
        <f>IF('[5]2026 január'!W13=0,
    "",
    '[5]2026 január'!W13
)</f>
        <v/>
      </c>
      <c r="AA14" s="49" t="str">
        <f>IF('[5]2026 január'!X13=0,
    "",
    '[5]2026 január'!X13
)</f>
        <v/>
      </c>
      <c r="AB14" s="49">
        <f>IF('[5]2026 január'!Y13=0,
    "",
    '[5]2026 január'!Y13
)</f>
        <v>222809</v>
      </c>
      <c r="AC14" s="49" t="str">
        <f>IF('[5]2026 január'!Z13=0,
    "",
    '[5]2026 január'!Z13
)</f>
        <v/>
      </c>
      <c r="AD14" s="49" t="str">
        <f>IF('[5]2026 január'!AA13=0,
    "",
    '[5]2026 január'!AA13
)</f>
        <v/>
      </c>
      <c r="AE14" s="49" t="str">
        <f>IF('[5]2026 január'!AB13=0,
    "",
    '[5]2026 január'!AB13
)</f>
        <v/>
      </c>
      <c r="AF14" s="49" t="str">
        <f>IF('[5]2026 január'!AC13=0,
    "",
    '[5]2026 január'!AC13
)</f>
        <v/>
      </c>
      <c r="AG14" s="49" t="str">
        <f>IF('[5]2026 január'!AD13=0,
    "",
    '[5]2026 január'!AD13
)</f>
        <v/>
      </c>
      <c r="AH14" s="49" t="str">
        <f>IF('[5]2026 január'!AE13=0,
    "",
    '[5]2026 január'!AE13
)</f>
        <v/>
      </c>
      <c r="AI14" s="49" t="str">
        <f>IF('[5]2026 január'!AF13=0,
    "",
    '[5]2026 január'!AF13
)</f>
        <v/>
      </c>
      <c r="AJ14" s="49" t="str">
        <f>IF('[5]2026 január'!AG13=0,
    "",
    '[5]2026 január'!AG13
)</f>
        <v/>
      </c>
      <c r="AK14" s="49" t="str">
        <f>IF('[5]2026 január'!AH13=0,
    "",
    '[5]2026 január'!AH13
)</f>
        <v/>
      </c>
    </row>
    <row r="15" spans="1:38">
      <c r="A15" s="5">
        <v>46035</v>
      </c>
      <c r="B15" s="11">
        <v>481580</v>
      </c>
      <c r="C15" s="11">
        <v>250</v>
      </c>
      <c r="D15" s="11">
        <v>399360</v>
      </c>
      <c r="E15" s="11"/>
      <c r="F15" s="11">
        <v>10790</v>
      </c>
      <c r="G15" s="11">
        <v>350</v>
      </c>
      <c r="H15" s="11">
        <v>410050</v>
      </c>
      <c r="I15" s="11">
        <v>410050</v>
      </c>
      <c r="J15" s="38">
        <v>534</v>
      </c>
      <c r="K15" s="87">
        <v>129304412</v>
      </c>
      <c r="L15" s="87"/>
      <c r="M15" s="173"/>
      <c r="N15" s="169"/>
      <c r="O15" s="49"/>
      <c r="P15" s="49">
        <f>IF('[5]2026 január'!B$14=0,
    "",
    '[5]2026 január'!B$14
)</f>
        <v>411640</v>
      </c>
      <c r="Q15" s="49">
        <f>IF(OR('[5]2026 január'!G14=0,
       ISBLANK('[5]2026 január'!G14)),
    "",
    '[5]2026 január'!G14
)</f>
        <v>411640</v>
      </c>
      <c r="R15" s="49">
        <f>'[5]2026 január'!W14</f>
        <v>0</v>
      </c>
      <c r="S15" s="49"/>
      <c r="T15" s="49"/>
      <c r="U15" s="4"/>
      <c r="V15" s="49">
        <f>IF('[5]2026 január'!S14=0,
    "",
    '[5]2026 január'!S14
)</f>
        <v>222809</v>
      </c>
      <c r="W15" s="49">
        <f>IF('[5]2026 január'!T14=0,
    "",
    '[5]2026 január'!T14
)</f>
        <v>1590</v>
      </c>
      <c r="X15" s="49" t="str">
        <f>IF('[5]2026 január'!U14=0,
    "",
    '[5]2026 január'!U14
)</f>
        <v/>
      </c>
      <c r="Y15" s="49" t="str">
        <f>IF('[5]2026 január'!V14=0,
    "",
    '[5]2026 január'!V14
)</f>
        <v/>
      </c>
      <c r="Z15" s="49" t="str">
        <f>IF('[5]2026 január'!W14=0,
    "",
    '[5]2026 január'!W14
)</f>
        <v/>
      </c>
      <c r="AA15" s="49" t="str">
        <f>IF('[5]2026 január'!X14=0,
    "",
    '[5]2026 január'!X14
)</f>
        <v/>
      </c>
      <c r="AB15" s="49">
        <f>IF('[5]2026 január'!Y14=0,
    "",
    '[5]2026 január'!Y14
)</f>
        <v>224399</v>
      </c>
      <c r="AC15" s="49" t="str">
        <f>IF('[5]2026 január'!Z14=0,
    "",
    '[5]2026 január'!Z14
)</f>
        <v/>
      </c>
      <c r="AD15" s="49" t="str">
        <f>IF('[5]2026 január'!AA14=0,
    "",
    '[5]2026 január'!AA14
)</f>
        <v/>
      </c>
      <c r="AE15" s="49" t="str">
        <f>IF('[5]2026 január'!AB14=0,
    "",
    '[5]2026 január'!AB14
)</f>
        <v/>
      </c>
      <c r="AF15" s="49" t="str">
        <f>IF('[5]2026 január'!AC14=0,
    "",
    '[5]2026 január'!AC14
)</f>
        <v/>
      </c>
      <c r="AG15" s="49" t="str">
        <f>IF('[5]2026 január'!AD14=0,
    "",
    '[5]2026 január'!AD14
)</f>
        <v/>
      </c>
      <c r="AH15" s="49" t="str">
        <f>IF('[5]2026 január'!AE14=0,
    "",
    '[5]2026 január'!AE14
)</f>
        <v/>
      </c>
      <c r="AI15" s="49" t="str">
        <f>IF('[5]2026 január'!AF14=0,
    "",
    '[5]2026 január'!AF14
)</f>
        <v/>
      </c>
      <c r="AJ15" s="49" t="str">
        <f>IF('[5]2026 január'!AG14=0,
    "",
    '[5]2026 január'!AG14
)</f>
        <v/>
      </c>
      <c r="AK15" s="49" t="str">
        <f>IF('[5]2026 január'!AH14=0,
    "",
    '[5]2026 január'!AH14
)</f>
        <v/>
      </c>
    </row>
    <row r="16" spans="1:38">
      <c r="A16" s="5">
        <v>46036</v>
      </c>
      <c r="B16" s="11">
        <v>535715</v>
      </c>
      <c r="C16" s="11">
        <v>250</v>
      </c>
      <c r="D16" s="11">
        <v>420290</v>
      </c>
      <c r="E16" s="11"/>
      <c r="F16" s="11">
        <v>13585</v>
      </c>
      <c r="G16" s="11"/>
      <c r="H16" s="11">
        <v>434125</v>
      </c>
      <c r="I16" s="11">
        <v>434125</v>
      </c>
      <c r="J16" s="38">
        <v>535</v>
      </c>
      <c r="K16" s="87">
        <v>129738537</v>
      </c>
      <c r="L16" s="87"/>
      <c r="M16" s="173"/>
      <c r="N16" s="169"/>
      <c r="O16" s="49"/>
      <c r="P16" s="49">
        <f>IF('[5]2026 január'!B$15=0,
    "",
    '[5]2026 január'!B$15
)</f>
        <v>436835</v>
      </c>
      <c r="Q16" s="49">
        <f>IF(OR('[5]2026 január'!G15=0,
       ISBLANK('[5]2026 január'!G15)),
    "",
    '[5]2026 január'!G15
)</f>
        <v>436835</v>
      </c>
      <c r="R16" s="49">
        <f>'[5]2026 január'!W15</f>
        <v>0</v>
      </c>
      <c r="S16" s="49"/>
      <c r="T16" s="49"/>
      <c r="U16" s="4"/>
      <c r="V16" s="49">
        <f>IF('[5]2026 január'!S15=0,
    "",
    '[5]2026 január'!S15
)</f>
        <v>224399</v>
      </c>
      <c r="W16" s="49">
        <f>IF('[5]2026 január'!T15=0,
    "",
    '[5]2026 január'!T15
)</f>
        <v>2710</v>
      </c>
      <c r="X16" s="49" t="str">
        <f>IF('[5]2026 január'!U15=0,
    "",
    '[5]2026 január'!U15
)</f>
        <v/>
      </c>
      <c r="Y16" s="49">
        <f>IF('[5]2026 január'!V15=0,
    "",
    '[5]2026 január'!V15
)</f>
        <v>9059</v>
      </c>
      <c r="Z16" s="49" t="str">
        <f>IF('[5]2026 január'!W15=0,
    "",
    '[5]2026 január'!W15
)</f>
        <v/>
      </c>
      <c r="AA16" s="49" t="str">
        <f>IF('[5]2026 január'!X15=0,
    "",
    '[5]2026 január'!X15
)</f>
        <v/>
      </c>
      <c r="AB16" s="49">
        <f>IF('[5]2026 január'!Y15=0,
    "",
    '[5]2026 január'!Y15
)</f>
        <v>218050</v>
      </c>
      <c r="AC16" s="49" t="str">
        <f>IF('[5]2026 január'!Z15=0,
    "",
    '[5]2026 január'!Z15
)</f>
        <v>Tesco</v>
      </c>
      <c r="AD16" s="49" t="str">
        <f>IF('[5]2026 január'!AA15=0,
    "",
    '[5]2026 január'!AA15
)</f>
        <v/>
      </c>
      <c r="AE16" s="49" t="str">
        <f>IF('[5]2026 január'!AB15=0,
    "",
    '[5]2026 január'!AB15
)</f>
        <v/>
      </c>
      <c r="AF16" s="49" t="str">
        <f>IF('[5]2026 január'!AC15=0,
    "",
    '[5]2026 január'!AC15
)</f>
        <v/>
      </c>
      <c r="AG16" s="49" t="str">
        <f>IF('[5]2026 január'!AD15=0,
    "",
    '[5]2026 január'!AD15
)</f>
        <v/>
      </c>
      <c r="AH16" s="49" t="str">
        <f>IF('[5]2026 január'!AE15=0,
    "",
    '[5]2026 január'!AE15
)</f>
        <v/>
      </c>
      <c r="AI16" s="49" t="str">
        <f>IF('[5]2026 január'!AF15=0,
    "",
    '[5]2026 január'!AF15
)</f>
        <v/>
      </c>
      <c r="AJ16" s="49" t="str">
        <f>IF('[5]2026 január'!AG15=0,
    "",
    '[5]2026 január'!AG15
)</f>
        <v/>
      </c>
      <c r="AK16" s="49" t="str">
        <f>IF('[5]2026 január'!AH15=0,
    "",
    '[5]2026 január'!AH15
)</f>
        <v/>
      </c>
    </row>
    <row r="17" spans="1:37">
      <c r="A17" s="5">
        <v>46037</v>
      </c>
      <c r="B17" s="11">
        <v>483765</v>
      </c>
      <c r="C17" s="11">
        <v>50</v>
      </c>
      <c r="D17" s="11">
        <v>365895</v>
      </c>
      <c r="E17" s="11"/>
      <c r="F17" s="11">
        <v>8315</v>
      </c>
      <c r="G17" s="11"/>
      <c r="H17" s="11">
        <v>374260</v>
      </c>
      <c r="I17" s="11">
        <v>374260</v>
      </c>
      <c r="J17" s="38">
        <v>536</v>
      </c>
      <c r="K17" s="87">
        <v>130112797</v>
      </c>
      <c r="L17" s="87"/>
      <c r="M17" s="173"/>
      <c r="N17" s="169"/>
      <c r="O17" s="49"/>
      <c r="P17" s="49">
        <f>IF('[5]2026 január'!B$16=0,
    "",
    '[5]2026 január'!B$16
)</f>
        <v>375275</v>
      </c>
      <c r="Q17" s="49">
        <f>IF(OR('[5]2026 január'!G16=0,
       ISBLANK('[5]2026 január'!G16)),
    "",
    '[5]2026 január'!G16
)</f>
        <v>375275</v>
      </c>
      <c r="R17" s="49">
        <f>'[5]2026 január'!W16</f>
        <v>0</v>
      </c>
      <c r="S17" s="49"/>
      <c r="T17" s="49"/>
      <c r="U17" s="4"/>
      <c r="V17" s="49">
        <f>IF('[5]2026 január'!S16=0,
    "",
    '[5]2026 január'!S16
)</f>
        <v>218050</v>
      </c>
      <c r="W17" s="49">
        <f>IF('[5]2026 január'!T16=0,
    "",
    '[5]2026 január'!T16
)</f>
        <v>1015</v>
      </c>
      <c r="X17" s="49" t="str">
        <f>IF('[5]2026 január'!U16=0,
    "",
    '[5]2026 január'!U16
)</f>
        <v/>
      </c>
      <c r="Y17" s="49">
        <f>IF('[5]2026 január'!V16=0,
    "",
    '[5]2026 január'!V16
)</f>
        <v>3826</v>
      </c>
      <c r="Z17" s="49" t="str">
        <f>IF('[5]2026 január'!W16=0,
    "",
    '[5]2026 január'!W16
)</f>
        <v/>
      </c>
      <c r="AA17" s="49" t="str">
        <f>IF('[5]2026 január'!X16=0,
    "",
    '[5]2026 január'!X16
)</f>
        <v/>
      </c>
      <c r="AB17" s="49">
        <f>IF('[5]2026 január'!Y16=0,
    "",
    '[5]2026 január'!Y16
)</f>
        <v>215239</v>
      </c>
      <c r="AC17" s="49" t="str">
        <f>IF('[5]2026 január'!Z16=0,
    "",
    '[5]2026 január'!Z16
)</f>
        <v>Tesco</v>
      </c>
      <c r="AD17" s="49" t="str">
        <f>IF('[5]2026 január'!AA16=0,
    "",
    '[5]2026 január'!AA16
)</f>
        <v/>
      </c>
      <c r="AE17" s="49" t="str">
        <f>IF('[5]2026 január'!AB16=0,
    "",
    '[5]2026 január'!AB16
)</f>
        <v/>
      </c>
      <c r="AF17" s="49" t="str">
        <f>IF('[5]2026 január'!AC16=0,
    "",
    '[5]2026 január'!AC16
)</f>
        <v/>
      </c>
      <c r="AG17" s="49" t="str">
        <f>IF('[5]2026 január'!AD16=0,
    "",
    '[5]2026 január'!AD16
)</f>
        <v/>
      </c>
      <c r="AH17" s="49" t="str">
        <f>IF('[5]2026 január'!AE16=0,
    "",
    '[5]2026 január'!AE16
)</f>
        <v/>
      </c>
      <c r="AI17" s="49" t="str">
        <f>IF('[5]2026 január'!AF16=0,
    "",
    '[5]2026 január'!AF16
)</f>
        <v/>
      </c>
      <c r="AJ17" s="49" t="str">
        <f>IF('[5]2026 január'!AG16=0,
    "",
    '[5]2026 január'!AG16
)</f>
        <v/>
      </c>
      <c r="AK17" s="49" t="str">
        <f>IF('[5]2026 január'!AH16=0,
    "",
    '[5]2026 január'!AH16
)</f>
        <v/>
      </c>
    </row>
    <row r="18" spans="1:37">
      <c r="A18" s="5">
        <v>46038</v>
      </c>
      <c r="B18" s="11">
        <v>326580</v>
      </c>
      <c r="C18" s="11">
        <v>100</v>
      </c>
      <c r="D18" s="11">
        <v>311260</v>
      </c>
      <c r="E18" s="11"/>
      <c r="F18" s="11">
        <v>12535</v>
      </c>
      <c r="G18" s="11"/>
      <c r="H18" s="11">
        <v>323895</v>
      </c>
      <c r="I18" s="11">
        <v>323895</v>
      </c>
      <c r="J18" s="38">
        <v>537</v>
      </c>
      <c r="K18" s="87">
        <v>130436692</v>
      </c>
      <c r="L18" s="87"/>
      <c r="M18" s="173"/>
      <c r="N18" s="169"/>
      <c r="O18" s="49"/>
      <c r="P18" s="49">
        <f>IF('[5]2026 január'!B$17=0,
    "",
    '[5]2026 január'!B$17
)</f>
        <v>326580</v>
      </c>
      <c r="Q18" s="49">
        <f>IF(OR('[5]2026 január'!G17=0,
       ISBLANK('[5]2026 január'!G17)),
    "",
    '[5]2026 január'!G17
)</f>
        <v>326580</v>
      </c>
      <c r="R18" s="49">
        <f>'[5]2026 január'!W17</f>
        <v>0</v>
      </c>
      <c r="S18" s="49"/>
      <c r="T18" s="49"/>
      <c r="U18" s="4"/>
      <c r="V18" s="49">
        <f>IF('[5]2026 január'!S17=0,
    "",
    '[5]2026 január'!S17
)</f>
        <v>215239</v>
      </c>
      <c r="W18" s="49">
        <f>IF('[5]2026 január'!T17=0,
    "",
    '[5]2026 január'!T17
)</f>
        <v>2685</v>
      </c>
      <c r="X18" s="49" t="str">
        <f>IF('[5]2026 január'!U17=0,
    "",
    '[5]2026 január'!U17
)</f>
        <v/>
      </c>
      <c r="Y18" s="49" t="str">
        <f>IF('[5]2026 január'!V17=0,
    "",
    '[5]2026 január'!V17
)</f>
        <v/>
      </c>
      <c r="Z18" s="49" t="str">
        <f>IF('[5]2026 január'!W17=0,
    "",
    '[5]2026 január'!W17
)</f>
        <v/>
      </c>
      <c r="AA18" s="49" t="str">
        <f>IF('[5]2026 január'!X17=0,
    "",
    '[5]2026 január'!X17
)</f>
        <v/>
      </c>
      <c r="AB18" s="49">
        <f>IF('[5]2026 január'!Y17=0,
    "",
    '[5]2026 január'!Y17
)</f>
        <v>217924</v>
      </c>
      <c r="AC18" s="49" t="str">
        <f>IF('[5]2026 január'!Z17=0,
    "",
    '[5]2026 január'!Z17
)</f>
        <v/>
      </c>
      <c r="AD18" s="49" t="str">
        <f>IF('[5]2026 január'!AA17=0,
    "",
    '[5]2026 január'!AA17
)</f>
        <v/>
      </c>
      <c r="AE18" s="49" t="str">
        <f>IF('[5]2026 január'!AB17=0,
    "",
    '[5]2026 január'!AB17
)</f>
        <v/>
      </c>
      <c r="AF18" s="49" t="str">
        <f>IF('[5]2026 január'!AC17=0,
    "",
    '[5]2026 január'!AC17
)</f>
        <v/>
      </c>
      <c r="AG18" s="49" t="str">
        <f>IF('[5]2026 január'!AD17=0,
    "",
    '[5]2026 január'!AD17
)</f>
        <v/>
      </c>
      <c r="AH18" s="49" t="str">
        <f>IF('[5]2026 január'!AE17=0,
    "",
    '[5]2026 január'!AE17
)</f>
        <v/>
      </c>
      <c r="AI18" s="49" t="str">
        <f>IF('[5]2026 január'!AF17=0,
    "",
    '[5]2026 január'!AF17
)</f>
        <v/>
      </c>
      <c r="AJ18" s="49" t="str">
        <f>IF('[5]2026 január'!AG17=0,
    "",
    '[5]2026 január'!AG17
)</f>
        <v/>
      </c>
      <c r="AK18" s="49" t="str">
        <f>IF('[5]2026 január'!AH17=0,
    "",
    '[5]2026 január'!AH17
)</f>
        <v/>
      </c>
    </row>
    <row r="19" spans="1:37">
      <c r="A19" s="162">
        <v>46039</v>
      </c>
      <c r="B19" s="163"/>
      <c r="C19" s="163"/>
      <c r="D19" s="163"/>
      <c r="E19" s="163"/>
      <c r="F19" s="163"/>
      <c r="G19" s="163"/>
      <c r="H19" s="163"/>
      <c r="I19" s="163"/>
      <c r="J19" s="222"/>
      <c r="K19" s="167"/>
      <c r="L19" s="167"/>
      <c r="M19" s="172"/>
      <c r="N19" s="174"/>
      <c r="O19" s="49"/>
      <c r="P19" s="49" t="str">
        <f>IF('[5]2026 január'!B$18=0,
    "",
    '[5]2026 január'!B$18
)</f>
        <v/>
      </c>
      <c r="Q19" s="49" t="str">
        <f>IF(OR('[5]2026 január'!G18=0,
       ISBLANK('[5]2026 január'!G18)),
    "",
    '[5]2026 január'!G18
)</f>
        <v/>
      </c>
      <c r="R19" s="49">
        <f>'[5]2026 január'!W18</f>
        <v>0</v>
      </c>
      <c r="S19" s="49"/>
      <c r="T19" s="49"/>
      <c r="U19" s="4"/>
      <c r="V19" s="49">
        <f>IF('[5]2026 január'!S18=0,
    "",
    '[5]2026 január'!S18
)</f>
        <v>217924</v>
      </c>
      <c r="W19" s="49" t="str">
        <f>IF('[5]2026 január'!T18=0,
    "",
    '[5]2026 január'!T18
)</f>
        <v/>
      </c>
      <c r="X19" s="49" t="str">
        <f>IF('[5]2026 január'!U18=0,
    "",
    '[5]2026 január'!U18
)</f>
        <v/>
      </c>
      <c r="Y19" s="49" t="str">
        <f>IF('[5]2026 január'!V18=0,
    "",
    '[5]2026 január'!V18
)</f>
        <v/>
      </c>
      <c r="Z19" s="49" t="str">
        <f>IF('[5]2026 január'!W18=0,
    "",
    '[5]2026 január'!W18
)</f>
        <v/>
      </c>
      <c r="AA19" s="49" t="str">
        <f>IF('[5]2026 január'!X18=0,
    "",
    '[5]2026 január'!X18
)</f>
        <v/>
      </c>
      <c r="AB19" s="49">
        <f>IF('[5]2026 január'!Y18=0,
    "",
    '[5]2026 január'!Y18
)</f>
        <v>217924</v>
      </c>
      <c r="AC19" s="49" t="str">
        <f>IF('[5]2026 január'!Z18=0,
    "",
    '[5]2026 január'!Z18
)</f>
        <v/>
      </c>
      <c r="AD19" s="49" t="str">
        <f>IF('[5]2026 január'!AA18=0,
    "",
    '[5]2026 január'!AA18
)</f>
        <v/>
      </c>
      <c r="AE19" s="49" t="str">
        <f>IF('[5]2026 január'!AB18=0,
    "",
    '[5]2026 január'!AB18
)</f>
        <v/>
      </c>
      <c r="AF19" s="49" t="str">
        <f>IF('[5]2026 január'!AC18=0,
    "",
    '[5]2026 január'!AC18
)</f>
        <v/>
      </c>
      <c r="AG19" s="49" t="str">
        <f>IF('[5]2026 január'!AD18=0,
    "",
    '[5]2026 január'!AD18
)</f>
        <v/>
      </c>
      <c r="AH19" s="49" t="str">
        <f>IF('[5]2026 január'!AE18=0,
    "",
    '[5]2026 január'!AE18
)</f>
        <v/>
      </c>
      <c r="AI19" s="49" t="str">
        <f>IF('[5]2026 január'!AF18=0,
    "",
    '[5]2026 január'!AF18
)</f>
        <v/>
      </c>
      <c r="AJ19" s="49" t="str">
        <f>IF('[5]2026 január'!AG18=0,
    "",
    '[5]2026 január'!AG18
)</f>
        <v/>
      </c>
      <c r="AK19" s="49" t="str">
        <f>IF('[5]2026 január'!AH18=0,
    "",
    '[5]2026 január'!AH18
)</f>
        <v/>
      </c>
    </row>
    <row r="20" spans="1:37">
      <c r="A20" s="162">
        <v>46040</v>
      </c>
      <c r="B20" s="163"/>
      <c r="C20" s="163"/>
      <c r="D20" s="163"/>
      <c r="E20" s="163"/>
      <c r="F20" s="163"/>
      <c r="G20" s="163"/>
      <c r="H20" s="163"/>
      <c r="I20" s="163"/>
      <c r="J20" s="222"/>
      <c r="K20" s="167"/>
      <c r="L20" s="167"/>
      <c r="M20" s="172"/>
      <c r="N20" s="174"/>
      <c r="O20" s="49"/>
      <c r="P20" s="49" t="str">
        <f>IF('[5]2026 január'!B$19=0,
    "",
    '[5]2026 január'!B$19
)</f>
        <v/>
      </c>
      <c r="Q20" s="49" t="str">
        <f>IF(OR('[5]2026 január'!G19=0,
       ISBLANK('[5]2026 január'!G19)),
    "",
    '[5]2026 január'!G19
)</f>
        <v/>
      </c>
      <c r="R20" s="49">
        <f>'[5]2026 január'!W19</f>
        <v>0</v>
      </c>
      <c r="S20" s="49"/>
      <c r="T20" s="49"/>
      <c r="U20" s="4"/>
      <c r="V20" s="49">
        <f>IF('[5]2026 január'!S19=0,
    "",
    '[5]2026 január'!S19
)</f>
        <v>217924</v>
      </c>
      <c r="W20" s="49" t="str">
        <f>IF('[5]2026 január'!T19=0,
    "",
    '[5]2026 január'!T19
)</f>
        <v/>
      </c>
      <c r="X20" s="49" t="str">
        <f>IF('[5]2026 január'!U19=0,
    "",
    '[5]2026 január'!U19
)</f>
        <v/>
      </c>
      <c r="Y20" s="49" t="str">
        <f>IF('[5]2026 január'!V19=0,
    "",
    '[5]2026 január'!V19
)</f>
        <v/>
      </c>
      <c r="Z20" s="49" t="str">
        <f>IF('[5]2026 január'!W19=0,
    "",
    '[5]2026 január'!W19
)</f>
        <v/>
      </c>
      <c r="AA20" s="49" t="str">
        <f>IF('[5]2026 január'!X19=0,
    "",
    '[5]2026 január'!X19
)</f>
        <v/>
      </c>
      <c r="AB20" s="49">
        <f>IF('[5]2026 január'!Y19=0,
    "",
    '[5]2026 január'!Y19
)</f>
        <v>217924</v>
      </c>
      <c r="AC20" s="49" t="str">
        <f>IF('[5]2026 január'!Z19=0,
    "",
    '[5]2026 január'!Z19
)</f>
        <v/>
      </c>
      <c r="AD20" s="49" t="str">
        <f>IF('[5]2026 január'!AA19=0,
    "",
    '[5]2026 január'!AA19
)</f>
        <v/>
      </c>
      <c r="AE20" s="49" t="str">
        <f>IF('[5]2026 január'!AB19=0,
    "",
    '[5]2026 január'!AB19
)</f>
        <v/>
      </c>
      <c r="AF20" s="49" t="str">
        <f>IF('[5]2026 január'!AC19=0,
    "",
    '[5]2026 január'!AC19
)</f>
        <v/>
      </c>
      <c r="AG20" s="49" t="str">
        <f>IF('[5]2026 január'!AD19=0,
    "",
    '[5]2026 január'!AD19
)</f>
        <v/>
      </c>
      <c r="AH20" s="49" t="str">
        <f>IF('[5]2026 január'!AE19=0,
    "",
    '[5]2026 január'!AE19
)</f>
        <v/>
      </c>
      <c r="AI20" s="49" t="str">
        <f>IF('[5]2026 január'!AF19=0,
    "",
    '[5]2026 január'!AF19
)</f>
        <v/>
      </c>
      <c r="AJ20" s="49" t="str">
        <f>IF('[5]2026 január'!AG19=0,
    "",
    '[5]2026 január'!AG19
)</f>
        <v/>
      </c>
      <c r="AK20" s="49" t="str">
        <f>IF('[5]2026 január'!AH19=0,
    "",
    '[5]2026 január'!AH19
)</f>
        <v/>
      </c>
    </row>
    <row r="21" spans="1:37">
      <c r="A21" s="5">
        <v>46041</v>
      </c>
      <c r="B21" s="11">
        <v>364185</v>
      </c>
      <c r="C21" s="11">
        <v>100</v>
      </c>
      <c r="D21" s="11">
        <v>346675</v>
      </c>
      <c r="E21" s="11"/>
      <c r="F21" s="11">
        <v>14040</v>
      </c>
      <c r="G21" s="11"/>
      <c r="H21" s="11">
        <v>360815</v>
      </c>
      <c r="I21" s="11">
        <v>360815</v>
      </c>
      <c r="J21" s="38">
        <v>538</v>
      </c>
      <c r="K21" s="87">
        <v>130797507</v>
      </c>
      <c r="L21" s="87"/>
      <c r="M21" s="173"/>
      <c r="N21" s="169"/>
      <c r="O21" s="49"/>
      <c r="P21" s="49">
        <f>IF('[5]2026 január'!B$20=0,
    "",
    '[5]2026 január'!B$20
)</f>
        <v>364185</v>
      </c>
      <c r="Q21" s="49">
        <f>IF(OR('[5]2026 január'!G20=0,
       ISBLANK('[5]2026 január'!G20)),
    "",
    '[5]2026 január'!G20
)</f>
        <v>364185</v>
      </c>
      <c r="R21" s="49">
        <f>'[5]2026 január'!W20</f>
        <v>0</v>
      </c>
      <c r="S21" s="49"/>
      <c r="T21" s="49"/>
      <c r="U21" s="4"/>
      <c r="V21" s="49">
        <f>IF('[5]2026 január'!S20=0,
    "",
    '[5]2026 január'!S20
)</f>
        <v>217924</v>
      </c>
      <c r="W21" s="49">
        <f>IF('[5]2026 január'!T20=0,
    "",
    '[5]2026 január'!T20
)</f>
        <v>3370</v>
      </c>
      <c r="X21" s="49" t="str">
        <f>IF('[5]2026 január'!U20=0,
    "",
    '[5]2026 január'!U20
)</f>
        <v/>
      </c>
      <c r="Y21" s="49" t="str">
        <f>IF('[5]2026 január'!V20=0,
    "",
    '[5]2026 január'!V20
)</f>
        <v/>
      </c>
      <c r="Z21" s="49" t="str">
        <f>IF('[5]2026 január'!W20=0,
    "",
    '[5]2026 január'!W20
)</f>
        <v/>
      </c>
      <c r="AA21" s="49" t="str">
        <f>IF('[5]2026 január'!X20=0,
    "",
    '[5]2026 január'!X20
)</f>
        <v/>
      </c>
      <c r="AB21" s="49">
        <f>IF('[5]2026 január'!Y20=0,
    "",
    '[5]2026 január'!Y20
)</f>
        <v>221294</v>
      </c>
      <c r="AC21" s="49" t="str">
        <f>IF('[5]2026 január'!Z20=0,
    "",
    '[5]2026 január'!Z20
)</f>
        <v/>
      </c>
      <c r="AD21" s="49" t="str">
        <f>IF('[5]2026 január'!AA20=0,
    "",
    '[5]2026 január'!AA20
)</f>
        <v/>
      </c>
      <c r="AE21" s="49" t="str">
        <f>IF('[5]2026 január'!AB20=0,
    "",
    '[5]2026 január'!AB20
)</f>
        <v/>
      </c>
      <c r="AF21" s="49" t="str">
        <f>IF('[5]2026 január'!AC20=0,
    "",
    '[5]2026 január'!AC20
)</f>
        <v/>
      </c>
      <c r="AG21" s="49" t="str">
        <f>IF('[5]2026 január'!AD20=0,
    "",
    '[5]2026 január'!AD20
)</f>
        <v/>
      </c>
      <c r="AH21" s="49" t="str">
        <f>IF('[5]2026 január'!AE20=0,
    "",
    '[5]2026 január'!AE20
)</f>
        <v/>
      </c>
      <c r="AI21" s="49" t="str">
        <f>IF('[5]2026 január'!AF20=0,
    "",
    '[5]2026 január'!AF20
)</f>
        <v/>
      </c>
      <c r="AJ21" s="49" t="str">
        <f>IF('[5]2026 január'!AG20=0,
    "",
    '[5]2026 január'!AG20
)</f>
        <v/>
      </c>
      <c r="AK21" s="49" t="str">
        <f>IF('[5]2026 január'!AH20=0,
    "",
    '[5]2026 január'!AH20
)</f>
        <v/>
      </c>
    </row>
    <row r="22" spans="1:37">
      <c r="A22" s="5">
        <v>46042</v>
      </c>
      <c r="B22" s="11">
        <v>427290</v>
      </c>
      <c r="C22" s="11">
        <v>350</v>
      </c>
      <c r="D22" s="11">
        <v>403520</v>
      </c>
      <c r="E22" s="11"/>
      <c r="F22" s="11">
        <v>12780</v>
      </c>
      <c r="G22" s="11"/>
      <c r="H22" s="11">
        <v>416650</v>
      </c>
      <c r="I22" s="11">
        <v>416650</v>
      </c>
      <c r="J22" s="38" t="s">
        <v>275</v>
      </c>
      <c r="K22" s="87">
        <v>131214157</v>
      </c>
      <c r="L22" s="87"/>
      <c r="M22" s="173"/>
      <c r="N22" s="169"/>
      <c r="O22" s="49"/>
      <c r="P22" s="49">
        <v>427290</v>
      </c>
      <c r="Q22" s="49">
        <f>IF(OR('[5]2026 január'!G21=0,
       ISBLANK('[5]2026 január'!G21)),
    "",
    '[5]2026 január'!G21
)</f>
        <v>427290</v>
      </c>
      <c r="R22" s="49">
        <f>'[5]2026 január'!W21</f>
        <v>0</v>
      </c>
      <c r="S22" s="49"/>
      <c r="T22" s="49"/>
      <c r="U22" s="4"/>
      <c r="V22" s="49">
        <f>IF('[5]2026 január'!S21=0,
    "",
    '[5]2026 január'!S21
)</f>
        <v>221294</v>
      </c>
      <c r="W22" s="49">
        <f>IF('[5]2026 január'!T21=0,
    "",
    '[5]2026 január'!T21
)</f>
        <v>10640</v>
      </c>
      <c r="X22" s="49" t="str">
        <f>IF('[5]2026 január'!U21=0,
    "",
    '[5]2026 január'!U21
)</f>
        <v/>
      </c>
      <c r="Y22" s="49">
        <f>IF('[5]2026 január'!V21=0,
    "",
    '[5]2026 január'!V21
)</f>
        <v>14000</v>
      </c>
      <c r="Z22" s="49" t="str">
        <f>IF('[5]2026 január'!W21=0,
    "",
    '[5]2026 január'!W21
)</f>
        <v/>
      </c>
      <c r="AA22" s="49" t="str">
        <f>IF('[5]2026 január'!X21=0,
    "",
    '[5]2026 január'!X21
)</f>
        <v/>
      </c>
      <c r="AB22" s="49">
        <f>IF('[5]2026 január'!Y21=0,
    "",
    '[5]2026 január'!Y21
)</f>
        <v>217934</v>
      </c>
      <c r="AC22" s="49" t="str">
        <f>IF('[5]2026 január'!Z21=0,
    "",
    '[5]2026 január'!Z21
)</f>
        <v>Lőrinczy Ágnes EFO</v>
      </c>
      <c r="AD22" s="49" t="str">
        <f>IF('[5]2026 január'!AA21=0,
    "",
    '[5]2026 január'!AA21
)</f>
        <v/>
      </c>
      <c r="AE22" s="49" t="str">
        <f>IF('[5]2026 január'!AB21=0,
    "",
    '[5]2026 január'!AB21
)</f>
        <v/>
      </c>
      <c r="AF22" s="49" t="str">
        <f>IF('[5]2026 január'!AC21=0,
    "",
    '[5]2026 január'!AC21
)</f>
        <v/>
      </c>
      <c r="AG22" s="49" t="str">
        <f>IF('[5]2026 január'!AD21=0,
    "",
    '[5]2026 január'!AD21
)</f>
        <v/>
      </c>
      <c r="AH22" s="49" t="str">
        <f>IF('[5]2026 január'!AE21=0,
    "",
    '[5]2026 január'!AE21
)</f>
        <v/>
      </c>
      <c r="AI22" s="49" t="str">
        <f>IF('[5]2026 január'!AF21=0,
    "",
    '[5]2026 január'!AF21
)</f>
        <v/>
      </c>
      <c r="AJ22" s="49" t="str">
        <f>IF('[5]2026 január'!AG21=0,
    "",
    '[5]2026 január'!AG21
)</f>
        <v/>
      </c>
      <c r="AK22" s="49" t="str">
        <f>IF('[5]2026 január'!AH21=0,
    "",
    '[5]2026 január'!AH21
)</f>
        <v/>
      </c>
    </row>
    <row r="23" spans="1:37">
      <c r="A23" s="5">
        <v>46043</v>
      </c>
      <c r="B23" s="11">
        <v>407055</v>
      </c>
      <c r="C23" s="11">
        <v>200</v>
      </c>
      <c r="D23" s="11">
        <v>385950</v>
      </c>
      <c r="E23" s="11"/>
      <c r="F23" s="11">
        <v>17785</v>
      </c>
      <c r="G23" s="11"/>
      <c r="H23" s="11">
        <v>403935</v>
      </c>
      <c r="I23" s="11">
        <v>403935</v>
      </c>
      <c r="J23" s="38" t="s">
        <v>276</v>
      </c>
      <c r="K23" s="87">
        <v>131618092</v>
      </c>
      <c r="L23" s="87"/>
      <c r="M23" s="173"/>
      <c r="N23" s="169"/>
      <c r="O23" s="49"/>
      <c r="P23" s="49">
        <v>407055</v>
      </c>
      <c r="Q23" s="49">
        <f>IF(OR('[5]2026 január'!G22=0,
       ISBLANK('[5]2026 január'!G22)),
    "",
    '[5]2026 január'!G22
)</f>
        <v>407055</v>
      </c>
      <c r="R23" s="49">
        <f>'[5]2026 január'!W22</f>
        <v>0</v>
      </c>
      <c r="S23" s="49"/>
      <c r="T23" s="49"/>
      <c r="U23" s="4"/>
      <c r="V23" s="49">
        <f>IF('[5]2026 január'!S22=0,
    "",
    '[5]2026 január'!S22
)</f>
        <v>217934</v>
      </c>
      <c r="W23" s="49">
        <f>IF('[5]2026 január'!T22=0,
    "",
    '[5]2026 január'!T22
)</f>
        <v>3120</v>
      </c>
      <c r="X23" s="49" t="str">
        <f>IF('[5]2026 január'!U22=0,
    "",
    '[5]2026 január'!U22
)</f>
        <v/>
      </c>
      <c r="Y23" s="49">
        <f>IF('[5]2026 január'!V22=0,
    "",
    '[5]2026 január'!V22
)</f>
        <v>28000</v>
      </c>
      <c r="Z23" s="49" t="str">
        <f>IF('[5]2026 január'!W22=0,
    "",
    '[5]2026 január'!W22
)</f>
        <v/>
      </c>
      <c r="AA23" s="49" t="str">
        <f>IF('[5]2026 január'!X22=0,
    "",
    '[5]2026 január'!X22
)</f>
        <v/>
      </c>
      <c r="AB23" s="49">
        <f>IF('[5]2026 január'!Y22=0,
    "",
    '[5]2026 január'!Y22
)</f>
        <v>193054</v>
      </c>
      <c r="AC23" s="49" t="str">
        <f>IF('[5]2026 január'!Z22=0,
    "",
    '[5]2026 január'!Z22
)</f>
        <v>Mányi Etelka EFO</v>
      </c>
      <c r="AD23" s="49" t="str">
        <f>IF('[5]2026 január'!AA22=0,
    "",
    '[5]2026 január'!AA22
)</f>
        <v>Pávolits Zsolt</v>
      </c>
      <c r="AE23" s="49" t="str">
        <f>IF('[5]2026 január'!AB22=0,
    "",
    '[5]2026 január'!AB22
)</f>
        <v/>
      </c>
      <c r="AF23" s="49" t="str">
        <f>IF('[5]2026 január'!AC22=0,
    "",
    '[5]2026 január'!AC22
)</f>
        <v/>
      </c>
      <c r="AG23" s="49" t="str">
        <f>IF('[5]2026 január'!AD22=0,
    "",
    '[5]2026 január'!AD22
)</f>
        <v/>
      </c>
      <c r="AH23" s="49" t="str">
        <f>IF('[5]2026 január'!AE22=0,
    "",
    '[5]2026 január'!AE22
)</f>
        <v/>
      </c>
      <c r="AI23" s="49" t="str">
        <f>IF('[5]2026 január'!AF22=0,
    "",
    '[5]2026 január'!AF22
)</f>
        <v/>
      </c>
      <c r="AJ23" s="49" t="str">
        <f>IF('[5]2026 január'!AG22=0,
    "",
    '[5]2026 január'!AG22
)</f>
        <v/>
      </c>
      <c r="AK23" s="49" t="str">
        <f>IF('[5]2026 január'!AH22=0,
    "",
    '[5]2026 január'!AH22
)</f>
        <v/>
      </c>
    </row>
    <row r="24" spans="1:37">
      <c r="A24" s="5">
        <v>46044</v>
      </c>
      <c r="B24" s="11">
        <v>448445</v>
      </c>
      <c r="C24" s="11">
        <v>150</v>
      </c>
      <c r="D24" s="11">
        <v>317985</v>
      </c>
      <c r="E24" s="11"/>
      <c r="F24" s="11">
        <v>7830</v>
      </c>
      <c r="G24" s="11"/>
      <c r="H24" s="91">
        <v>323875</v>
      </c>
      <c r="I24" s="91">
        <v>325965</v>
      </c>
      <c r="J24" s="38" t="s">
        <v>277</v>
      </c>
      <c r="K24" s="87">
        <v>131944057</v>
      </c>
      <c r="L24" s="87"/>
      <c r="M24" s="407">
        <v>2090</v>
      </c>
      <c r="N24" s="169" t="s">
        <v>278</v>
      </c>
      <c r="O24" s="49"/>
      <c r="P24" s="49">
        <v>448445</v>
      </c>
      <c r="Q24" s="49">
        <f>IF(OR('[5]2026 január'!G23=0,
       ISBLANK('[5]2026 január'!G23)),
    "",
    '[5]2026 január'!G23
)</f>
        <v>330805</v>
      </c>
      <c r="R24" s="49">
        <f>'[5]2026 január'!W23</f>
        <v>0</v>
      </c>
      <c r="S24" s="49"/>
      <c r="T24" s="49"/>
      <c r="U24" s="4"/>
      <c r="V24" s="49">
        <f>IF('[5]2026 január'!S23=0,
    "",
    '[5]2026 január'!S23
)</f>
        <v>193054</v>
      </c>
      <c r="W24" s="49">
        <f>IF('[5]2026 január'!T23=0,
    "",
    '[5]2026 január'!T23
)</f>
        <v>4840</v>
      </c>
      <c r="X24" s="49" t="str">
        <f>IF('[5]2026 január'!U23=0,
    "",
    '[5]2026 január'!U23
)</f>
        <v/>
      </c>
      <c r="Y24" s="49">
        <f>IF('[5]2026 január'!V23=0,
    "",
    '[5]2026 január'!V23
)</f>
        <v>32023</v>
      </c>
      <c r="Z24" s="49" t="str">
        <f>IF('[5]2026 január'!W23=0,
    "",
    '[5]2026 január'!W23
)</f>
        <v/>
      </c>
      <c r="AA24" s="49" t="str">
        <f>IF('[5]2026 január'!X23=0,
    "",
    '[5]2026 január'!X23
)</f>
        <v/>
      </c>
      <c r="AB24" s="49">
        <f>IF('[5]2026 január'!Y23=0,
    "",
    '[5]2026 január'!Y23
)</f>
        <v>165871</v>
      </c>
      <c r="AC24" s="49" t="str">
        <f>IF('[5]2026 január'!Z23=0,
    "",
    '[5]2026 január'!Z23
)</f>
        <v>Tesco</v>
      </c>
      <c r="AD24" s="49" t="str">
        <f>IF('[5]2026 január'!AA23=0,
    "",
    '[5]2026 január'!AA23
)</f>
        <v>Pávolits Zsolt</v>
      </c>
      <c r="AE24" s="49" t="str">
        <f>IF('[5]2026 január'!AB23=0,
    "",
    '[5]2026 január'!AB23
)</f>
        <v>Miski Györgyné</v>
      </c>
      <c r="AF24" s="49" t="str">
        <f>IF('[5]2026 január'!AC23=0,
    "",
    '[5]2026 január'!AC23
)</f>
        <v/>
      </c>
      <c r="AG24" s="49" t="str">
        <f>IF('[5]2026 január'!AD23=0,
    "",
    '[5]2026 január'!AD23
)</f>
        <v/>
      </c>
      <c r="AH24" s="49" t="str">
        <f>IF('[5]2026 január'!AE23=0,
    "",
    '[5]2026 január'!AE23
)</f>
        <v/>
      </c>
      <c r="AI24" s="49" t="str">
        <f>IF('[5]2026 január'!AF23=0,
    "",
    '[5]2026 január'!AF23
)</f>
        <v/>
      </c>
      <c r="AJ24" s="49" t="str">
        <f>IF('[5]2026 január'!AG23=0,
    "",
    '[5]2026 január'!AG23
)</f>
        <v/>
      </c>
      <c r="AK24" s="49" t="str">
        <f>IF('[5]2026 január'!AH23=0,
    "",
    '[5]2026 január'!AH23
)</f>
        <v/>
      </c>
    </row>
    <row r="25" spans="1:37">
      <c r="A25" s="5">
        <v>46045</v>
      </c>
      <c r="B25" s="11">
        <v>274745</v>
      </c>
      <c r="C25" s="11">
        <v>200</v>
      </c>
      <c r="D25" s="11">
        <v>268535</v>
      </c>
      <c r="E25" s="11"/>
      <c r="F25" s="11">
        <v>3560</v>
      </c>
      <c r="G25" s="11"/>
      <c r="H25" s="11">
        <v>272295</v>
      </c>
      <c r="I25" s="11">
        <v>272295</v>
      </c>
      <c r="J25" s="38" t="s">
        <v>279</v>
      </c>
      <c r="K25" s="87">
        <v>132216352</v>
      </c>
      <c r="L25" s="87"/>
      <c r="M25" s="173"/>
      <c r="N25" s="169"/>
      <c r="O25" s="49"/>
      <c r="P25" s="49">
        <v>275745</v>
      </c>
      <c r="Q25" s="49">
        <f>IF(OR('[5]2026 január'!G24=0,
       ISBLANK('[5]2026 január'!G24)),
    "",
    '[5]2026 január'!G24
)</f>
        <v>274745</v>
      </c>
      <c r="R25" s="49">
        <f>'[5]2026 január'!W24</f>
        <v>0</v>
      </c>
      <c r="S25" s="49"/>
      <c r="T25" s="49"/>
      <c r="U25" s="4"/>
      <c r="V25" s="49">
        <f>IF('[5]2026 január'!S24=0,
    "",
    '[5]2026 január'!S24
)</f>
        <v>165871</v>
      </c>
      <c r="W25" s="49">
        <f>IF('[5]2026 január'!T24=0,
    "",
    '[5]2026 január'!T24
)</f>
        <v>2450</v>
      </c>
      <c r="X25" s="49">
        <f>IF('[5]2026 január'!U24=0,
    "",
    '[5]2026 január'!U24
)</f>
        <v>3200</v>
      </c>
      <c r="Y25" s="49">
        <f>IF('[5]2026 január'!V24=0,
    "",
    '[5]2026 január'!V24
)</f>
        <v>14000</v>
      </c>
      <c r="Z25" s="49" t="str">
        <f>IF('[5]2026 január'!W24=0,
    "",
    '[5]2026 január'!W24
)</f>
        <v/>
      </c>
      <c r="AA25" s="49" t="str">
        <f>IF('[5]2026 január'!X24=0,
    "",
    '[5]2026 január'!X24
)</f>
        <v/>
      </c>
      <c r="AB25" s="49">
        <f>IF('[5]2026 január'!Y24=0,
    "",
    '[5]2026 január'!Y24
)</f>
        <v>157521</v>
      </c>
      <c r="AC25" s="49" t="str">
        <f>IF('[5]2026 január'!Z24=0,
    "",
    '[5]2026 január'!Z24
)</f>
        <v>Helit Móni</v>
      </c>
      <c r="AD25" s="49" t="str">
        <f>IF('[5]2026 január'!AA24=0,
    "",
    '[5]2026 január'!AA24
)</f>
        <v>Bodnár Józsefné</v>
      </c>
      <c r="AE25" s="49" t="str">
        <f>IF('[5]2026 január'!AB24=0,
    "",
    '[5]2026 január'!AB24
)</f>
        <v/>
      </c>
      <c r="AF25" s="49" t="str">
        <f>IF('[5]2026 január'!AC24=0,
    "",
    '[5]2026 január'!AC24
)</f>
        <v/>
      </c>
      <c r="AG25" s="49" t="str">
        <f>IF('[5]2026 január'!AD24=0,
    "",
    '[5]2026 január'!AD24
)</f>
        <v/>
      </c>
      <c r="AH25" s="49" t="str">
        <f>IF('[5]2026 január'!AE24=0,
    "",
    '[5]2026 január'!AE24
)</f>
        <v/>
      </c>
      <c r="AI25" s="49" t="str">
        <f>IF('[5]2026 január'!AF24=0,
    "",
    '[5]2026 január'!AF24
)</f>
        <v/>
      </c>
      <c r="AJ25" s="49" t="str">
        <f>IF('[5]2026 január'!AG24=0,
    "",
    '[5]2026 január'!AG24
)</f>
        <v/>
      </c>
      <c r="AK25" s="49" t="str">
        <f>IF('[5]2026 január'!AH24=0,
    "",
    '[5]2026 január'!AH24
)</f>
        <v/>
      </c>
    </row>
    <row r="26" spans="1:37">
      <c r="A26" s="162">
        <v>46046</v>
      </c>
      <c r="B26" s="163"/>
      <c r="C26" s="163"/>
      <c r="D26" s="163"/>
      <c r="E26" s="163"/>
      <c r="F26" s="163"/>
      <c r="G26" s="163"/>
      <c r="H26" s="163"/>
      <c r="I26" s="163"/>
      <c r="J26" s="222"/>
      <c r="K26" s="167"/>
      <c r="L26" s="167"/>
      <c r="M26" s="172"/>
      <c r="N26" s="174"/>
      <c r="O26" s="49"/>
      <c r="P26" s="49" t="str">
        <f>IF('[5]2026 január'!B$25=0,
    "",
    '[5]2026 január'!B$25
)</f>
        <v/>
      </c>
      <c r="Q26" s="49" t="str">
        <f>IF(OR('[5]2026 január'!G25=0,
       ISBLANK('[5]2026 január'!G25)),
    "",
    '[5]2026 január'!G25
)</f>
        <v/>
      </c>
      <c r="R26" s="49">
        <f>'[5]2026 január'!W25</f>
        <v>0</v>
      </c>
      <c r="S26" s="49"/>
      <c r="T26" s="49"/>
      <c r="U26" s="4"/>
      <c r="V26" s="49">
        <f>IF('[5]2026 január'!S25=0,
    "",
    '[5]2026 január'!S25
)</f>
        <v>157521</v>
      </c>
      <c r="W26" s="49" t="str">
        <f>IF('[5]2026 január'!T25=0,
    "",
    '[5]2026 január'!T25
)</f>
        <v/>
      </c>
      <c r="X26" s="49" t="str">
        <f>IF('[5]2026 január'!U25=0,
    "",
    '[5]2026 január'!U25
)</f>
        <v/>
      </c>
      <c r="Y26" s="49" t="str">
        <f>IF('[5]2026 január'!V25=0,
    "",
    '[5]2026 január'!V25
)</f>
        <v/>
      </c>
      <c r="Z26" s="49" t="str">
        <f>IF('[5]2026 január'!W25=0,
    "",
    '[5]2026 január'!W25
)</f>
        <v/>
      </c>
      <c r="AA26" s="49" t="str">
        <f>IF('[5]2026 január'!X25=0,
    "",
    '[5]2026 január'!X25
)</f>
        <v/>
      </c>
      <c r="AB26" s="49">
        <f>IF('[5]2026 január'!Y25=0,
    "",
    '[5]2026 január'!Y25
)</f>
        <v>157521</v>
      </c>
      <c r="AC26" s="49" t="str">
        <f>IF('[5]2026 január'!Z25=0,
    "",
    '[5]2026 január'!Z25
)</f>
        <v/>
      </c>
      <c r="AD26" s="49" t="str">
        <f>IF('[5]2026 január'!AA25=0,
    "",
    '[5]2026 január'!AA25
)</f>
        <v/>
      </c>
      <c r="AE26" s="49" t="str">
        <f>IF('[5]2026 január'!AB25=0,
    "",
    '[5]2026 január'!AB25
)</f>
        <v/>
      </c>
      <c r="AF26" s="49" t="str">
        <f>IF('[5]2026 január'!AC25=0,
    "",
    '[5]2026 január'!AC25
)</f>
        <v/>
      </c>
      <c r="AG26" s="49" t="str">
        <f>IF('[5]2026 január'!AD25=0,
    "",
    '[5]2026 január'!AD25
)</f>
        <v/>
      </c>
      <c r="AH26" s="49" t="str">
        <f>IF('[5]2026 január'!AE25=0,
    "",
    '[5]2026 január'!AE25
)</f>
        <v/>
      </c>
      <c r="AI26" s="49" t="str">
        <f>IF('[5]2026 január'!AF25=0,
    "",
    '[5]2026 január'!AF25
)</f>
        <v/>
      </c>
      <c r="AJ26" s="49" t="str">
        <f>IF('[5]2026 január'!AG25=0,
    "",
    '[5]2026 január'!AG25
)</f>
        <v/>
      </c>
      <c r="AK26" s="49" t="str">
        <f>IF('[5]2026 január'!AH25=0,
    "",
    '[5]2026 január'!AH25
)</f>
        <v/>
      </c>
    </row>
    <row r="27" spans="1:37">
      <c r="A27" s="162">
        <v>46047</v>
      </c>
      <c r="B27" s="163"/>
      <c r="C27" s="163"/>
      <c r="D27" s="163"/>
      <c r="E27" s="163"/>
      <c r="F27" s="163"/>
      <c r="G27" s="163"/>
      <c r="H27" s="163"/>
      <c r="I27" s="163"/>
      <c r="J27" s="222"/>
      <c r="K27" s="167"/>
      <c r="L27" s="167"/>
      <c r="M27" s="172"/>
      <c r="N27" s="174"/>
      <c r="O27" s="49"/>
      <c r="P27" s="49" t="str">
        <f>IF('[5]2026 január'!B$26=0,
    "",
    '[5]2026 január'!B$26
)</f>
        <v/>
      </c>
      <c r="Q27" s="49" t="str">
        <f>IF(OR('[5]2026 január'!G26=0,
       ISBLANK('[5]2026 január'!G26)),
    "",
    '[5]2026 január'!G26
)</f>
        <v/>
      </c>
      <c r="R27" s="49">
        <f>'[5]2026 január'!W26</f>
        <v>0</v>
      </c>
      <c r="S27" s="49"/>
      <c r="T27" s="49"/>
      <c r="U27" s="4"/>
      <c r="V27" s="49">
        <f>IF('[5]2026 január'!S26=0,
    "",
    '[5]2026 január'!S26
)</f>
        <v>157521</v>
      </c>
      <c r="W27" s="49" t="str">
        <f>IF('[5]2026 január'!T26=0,
    "",
    '[5]2026 január'!T26
)</f>
        <v/>
      </c>
      <c r="X27" s="49" t="str">
        <f>IF('[5]2026 január'!U26=0,
    "",
    '[5]2026 január'!U26
)</f>
        <v/>
      </c>
      <c r="Y27" s="49" t="str">
        <f>IF('[5]2026 január'!V26=0,
    "",
    '[5]2026 január'!V26
)</f>
        <v/>
      </c>
      <c r="Z27" s="49" t="str">
        <f>IF('[5]2026 január'!W26=0,
    "",
    '[5]2026 január'!W26
)</f>
        <v/>
      </c>
      <c r="AA27" s="49" t="str">
        <f>IF('[5]2026 január'!X26=0,
    "",
    '[5]2026 január'!X26
)</f>
        <v/>
      </c>
      <c r="AB27" s="49">
        <f>IF('[5]2026 január'!Y26=0,
    "",
    '[5]2026 január'!Y26
)</f>
        <v>157521</v>
      </c>
      <c r="AC27" s="49" t="str">
        <f>IF('[5]2026 január'!Z26=0,
    "",
    '[5]2026 január'!Z26
)</f>
        <v/>
      </c>
      <c r="AD27" s="49" t="str">
        <f>IF('[5]2026 január'!AA26=0,
    "",
    '[5]2026 január'!AA26
)</f>
        <v/>
      </c>
      <c r="AE27" s="49" t="str">
        <f>IF('[5]2026 január'!AB26=0,
    "",
    '[5]2026 január'!AB26
)</f>
        <v/>
      </c>
      <c r="AF27" s="49" t="str">
        <f>IF('[5]2026 január'!AC26=0,
    "",
    '[5]2026 január'!AC26
)</f>
        <v/>
      </c>
      <c r="AG27" s="49" t="str">
        <f>IF('[5]2026 január'!AD26=0,
    "",
    '[5]2026 január'!AD26
)</f>
        <v/>
      </c>
      <c r="AH27" s="49" t="str">
        <f>IF('[5]2026 január'!AE26=0,
    "",
    '[5]2026 január'!AE26
)</f>
        <v/>
      </c>
      <c r="AI27" s="49" t="str">
        <f>IF('[5]2026 január'!AF26=0,
    "",
    '[5]2026 január'!AF26
)</f>
        <v/>
      </c>
      <c r="AJ27" s="49" t="str">
        <f>IF('[5]2026 január'!AG26=0,
    "",
    '[5]2026 január'!AG26
)</f>
        <v/>
      </c>
      <c r="AK27" s="49" t="str">
        <f>IF('[5]2026 január'!AH26=0,
    "",
    '[5]2026 január'!AH26
)</f>
        <v/>
      </c>
    </row>
    <row r="28" spans="1:37">
      <c r="A28" s="5">
        <v>46048</v>
      </c>
      <c r="B28" s="11">
        <v>334670</v>
      </c>
      <c r="C28" s="11">
        <v>250</v>
      </c>
      <c r="D28" s="11">
        <v>321415</v>
      </c>
      <c r="E28" s="11"/>
      <c r="F28" s="11">
        <v>5125</v>
      </c>
      <c r="G28" s="11"/>
      <c r="H28" s="11">
        <v>326790</v>
      </c>
      <c r="I28" s="11">
        <v>326790</v>
      </c>
      <c r="J28" s="38" t="s">
        <v>280</v>
      </c>
      <c r="K28" s="87">
        <v>132543142</v>
      </c>
      <c r="L28" s="87"/>
      <c r="M28" s="173"/>
      <c r="N28" s="169"/>
      <c r="O28" s="49"/>
      <c r="P28" s="49">
        <f>IF('[5]2026 január'!B$27=0,
    "",
    '[5]2026 január'!B$27
)</f>
        <v>334670</v>
      </c>
      <c r="Q28" s="49">
        <f>IF(OR('[5]2026 január'!G27=0,
       ISBLANK('[5]2026 január'!G27)),
    "",
    '[5]2026 január'!G27
)</f>
        <v>334670</v>
      </c>
      <c r="R28" s="49">
        <f>'[5]2026 január'!W27</f>
        <v>0</v>
      </c>
      <c r="S28" s="49"/>
      <c r="T28" s="49"/>
      <c r="U28" s="4"/>
      <c r="V28" s="49">
        <f>IF('[5]2026 január'!S27=0,
    "",
    '[5]2026 január'!S27
)</f>
        <v>157521</v>
      </c>
      <c r="W28" s="49">
        <f>IF('[5]2026 január'!T27=0,
    "",
    '[5]2026 január'!T27
)</f>
        <v>7880</v>
      </c>
      <c r="X28" s="49" t="str">
        <f>IF('[5]2026 január'!U27=0,
    "",
    '[5]2026 január'!U27
)</f>
        <v/>
      </c>
      <c r="Y28" s="49">
        <f>IF('[5]2026 január'!V27=0,
    "",
    '[5]2026 január'!V27
)</f>
        <v>2080</v>
      </c>
      <c r="Z28" s="49" t="str">
        <f>IF('[5]2026 január'!W27=0,
    "",
    '[5]2026 január'!W27
)</f>
        <v/>
      </c>
      <c r="AA28" s="49" t="str">
        <f>IF('[5]2026 január'!X27=0,
    "",
    '[5]2026 január'!X27
)</f>
        <v/>
      </c>
      <c r="AB28" s="49">
        <f>IF('[5]2026 január'!Y27=0,
    "",
    '[5]2026 január'!Y27
)</f>
        <v>163321</v>
      </c>
      <c r="AC28" s="49" t="str">
        <f>IF('[5]2026 január'!Z27=0,
    "",
    '[5]2026 január'!Z27
)</f>
        <v>Tesco</v>
      </c>
      <c r="AD28" s="49" t="str">
        <f>IF('[5]2026 január'!AA27=0,
    "",
    '[5]2026 január'!AA27
)</f>
        <v/>
      </c>
      <c r="AE28" s="49" t="str">
        <f>IF('[5]2026 január'!AB27=0,
    "",
    '[5]2026 január'!AB27
)</f>
        <v/>
      </c>
      <c r="AF28" s="49" t="str">
        <f>IF('[5]2026 január'!AC27=0,
    "",
    '[5]2026 január'!AC27
)</f>
        <v/>
      </c>
      <c r="AG28" s="49" t="str">
        <f>IF('[5]2026 január'!AD27=0,
    "",
    '[5]2026 január'!AD27
)</f>
        <v/>
      </c>
      <c r="AH28" s="49" t="str">
        <f>IF('[5]2026 január'!AE27=0,
    "",
    '[5]2026 január'!AE27
)</f>
        <v/>
      </c>
      <c r="AI28" s="49" t="str">
        <f>IF('[5]2026 január'!AF27=0,
    "",
    '[5]2026 január'!AF27
)</f>
        <v/>
      </c>
      <c r="AJ28" s="49" t="str">
        <f>IF('[5]2026 január'!AG27=0,
    "",
    '[5]2026 január'!AG27
)</f>
        <v/>
      </c>
      <c r="AK28" s="49" t="str">
        <f>IF('[5]2026 január'!AH27=0,
    "",
    '[5]2026 január'!AH27
)</f>
        <v/>
      </c>
    </row>
    <row r="29" spans="1:37">
      <c r="A29" s="5">
        <v>46049</v>
      </c>
      <c r="B29" s="11">
        <v>409500</v>
      </c>
      <c r="C29" s="11">
        <v>400</v>
      </c>
      <c r="D29" s="11">
        <v>396940</v>
      </c>
      <c r="E29" s="11"/>
      <c r="F29" s="11">
        <v>8350</v>
      </c>
      <c r="G29" s="11"/>
      <c r="H29" s="11">
        <v>405690</v>
      </c>
      <c r="I29" s="11">
        <v>405690</v>
      </c>
      <c r="J29" s="38" t="s">
        <v>281</v>
      </c>
      <c r="K29" s="87">
        <v>132948832</v>
      </c>
      <c r="L29" s="87"/>
      <c r="M29" s="173"/>
      <c r="N29" s="169"/>
      <c r="O29" s="49"/>
      <c r="P29" s="49">
        <v>409500</v>
      </c>
      <c r="Q29" s="49">
        <f>IF(OR('[5]2026 január'!G28=0,
       ISBLANK('[5]2026 január'!G28)),
    "",
    '[5]2026 január'!G28
)</f>
        <v>409500</v>
      </c>
      <c r="R29" s="49">
        <f>'[5]2026 január'!W28</f>
        <v>0</v>
      </c>
      <c r="S29" s="49"/>
      <c r="T29" s="49"/>
      <c r="U29" s="4"/>
      <c r="V29" s="49">
        <f>IF('[5]2026 január'!S28=0,
    "",
    '[5]2026 január'!S28
)</f>
        <v>163321</v>
      </c>
      <c r="W29" s="49">
        <f>IF('[5]2026 január'!T28=0,
    "",
    '[5]2026 január'!T28
)</f>
        <v>3810</v>
      </c>
      <c r="X29" s="49" t="str">
        <f>IF('[5]2026 január'!U28=0,
    "",
    '[5]2026 január'!U28
)</f>
        <v/>
      </c>
      <c r="Y29" s="49">
        <f>IF('[5]2026 január'!V28=0,
    "",
    '[5]2026 január'!V28
)</f>
        <v>14000</v>
      </c>
      <c r="Z29" s="49" t="str">
        <f>IF('[5]2026 január'!W28=0,
    "",
    '[5]2026 január'!W28
)</f>
        <v/>
      </c>
      <c r="AA29" s="49" t="str">
        <f>IF('[5]2026 január'!X28=0,
    "",
    '[5]2026 január'!X28
)</f>
        <v/>
      </c>
      <c r="AB29" s="49">
        <f>IF('[5]2026 január'!Y28=0,
    "",
    '[5]2026 január'!Y28
)</f>
        <v>153131</v>
      </c>
      <c r="AC29" s="49" t="str">
        <f>IF('[5]2026 január'!Z28=0,
    "",
    '[5]2026 január'!Z28
)</f>
        <v>Milák Beáta</v>
      </c>
      <c r="AD29" s="49" t="str">
        <f>IF('[5]2026 január'!AA28=0,
    "",
    '[5]2026 január'!AA28
)</f>
        <v/>
      </c>
      <c r="AE29" s="49" t="str">
        <f>IF('[5]2026 január'!AB28=0,
    "",
    '[5]2026 január'!AB28
)</f>
        <v/>
      </c>
      <c r="AF29" s="49" t="str">
        <f>IF('[5]2026 január'!AC28=0,
    "",
    '[5]2026 január'!AC28
)</f>
        <v/>
      </c>
      <c r="AG29" s="49" t="str">
        <f>IF('[5]2026 január'!AD28=0,
    "",
    '[5]2026 január'!AD28
)</f>
        <v/>
      </c>
      <c r="AH29" s="49" t="str">
        <f>IF('[5]2026 január'!AE28=0,
    "",
    '[5]2026 január'!AE28
)</f>
        <v/>
      </c>
      <c r="AI29" s="49" t="str">
        <f>IF('[5]2026 január'!AF28=0,
    "",
    '[5]2026 január'!AF28
)</f>
        <v/>
      </c>
      <c r="AJ29" s="49" t="str">
        <f>IF('[5]2026 január'!AG28=0,
    "",
    '[5]2026 január'!AG28
)</f>
        <v/>
      </c>
      <c r="AK29" s="49" t="str">
        <f>IF('[5]2026 január'!AH28=0,
    "",
    '[5]2026 január'!AH28
)</f>
        <v/>
      </c>
    </row>
    <row r="30" spans="1:37">
      <c r="A30" s="5">
        <v>46050</v>
      </c>
      <c r="B30" s="11">
        <v>464805</v>
      </c>
      <c r="C30" s="11">
        <v>200</v>
      </c>
      <c r="D30" s="11">
        <v>416730</v>
      </c>
      <c r="E30" s="11"/>
      <c r="F30" s="11">
        <v>13495</v>
      </c>
      <c r="G30" s="11"/>
      <c r="H30" s="11">
        <v>430425</v>
      </c>
      <c r="I30" s="11">
        <v>430425</v>
      </c>
      <c r="J30" s="38" t="s">
        <v>282</v>
      </c>
      <c r="K30" s="87">
        <v>133379257</v>
      </c>
      <c r="L30" s="87"/>
      <c r="M30" s="173"/>
      <c r="N30" s="169"/>
      <c r="O30" s="49"/>
      <c r="P30" s="49">
        <v>464805</v>
      </c>
      <c r="Q30" s="49">
        <f>IF(OR('[5]2026 január'!G29=0,
       ISBLANK('[5]2026 január'!G29)),
    "",
    '[5]2026 január'!G29
)</f>
        <v>434005</v>
      </c>
      <c r="R30" s="49">
        <f>'[5]2026 január'!W29</f>
        <v>0</v>
      </c>
      <c r="S30" s="49"/>
      <c r="T30" s="49"/>
      <c r="U30" s="4"/>
      <c r="V30" s="49">
        <f>IF('[5]2026 január'!S29=0,
    "",
    '[5]2026 január'!S29
)</f>
        <v>153131</v>
      </c>
      <c r="W30" s="49">
        <f>IF('[5]2026 január'!T29=0,
    "",
    '[5]2026 január'!T29
)</f>
        <v>3580</v>
      </c>
      <c r="X30" s="49" t="str">
        <f>IF('[5]2026 január'!U29=0,
    "",
    '[5]2026 január'!U29
)</f>
        <v/>
      </c>
      <c r="Y30" s="49">
        <f>IF('[5]2026 január'!V29=0,
    "",
    '[5]2026 január'!V29
)</f>
        <v>8671</v>
      </c>
      <c r="Z30" s="49" t="str">
        <f>IF('[5]2026 január'!W29=0,
    "",
    '[5]2026 január'!W29
)</f>
        <v/>
      </c>
      <c r="AA30" s="49" t="str">
        <f>IF('[5]2026 január'!X29=0,
    "",
    '[5]2026 január'!X29
)</f>
        <v/>
      </c>
      <c r="AB30" s="49">
        <f>IF('[5]2026 január'!Y29=0,
    "",
    '[5]2026 január'!Y29
)</f>
        <v>148040</v>
      </c>
      <c r="AC30" s="49" t="str">
        <f>IF('[5]2026 január'!Z29=0,
    "",
    '[5]2026 január'!Z29
)</f>
        <v>Tesco</v>
      </c>
      <c r="AD30" s="49" t="str">
        <f>IF('[5]2026 január'!AA29=0,
    "",
    '[5]2026 január'!AA29
)</f>
        <v/>
      </c>
      <c r="AE30" s="49" t="str">
        <f>IF('[5]2026 január'!AB29=0,
    "",
    '[5]2026 január'!AB29
)</f>
        <v/>
      </c>
      <c r="AF30" s="49" t="str">
        <f>IF('[5]2026 január'!AC29=0,
    "",
    '[5]2026 január'!AC29
)</f>
        <v/>
      </c>
      <c r="AG30" s="49" t="str">
        <f>IF('[5]2026 január'!AD29=0,
    "",
    '[5]2026 január'!AD29
)</f>
        <v/>
      </c>
      <c r="AH30" s="49" t="str">
        <f>IF('[5]2026 január'!AE29=0,
    "",
    '[5]2026 január'!AE29
)</f>
        <v/>
      </c>
      <c r="AI30" s="49" t="str">
        <f>IF('[5]2026 január'!AF29=0,
    "",
    '[5]2026 január'!AF29
)</f>
        <v/>
      </c>
      <c r="AJ30" s="49" t="str">
        <f>IF('[5]2026 január'!AG29=0,
    "",
    '[5]2026 január'!AG29
)</f>
        <v/>
      </c>
      <c r="AK30" s="49" t="str">
        <f>IF('[5]2026 január'!AH29=0,
    "",
    '[5]2026 január'!AH29
)</f>
        <v/>
      </c>
    </row>
    <row r="31" spans="1:37">
      <c r="A31" s="5">
        <v>46051</v>
      </c>
      <c r="B31" s="11">
        <v>454665</v>
      </c>
      <c r="C31" s="11">
        <v>200</v>
      </c>
      <c r="D31" s="11">
        <v>404770</v>
      </c>
      <c r="E31" s="11"/>
      <c r="F31" s="11">
        <v>8415</v>
      </c>
      <c r="G31" s="11"/>
      <c r="H31" s="11">
        <v>413385</v>
      </c>
      <c r="I31" s="11">
        <v>413385</v>
      </c>
      <c r="J31" s="38" t="s">
        <v>283</v>
      </c>
      <c r="K31" s="87">
        <v>133792642</v>
      </c>
      <c r="L31" s="87"/>
      <c r="M31" s="173"/>
      <c r="N31" s="169"/>
      <c r="O31" s="49"/>
      <c r="P31" s="49">
        <v>454665</v>
      </c>
      <c r="Q31" s="49">
        <f>IF(OR('[5]2026 január'!G30=0,
       ISBLANK('[5]2026 január'!G30)),
    "",
    '[5]2026 január'!G30
)</f>
        <v>419595</v>
      </c>
      <c r="R31" s="49">
        <f>'[5]2026 január'!W30</f>
        <v>0</v>
      </c>
      <c r="S31" s="49"/>
      <c r="T31" s="49"/>
      <c r="U31" s="4"/>
      <c r="V31" s="49">
        <f>IF('[5]2026 január'!S30=0,
    "",
    '[5]2026 január'!S30
)</f>
        <v>148040</v>
      </c>
      <c r="W31" s="49">
        <f>IF('[5]2026 január'!T30=0,
    "",
    '[5]2026 január'!T30
)</f>
        <v>6210</v>
      </c>
      <c r="X31" s="49" t="str">
        <f>IF('[5]2026 január'!U30=0,
    "",
    '[5]2026 január'!U30
)</f>
        <v/>
      </c>
      <c r="Y31" s="49" t="str">
        <f>IF('[5]2026 január'!V30=0,
    "",
    '[5]2026 január'!V30
)</f>
        <v/>
      </c>
      <c r="Z31" s="49" t="str">
        <f>IF('[5]2026 január'!W30=0,
    "",
    '[5]2026 január'!W30
)</f>
        <v/>
      </c>
      <c r="AA31" s="49" t="str">
        <f>IF('[5]2026 január'!X30=0,
    "",
    '[5]2026 január'!X30
)</f>
        <v/>
      </c>
      <c r="AB31" s="49">
        <f>IF('[5]2026 január'!Y30=0,
    "",
    '[5]2026 január'!Y30
)</f>
        <v>154250</v>
      </c>
      <c r="AC31" s="49" t="str">
        <f>IF('[5]2026 január'!Z30=0,
    "",
    '[5]2026 január'!Z30
)</f>
        <v/>
      </c>
      <c r="AD31" s="49" t="str">
        <f>IF('[5]2026 január'!AA30=0,
    "",
    '[5]2026 január'!AA30
)</f>
        <v/>
      </c>
      <c r="AE31" s="49" t="str">
        <f>IF('[5]2026 január'!AB30=0,
    "",
    '[5]2026 január'!AB30
)</f>
        <v/>
      </c>
      <c r="AF31" s="49" t="str">
        <f>IF('[5]2026 január'!AC30=0,
    "",
    '[5]2026 január'!AC30
)</f>
        <v/>
      </c>
      <c r="AG31" s="49" t="str">
        <f>IF('[5]2026 január'!AD30=0,
    "",
    '[5]2026 január'!AD30
)</f>
        <v/>
      </c>
      <c r="AH31" s="49" t="str">
        <f>IF('[5]2026 január'!AE30=0,
    "",
    '[5]2026 január'!AE30
)</f>
        <v/>
      </c>
      <c r="AI31" s="49" t="str">
        <f>IF('[5]2026 január'!AF30=0,
    "",
    '[5]2026 január'!AF30
)</f>
        <v/>
      </c>
      <c r="AJ31" s="49" t="str">
        <f>IF('[5]2026 január'!AG30=0,
    "",
    '[5]2026 január'!AG30
)</f>
        <v/>
      </c>
      <c r="AK31" s="49" t="str">
        <f>IF('[5]2026 január'!AH30=0,
    "",
    '[5]2026 január'!AH30
)</f>
        <v/>
      </c>
    </row>
    <row r="32" spans="1:37">
      <c r="A32" s="5">
        <v>46052</v>
      </c>
      <c r="B32" s="11">
        <v>295185</v>
      </c>
      <c r="C32" s="11">
        <v>200</v>
      </c>
      <c r="D32" s="11">
        <v>283465</v>
      </c>
      <c r="E32" s="11"/>
      <c r="F32" s="11">
        <v>10130</v>
      </c>
      <c r="G32" s="11"/>
      <c r="H32" s="11">
        <v>293795</v>
      </c>
      <c r="I32" s="11">
        <v>293795</v>
      </c>
      <c r="J32" s="38" t="s">
        <v>284</v>
      </c>
      <c r="K32" s="87">
        <v>134086437</v>
      </c>
      <c r="L32" s="87"/>
      <c r="M32" s="173"/>
      <c r="N32" s="169"/>
      <c r="O32" s="49"/>
      <c r="P32" s="49">
        <f>IF('[5]2026 január'!B$31=0,
    "",
    '[5]2026 január'!B$31
)</f>
        <v>295185</v>
      </c>
      <c r="Q32" s="49">
        <f>IF(OR('[5]2026 január'!G31=0,
       ISBLANK('[5]2026 január'!G31)),
    "",
    '[5]2026 január'!G31
)</f>
        <v>295185</v>
      </c>
      <c r="R32" s="49">
        <f>'[5]2026 január'!W31</f>
        <v>0</v>
      </c>
      <c r="S32" s="49"/>
      <c r="T32" s="49"/>
      <c r="U32" s="4"/>
      <c r="V32" s="49">
        <f>IF('[5]2026 január'!S31=0,
    "",
    '[5]2026 január'!S31
)</f>
        <v>154250</v>
      </c>
      <c r="W32" s="49">
        <f>IF('[5]2026 január'!T31=0,
    "",
    '[5]2026 január'!T31
)</f>
        <v>1390</v>
      </c>
      <c r="X32" s="49" t="str">
        <f>IF('[5]2026 január'!U31=0,
    "",
    '[5]2026 január'!U31
)</f>
        <v/>
      </c>
      <c r="Y32" s="49">
        <f>IF('[5]2026 január'!V31=0,
    "",
    '[5]2026 január'!V31
)</f>
        <v>14000</v>
      </c>
      <c r="Z32" s="49" t="str">
        <f>IF('[5]2026 január'!W31=0,
    "",
    '[5]2026 január'!W31
)</f>
        <v/>
      </c>
      <c r="AA32" s="49" t="str">
        <f>IF('[5]2026 január'!X31=0,
    "",
    '[5]2026 január'!X31
)</f>
        <v/>
      </c>
      <c r="AB32" s="49">
        <f>IF('[5]2026 január'!Y31=0,
    "",
    '[5]2026 január'!Y31
)</f>
        <v>141640</v>
      </c>
      <c r="AC32" s="49" t="str">
        <f>IF('[5]2026 január'!Z31=0,
    "",
    '[5]2026 január'!Z31
)</f>
        <v>Soltész Péterné</v>
      </c>
      <c r="AD32" s="49" t="str">
        <f>IF('[5]2026 január'!AA31=0,
    "",
    '[5]2026 január'!AA31
)</f>
        <v/>
      </c>
      <c r="AE32" s="49" t="str">
        <f>IF('[5]2026 január'!AB31=0,
    "",
    '[5]2026 január'!AB31
)</f>
        <v/>
      </c>
      <c r="AF32" s="49" t="str">
        <f>IF('[5]2026 január'!AC31=0,
    "",
    '[5]2026 január'!AC31
)</f>
        <v/>
      </c>
      <c r="AG32" s="49" t="str">
        <f>IF('[5]2026 január'!AD31=0,
    "",
    '[5]2026 január'!AD31
)</f>
        <v/>
      </c>
      <c r="AH32" s="49" t="str">
        <f>IF('[5]2026 január'!AE31=0,
    "",
    '[5]2026 január'!AE31
)</f>
        <v/>
      </c>
      <c r="AI32" s="49" t="str">
        <f>IF('[5]2026 január'!AF31=0,
    "",
    '[5]2026 január'!AF31
)</f>
        <v/>
      </c>
      <c r="AJ32" s="49" t="str">
        <f>IF('[5]2026 január'!AG31=0,
    "",
    '[5]2026 január'!AG31
)</f>
        <v/>
      </c>
      <c r="AK32" s="49" t="str">
        <f>IF('[5]2026 január'!AH31=0,
    "",
    '[5]2026 január'!AH31
)</f>
        <v/>
      </c>
    </row>
    <row r="33" spans="1:37">
      <c r="A33" s="162">
        <v>46053</v>
      </c>
      <c r="B33" s="163"/>
      <c r="C33" s="163"/>
      <c r="D33" s="163"/>
      <c r="E33" s="163"/>
      <c r="F33" s="163"/>
      <c r="G33" s="163"/>
      <c r="H33" s="163"/>
      <c r="I33" s="217"/>
      <c r="J33" s="402"/>
      <c r="K33" s="210"/>
      <c r="L33" s="210"/>
      <c r="M33" s="211"/>
      <c r="N33" s="224"/>
      <c r="O33" s="49"/>
      <c r="P33" s="49" t="str">
        <f>IF('[5]2026 január'!B$32=0,
    "",
    '[5]2026 január'!B$32
)</f>
        <v/>
      </c>
      <c r="Q33" s="49" t="str">
        <f>IF(OR('[5]2026 január'!G32=0,
       ISBLANK('[5]2026 január'!G32)),
    "",
    '[5]2026 január'!G32
)</f>
        <v/>
      </c>
      <c r="R33" s="49">
        <f>'[5]2026 január'!W32</f>
        <v>0</v>
      </c>
      <c r="S33" s="49"/>
      <c r="T33" s="49"/>
      <c r="U33" s="4"/>
      <c r="V33" s="49">
        <f>IF('[5]2026 január'!S32=0,
    "",
    '[5]2026 január'!S32
)</f>
        <v>141640</v>
      </c>
      <c r="W33" s="49" t="str">
        <f>IF('[5]2026 január'!T32=0,
    "",
    '[5]2026 január'!T32
)</f>
        <v/>
      </c>
      <c r="X33" s="49" t="str">
        <f>IF('[5]2026 január'!U32=0,
    "",
    '[5]2026 január'!U32
)</f>
        <v/>
      </c>
      <c r="Y33" s="49" t="str">
        <f>IF('[5]2026 január'!V32=0,
    "",
    '[5]2026 január'!V32
)</f>
        <v/>
      </c>
      <c r="Z33" s="49" t="str">
        <f>IF('[5]2026 január'!W32=0,
    "",
    '[5]2026 január'!W32
)</f>
        <v/>
      </c>
      <c r="AA33" s="49" t="str">
        <f>IF('[5]2026 január'!X32=0,
    "",
    '[5]2026 január'!X32
)</f>
        <v/>
      </c>
      <c r="AB33" s="49">
        <f>IF('[5]2026 január'!Y32=0,
    "",
    '[5]2026 január'!Y32
)</f>
        <v>141640</v>
      </c>
      <c r="AC33" s="49" t="str">
        <f>IF('[5]2026 január'!Z32=0,
    "",
    '[5]2026 január'!Z32
)</f>
        <v/>
      </c>
      <c r="AD33" s="49" t="str">
        <f>IF('[5]2026 január'!AA32=0,
    "",
    '[5]2026 január'!AA32
)</f>
        <v/>
      </c>
      <c r="AE33" s="49" t="str">
        <f>IF('[5]2026 január'!AB32=0,
    "",
    '[5]2026 január'!AB32
)</f>
        <v/>
      </c>
      <c r="AF33" s="49" t="str">
        <f>IF('[5]2026 január'!AC32=0,
    "",
    '[5]2026 január'!AC32
)</f>
        <v/>
      </c>
      <c r="AG33" s="49" t="str">
        <f>IF('[5]2026 január'!AD32=0,
    "",
    '[5]2026 január'!AD32
)</f>
        <v/>
      </c>
      <c r="AH33" s="49" t="str">
        <f>IF('[5]2026 január'!AE32=0,
    "",
    '[5]2026 január'!AE32
)</f>
        <v/>
      </c>
      <c r="AI33" s="49" t="str">
        <f>IF('[5]2026 január'!AF32=0,
    "",
    '[5]2026 január'!AF32
)</f>
        <v/>
      </c>
      <c r="AJ33" s="49" t="str">
        <f>IF('[5]2026 január'!AG32=0,
    "",
    '[5]2026 január'!AG32
)</f>
        <v/>
      </c>
      <c r="AK33" s="49" t="str">
        <f>IF('[5]2026 január'!AH32=0,
    "",
    '[5]2026 január'!AH32
)</f>
        <v/>
      </c>
    </row>
    <row r="34" spans="1:37" ht="24" customHeight="1">
      <c r="A34" s="84" t="s">
        <v>43</v>
      </c>
      <c r="B34" s="381"/>
      <c r="C34" s="22">
        <f>SUM(C1:C33)</f>
        <v>3850</v>
      </c>
      <c r="D34" s="22">
        <f>SUM(D1:D33)</f>
        <v>7303830.0499999998</v>
      </c>
      <c r="E34" s="22">
        <f>SUM(E1:E33)</f>
        <v>0.18</v>
      </c>
      <c r="F34" s="22">
        <f>SUM(F1:F33)</f>
        <v>198090.27000000002</v>
      </c>
      <c r="G34" s="23">
        <f>SUM(G3:G33)</f>
        <v>350</v>
      </c>
      <c r="H34" s="216">
        <f>SUM(H3:H33)</f>
        <v>7503330</v>
      </c>
      <c r="I34" s="215"/>
      <c r="J34" s="395"/>
      <c r="K34" s="459">
        <v>134086437</v>
      </c>
      <c r="L34" s="452">
        <v>7505770</v>
      </c>
      <c r="M34" s="9"/>
      <c r="N34" s="10"/>
      <c r="O34" s="79"/>
      <c r="P34" s="4"/>
      <c r="Q34" s="4"/>
      <c r="R34" s="4"/>
      <c r="S34" s="79"/>
      <c r="T34" s="4"/>
      <c r="U34" s="4"/>
      <c r="V34" s="4"/>
      <c r="W34" s="4"/>
      <c r="X34" s="4"/>
      <c r="Z34" s="4"/>
      <c r="AA34" s="79"/>
      <c r="AB34" s="4"/>
      <c r="AC34" s="4"/>
      <c r="AD34" s="4"/>
      <c r="AE34" s="79"/>
      <c r="AF34" s="4"/>
      <c r="AG34" s="4"/>
      <c r="AH34" s="4"/>
      <c r="AI34" s="4"/>
    </row>
    <row r="35" spans="1:37">
      <c r="A35" s="85"/>
      <c r="B35" s="382"/>
      <c r="C35" s="26">
        <f>C34+D34+E34+F34</f>
        <v>7505770.5</v>
      </c>
      <c r="D35" s="9"/>
      <c r="E35" s="9"/>
      <c r="F35" s="9"/>
      <c r="G35" s="25">
        <f>G34+H34</f>
        <v>7503680</v>
      </c>
      <c r="H35" s="9"/>
      <c r="I35"/>
      <c r="J35"/>
      <c r="K35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7">
      <c r="A36" s="82"/>
      <c r="C36"/>
      <c r="D36"/>
      <c r="E36"/>
      <c r="F36"/>
      <c r="H36"/>
      <c r="I36"/>
      <c r="J36"/>
      <c r="K36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7"/>
    <row r="38" spans="1:37"/>
    <row r="39" spans="1:37" ht="14.45" customHeight="1">
      <c r="A39" s="422" t="s">
        <v>108</v>
      </c>
      <c r="B39" s="423"/>
      <c r="C39" s="424"/>
      <c r="D39" s="424"/>
      <c r="E39" s="424"/>
      <c r="F39" s="425"/>
      <c r="G39" s="425"/>
      <c r="H39" s="425"/>
      <c r="I39" s="425"/>
      <c r="J39" s="426"/>
      <c r="K39" s="427"/>
      <c r="L39" s="4"/>
    </row>
    <row r="40" spans="1:37" ht="14.45" customHeight="1">
      <c r="A40" s="428" t="s">
        <v>271</v>
      </c>
      <c r="B40" s="429"/>
      <c r="C40" s="429"/>
      <c r="D40" s="429"/>
      <c r="E40" s="429"/>
      <c r="F40" s="429"/>
      <c r="G40" s="429"/>
      <c r="H40" s="429"/>
      <c r="I40" s="429"/>
      <c r="J40" s="429"/>
      <c r="K40" s="430"/>
      <c r="L40" s="4"/>
    </row>
    <row r="41" spans="1:37" ht="14.45" customHeight="1">
      <c r="A41" s="431" t="s">
        <v>272</v>
      </c>
      <c r="B41" s="432"/>
      <c r="C41" s="432"/>
      <c r="D41" s="432"/>
      <c r="E41" s="432"/>
      <c r="F41" s="432"/>
      <c r="G41" s="432"/>
      <c r="H41" s="432"/>
      <c r="I41" s="432"/>
      <c r="J41" s="432"/>
      <c r="K41" s="433"/>
      <c r="L41" s="4"/>
    </row>
    <row r="42" spans="1:37"/>
    <row r="43" spans="1:37" ht="15" customHeight="1">
      <c r="A43" s="81" t="s">
        <v>4</v>
      </c>
      <c r="B43" s="378"/>
      <c r="C43" s="30"/>
      <c r="D43" s="30"/>
      <c r="E43" s="30"/>
      <c r="F43" s="30"/>
      <c r="G43" s="30"/>
      <c r="H43" s="30"/>
      <c r="I43" s="30"/>
      <c r="J43" s="39"/>
      <c r="K43" s="376"/>
      <c r="L43" s="281"/>
      <c r="M43" s="418"/>
      <c r="N43" s="178"/>
    </row>
    <row r="44" spans="1:37" ht="15" customHeight="1">
      <c r="A44" s="162">
        <v>46054</v>
      </c>
      <c r="B44" s="163"/>
      <c r="C44" s="163"/>
      <c r="D44" s="163"/>
      <c r="E44" s="163"/>
      <c r="F44" s="163"/>
      <c r="G44" s="163"/>
      <c r="H44" s="163"/>
      <c r="I44" s="163"/>
      <c r="J44" s="164"/>
      <c r="K44" s="165"/>
      <c r="L44" s="282"/>
      <c r="M44" s="414"/>
      <c r="N44" s="179"/>
      <c r="P44" s="49" t="str">
        <f>IF('[5]2026 február'!B$2=0,
    "",
    '[5]2026 február'!B$2
)</f>
        <v/>
      </c>
    </row>
    <row r="45" spans="1:37" ht="15" customHeight="1">
      <c r="A45" s="162">
        <v>46055</v>
      </c>
      <c r="B45" s="11">
        <v>285905</v>
      </c>
      <c r="C45" s="11">
        <v>200</v>
      </c>
      <c r="D45" s="11">
        <v>274885</v>
      </c>
      <c r="E45" s="11"/>
      <c r="F45" s="11">
        <v>8770</v>
      </c>
      <c r="G45" s="11"/>
      <c r="H45" s="11">
        <v>283855</v>
      </c>
      <c r="I45" s="11">
        <v>283855</v>
      </c>
      <c r="J45" s="44" t="s">
        <v>285</v>
      </c>
      <c r="K45" s="86">
        <v>134370292</v>
      </c>
      <c r="L45" s="410"/>
      <c r="M45" s="241"/>
      <c r="N45" s="9"/>
      <c r="P45" s="49">
        <f>IF('[5]2026 február'!B$3=0,
    "",
    '[5]2026 február'!B$3
)</f>
        <v>285905</v>
      </c>
    </row>
    <row r="46" spans="1:37" ht="15" customHeight="1">
      <c r="A46" s="162">
        <v>46056</v>
      </c>
      <c r="B46" s="11">
        <v>389180</v>
      </c>
      <c r="C46" s="11">
        <v>250</v>
      </c>
      <c r="D46" s="11">
        <v>371925</v>
      </c>
      <c r="E46" s="11"/>
      <c r="F46" s="11">
        <v>8015</v>
      </c>
      <c r="G46" s="11"/>
      <c r="H46" s="11">
        <v>380190</v>
      </c>
      <c r="I46" s="11">
        <v>380190</v>
      </c>
      <c r="J46" s="44" t="s">
        <v>286</v>
      </c>
      <c r="K46" s="87">
        <v>134750482</v>
      </c>
      <c r="L46" s="284"/>
      <c r="M46" s="241"/>
      <c r="N46" s="9"/>
      <c r="P46" s="49">
        <f>IF('[5]2026 február'!B$4=0,
    "",
    '[5]2026 február'!B$4
)</f>
        <v>389180</v>
      </c>
    </row>
    <row r="47" spans="1:37" ht="15" customHeight="1">
      <c r="A47" s="162">
        <v>46057</v>
      </c>
      <c r="B47" s="11">
        <v>499725</v>
      </c>
      <c r="C47" s="11">
        <v>305</v>
      </c>
      <c r="D47" s="11">
        <v>362910</v>
      </c>
      <c r="E47" s="11"/>
      <c r="F47" s="11">
        <v>7180</v>
      </c>
      <c r="G47" s="11"/>
      <c r="H47" s="11">
        <v>370395</v>
      </c>
      <c r="I47" s="11">
        <v>370395</v>
      </c>
      <c r="J47" s="44" t="s">
        <v>287</v>
      </c>
      <c r="K47" s="87">
        <v>135120877</v>
      </c>
      <c r="L47" s="284"/>
      <c r="M47" s="241"/>
      <c r="N47" s="9"/>
      <c r="P47" s="49">
        <f>IF('[5]2026 február'!B$5=0,
    "",
    '[5]2026 február'!B$5
)</f>
        <v>373535</v>
      </c>
    </row>
    <row r="48" spans="1:37" ht="15" customHeight="1">
      <c r="A48" s="162">
        <v>46058</v>
      </c>
      <c r="B48" s="11">
        <v>352810</v>
      </c>
      <c r="C48" s="11">
        <v>200</v>
      </c>
      <c r="D48" s="11">
        <v>342555</v>
      </c>
      <c r="E48" s="11"/>
      <c r="F48" s="11">
        <v>7160</v>
      </c>
      <c r="G48" s="11"/>
      <c r="H48" s="11">
        <v>349915</v>
      </c>
      <c r="I48" s="11">
        <v>349915</v>
      </c>
      <c r="J48" s="44" t="s">
        <v>288</v>
      </c>
      <c r="K48" s="87">
        <v>135470792</v>
      </c>
      <c r="L48" s="284"/>
      <c r="M48" s="241"/>
      <c r="N48" s="9"/>
      <c r="P48" s="49">
        <f>IF('[5]2026 február'!B$6=0,
    "",
    '[5]2026 február'!B$6
)</f>
        <v>352810</v>
      </c>
    </row>
    <row r="49" spans="1:16" ht="15" customHeight="1">
      <c r="A49" s="162">
        <v>46059</v>
      </c>
      <c r="B49" s="11">
        <v>236490</v>
      </c>
      <c r="C49" s="11">
        <v>350</v>
      </c>
      <c r="D49" s="11">
        <v>227905</v>
      </c>
      <c r="E49" s="11"/>
      <c r="F49" s="11">
        <v>6125</v>
      </c>
      <c r="G49" s="11"/>
      <c r="H49" s="11">
        <v>234380</v>
      </c>
      <c r="I49" s="11">
        <v>324380</v>
      </c>
      <c r="J49" s="44" t="s">
        <v>289</v>
      </c>
      <c r="K49" s="87">
        <v>135705172</v>
      </c>
      <c r="L49" s="284"/>
      <c r="M49" s="241"/>
      <c r="N49" s="9"/>
      <c r="P49" s="49">
        <f>IF('[5]2026 február'!B$7=0,
    "",
    '[5]2026 február'!B$7
)</f>
        <v>236490</v>
      </c>
    </row>
    <row r="50" spans="1:16" ht="15" customHeight="1">
      <c r="A50" s="162">
        <v>46060</v>
      </c>
      <c r="B50" s="163"/>
      <c r="C50" s="163"/>
      <c r="D50" s="163"/>
      <c r="E50" s="163"/>
      <c r="F50" s="163"/>
      <c r="G50" s="163"/>
      <c r="H50" s="163"/>
      <c r="I50" s="163"/>
      <c r="J50" s="164"/>
      <c r="K50" s="167"/>
      <c r="L50" s="283"/>
      <c r="M50" s="414"/>
      <c r="N50" s="179"/>
      <c r="P50" s="49" t="str">
        <f>IF('[5]2026 február'!B$8=0,
    "",
    '[5]2026 február'!B$8
)</f>
        <v/>
      </c>
    </row>
    <row r="51" spans="1:16" ht="15" customHeight="1">
      <c r="A51" s="162">
        <v>46061</v>
      </c>
      <c r="B51" s="163"/>
      <c r="C51" s="163"/>
      <c r="D51" s="163"/>
      <c r="E51" s="163"/>
      <c r="F51" s="163"/>
      <c r="G51" s="163"/>
      <c r="H51" s="163"/>
      <c r="I51" s="163"/>
      <c r="J51" s="164"/>
      <c r="K51" s="167"/>
      <c r="L51" s="283"/>
      <c r="M51" s="414"/>
      <c r="N51" s="179"/>
      <c r="P51" s="49" t="str">
        <f>IF('[5]2026 február'!B$9=0,
    "",
    '[5]2026 február'!B$9
)</f>
        <v/>
      </c>
    </row>
    <row r="52" spans="1:16" ht="15" customHeight="1">
      <c r="A52" s="162">
        <v>46062</v>
      </c>
      <c r="B52" s="11"/>
      <c r="C52" s="11"/>
      <c r="D52" s="11"/>
      <c r="E52" s="11"/>
      <c r="F52" s="11"/>
      <c r="G52" s="11"/>
      <c r="H52" s="11"/>
      <c r="I52" s="11"/>
      <c r="J52" s="44"/>
      <c r="K52" s="87"/>
      <c r="L52" s="284"/>
      <c r="M52" s="241"/>
      <c r="N52" s="9"/>
      <c r="P52" s="49" t="str">
        <f>IF('[5]2026 február'!B$10=0,
    "",
    '[5]2026 február'!B$10
)</f>
        <v/>
      </c>
    </row>
    <row r="53" spans="1:16" ht="15" customHeight="1">
      <c r="A53" s="162">
        <v>46063</v>
      </c>
      <c r="B53" s="11"/>
      <c r="C53" s="11"/>
      <c r="D53" s="11"/>
      <c r="E53" s="11"/>
      <c r="F53" s="11"/>
      <c r="G53" s="11"/>
      <c r="H53" s="11"/>
      <c r="I53" s="11"/>
      <c r="J53" s="44"/>
      <c r="K53" s="87"/>
      <c r="L53" s="284"/>
      <c r="M53" s="241"/>
      <c r="N53" s="9"/>
      <c r="P53" s="49" t="str">
        <f>IF('[5]2026 február'!B$11=0,
    "",
    '[5]2026 február'!B$11
)</f>
        <v/>
      </c>
    </row>
    <row r="54" spans="1:16" ht="15" customHeight="1">
      <c r="A54" s="162">
        <v>46064</v>
      </c>
      <c r="B54" s="11"/>
      <c r="C54" s="11"/>
      <c r="D54" s="11"/>
      <c r="E54" s="11"/>
      <c r="F54" s="11"/>
      <c r="G54" s="11"/>
      <c r="H54" s="11"/>
      <c r="I54" s="11"/>
      <c r="J54" s="44"/>
      <c r="K54" s="87"/>
      <c r="L54" s="284"/>
      <c r="M54" s="241"/>
      <c r="N54" s="9"/>
      <c r="P54" s="49" t="str">
        <f>IF('[5]2026 február'!B$12=0,
    "",
    '[5]2026 február'!B$12
)</f>
        <v/>
      </c>
    </row>
    <row r="55" spans="1:16" ht="15" customHeight="1">
      <c r="A55" s="162">
        <v>46065</v>
      </c>
      <c r="B55" s="11"/>
      <c r="C55" s="11"/>
      <c r="D55" s="11"/>
      <c r="E55" s="11"/>
      <c r="F55" s="11"/>
      <c r="G55" s="11"/>
      <c r="H55" s="11"/>
      <c r="I55" s="11"/>
      <c r="J55" s="44"/>
      <c r="K55" s="87"/>
      <c r="L55" s="284"/>
      <c r="M55" s="126"/>
      <c r="N55" s="9"/>
      <c r="P55" s="49" t="str">
        <f>IF('[5]2026 február'!B$13=0,
    "",
    '[5]2026 február'!B$13
)</f>
        <v/>
      </c>
    </row>
    <row r="56" spans="1:16" ht="15" customHeight="1">
      <c r="A56" s="162">
        <v>46066</v>
      </c>
      <c r="B56" s="11"/>
      <c r="C56" s="11"/>
      <c r="D56" s="11"/>
      <c r="E56" s="11"/>
      <c r="F56" s="11"/>
      <c r="G56" s="11"/>
      <c r="H56" s="11"/>
      <c r="I56" s="11"/>
      <c r="J56" s="44"/>
      <c r="K56" s="87"/>
      <c r="L56" s="284"/>
      <c r="M56" s="241"/>
      <c r="N56" s="9"/>
      <c r="P56" s="49" t="str">
        <f>IF('[5]2026 február'!B$14=0,
    "",
    '[5]2026 február'!B$14
)</f>
        <v/>
      </c>
    </row>
    <row r="57" spans="1:16" ht="15" customHeight="1">
      <c r="A57" s="162">
        <v>46067</v>
      </c>
      <c r="B57" s="163"/>
      <c r="C57" s="163"/>
      <c r="D57" s="163"/>
      <c r="E57" s="163"/>
      <c r="F57" s="163"/>
      <c r="G57" s="163"/>
      <c r="H57" s="163"/>
      <c r="I57" s="163"/>
      <c r="J57" s="164"/>
      <c r="K57" s="167"/>
      <c r="L57" s="283"/>
      <c r="M57" s="414"/>
      <c r="N57" s="179"/>
      <c r="P57" s="49" t="str">
        <f>IF('[5]2026 február'!B$15=0,
    "",
    '[5]2026 február'!B$15
)</f>
        <v/>
      </c>
    </row>
    <row r="58" spans="1:16" ht="15" customHeight="1">
      <c r="A58" s="162">
        <v>46068</v>
      </c>
      <c r="B58" s="163"/>
      <c r="C58" s="163"/>
      <c r="D58" s="163"/>
      <c r="E58" s="163"/>
      <c r="F58" s="163"/>
      <c r="G58" s="163"/>
      <c r="H58" s="163"/>
      <c r="I58" s="163"/>
      <c r="J58" s="164"/>
      <c r="K58" s="167"/>
      <c r="L58" s="283"/>
      <c r="M58" s="414"/>
      <c r="N58" s="179"/>
      <c r="P58" s="49" t="str">
        <f>IF('[5]2026 február'!B$16=0,
    "",
    '[5]2026 február'!B$16
)</f>
        <v/>
      </c>
    </row>
    <row r="59" spans="1:16" ht="15" customHeight="1">
      <c r="A59" s="162">
        <v>46069</v>
      </c>
      <c r="B59" s="11"/>
      <c r="C59" s="11"/>
      <c r="D59" s="11"/>
      <c r="E59" s="11"/>
      <c r="F59" s="11"/>
      <c r="G59" s="11"/>
      <c r="H59" s="11"/>
      <c r="I59" s="11"/>
      <c r="J59" s="44"/>
      <c r="K59" s="87"/>
      <c r="L59" s="284"/>
      <c r="M59" s="241"/>
      <c r="N59" s="9"/>
      <c r="P59" s="49" t="str">
        <f>IF('[5]2026 február'!B$17=0,
    "",
    '[5]2026 február'!B$17
)</f>
        <v/>
      </c>
    </row>
    <row r="60" spans="1:16" ht="15" customHeight="1">
      <c r="A60" s="162">
        <v>46070</v>
      </c>
      <c r="B60" s="11"/>
      <c r="C60" s="11"/>
      <c r="D60" s="11"/>
      <c r="E60" s="11"/>
      <c r="F60" s="11"/>
      <c r="G60" s="11"/>
      <c r="H60" s="11"/>
      <c r="I60" s="11"/>
      <c r="J60" s="44"/>
      <c r="K60" s="87"/>
      <c r="L60" s="284"/>
      <c r="M60" s="241"/>
      <c r="N60" s="9"/>
      <c r="P60" s="49" t="str">
        <f>IF('[5]2026 február'!B$18=0,
    "",
    '[5]2026 február'!B$18
)</f>
        <v/>
      </c>
    </row>
    <row r="61" spans="1:16" ht="15" customHeight="1">
      <c r="A61" s="162">
        <v>46071</v>
      </c>
      <c r="B61" s="11"/>
      <c r="C61" s="11"/>
      <c r="D61" s="11"/>
      <c r="E61" s="11"/>
      <c r="F61" s="11"/>
      <c r="G61" s="11"/>
      <c r="H61" s="11"/>
      <c r="I61" s="11"/>
      <c r="J61" s="44"/>
      <c r="K61" s="87"/>
      <c r="L61" s="284"/>
      <c r="M61" s="241"/>
      <c r="N61" s="9"/>
      <c r="P61" s="49" t="str">
        <f>IF('[5]2026 február'!B$19=0,
    "",
    '[5]2026 február'!B$19
)</f>
        <v/>
      </c>
    </row>
    <row r="62" spans="1:16" ht="15" customHeight="1">
      <c r="A62" s="162">
        <v>46072</v>
      </c>
      <c r="B62" s="11"/>
      <c r="C62" s="11"/>
      <c r="D62" s="11"/>
      <c r="E62" s="11"/>
      <c r="F62" s="11"/>
      <c r="G62" s="11"/>
      <c r="H62" s="11"/>
      <c r="I62" s="11"/>
      <c r="J62" s="44"/>
      <c r="K62" s="87"/>
      <c r="L62" s="284"/>
      <c r="M62" s="241"/>
      <c r="N62" s="9"/>
      <c r="P62" s="49" t="str">
        <f>IF('[5]2026 február'!B$20=0,
    "",
    '[5]2026 február'!B$20
)</f>
        <v/>
      </c>
    </row>
    <row r="63" spans="1:16" ht="15" customHeight="1">
      <c r="A63" s="162">
        <v>46073</v>
      </c>
      <c r="B63" s="11"/>
      <c r="C63" s="11"/>
      <c r="D63" s="11"/>
      <c r="E63" s="11"/>
      <c r="F63" s="11"/>
      <c r="G63" s="11"/>
      <c r="H63" s="11"/>
      <c r="I63" s="11"/>
      <c r="J63" s="44"/>
      <c r="K63" s="87"/>
      <c r="L63" s="284"/>
      <c r="M63" s="241"/>
      <c r="N63" s="9"/>
      <c r="P63" s="49" t="str">
        <f>IF('[5]2026 február'!B$21=0,
    "",
    '[5]2026 február'!B$21
)</f>
        <v/>
      </c>
    </row>
    <row r="64" spans="1:16" ht="15" customHeight="1">
      <c r="A64" s="162">
        <v>46074</v>
      </c>
      <c r="B64" s="163"/>
      <c r="C64" s="163"/>
      <c r="D64" s="163"/>
      <c r="E64" s="163"/>
      <c r="F64" s="163"/>
      <c r="G64" s="163"/>
      <c r="H64" s="163"/>
      <c r="I64" s="163"/>
      <c r="J64" s="164"/>
      <c r="K64" s="167"/>
      <c r="L64" s="283"/>
      <c r="M64" s="414"/>
      <c r="N64" s="179"/>
      <c r="P64" s="49" t="str">
        <f>IF('[5]2026 február'!B$22=0,
    "",
    '[5]2026 február'!B$22
)</f>
        <v/>
      </c>
    </row>
    <row r="65" spans="1:16" ht="15" customHeight="1">
      <c r="A65" s="162">
        <v>46075</v>
      </c>
      <c r="B65" s="163"/>
      <c r="C65" s="163"/>
      <c r="D65" s="163"/>
      <c r="E65" s="163"/>
      <c r="F65" s="163"/>
      <c r="G65" s="163"/>
      <c r="H65" s="163"/>
      <c r="I65" s="163"/>
      <c r="J65" s="164"/>
      <c r="K65" s="167"/>
      <c r="L65" s="283"/>
      <c r="M65" s="414"/>
      <c r="N65" s="179"/>
      <c r="P65" s="49" t="str">
        <f>IF('[5]2026 február'!B$23=0,
    "",
    '[5]2026 február'!B$23
)</f>
        <v/>
      </c>
    </row>
    <row r="66" spans="1:16" ht="15" customHeight="1">
      <c r="A66" s="162">
        <v>46076</v>
      </c>
      <c r="B66" s="11"/>
      <c r="C66" s="11"/>
      <c r="D66" s="11"/>
      <c r="E66" s="11"/>
      <c r="F66" s="11"/>
      <c r="G66" s="11"/>
      <c r="H66" s="11"/>
      <c r="I66" s="11"/>
      <c r="J66" s="44"/>
      <c r="K66" s="87"/>
      <c r="L66" s="284"/>
      <c r="M66" s="241"/>
      <c r="N66" s="9"/>
      <c r="P66" s="49" t="str">
        <f>IF('[5]2026 február'!B$24=0,
    "",
    '[5]2026 február'!B$24
)</f>
        <v/>
      </c>
    </row>
    <row r="67" spans="1:16" ht="15" customHeight="1">
      <c r="A67" s="162">
        <v>46077</v>
      </c>
      <c r="B67" s="11"/>
      <c r="C67" s="11"/>
      <c r="D67" s="11"/>
      <c r="E67" s="11"/>
      <c r="F67" s="11"/>
      <c r="G67" s="11"/>
      <c r="H67" s="11"/>
      <c r="I67" s="11"/>
      <c r="J67" s="44"/>
      <c r="K67" s="87"/>
      <c r="L67" s="284"/>
      <c r="M67" s="241"/>
      <c r="N67" s="9"/>
      <c r="P67" s="49" t="str">
        <f>IF('[5]2026 február'!B$25=0,
    "",
    '[5]2026 február'!B$25
)</f>
        <v/>
      </c>
    </row>
    <row r="68" spans="1:16">
      <c r="A68" s="162">
        <v>46078</v>
      </c>
      <c r="B68" s="11"/>
      <c r="C68" s="11"/>
      <c r="D68" s="11"/>
      <c r="E68" s="11"/>
      <c r="F68" s="11"/>
      <c r="G68" s="11"/>
      <c r="H68" s="11"/>
      <c r="I68" s="11"/>
      <c r="J68" s="44"/>
      <c r="K68" s="87"/>
      <c r="L68" s="284"/>
      <c r="M68" s="241"/>
      <c r="N68" s="9"/>
      <c r="P68" s="49" t="str">
        <f>IF('[5]2026 február'!B$26=0,
    "",
    '[5]2026 február'!B$26
)</f>
        <v/>
      </c>
    </row>
    <row r="69" spans="1:16">
      <c r="A69" s="162">
        <v>46079</v>
      </c>
      <c r="B69" s="11"/>
      <c r="C69" s="11"/>
      <c r="D69" s="11"/>
      <c r="E69" s="11"/>
      <c r="F69" s="11"/>
      <c r="G69" s="11"/>
      <c r="H69" s="11"/>
      <c r="I69" s="11"/>
      <c r="J69" s="44"/>
      <c r="K69" s="87"/>
      <c r="L69" s="284"/>
      <c r="M69" s="241"/>
      <c r="N69" s="9"/>
      <c r="P69" s="49" t="str">
        <f>IF('[5]2026 február'!B$27=0,
    "",
    '[5]2026 február'!B$27
)</f>
        <v/>
      </c>
    </row>
    <row r="70" spans="1:16">
      <c r="A70" s="162">
        <v>46080</v>
      </c>
      <c r="B70" s="11"/>
      <c r="C70" s="11"/>
      <c r="D70" s="11"/>
      <c r="E70" s="11"/>
      <c r="F70" s="11"/>
      <c r="G70" s="11"/>
      <c r="H70" s="11"/>
      <c r="I70" s="11"/>
      <c r="J70" s="44"/>
      <c r="K70" s="87"/>
      <c r="L70" s="284"/>
      <c r="M70" s="241"/>
      <c r="N70" s="9"/>
      <c r="P70" s="49" t="str">
        <f>IF('[5]2026 február'!B$28=0,
    "",
    '[5]2026 február'!B$28
)</f>
        <v/>
      </c>
    </row>
    <row r="71" spans="1:16" ht="15" customHeight="1">
      <c r="A71" s="162">
        <v>46081</v>
      </c>
      <c r="B71" s="163"/>
      <c r="C71" s="163"/>
      <c r="D71" s="163"/>
      <c r="E71" s="163"/>
      <c r="F71" s="163"/>
      <c r="G71" s="163"/>
      <c r="H71" s="163"/>
      <c r="I71" s="163"/>
      <c r="J71" s="164"/>
      <c r="K71" s="167"/>
      <c r="L71" s="283"/>
      <c r="M71" s="414"/>
      <c r="N71" s="179"/>
      <c r="P71" s="49" t="str">
        <f>IF('[5]2026 február'!B$29=0,
    "",
    '[5]2026 február'!B$29
)</f>
        <v/>
      </c>
    </row>
    <row r="72" spans="1:16" ht="15" customHeight="1">
      <c r="A72" s="5"/>
      <c r="B72" s="11"/>
      <c r="C72" s="11"/>
      <c r="D72" s="11"/>
      <c r="E72" s="11"/>
      <c r="F72" s="11"/>
      <c r="G72" s="11"/>
      <c r="H72" s="11"/>
      <c r="I72" s="11"/>
      <c r="J72" s="44"/>
      <c r="K72" s="87"/>
      <c r="L72" s="284"/>
      <c r="M72" s="241"/>
      <c r="N72" s="9"/>
      <c r="P72" s="49" t="str">
        <f>IF('[5]2026 február'!B$30=0,
    "",
    '[5]2026 február'!B$30
)</f>
        <v/>
      </c>
    </row>
    <row r="73" spans="1:16">
      <c r="A73" s="5"/>
      <c r="B73" s="11"/>
      <c r="C73" s="11"/>
      <c r="D73" s="11"/>
      <c r="E73" s="11"/>
      <c r="F73" s="11"/>
      <c r="G73" s="11"/>
      <c r="H73" s="11"/>
      <c r="I73" s="11"/>
      <c r="J73" s="44"/>
      <c r="K73" s="87"/>
      <c r="L73" s="284"/>
      <c r="M73" s="241"/>
      <c r="N73" s="9"/>
      <c r="P73" s="49" t="str">
        <f>IF('[5]2026 február'!B$31=0,
    "",
    '[5]2026 február'!B$31
)</f>
        <v/>
      </c>
    </row>
    <row r="74" spans="1:16">
      <c r="A74" s="162"/>
      <c r="B74" s="11"/>
      <c r="C74" s="11"/>
      <c r="D74" s="11"/>
      <c r="E74" s="11"/>
      <c r="F74" s="11"/>
      <c r="G74" s="11"/>
      <c r="H74" s="11"/>
      <c r="I74" s="11"/>
      <c r="J74" s="229"/>
      <c r="K74" s="230"/>
      <c r="L74" s="412"/>
      <c r="M74" s="421"/>
      <c r="N74" s="9"/>
      <c r="P74" s="49" t="str">
        <f>IF('[5]2026 február'!B$32=0,
    "",
    '[5]2026 február'!B$32
)</f>
        <v/>
      </c>
    </row>
    <row r="75" spans="1:16" ht="15" customHeight="1">
      <c r="A75" s="21" t="s">
        <v>43</v>
      </c>
      <c r="B75" s="389"/>
      <c r="C75" s="22">
        <f>SUM(C42:C74)</f>
        <v>1305</v>
      </c>
      <c r="D75" s="22">
        <f>SUM(D42:D74)</f>
        <v>1580180</v>
      </c>
      <c r="E75" s="22">
        <f>SUM(E42:E74)</f>
        <v>0</v>
      </c>
      <c r="F75" s="22">
        <f>SUM(F42:F74)</f>
        <v>37250</v>
      </c>
      <c r="G75" s="23">
        <f>SUM(G42:G74)</f>
        <v>0</v>
      </c>
      <c r="H75" s="23">
        <f>SUM(H44:H74)</f>
        <v>1618735</v>
      </c>
      <c r="I75" s="47"/>
      <c r="J75" s="37"/>
      <c r="K75" s="19"/>
      <c r="L75" s="278"/>
      <c r="M75" s="241"/>
      <c r="N75" s="9"/>
      <c r="P75" s="4"/>
    </row>
    <row r="76" spans="1:16" ht="15" customHeight="1">
      <c r="A76" s="5"/>
      <c r="B76" s="11"/>
      <c r="C76" s="34">
        <f>C75+D75+E75+F75</f>
        <v>1618735</v>
      </c>
      <c r="D76" s="10"/>
      <c r="E76" s="10"/>
      <c r="F76" s="10"/>
      <c r="G76" s="62">
        <f>G75+H75</f>
        <v>1618735</v>
      </c>
      <c r="H76" s="10"/>
      <c r="I76" s="10"/>
      <c r="J76" s="38"/>
      <c r="K76" s="11"/>
      <c r="L76" s="286"/>
      <c r="M76" s="241"/>
      <c r="N76" s="9"/>
    </row>
    <row r="78" spans="1:16" ht="15" customHeight="1">
      <c r="A78" s="436" t="s">
        <v>108</v>
      </c>
      <c r="B78" s="437"/>
      <c r="C78" s="438"/>
      <c r="D78" s="438"/>
      <c r="E78" s="438"/>
      <c r="F78" s="439"/>
      <c r="G78" s="439"/>
      <c r="H78" s="439"/>
      <c r="I78" s="439"/>
      <c r="J78" s="440"/>
      <c r="K78" s="441"/>
    </row>
    <row r="79" spans="1:16" ht="15" customHeight="1">
      <c r="A79" s="442"/>
      <c r="B79" s="435"/>
      <c r="C79" s="435"/>
      <c r="D79" s="435"/>
      <c r="E79" s="435"/>
      <c r="F79" s="435"/>
      <c r="G79" s="429"/>
      <c r="H79" s="429"/>
      <c r="I79" s="429"/>
      <c r="J79" s="429"/>
      <c r="K79" s="443"/>
    </row>
    <row r="80" spans="1:16" ht="15" customHeight="1">
      <c r="A80" s="477"/>
      <c r="B80" s="478"/>
      <c r="C80" s="478"/>
      <c r="D80" s="478"/>
      <c r="E80" s="478"/>
      <c r="F80" s="478"/>
      <c r="G80" s="444"/>
      <c r="H80" s="444"/>
      <c r="I80" s="444"/>
      <c r="J80" s="444"/>
      <c r="K80" s="445"/>
    </row>
    <row r="104"/>
    <row r="105"/>
    <row r="106"/>
    <row r="117"/>
    <row r="118"/>
    <row r="147"/>
    <row r="148"/>
    <row r="149"/>
    <row r="150"/>
    <row r="153"/>
    <row r="185"/>
    <row r="186"/>
    <row r="187"/>
    <row r="190"/>
    <row r="191"/>
    <row r="221"/>
    <row r="222"/>
    <row r="223"/>
    <row r="229"/>
    <row r="262"/>
    <row r="263"/>
    <row r="267"/>
    <row r="268"/>
    <row r="300"/>
    <row r="301"/>
    <row r="304"/>
    <row r="337"/>
    <row r="338"/>
    <row r="346"/>
    <row r="378"/>
    <row r="379"/>
    <row r="380"/>
    <row r="383"/>
    <row r="416"/>
    <row r="417"/>
    <row r="424"/>
    <row r="457"/>
    <row r="458"/>
  </sheetData>
  <sheetProtection formatCells="0" formatColumns="0" formatRows="0"/>
  <protectedRanges>
    <protectedRange sqref="AM36:BO36 A37:A38 A42 M39:BO41 C37:BO38 C42:BO42 A77 C77:BO77 O43:BO43 O76:BO76 O44:O75 Q44:BO75 A81:A577 C81:BO577 L78:BO80" name="Range1"/>
    <protectedRange sqref="I1" name="Range2"/>
    <protectedRange sqref="A36 M35:AL35 C36:AL36" name="Range1_4"/>
    <protectedRange sqref="M2:O2 AL2" name="Range1_2_1"/>
    <protectedRange sqref="T2:AK2" name="Range1_2_1_1"/>
    <protectedRange sqref="B36:B38 B42 B77 B81:B501" name="Range1_1"/>
    <protectedRange sqref="B1" name="Range1_1_1"/>
  </protectedRanges>
  <mergeCells count="1">
    <mergeCell ref="A80:F80"/>
  </mergeCells>
  <conditionalFormatting sqref="C2:L2 A2:A33">
    <cfRule type="containsText" dxfId="263" priority="44" stopIfTrue="1" operator="containsText" text="ELTÉRÉS!">
      <formula>NOT(ISERROR(SEARCH("ELTÉRÉS!",A2)))</formula>
    </cfRule>
    <cfRule type="containsText" dxfId="262" priority="45" stopIfTrue="1" operator="containsText" text="STIMMEL!">
      <formula>NOT(ISERROR(SEARCH("STIMMEL!",A2)))</formula>
    </cfRule>
  </conditionalFormatting>
  <conditionalFormatting sqref="C2:L2 A2:A33">
    <cfRule type="cellIs" dxfId="261" priority="43" operator="equal">
      <formula>0.01</formula>
    </cfRule>
  </conditionalFormatting>
  <conditionalFormatting sqref="M3:M11 M13:M33">
    <cfRule type="containsText" dxfId="260" priority="41" stopIfTrue="1" operator="containsText" text="ELTÉRÉS!">
      <formula>NOT(ISERROR(SEARCH("ELTÉRÉS!",M3)))</formula>
    </cfRule>
    <cfRule type="containsText" dxfId="259" priority="42" stopIfTrue="1" operator="containsText" text="STIMMEL!">
      <formula>NOT(ISERROR(SEARCH("STIMMEL!",M3)))</formula>
    </cfRule>
  </conditionalFormatting>
  <conditionalFormatting sqref="M3:M11 M13:M33">
    <cfRule type="cellIs" dxfId="258" priority="40" operator="equal">
      <formula>0.01</formula>
    </cfRule>
  </conditionalFormatting>
  <conditionalFormatting sqref="C3:L11 C13:L33">
    <cfRule type="containsText" dxfId="257" priority="38" stopIfTrue="1" operator="containsText" text="ELTÉRÉS!">
      <formula>NOT(ISERROR(SEARCH("ELTÉRÉS!",C3)))</formula>
    </cfRule>
    <cfRule type="containsText" dxfId="256" priority="39" stopIfTrue="1" operator="containsText" text="STIMMEL!">
      <formula>NOT(ISERROR(SEARCH("STIMMEL!",C3)))</formula>
    </cfRule>
  </conditionalFormatting>
  <conditionalFormatting sqref="C3:L11 C13:L33">
    <cfRule type="cellIs" dxfId="255" priority="37" operator="equal">
      <formula>0.01</formula>
    </cfRule>
  </conditionalFormatting>
  <conditionalFormatting sqref="L39:L41">
    <cfRule type="containsText" dxfId="254" priority="32" stopIfTrue="1" operator="containsText" text="ELTÉRÉS!">
      <formula>NOT(ISERROR(SEARCH("ELTÉRÉS!",L39)))</formula>
    </cfRule>
    <cfRule type="containsText" dxfId="253" priority="33" stopIfTrue="1" operator="containsText" text="STIMMEL!">
      <formula>NOT(ISERROR(SEARCH("STIMMEL!",L39)))</formula>
    </cfRule>
  </conditionalFormatting>
  <conditionalFormatting sqref="L39:L41">
    <cfRule type="cellIs" dxfId="252" priority="31" operator="equal">
      <formula>0.01</formula>
    </cfRule>
  </conditionalFormatting>
  <conditionalFormatting sqref="B2:B33 C12:N12">
    <cfRule type="containsText" dxfId="251" priority="29" stopIfTrue="1" operator="containsText" text="ELTÉRÉS!">
      <formula>NOT(ISERROR(SEARCH("ELTÉRÉS!",B2)))</formula>
    </cfRule>
    <cfRule type="containsText" dxfId="250" priority="30" stopIfTrue="1" operator="containsText" text="STIMMEL!">
      <formula>NOT(ISERROR(SEARCH("STIMMEL!",B2)))</formula>
    </cfRule>
  </conditionalFormatting>
  <conditionalFormatting sqref="B2:B33 C12:N12">
    <cfRule type="cellIs" dxfId="249" priority="28" operator="equal">
      <formula>0.01</formula>
    </cfRule>
  </conditionalFormatting>
  <conditionalFormatting sqref="C43:N76 A43:A76">
    <cfRule type="containsText" dxfId="248" priority="23" stopIfTrue="1" operator="containsText" text="ELTÉRÉS!">
      <formula>NOT(ISERROR(SEARCH("ELTÉRÉS!",A43)))</formula>
    </cfRule>
    <cfRule type="containsText" dxfId="247" priority="24" stopIfTrue="1" operator="containsText" text="STIMMEL!">
      <formula>NOT(ISERROR(SEARCH("STIMMEL!",A43)))</formula>
    </cfRule>
  </conditionalFormatting>
  <conditionalFormatting sqref="C43:N76 A43:A76">
    <cfRule type="cellIs" dxfId="246" priority="22" operator="equal">
      <formula>0.01</formula>
    </cfRule>
  </conditionalFormatting>
  <conditionalFormatting sqref="B43:B74">
    <cfRule type="containsText" dxfId="245" priority="20" stopIfTrue="1" operator="containsText" text="ELTÉRÉS!">
      <formula>NOT(ISERROR(SEARCH("ELTÉRÉS!",B43)))</formula>
    </cfRule>
    <cfRule type="containsText" dxfId="244" priority="21" stopIfTrue="1" operator="containsText" text="STIMMEL!">
      <formula>NOT(ISERROR(SEARCH("STIMMEL!",B43)))</formula>
    </cfRule>
  </conditionalFormatting>
  <conditionalFormatting sqref="B43:B74">
    <cfRule type="cellIs" dxfId="243" priority="19" operator="equal">
      <formula>0.01</formula>
    </cfRule>
  </conditionalFormatting>
  <conditionalFormatting sqref="F39:K39">
    <cfRule type="containsText" dxfId="242" priority="17" stopIfTrue="1" operator="containsText" text="ELTÉRÉS!">
      <formula>NOT(ISERROR(SEARCH("ELTÉRÉS!",F39)))</formula>
    </cfRule>
    <cfRule type="containsText" dxfId="241" priority="18" stopIfTrue="1" operator="containsText" text="STIMMEL!">
      <formula>NOT(ISERROR(SEARCH("STIMMEL!",F39)))</formula>
    </cfRule>
  </conditionalFormatting>
  <conditionalFormatting sqref="F39:K39">
    <cfRule type="cellIs" dxfId="240" priority="16" operator="equal">
      <formula>0.01</formula>
    </cfRule>
  </conditionalFormatting>
  <conditionalFormatting sqref="A39">
    <cfRule type="containsText" dxfId="239" priority="14" stopIfTrue="1" operator="containsText" text="ELTÉRÉS!">
      <formula>NOT(ISERROR(SEARCH("ELTÉRÉS!",A39)))</formula>
    </cfRule>
    <cfRule type="containsText" dxfId="238" priority="15" stopIfTrue="1" operator="containsText" text="STIMMEL!">
      <formula>NOT(ISERROR(SEARCH("STIMMEL!",A39)))</formula>
    </cfRule>
  </conditionalFormatting>
  <conditionalFormatting sqref="A39">
    <cfRule type="cellIs" dxfId="237" priority="13" operator="equal">
      <formula>0.01</formula>
    </cfRule>
  </conditionalFormatting>
  <conditionalFormatting sqref="B39">
    <cfRule type="containsText" dxfId="236" priority="11" stopIfTrue="1" operator="containsText" text="ELTÉRÉS!">
      <formula>NOT(ISERROR(SEARCH("ELTÉRÉS!",B39)))</formula>
    </cfRule>
    <cfRule type="containsText" dxfId="235" priority="12" stopIfTrue="1" operator="containsText" text="STIMMEL!">
      <formula>NOT(ISERROR(SEARCH("STIMMEL!",B39)))</formula>
    </cfRule>
  </conditionalFormatting>
  <conditionalFormatting sqref="B39">
    <cfRule type="cellIs" dxfId="234" priority="10" operator="equal">
      <formula>0.01</formula>
    </cfRule>
  </conditionalFormatting>
  <conditionalFormatting sqref="F78:K78">
    <cfRule type="containsText" dxfId="233" priority="8" stopIfTrue="1" operator="containsText" text="ELTÉRÉS!">
      <formula>NOT(ISERROR(SEARCH("ELTÉRÉS!",F78)))</formula>
    </cfRule>
    <cfRule type="containsText" dxfId="232" priority="9" stopIfTrue="1" operator="containsText" text="STIMMEL!">
      <formula>NOT(ISERROR(SEARCH("STIMMEL!",F78)))</formula>
    </cfRule>
  </conditionalFormatting>
  <conditionalFormatting sqref="F78:K78">
    <cfRule type="cellIs" dxfId="231" priority="7" operator="equal">
      <formula>0.01</formula>
    </cfRule>
  </conditionalFormatting>
  <conditionalFormatting sqref="A78">
    <cfRule type="containsText" dxfId="230" priority="5" stopIfTrue="1" operator="containsText" text="ELTÉRÉS!">
      <formula>NOT(ISERROR(SEARCH("ELTÉRÉS!",A78)))</formula>
    </cfRule>
    <cfRule type="containsText" dxfId="229" priority="6" stopIfTrue="1" operator="containsText" text="STIMMEL!">
      <formula>NOT(ISERROR(SEARCH("STIMMEL!",A78)))</formula>
    </cfRule>
  </conditionalFormatting>
  <conditionalFormatting sqref="A78">
    <cfRule type="cellIs" dxfId="228" priority="4" operator="equal">
      <formula>0.01</formula>
    </cfRule>
  </conditionalFormatting>
  <conditionalFormatting sqref="B78">
    <cfRule type="containsText" dxfId="227" priority="2" stopIfTrue="1" operator="containsText" text="ELTÉRÉS!">
      <formula>NOT(ISERROR(SEARCH("ELTÉRÉS!",B78)))</formula>
    </cfRule>
    <cfRule type="containsText" dxfId="226" priority="3" stopIfTrue="1" operator="containsText" text="STIMMEL!">
      <formula>NOT(ISERROR(SEARCH("STIMMEL!",B78)))</formula>
    </cfRule>
  </conditionalFormatting>
  <conditionalFormatting sqref="B78">
    <cfRule type="cellIs" dxfId="225" priority="1" operator="equal">
      <formula>0.01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975BA-BF6B-4864-8CA2-816B2785CBCF}">
  <dimension ref="A1:AL459"/>
  <sheetViews>
    <sheetView tabSelected="1" workbookViewId="0">
      <pane ySplit="1" topLeftCell="J41" activePane="bottomLeft" state="frozen"/>
      <selection pane="bottomLeft" activeCell="AG45" sqref="AG45:AG75"/>
    </sheetView>
  </sheetViews>
  <sheetFormatPr defaultColWidth="9.140625" defaultRowHeight="15" customHeight="1"/>
  <cols>
    <col min="1" max="2" width="16.140625" style="82" customWidth="1"/>
    <col min="3" max="3" width="12.140625" customWidth="1"/>
    <col min="4" max="4" width="12.85546875" bestFit="1" customWidth="1"/>
    <col min="5" max="5" width="10.7109375" customWidth="1"/>
    <col min="6" max="6" width="12.85546875" bestFit="1" customWidth="1"/>
    <col min="7" max="7" width="11.7109375" bestFit="1" customWidth="1"/>
    <col min="8" max="8" width="12.85546875" bestFit="1" customWidth="1"/>
    <col min="9" max="9" width="12.85546875" customWidth="1"/>
    <col min="10" max="10" width="11.5703125" style="42" customWidth="1"/>
    <col min="11" max="11" width="21.85546875" style="287" customWidth="1"/>
    <col min="12" max="12" width="15.42578125" style="279" customWidth="1"/>
    <col min="13" max="13" width="10" customWidth="1"/>
    <col min="14" max="14" width="15.28515625" customWidth="1"/>
    <col min="16" max="32" width="0" hidden="1" customWidth="1"/>
    <col min="33" max="33" width="11.28515625" customWidth="1"/>
  </cols>
  <sheetData>
    <row r="1" spans="1:38" ht="27.75" customHeight="1">
      <c r="A1" s="83" t="s">
        <v>290</v>
      </c>
      <c r="B1" s="377" t="s">
        <v>77</v>
      </c>
      <c r="C1" s="3">
        <v>0</v>
      </c>
      <c r="D1" s="3">
        <v>0.05</v>
      </c>
      <c r="E1" s="3">
        <v>0.18</v>
      </c>
      <c r="F1" s="3">
        <v>0.27</v>
      </c>
      <c r="G1" s="2" t="s">
        <v>78</v>
      </c>
      <c r="H1" s="2" t="s">
        <v>79</v>
      </c>
      <c r="I1" s="48" t="s">
        <v>80</v>
      </c>
      <c r="J1" s="36" t="s">
        <v>116</v>
      </c>
      <c r="K1" s="288" t="s">
        <v>82</v>
      </c>
      <c r="L1" s="289" t="s">
        <v>83</v>
      </c>
      <c r="M1" s="59" t="s">
        <v>84</v>
      </c>
      <c r="N1" s="59" t="s">
        <v>85</v>
      </c>
    </row>
    <row r="2" spans="1:38" ht="21">
      <c r="A2" s="81" t="s">
        <v>3</v>
      </c>
      <c r="B2" s="378"/>
      <c r="C2" s="30"/>
      <c r="D2" s="30"/>
      <c r="E2" s="30"/>
      <c r="F2" s="30"/>
      <c r="G2" s="30"/>
      <c r="H2" s="30"/>
      <c r="I2" s="30"/>
      <c r="J2" s="30"/>
      <c r="K2" s="273"/>
      <c r="L2" s="273"/>
      <c r="M2" s="31"/>
      <c r="N2" s="207"/>
      <c r="O2" s="180"/>
      <c r="P2" s="234" t="str">
        <f>'[6]2026 január'!G1</f>
        <v>Tartalék Kiadás</v>
      </c>
      <c r="Q2" s="234" t="str">
        <f>'[6]2026 január'!W1</f>
        <v>Kivét</v>
      </c>
      <c r="R2" s="234" t="s">
        <v>86</v>
      </c>
      <c r="S2" s="30"/>
      <c r="T2" s="39"/>
      <c r="U2" s="234" t="str">
        <f>'[6]2026 január'!S1</f>
        <v>Pénztár nyitó</v>
      </c>
      <c r="V2" s="234" t="str">
        <f>'[6]2026 január'!T1</f>
        <v>novo kp bevétel</v>
      </c>
      <c r="W2" s="234" t="str">
        <f>'[6]2026 január'!U1</f>
        <v>Egyéb bevétel</v>
      </c>
      <c r="X2" s="234" t="str">
        <f>'[6]2026 január'!V1</f>
        <v>Költött</v>
      </c>
      <c r="Y2" s="234" t="str">
        <f>'[6]2026 január'!W1</f>
        <v>Kivét</v>
      </c>
      <c r="Z2" s="234" t="str">
        <f>'[6]2026 január'!X1</f>
        <v>Eltérés</v>
      </c>
      <c r="AA2" s="234" t="str">
        <f>'[6]2026 január'!Y1</f>
        <v>Záró</v>
      </c>
      <c r="AB2" s="234" t="str">
        <f>'[6]2026 január'!Z1</f>
        <v>Megjegyzések</v>
      </c>
      <c r="AC2" s="234">
        <f>'[6]2026 január'!AA1</f>
        <v>0</v>
      </c>
      <c r="AD2" s="234">
        <f>'[6]2026 január'!AB1</f>
        <v>0</v>
      </c>
      <c r="AE2" s="234">
        <f>'[6]2026 január'!AC1</f>
        <v>0</v>
      </c>
      <c r="AF2" s="234" t="str">
        <f>'[6]2026 január'!AD1</f>
        <v>Egyéb kiadás</v>
      </c>
      <c r="AG2" s="234" t="str">
        <f>'[6]2026 január'!B$1</f>
        <v>Novohost</v>
      </c>
      <c r="AH2" s="31"/>
      <c r="AI2" s="31"/>
      <c r="AJ2" s="31"/>
      <c r="AK2" s="31"/>
      <c r="AL2" s="180"/>
    </row>
    <row r="3" spans="1:38">
      <c r="A3" s="162">
        <v>46023</v>
      </c>
      <c r="B3" s="379"/>
      <c r="C3" s="163"/>
      <c r="D3" s="163"/>
      <c r="E3" s="163"/>
      <c r="F3" s="163"/>
      <c r="G3" s="163"/>
      <c r="H3" s="163"/>
      <c r="I3" s="163"/>
      <c r="J3" s="163"/>
      <c r="K3" s="275"/>
      <c r="L3" s="274"/>
      <c r="M3" s="166"/>
      <c r="N3" s="162"/>
      <c r="O3" s="49"/>
      <c r="P3" s="245" t="str">
        <f>IF(OR('[6]2026 január'!G2=0,
       ISBLANK('[6]2026 január'!G2)),
    "",
    '[6]2026 január'!G2
)</f>
        <v/>
      </c>
      <c r="Q3" s="49">
        <f>'[6]2026 január'!W2</f>
        <v>0</v>
      </c>
      <c r="R3" s="49" t="e">
        <f>AG3-P3-Q3-G3-H3</f>
        <v>#VALUE!</v>
      </c>
      <c r="S3" s="49"/>
      <c r="T3" s="4"/>
      <c r="U3" s="245">
        <f>IF('[6]2026 január'!S2=0,
    "",
    '[6]2026 január'!S2
)</f>
        <v>88273</v>
      </c>
      <c r="V3" s="245" t="str">
        <f>IF('[6]2026 január'!T2=0,
    "",
    '[6]2026 január'!T2
)</f>
        <v/>
      </c>
      <c r="W3" s="245" t="str">
        <f>IF('[6]2026 január'!U2=0,
    "",
    '[6]2026 január'!U2
)</f>
        <v/>
      </c>
      <c r="X3" s="245" t="str">
        <f>IF('[6]2026 január'!V2=0,
    "",
    '[6]2026 január'!V2
)</f>
        <v/>
      </c>
      <c r="Y3" s="245" t="str">
        <f>IF('[6]2026 január'!W2=0,
    "",
    '[6]2026 január'!W2
)</f>
        <v/>
      </c>
      <c r="Z3" s="245" t="str">
        <f>IF('[6]2026 január'!X2=0,
    "",
    '[6]2026 január'!X2
)</f>
        <v/>
      </c>
      <c r="AA3" s="245">
        <f>IF('[6]2026 január'!Y2=0,
    "",
    '[6]2026 január'!Y2
)</f>
        <v>88273</v>
      </c>
      <c r="AB3" s="245" t="str">
        <f>IF('[6]2026 január'!Z2=0,
    "",
    '[6]2026 január'!Z2
)</f>
        <v/>
      </c>
      <c r="AC3" s="245" t="str">
        <f>IF('[6]2026 január'!AA2=0,
    "",
    '[6]2026 január'!AA2
)</f>
        <v/>
      </c>
      <c r="AD3" s="245" t="str">
        <f>IF('[6]2026 január'!AB2=0,
    "",
    '[6]2026 január'!AB2
)</f>
        <v/>
      </c>
      <c r="AE3" s="245" t="str">
        <f>IF('[6]2026 január'!AC2=0,
    "",
    '[6]2026 január'!AC2
)</f>
        <v/>
      </c>
      <c r="AF3" s="245" t="str">
        <f>IF('[6]2026 január'!AD2=0,
    "",
    '[6]2026 január'!AD2
)</f>
        <v/>
      </c>
      <c r="AG3" s="245" t="str">
        <f>IF('[6]2026 január'!B$2=0,
    "",
    '[6]2026 január'!B$2
)</f>
        <v/>
      </c>
      <c r="AH3" s="245" t="str">
        <f>IF('[6]2026 január'!AE$2=0,
    "",
    '[6]2026 január'!AE$2
)</f>
        <v/>
      </c>
      <c r="AI3" s="245" t="str">
        <f>IF('[6]2026 január'!AF2=0,
    "",
    '[6]2026 január'!AF2
)</f>
        <v/>
      </c>
      <c r="AJ3" s="245" t="str">
        <f>IF('[6]2026 január'!AG2=0,
    "",
    '[6]2026 január'!AG2
)</f>
        <v/>
      </c>
      <c r="AK3" s="245" t="str">
        <f>IF('[6]2026 január'!AH2=0,
    "",
    '[6]2026 január'!AH2
)</f>
        <v/>
      </c>
    </row>
    <row r="4" spans="1:38">
      <c r="A4" s="162">
        <v>46024</v>
      </c>
      <c r="B4" s="379"/>
      <c r="C4" s="163"/>
      <c r="D4" s="163"/>
      <c r="E4" s="163"/>
      <c r="F4" s="163"/>
      <c r="G4" s="163"/>
      <c r="H4" s="163"/>
      <c r="I4" s="163"/>
      <c r="J4" s="163"/>
      <c r="K4" s="275"/>
      <c r="L4" s="274"/>
      <c r="M4" s="166"/>
      <c r="N4" s="162"/>
      <c r="O4" s="49"/>
      <c r="P4" s="245" t="str">
        <f>IF(OR('[6]2026 január'!G3=0,
       ISBLANK('[6]2026 január'!G3)),
    "",
    '[6]2026 január'!G3
)</f>
        <v/>
      </c>
      <c r="Q4" s="49">
        <f>'[6]2026 január'!W3</f>
        <v>0</v>
      </c>
      <c r="R4" s="49"/>
      <c r="S4" s="49"/>
      <c r="T4" s="4"/>
      <c r="U4" s="245">
        <f>IF('[6]2026 január'!S3=0,
    "",
    '[6]2026 január'!S3
)</f>
        <v>88273</v>
      </c>
      <c r="V4" s="245" t="str">
        <f>IF('[6]2026 január'!T3=0,
    "",
    '[6]2026 január'!T3
)</f>
        <v/>
      </c>
      <c r="W4" s="245" t="str">
        <f>IF('[6]2026 január'!U3=0,
    "",
    '[6]2026 január'!U3
)</f>
        <v/>
      </c>
      <c r="X4" s="245" t="str">
        <f>IF('[6]2026 január'!V3=0,
    "",
    '[6]2026 január'!V3
)</f>
        <v/>
      </c>
      <c r="Y4" s="245" t="str">
        <f>IF('[6]2026 január'!W3=0,
    "",
    '[6]2026 január'!W3
)</f>
        <v/>
      </c>
      <c r="Z4" s="245" t="str">
        <f>IF('[6]2026 január'!X3=0,
    "",
    '[6]2026 január'!X3
)</f>
        <v/>
      </c>
      <c r="AA4" s="245">
        <f>IF('[6]2026 január'!Y3=0,
    "",
    '[6]2026 január'!Y3
)</f>
        <v>88273</v>
      </c>
      <c r="AB4" s="245" t="str">
        <f>IF('[6]2026 január'!Z3=0,
    "",
    '[6]2026 január'!Z3
)</f>
        <v/>
      </c>
      <c r="AC4" s="245" t="str">
        <f>IF('[6]2026 január'!AA3=0,
    "",
    '[6]2026 január'!AA3
)</f>
        <v/>
      </c>
      <c r="AD4" s="245" t="str">
        <f>IF('[6]2026 január'!AB3=0,
    "",
    '[6]2026 január'!AB3
)</f>
        <v/>
      </c>
      <c r="AE4" s="245" t="str">
        <f>IF('[6]2026 január'!AC3=0,
    "",
    '[6]2026 január'!AC3
)</f>
        <v/>
      </c>
      <c r="AF4" s="245" t="str">
        <f>IF('[6]2026 január'!AD3=0,
    "",
    '[6]2026 január'!AD3
)</f>
        <v/>
      </c>
      <c r="AG4" s="245" t="str">
        <f>IF('[6]2026 január'!B$3=0,
    "",
    '[6]2026 január'!B$3
)</f>
        <v/>
      </c>
      <c r="AH4" s="245" t="str">
        <f>IF('[6]2026 január'!AE$3=0,
    "",
    '[6]2026 január'!AE$3
)</f>
        <v/>
      </c>
      <c r="AI4" s="245" t="str">
        <f>IF('[6]2026 január'!AF3=0,
    "",
    '[6]2026 január'!AF3
)</f>
        <v/>
      </c>
      <c r="AJ4" s="245" t="str">
        <f>IF('[6]2026 január'!AG3=0,
    "",
    '[6]2026 január'!AG3
)</f>
        <v/>
      </c>
      <c r="AK4" s="245" t="str">
        <f>IF('[6]2026 január'!AH3=0,
    "",
    '[6]2026 január'!AH3
)</f>
        <v/>
      </c>
    </row>
    <row r="5" spans="1:38">
      <c r="A5" s="162">
        <v>46025</v>
      </c>
      <c r="B5" s="379"/>
      <c r="C5" s="163"/>
      <c r="D5" s="163"/>
      <c r="E5" s="163"/>
      <c r="F5" s="163"/>
      <c r="G5" s="163"/>
      <c r="H5" s="163"/>
      <c r="I5" s="163"/>
      <c r="J5" s="163"/>
      <c r="K5" s="275"/>
      <c r="L5" s="275"/>
      <c r="M5" s="168"/>
      <c r="N5" s="162"/>
      <c r="O5" s="49"/>
      <c r="P5" s="245" t="str">
        <f>IF(OR('[6]2026 január'!G4=0,
       ISBLANK('[6]2026 január'!G4)),
    "",
    '[6]2026 január'!G4
)</f>
        <v/>
      </c>
      <c r="Q5" s="49">
        <f>'[6]2026 január'!W4</f>
        <v>0</v>
      </c>
      <c r="R5" s="49"/>
      <c r="S5" s="49"/>
      <c r="T5" s="4"/>
      <c r="U5" s="245">
        <f>IF('[6]2026 január'!S4=0,
    "",
    '[6]2026 január'!S4
)</f>
        <v>88273</v>
      </c>
      <c r="V5" s="245" t="str">
        <f>IF('[6]2026 január'!T4=0,
    "",
    '[6]2026 január'!T4
)</f>
        <v/>
      </c>
      <c r="W5" s="245" t="str">
        <f>IF('[6]2026 január'!U4=0,
    "",
    '[6]2026 január'!U4
)</f>
        <v/>
      </c>
      <c r="X5" s="245" t="str">
        <f>IF('[6]2026 január'!V4=0,
    "",
    '[6]2026 január'!V4
)</f>
        <v/>
      </c>
      <c r="Y5" s="245" t="str">
        <f>IF('[6]2026 január'!W4=0,
    "",
    '[6]2026 január'!W4
)</f>
        <v/>
      </c>
      <c r="Z5" s="245" t="str">
        <f>IF('[6]2026 január'!X4=0,
    "",
    '[6]2026 január'!X4
)</f>
        <v/>
      </c>
      <c r="AA5" s="245">
        <f>IF('[6]2026 január'!Y4=0,
    "",
    '[6]2026 január'!Y4
)</f>
        <v>88273</v>
      </c>
      <c r="AB5" s="245" t="str">
        <f>IF('[6]2026 január'!Z4=0,
    "",
    '[6]2026 január'!Z4
)</f>
        <v/>
      </c>
      <c r="AC5" s="245" t="str">
        <f>IF('[6]2026 január'!AA4=0,
    "",
    '[6]2026 január'!AA4
)</f>
        <v/>
      </c>
      <c r="AD5" s="245" t="str">
        <f>IF('[6]2026 január'!AB4=0,
    "",
    '[6]2026 január'!AB4
)</f>
        <v/>
      </c>
      <c r="AE5" s="245" t="str">
        <f>IF('[6]2026 január'!AC4=0,
    "",
    '[6]2026 január'!AC4
)</f>
        <v/>
      </c>
      <c r="AF5" s="245" t="str">
        <f>IF('[6]2026 január'!AD4=0,
    "",
    '[6]2026 január'!AD4
)</f>
        <v/>
      </c>
      <c r="AG5" s="245" t="str">
        <f>IF('[6]2026 január'!B$4=0,
    "",
    '[6]2026 január'!B$4
)</f>
        <v/>
      </c>
      <c r="AH5" s="245" t="str">
        <f>IF('[6]2026 január'!AE$4=0,
    "",
    '[6]2026 január'!AE$4
)</f>
        <v/>
      </c>
      <c r="AI5" s="245" t="str">
        <f>IF('[6]2026 január'!AF4=0,
    "",
    '[6]2026 január'!AF4
)</f>
        <v/>
      </c>
      <c r="AJ5" s="245" t="str">
        <f>IF('[6]2026 január'!AG4=0,
    "",
    '[6]2026 január'!AG4
)</f>
        <v/>
      </c>
      <c r="AK5" s="245" t="str">
        <f>IF('[6]2026 január'!AH4=0,
    "",
    '[6]2026 január'!AH4
)</f>
        <v/>
      </c>
    </row>
    <row r="6" spans="1:38">
      <c r="A6" s="162">
        <v>46026</v>
      </c>
      <c r="B6" s="379"/>
      <c r="C6" s="163"/>
      <c r="D6" s="163"/>
      <c r="E6" s="163"/>
      <c r="F6" s="163"/>
      <c r="G6" s="163"/>
      <c r="H6" s="163"/>
      <c r="I6" s="163"/>
      <c r="J6" s="163"/>
      <c r="K6" s="275"/>
      <c r="L6" s="275"/>
      <c r="M6" s="168"/>
      <c r="N6" s="162"/>
      <c r="O6" s="49"/>
      <c r="P6" s="245" t="str">
        <f>IF(OR('[6]2026 január'!G5=0,
       ISBLANK('[6]2026 január'!G5)),
    "",
    '[6]2026 január'!G5
)</f>
        <v/>
      </c>
      <c r="Q6" s="49">
        <f>'[6]2026 január'!W5</f>
        <v>0</v>
      </c>
      <c r="R6" s="49"/>
      <c r="S6" s="49"/>
      <c r="T6" s="4"/>
      <c r="U6" s="245">
        <f>IF('[6]2026 január'!S5=0,
    "",
    '[6]2026 január'!S5
)</f>
        <v>88273</v>
      </c>
      <c r="V6" s="245" t="str">
        <f>IF('[6]2026 január'!T5=0,
    "",
    '[6]2026 január'!T5
)</f>
        <v/>
      </c>
      <c r="W6" s="245" t="str">
        <f>IF('[6]2026 január'!U5=0,
    "",
    '[6]2026 január'!U5
)</f>
        <v/>
      </c>
      <c r="X6" s="245" t="str">
        <f>IF('[6]2026 január'!V5=0,
    "",
    '[6]2026 január'!V5
)</f>
        <v/>
      </c>
      <c r="Y6" s="245" t="str">
        <f>IF('[6]2026 január'!W5=0,
    "",
    '[6]2026 január'!W5
)</f>
        <v/>
      </c>
      <c r="Z6" s="245" t="str">
        <f>IF('[6]2026 január'!X5=0,
    "",
    '[6]2026 január'!X5
)</f>
        <v/>
      </c>
      <c r="AA6" s="245">
        <f>IF('[6]2026 január'!Y5=0,
    "",
    '[6]2026 január'!Y5
)</f>
        <v>88273</v>
      </c>
      <c r="AB6" s="245" t="str">
        <f>IF('[6]2026 január'!Z5=0,
    "",
    '[6]2026 január'!Z5
)</f>
        <v/>
      </c>
      <c r="AC6" s="245" t="str">
        <f>IF('[6]2026 január'!AA5=0,
    "",
    '[6]2026 január'!AA5
)</f>
        <v/>
      </c>
      <c r="AD6" s="245" t="str">
        <f>IF('[6]2026 január'!AB5=0,
    "",
    '[6]2026 január'!AB5
)</f>
        <v/>
      </c>
      <c r="AE6" s="245" t="str">
        <f>IF('[6]2026 január'!AC5=0,
    "",
    '[6]2026 január'!AC5
)</f>
        <v/>
      </c>
      <c r="AF6" s="245" t="str">
        <f>IF('[6]2026 január'!AD5=0,
    "",
    '[6]2026 január'!AD5
)</f>
        <v/>
      </c>
      <c r="AG6" s="245" t="str">
        <f>IF('[6]2026 január'!B$5=0,
    "",
    '[6]2026 január'!B$5
)</f>
        <v/>
      </c>
      <c r="AH6" s="245" t="str">
        <f>IF('[6]2026 január'!AE$5=0,
    "",
    '[6]2026 január'!AE$5
)</f>
        <v/>
      </c>
      <c r="AI6" s="245" t="str">
        <f>IF('[6]2026 január'!AF5=0,
    "",
    '[6]2026 január'!AF5
)</f>
        <v/>
      </c>
      <c r="AJ6" s="245" t="str">
        <f>IF('[6]2026 január'!AG5=0,
    "",
    '[6]2026 január'!AG5
)</f>
        <v/>
      </c>
      <c r="AK6" s="245" t="str">
        <f>IF('[6]2026 január'!AH5=0,
    "",
    '[6]2026 január'!AH5
)</f>
        <v/>
      </c>
    </row>
    <row r="7" spans="1:38">
      <c r="A7" s="5">
        <v>46027</v>
      </c>
      <c r="B7" s="380">
        <v>230215</v>
      </c>
      <c r="C7" s="11">
        <v>1300</v>
      </c>
      <c r="D7" s="11">
        <v>185570</v>
      </c>
      <c r="E7" s="11">
        <v>0</v>
      </c>
      <c r="F7" s="11">
        <v>12670</v>
      </c>
      <c r="G7" s="11">
        <v>1530</v>
      </c>
      <c r="H7" s="11">
        <v>198010</v>
      </c>
      <c r="I7" s="11">
        <v>198010</v>
      </c>
      <c r="J7" s="10">
        <v>2274</v>
      </c>
      <c r="K7" s="87">
        <v>204956475</v>
      </c>
      <c r="L7" s="276"/>
      <c r="M7" s="159"/>
      <c r="N7" s="5"/>
      <c r="O7" s="49"/>
      <c r="P7" s="245" t="str">
        <f>IF(OR('[6]2026 január'!G6=0,
       ISBLANK('[6]2026 január'!G6)),
    "",
    '[6]2026 január'!G6
)</f>
        <v/>
      </c>
      <c r="Q7" s="49">
        <f>'[6]2026 január'!W6</f>
        <v>0</v>
      </c>
      <c r="R7" s="49"/>
      <c r="S7" s="49"/>
      <c r="T7" s="4"/>
      <c r="U7" s="245">
        <f>IF('[6]2026 január'!S6=0,
    "",
    '[6]2026 január'!S6
)</f>
        <v>88273</v>
      </c>
      <c r="V7" s="245">
        <f>IF('[6]2026 január'!T6=0,
    "",
    '[6]2026 január'!T6
)</f>
        <v>32205</v>
      </c>
      <c r="W7" s="245" t="str">
        <f>IF('[6]2026 január'!U6=0,
    "",
    '[6]2026 január'!U6
)</f>
        <v/>
      </c>
      <c r="X7" s="245">
        <f>IF('[6]2026 január'!V6=0,
    "",
    '[6]2026 január'!V6
)</f>
        <v>18950</v>
      </c>
      <c r="Y7" s="245" t="str">
        <f>IF('[6]2026 január'!W6=0,
    "",
    '[6]2026 január'!W6
)</f>
        <v/>
      </c>
      <c r="Z7" s="245" t="str">
        <f>IF('[6]2026 január'!X6=0,
    "",
    '[6]2026 január'!X6
)</f>
        <v/>
      </c>
      <c r="AA7" s="245">
        <f>IF('[6]2026 január'!Y6=0,
    "",
    '[6]2026 január'!Y6
)</f>
        <v>101528</v>
      </c>
      <c r="AB7" s="245" t="str">
        <f>IF('[6]2026 január'!Z6=0,
    "",
    '[6]2026 január'!Z6
)</f>
        <v/>
      </c>
      <c r="AC7" s="245" t="str">
        <f>IF('[6]2026 január'!AA6=0,
    "",
    '[6]2026 január'!AA6
)</f>
        <v/>
      </c>
      <c r="AD7" s="245" t="str">
        <f>IF('[6]2026 január'!AB6=0,
    "",
    '[6]2026 január'!AB6
)</f>
        <v/>
      </c>
      <c r="AE7" s="245" t="str">
        <f>IF('[6]2026 január'!AC6=0,
    "",
    '[6]2026 január'!AC6
)</f>
        <v/>
      </c>
      <c r="AF7" s="245" t="str">
        <f>IF('[6]2026 január'!AD6=0,
    "",
    '[6]2026 január'!AD6
)</f>
        <v/>
      </c>
      <c r="AG7" s="245">
        <f>IF('[6]2026 január'!B$6=0,
    "",
    '[6]2026 január'!B$6
)</f>
        <v>230215</v>
      </c>
      <c r="AH7" s="245" t="str">
        <f>IF('[6]2026 január'!AE$6=0,
    "",
    '[6]2026 január'!AE$6
)</f>
        <v/>
      </c>
      <c r="AI7" s="245" t="str">
        <f>IF('[6]2026 január'!AF6=0,
    "",
    '[6]2026 január'!AF6
)</f>
        <v/>
      </c>
      <c r="AJ7" s="245" t="str">
        <f>IF('[6]2026 január'!AG6=0,
    "",
    '[6]2026 január'!AG6
)</f>
        <v/>
      </c>
      <c r="AK7" s="245" t="str">
        <f>IF('[6]2026 január'!AH6=0,
    "",
    '[6]2026 január'!AH6
)</f>
        <v/>
      </c>
    </row>
    <row r="8" spans="1:38">
      <c r="A8" s="5">
        <v>46028</v>
      </c>
      <c r="B8" s="380">
        <v>252220</v>
      </c>
      <c r="C8" s="11">
        <v>1400</v>
      </c>
      <c r="D8" s="11">
        <v>209395</v>
      </c>
      <c r="E8" s="11">
        <v>0</v>
      </c>
      <c r="F8" s="11">
        <v>2490</v>
      </c>
      <c r="G8" s="11">
        <v>1200</v>
      </c>
      <c r="H8" s="11">
        <v>212085</v>
      </c>
      <c r="I8" s="11">
        <v>212085</v>
      </c>
      <c r="J8" s="10">
        <v>2275</v>
      </c>
      <c r="K8" s="87">
        <v>205169760</v>
      </c>
      <c r="L8" s="276"/>
      <c r="M8" s="159"/>
      <c r="N8" s="5"/>
      <c r="O8" s="49"/>
      <c r="P8" s="245" t="str">
        <f>IF(OR('[6]2026 január'!G7=0,
       ISBLANK('[6]2026 január'!G7)),
    "",
    '[6]2026 január'!G7
)</f>
        <v/>
      </c>
      <c r="Q8" s="49">
        <f>'[6]2026 január'!W7</f>
        <v>0</v>
      </c>
      <c r="R8" s="49"/>
      <c r="S8" s="49"/>
      <c r="T8" s="4"/>
      <c r="U8" s="245">
        <f>IF('[6]2026 január'!S7=0,
    "",
    '[6]2026 január'!S7
)</f>
        <v>101528</v>
      </c>
      <c r="V8" s="245">
        <f>IF('[6]2026 január'!T7=0,
    "",
    '[6]2026 január'!T7
)</f>
        <v>40135</v>
      </c>
      <c r="W8" s="245" t="str">
        <f>IF('[6]2026 január'!U7=0,
    "",
    '[6]2026 január'!U7
)</f>
        <v/>
      </c>
      <c r="X8" s="245">
        <f>IF('[6]2026 január'!V7=0,
    "",
    '[6]2026 január'!V7
)</f>
        <v>3285</v>
      </c>
      <c r="Y8" s="245" t="str">
        <f>IF('[6]2026 január'!W7=0,
    "",
    '[6]2026 január'!W7
)</f>
        <v/>
      </c>
      <c r="Z8" s="245" t="str">
        <f>IF('[6]2026 január'!X7=0,
    "",
    '[6]2026 január'!X7
)</f>
        <v/>
      </c>
      <c r="AA8" s="245">
        <f>IF('[6]2026 január'!Y7=0,
    "",
    '[6]2026 január'!Y7
)</f>
        <v>138378</v>
      </c>
      <c r="AB8" s="245" t="str">
        <f>IF('[6]2026 január'!Z7=0,
    "",
    '[6]2026 január'!Z7
)</f>
        <v/>
      </c>
      <c r="AC8" s="245" t="str">
        <f>IF('[6]2026 január'!AA7=0,
    "",
    '[6]2026 január'!AA7
)</f>
        <v/>
      </c>
      <c r="AD8" s="245" t="str">
        <f>IF('[6]2026 január'!AB7=0,
    "",
    '[6]2026 január'!AB7
)</f>
        <v/>
      </c>
      <c r="AE8" s="245" t="str">
        <f>IF('[6]2026 január'!AC7=0,
    "",
    '[6]2026 január'!AC7
)</f>
        <v/>
      </c>
      <c r="AF8" s="245" t="str">
        <f>IF('[6]2026 január'!AD7=0,
    "",
    '[6]2026 január'!AD7
)</f>
        <v/>
      </c>
      <c r="AG8" s="245">
        <f>IF('[6]2026 január'!B$7=0,
    "",
    '[6]2026 január'!B$7
)</f>
        <v>252220</v>
      </c>
      <c r="AH8" s="245" t="str">
        <f>IF('[6]2026 január'!AE$7=0,
    "",
    '[6]2026 január'!AE$7
)</f>
        <v/>
      </c>
      <c r="AI8" s="245" t="str">
        <f>IF('[6]2026 január'!AF7=0,
    "",
    '[6]2026 január'!AF7
)</f>
        <v/>
      </c>
      <c r="AJ8" s="245" t="str">
        <f>IF('[6]2026 január'!AG7=0,
    "",
    '[6]2026 január'!AG7
)</f>
        <v/>
      </c>
      <c r="AK8" s="245" t="str">
        <f>IF('[6]2026 január'!AH7=0,
    "",
    '[6]2026 január'!AH7
)</f>
        <v/>
      </c>
    </row>
    <row r="9" spans="1:38">
      <c r="A9" s="5">
        <v>46029</v>
      </c>
      <c r="B9" s="380">
        <v>252475</v>
      </c>
      <c r="C9" s="11">
        <v>1400</v>
      </c>
      <c r="D9" s="11">
        <v>208580</v>
      </c>
      <c r="E9" s="11">
        <v>0</v>
      </c>
      <c r="F9" s="11">
        <v>15770</v>
      </c>
      <c r="G9" s="11">
        <v>2080</v>
      </c>
      <c r="H9" s="11">
        <v>223670</v>
      </c>
      <c r="I9" s="11">
        <v>223670</v>
      </c>
      <c r="J9" s="10">
        <v>2276</v>
      </c>
      <c r="K9" s="87">
        <v>205395510</v>
      </c>
      <c r="L9" s="276"/>
      <c r="M9" s="159"/>
      <c r="N9" s="5"/>
      <c r="O9" s="49"/>
      <c r="P9" s="245" t="str">
        <f>IF(OR('[6]2026 január'!G8=0,
       ISBLANK('[6]2026 január'!G8)),
    "",
    '[6]2026 január'!G8
)</f>
        <v/>
      </c>
      <c r="Q9" s="49">
        <f>'[6]2026 január'!W8</f>
        <v>0</v>
      </c>
      <c r="R9" s="49"/>
      <c r="S9" s="49"/>
      <c r="T9" s="4"/>
      <c r="U9" s="245">
        <f>IF('[6]2026 január'!S8=0,
    "",
    '[6]2026 január'!S8
)</f>
        <v>138378</v>
      </c>
      <c r="V9" s="245">
        <f>IF('[6]2026 január'!T8=0,
    "",
    '[6]2026 január'!T8
)</f>
        <v>28805</v>
      </c>
      <c r="W9" s="245" t="str">
        <f>IF('[6]2026 január'!U8=0,
    "",
    '[6]2026 január'!U8
)</f>
        <v/>
      </c>
      <c r="X9" s="245" t="str">
        <f>IF('[6]2026 január'!V8=0,
    "",
    '[6]2026 január'!V8
)</f>
        <v/>
      </c>
      <c r="Y9" s="245" t="str">
        <f>IF('[6]2026 január'!W8=0,
    "",
    '[6]2026 január'!W8
)</f>
        <v/>
      </c>
      <c r="Z9" s="245" t="str">
        <f>IF('[6]2026 január'!X8=0,
    "",
    '[6]2026 január'!X8
)</f>
        <v/>
      </c>
      <c r="AA9" s="245">
        <f>IF('[6]2026 január'!Y8=0,
    "",
    '[6]2026 január'!Y8
)</f>
        <v>167183</v>
      </c>
      <c r="AB9" s="245" t="str">
        <f>IF('[6]2026 január'!Z8=0,
    "",
    '[6]2026 január'!Z8
)</f>
        <v/>
      </c>
      <c r="AC9" s="245" t="str">
        <f>IF('[6]2026 január'!AA8=0,
    "",
    '[6]2026 január'!AA8
)</f>
        <v/>
      </c>
      <c r="AD9" s="245" t="str">
        <f>IF('[6]2026 január'!AB8=0,
    "",
    '[6]2026 január'!AB8
)</f>
        <v/>
      </c>
      <c r="AE9" s="245" t="str">
        <f>IF('[6]2026 január'!AC8=0,
    "",
    '[6]2026 január'!AC8
)</f>
        <v/>
      </c>
      <c r="AF9" s="245" t="str">
        <f>IF('[6]2026 január'!AD8=0,
    "",
    '[6]2026 január'!AD8
)</f>
        <v/>
      </c>
      <c r="AG9" s="245">
        <f>IF('[6]2026 január'!B$8=0,
    "",
    '[6]2026 január'!B$8
)</f>
        <v>252475</v>
      </c>
      <c r="AH9" s="245" t="str">
        <f>IF('[6]2026 január'!AE$8=0,
    "",
    '[6]2026 január'!AE$8
)</f>
        <v/>
      </c>
      <c r="AI9" s="245" t="str">
        <f>IF('[6]2026 január'!AF8=0,
    "",
    '[6]2026 január'!AF8
)</f>
        <v/>
      </c>
      <c r="AJ9" s="245" t="str">
        <f>IF('[6]2026 január'!AG8=0,
    "",
    '[6]2026 január'!AG8
)</f>
        <v/>
      </c>
      <c r="AK9" s="245" t="str">
        <f>IF('[6]2026 január'!AH8=0,
    "",
    '[6]2026 január'!AH8
)</f>
        <v/>
      </c>
    </row>
    <row r="10" spans="1:38">
      <c r="A10" s="5">
        <v>46030</v>
      </c>
      <c r="B10" s="380">
        <v>340790</v>
      </c>
      <c r="C10" s="11">
        <v>1150</v>
      </c>
      <c r="D10" s="11">
        <v>307660</v>
      </c>
      <c r="E10" s="11">
        <v>0</v>
      </c>
      <c r="F10" s="11">
        <v>5680</v>
      </c>
      <c r="G10" s="11">
        <v>1390</v>
      </c>
      <c r="H10" s="11">
        <v>313100</v>
      </c>
      <c r="I10" s="11">
        <v>313100</v>
      </c>
      <c r="J10" s="10">
        <v>2277</v>
      </c>
      <c r="K10" s="87">
        <v>205710000</v>
      </c>
      <c r="L10" s="276"/>
      <c r="M10" s="159"/>
      <c r="N10" s="5"/>
      <c r="O10" s="49"/>
      <c r="P10" s="245" t="str">
        <f>IF(OR('[6]2026 január'!G9=0,
       ISBLANK('[6]2026 január'!G9)),
    "",
    '[6]2026 január'!G9
)</f>
        <v/>
      </c>
      <c r="Q10" s="49">
        <f>'[6]2026 január'!W9</f>
        <v>0</v>
      </c>
      <c r="R10" s="49"/>
      <c r="S10" s="49"/>
      <c r="T10" s="4"/>
      <c r="U10" s="245">
        <f>IF('[6]2026 január'!S9=0,
    "",
    '[6]2026 január'!S9
)</f>
        <v>167183</v>
      </c>
      <c r="V10" s="245">
        <f>IF('[6]2026 január'!T9=0,
    "",
    '[6]2026 január'!T9
)</f>
        <v>27690</v>
      </c>
      <c r="W10" s="245" t="str">
        <f>IF('[6]2026 január'!U9=0,
    "",
    '[6]2026 január'!U9
)</f>
        <v/>
      </c>
      <c r="X10" s="245" t="str">
        <f>IF('[6]2026 január'!V9=0,
    "",
    '[6]2026 január'!V9
)</f>
        <v/>
      </c>
      <c r="Y10" s="245" t="str">
        <f>IF('[6]2026 január'!W9=0,
    "",
    '[6]2026 január'!W9
)</f>
        <v/>
      </c>
      <c r="Z10" s="245" t="str">
        <f>IF('[6]2026 január'!X9=0,
    "",
    '[6]2026 január'!X9
)</f>
        <v/>
      </c>
      <c r="AA10" s="245">
        <f>IF('[6]2026 január'!Y9=0,
    "",
    '[6]2026 január'!Y9
)</f>
        <v>194873</v>
      </c>
      <c r="AB10" s="245" t="str">
        <f>IF('[6]2026 január'!Z9=0,
    "",
    '[6]2026 január'!Z9
)</f>
        <v/>
      </c>
      <c r="AC10" s="245" t="str">
        <f>IF('[6]2026 január'!AA9=0,
    "",
    '[6]2026 január'!AA9
)</f>
        <v/>
      </c>
      <c r="AD10" s="245" t="str">
        <f>IF('[6]2026 január'!AB9=0,
    "",
    '[6]2026 január'!AB9
)</f>
        <v/>
      </c>
      <c r="AE10" s="245" t="str">
        <f>IF('[6]2026 január'!AC9=0,
    "",
    '[6]2026 január'!AC9
)</f>
        <v/>
      </c>
      <c r="AF10" s="245" t="str">
        <f>IF('[6]2026 január'!AD9=0,
    "",
    '[6]2026 január'!AD9
)</f>
        <v/>
      </c>
      <c r="AG10" s="245">
        <f>IF('[6]2026 január'!B$9=0,
    "",
    '[6]2026 január'!B$9
)</f>
        <v>340790</v>
      </c>
      <c r="AH10" s="245" t="str">
        <f>IF('[6]2026 január'!AE$9=0,
    "",
    '[6]2026 január'!AE$9
)</f>
        <v/>
      </c>
      <c r="AI10" s="245" t="str">
        <f>IF('[6]2026 január'!AF9=0,
    "",
    '[6]2026 január'!AF9
)</f>
        <v/>
      </c>
      <c r="AJ10" s="245" t="str">
        <f>IF('[6]2026 január'!AG9=0,
    "",
    '[6]2026 január'!AG9
)</f>
        <v/>
      </c>
      <c r="AK10" s="245" t="str">
        <f>IF('[6]2026 január'!AH9=0,
    "",
    '[6]2026 január'!AH9
)</f>
        <v/>
      </c>
    </row>
    <row r="11" spans="1:38">
      <c r="A11" s="5">
        <v>46031</v>
      </c>
      <c r="B11" s="380">
        <v>270435</v>
      </c>
      <c r="C11" s="11">
        <v>1100</v>
      </c>
      <c r="D11" s="11">
        <v>245725</v>
      </c>
      <c r="E11" s="11">
        <v>0</v>
      </c>
      <c r="F11" s="11">
        <v>2950</v>
      </c>
      <c r="G11" s="11">
        <v>1100</v>
      </c>
      <c r="H11" s="91">
        <v>248675</v>
      </c>
      <c r="I11" s="91">
        <v>248105</v>
      </c>
      <c r="J11" s="10">
        <v>2278</v>
      </c>
      <c r="K11" s="87">
        <v>205959775</v>
      </c>
      <c r="L11" s="276"/>
      <c r="M11" s="159"/>
      <c r="N11" s="5"/>
      <c r="O11" s="49"/>
      <c r="P11" s="245" t="str">
        <f>IF(OR('[6]2026 január'!G10=0,
       ISBLANK('[6]2026 január'!G10)),
    "",
    '[6]2026 január'!G10
)</f>
        <v/>
      </c>
      <c r="Q11" s="49">
        <f>'[6]2026 január'!W10</f>
        <v>0</v>
      </c>
      <c r="R11" s="49"/>
      <c r="S11" s="49"/>
      <c r="T11" s="4"/>
      <c r="U11" s="245">
        <f>IF('[6]2026 január'!S10=0,
    "",
    '[6]2026 január'!S10
)</f>
        <v>194873</v>
      </c>
      <c r="V11" s="245">
        <f>IF('[6]2026 január'!T10=0,
    "",
    '[6]2026 január'!T10
)</f>
        <v>22330</v>
      </c>
      <c r="W11" s="245" t="str">
        <f>IF('[6]2026 január'!U10=0,
    "",
    '[6]2026 január'!U10
)</f>
        <v/>
      </c>
      <c r="X11" s="245" t="str">
        <f>IF('[6]2026 január'!V10=0,
    "",
    '[6]2026 január'!V10
)</f>
        <v/>
      </c>
      <c r="Y11" s="245" t="str">
        <f>IF('[6]2026 január'!W10=0,
    "",
    '[6]2026 január'!W10
)</f>
        <v/>
      </c>
      <c r="Z11" s="245" t="str">
        <f>IF('[6]2026 január'!X10=0,
    "",
    '[6]2026 január'!X10
)</f>
        <v/>
      </c>
      <c r="AA11" s="245">
        <f>IF('[6]2026 január'!Y10=0,
    "",
    '[6]2026 január'!Y10
)</f>
        <v>217203</v>
      </c>
      <c r="AB11" s="245" t="str">
        <f>IF('[6]2026 január'!Z10=0,
    "",
    '[6]2026 január'!Z10
)</f>
        <v/>
      </c>
      <c r="AC11" s="245" t="str">
        <f>IF('[6]2026 január'!AA10=0,
    "",
    '[6]2026 január'!AA10
)</f>
        <v/>
      </c>
      <c r="AD11" s="245" t="str">
        <f>IF('[6]2026 január'!AB10=0,
    "",
    '[6]2026 január'!AB10
)</f>
        <v/>
      </c>
      <c r="AE11" s="245" t="str">
        <f>IF('[6]2026 január'!AC10=0,
    "",
    '[6]2026 január'!AC10
)</f>
        <v/>
      </c>
      <c r="AF11" s="245" t="str">
        <f>IF('[6]2026 január'!AD10=0,
    "",
    '[6]2026 január'!AD10
)</f>
        <v/>
      </c>
      <c r="AG11" s="245">
        <f>IF('[6]2026 január'!B$10=0,
    "",
    '[6]2026 január'!B$10
)</f>
        <v>270435</v>
      </c>
      <c r="AH11" s="245" t="str">
        <f>IF('[6]2026 január'!AE$10=0,
    "",
    '[6]2026 január'!AE$10
)</f>
        <v/>
      </c>
      <c r="AI11" s="245" t="str">
        <f>IF('[6]2026 január'!AF10=0,
    "",
    '[6]2026 január'!AF10
)</f>
        <v/>
      </c>
      <c r="AJ11" s="245" t="str">
        <f>IF('[6]2026 január'!AG10=0,
    "",
    '[6]2026 január'!AG10
)</f>
        <v/>
      </c>
      <c r="AK11" s="245" t="str">
        <f>IF('[6]2026 január'!AH10=0,
    "",
    '[6]2026 január'!AH10
)</f>
        <v/>
      </c>
    </row>
    <row r="12" spans="1:38">
      <c r="A12" s="5">
        <v>46032</v>
      </c>
      <c r="B12" s="380">
        <v>158545</v>
      </c>
      <c r="C12" s="11">
        <v>600</v>
      </c>
      <c r="D12" s="11">
        <v>137655</v>
      </c>
      <c r="E12" s="11">
        <v>0</v>
      </c>
      <c r="F12" s="11">
        <v>5710</v>
      </c>
      <c r="G12" s="11">
        <v>1590</v>
      </c>
      <c r="H12" s="91">
        <v>142375</v>
      </c>
      <c r="I12" s="91">
        <v>142945</v>
      </c>
      <c r="J12" s="10">
        <v>2279</v>
      </c>
      <c r="K12" s="87">
        <v>206103740</v>
      </c>
      <c r="L12" s="276"/>
      <c r="M12" s="159"/>
      <c r="N12" s="5"/>
      <c r="O12" s="49"/>
      <c r="P12" s="245" t="str">
        <f>IF(OR('[6]2026 január'!G11=0,
       ISBLANK('[6]2026 január'!G11)),
    "",
    '[6]2026 január'!G11
)</f>
        <v/>
      </c>
      <c r="Q12" s="49">
        <f>'[6]2026 január'!W11</f>
        <v>0</v>
      </c>
      <c r="R12" s="49"/>
      <c r="S12" s="49"/>
      <c r="T12" s="4"/>
      <c r="U12" s="245">
        <f>IF('[6]2026 január'!S11=0,
    "",
    '[6]2026 január'!S11
)</f>
        <v>217203</v>
      </c>
      <c r="V12" s="245">
        <f>IF('[6]2026 január'!T11=0,
    "",
    '[6]2026 január'!T11
)</f>
        <v>15600</v>
      </c>
      <c r="W12" s="245" t="str">
        <f>IF('[6]2026 január'!U11=0,
    "",
    '[6]2026 január'!U11
)</f>
        <v/>
      </c>
      <c r="X12" s="245" t="str">
        <f>IF('[6]2026 január'!V11=0,
    "",
    '[6]2026 január'!V11
)</f>
        <v/>
      </c>
      <c r="Y12" s="245" t="str">
        <f>IF('[6]2026 január'!W11=0,
    "",
    '[6]2026 január'!W11
)</f>
        <v/>
      </c>
      <c r="Z12" s="245" t="str">
        <f>IF('[6]2026 január'!X11=0,
    "",
    '[6]2026 január'!X11
)</f>
        <v/>
      </c>
      <c r="AA12" s="245">
        <f>IF('[6]2026 január'!Y11=0,
    "",
    '[6]2026 január'!Y11
)</f>
        <v>232803</v>
      </c>
      <c r="AB12" s="245" t="str">
        <f>IF('[6]2026 január'!Z11=0,
    "",
    '[6]2026 január'!Z11
)</f>
        <v/>
      </c>
      <c r="AC12" s="245" t="str">
        <f>IF('[6]2026 január'!AA11=0,
    "",
    '[6]2026 január'!AA11
)</f>
        <v/>
      </c>
      <c r="AD12" s="245" t="str">
        <f>IF('[6]2026 január'!AB11=0,
    "",
    '[6]2026 január'!AB11
)</f>
        <v/>
      </c>
      <c r="AE12" s="245" t="str">
        <f>IF('[6]2026 január'!AC11=0,
    "",
    '[6]2026 január'!AC11
)</f>
        <v/>
      </c>
      <c r="AF12" s="245" t="str">
        <f>IF('[6]2026 január'!AD11=0,
    "",
    '[6]2026 január'!AD11
)</f>
        <v/>
      </c>
      <c r="AG12" s="245">
        <f>IF('[6]2026 január'!B$11=0,
    "",
    '[6]2026 január'!B$11
)</f>
        <v>158545</v>
      </c>
      <c r="AH12" s="245" t="str">
        <f>IF('[6]2026 január'!AE$11=0,
    "",
    '[6]2026 január'!AE$11
)</f>
        <v/>
      </c>
      <c r="AI12" s="245" t="str">
        <f>IF('[6]2026 január'!AF11=0,
    "",
    '[6]2026 január'!AF11
)</f>
        <v/>
      </c>
      <c r="AJ12" s="245" t="str">
        <f>IF('[6]2026 január'!AG11=0,
    "",
    '[6]2026 január'!AG11
)</f>
        <v/>
      </c>
      <c r="AK12" s="245" t="str">
        <f>IF('[6]2026 január'!AH11=0,
    "",
    '[6]2026 január'!AH11
)</f>
        <v/>
      </c>
    </row>
    <row r="13" spans="1:38">
      <c r="A13" s="162">
        <v>46033</v>
      </c>
      <c r="B13" s="379"/>
      <c r="C13" s="163"/>
      <c r="D13" s="163"/>
      <c r="E13" s="163"/>
      <c r="F13" s="163"/>
      <c r="G13" s="163"/>
      <c r="H13" s="163"/>
      <c r="I13" s="163"/>
      <c r="J13" s="163"/>
      <c r="K13" s="167"/>
      <c r="L13" s="275"/>
      <c r="M13" s="168"/>
      <c r="N13" s="162"/>
      <c r="O13" s="49"/>
      <c r="P13" s="245" t="str">
        <f>IF(OR('[6]2026 január'!G12=0,
       ISBLANK('[6]2026 január'!G12)),
    "",
    '[6]2026 január'!G12
)</f>
        <v/>
      </c>
      <c r="Q13" s="49">
        <f>'[6]2026 január'!W12</f>
        <v>0</v>
      </c>
      <c r="R13" s="49"/>
      <c r="S13" s="49"/>
      <c r="T13" s="4"/>
      <c r="U13" s="245">
        <f>IF('[6]2026 január'!S12=0,
    "",
    '[6]2026 január'!S12
)</f>
        <v>232803</v>
      </c>
      <c r="V13" s="245" t="str">
        <f>IF('[6]2026 január'!T12=0,
    "",
    '[6]2026 január'!T12
)</f>
        <v/>
      </c>
      <c r="W13" s="245" t="str">
        <f>IF('[6]2026 január'!U12=0,
    "",
    '[6]2026 január'!U12
)</f>
        <v/>
      </c>
      <c r="X13" s="245" t="str">
        <f>IF('[6]2026 január'!V12=0,
    "",
    '[6]2026 január'!V12
)</f>
        <v/>
      </c>
      <c r="Y13" s="245" t="str">
        <f>IF('[6]2026 január'!W12=0,
    "",
    '[6]2026 január'!W12
)</f>
        <v/>
      </c>
      <c r="Z13" s="245" t="str">
        <f>IF('[6]2026 január'!X12=0,
    "",
    '[6]2026 január'!X12
)</f>
        <v/>
      </c>
      <c r="AA13" s="245">
        <f>IF('[6]2026 január'!Y12=0,
    "",
    '[6]2026 január'!Y12
)</f>
        <v>232803</v>
      </c>
      <c r="AB13" s="245" t="str">
        <f>IF('[6]2026 január'!Z12=0,
    "",
    '[6]2026 január'!Z12
)</f>
        <v/>
      </c>
      <c r="AC13" s="245" t="str">
        <f>IF('[6]2026 január'!AA12=0,
    "",
    '[6]2026 január'!AA12
)</f>
        <v/>
      </c>
      <c r="AD13" s="245" t="str">
        <f>IF('[6]2026 január'!AB12=0,
    "",
    '[6]2026 január'!AB12
)</f>
        <v/>
      </c>
      <c r="AE13" s="245" t="str">
        <f>IF('[6]2026 január'!AC12=0,
    "",
    '[6]2026 január'!AC12
)</f>
        <v/>
      </c>
      <c r="AF13" s="245" t="str">
        <f>IF('[6]2026 január'!AD12=0,
    "",
    '[6]2026 január'!AD12
)</f>
        <v/>
      </c>
      <c r="AG13" s="245" t="str">
        <f>IF('[6]2026 január'!B$12=0,
    "",
    '[6]2026 január'!B$12
)</f>
        <v/>
      </c>
      <c r="AH13" s="245" t="str">
        <f>IF('[6]2026 január'!AE$12=0,
    "",
    '[6]2026 január'!AE$12
)</f>
        <v/>
      </c>
      <c r="AI13" s="245" t="str">
        <f>IF('[6]2026 január'!AF12=0,
    "",
    '[6]2026 január'!AF12
)</f>
        <v/>
      </c>
      <c r="AJ13" s="245" t="str">
        <f>IF('[6]2026 január'!AG12=0,
    "",
    '[6]2026 január'!AG12
)</f>
        <v/>
      </c>
      <c r="AK13" s="245" t="str">
        <f>IF('[6]2026 január'!AH12=0,
    "",
    '[6]2026 január'!AH12
)</f>
        <v/>
      </c>
    </row>
    <row r="14" spans="1:38">
      <c r="A14" s="5">
        <v>46034</v>
      </c>
      <c r="B14" s="380">
        <v>318805</v>
      </c>
      <c r="C14" s="11">
        <v>1700</v>
      </c>
      <c r="D14" s="11">
        <v>287610</v>
      </c>
      <c r="E14" s="11">
        <v>0</v>
      </c>
      <c r="F14" s="11">
        <v>11800</v>
      </c>
      <c r="G14" s="11">
        <v>1300</v>
      </c>
      <c r="H14" s="11">
        <v>299810</v>
      </c>
      <c r="I14" s="11">
        <v>299810</v>
      </c>
      <c r="J14" s="10">
        <v>2280</v>
      </c>
      <c r="K14" s="87">
        <v>206404850</v>
      </c>
      <c r="L14" s="276"/>
      <c r="M14" s="159"/>
      <c r="N14" s="5"/>
      <c r="O14" s="49"/>
      <c r="P14" s="245" t="str">
        <f>IF(OR('[6]2026 január'!G13=0,
       ISBLANK('[6]2026 január'!G13)),
    "",
    '[6]2026 január'!G13
)</f>
        <v/>
      </c>
      <c r="Q14" s="49">
        <f>'[6]2026 január'!W13</f>
        <v>0</v>
      </c>
      <c r="R14" s="49"/>
      <c r="S14" s="49"/>
      <c r="T14" s="4"/>
      <c r="U14" s="245">
        <f>IF('[6]2026 január'!S13=0,
    "",
    '[6]2026 január'!S13
)</f>
        <v>232803</v>
      </c>
      <c r="V14" s="245">
        <f>IF('[6]2026 január'!T13=0,
    "",
    '[6]2026 január'!T13
)</f>
        <v>18995</v>
      </c>
      <c r="W14" s="245" t="str">
        <f>IF('[6]2026 január'!U13=0,
    "",
    '[6]2026 január'!U13
)</f>
        <v/>
      </c>
      <c r="X14" s="245">
        <f>IF('[6]2026 január'!V13=0,
    "",
    '[6]2026 január'!V13
)</f>
        <v>12850</v>
      </c>
      <c r="Y14" s="245" t="str">
        <f>IF('[6]2026 január'!W13=0,
    "",
    '[6]2026 január'!W13
)</f>
        <v/>
      </c>
      <c r="Z14" s="245" t="str">
        <f>IF('[6]2026 január'!X13=0,
    "",
    '[6]2026 január'!X13
)</f>
        <v/>
      </c>
      <c r="AA14" s="245">
        <f>IF('[6]2026 január'!Y13=0,
    "",
    '[6]2026 január'!Y13
)</f>
        <v>238948</v>
      </c>
      <c r="AB14" s="245" t="str">
        <f>IF('[6]2026 január'!Z13=0,
    "",
    '[6]2026 január'!Z13
)</f>
        <v/>
      </c>
      <c r="AC14" s="245" t="str">
        <f>IF('[6]2026 január'!AA13=0,
    "",
    '[6]2026 január'!AA13
)</f>
        <v/>
      </c>
      <c r="AD14" s="245" t="str">
        <f>IF('[6]2026 január'!AB13=0,
    "",
    '[6]2026 január'!AB13
)</f>
        <v/>
      </c>
      <c r="AE14" s="245" t="str">
        <f>IF('[6]2026 január'!AC13=0,
    "",
    '[6]2026 január'!AC13
)</f>
        <v/>
      </c>
      <c r="AF14" s="245" t="str">
        <f>IF('[6]2026 január'!AD13=0,
    "",
    '[6]2026 január'!AD13
)</f>
        <v/>
      </c>
      <c r="AG14" s="245">
        <f>IF('[6]2026 január'!B$13=0,
    "",
    '[6]2026 január'!B$13
)</f>
        <v>318805</v>
      </c>
      <c r="AH14" s="245" t="str">
        <f>IF('[6]2026 január'!AE$13=0,
    "",
    '[6]2026 január'!AE$13
)</f>
        <v/>
      </c>
      <c r="AI14" s="245" t="str">
        <f>IF('[6]2026 január'!AF13=0,
    "",
    '[6]2026 január'!AF13
)</f>
        <v/>
      </c>
      <c r="AJ14" s="245" t="str">
        <f>IF('[6]2026 január'!AG13=0,
    "",
    '[6]2026 január'!AG13
)</f>
        <v/>
      </c>
      <c r="AK14" s="245" t="str">
        <f>IF('[6]2026 január'!AH13=0,
    "",
    '[6]2026 január'!AH13
)</f>
        <v/>
      </c>
    </row>
    <row r="15" spans="1:38">
      <c r="A15" s="5">
        <v>46035</v>
      </c>
      <c r="B15" s="380">
        <v>251430</v>
      </c>
      <c r="C15" s="11">
        <v>1000</v>
      </c>
      <c r="D15" s="11">
        <v>228205</v>
      </c>
      <c r="E15" s="11">
        <v>0</v>
      </c>
      <c r="F15" s="11">
        <v>10870</v>
      </c>
      <c r="G15" s="11">
        <v>1050</v>
      </c>
      <c r="H15" s="11">
        <v>239025</v>
      </c>
      <c r="I15" s="11">
        <v>239025</v>
      </c>
      <c r="J15" s="10">
        <v>2281</v>
      </c>
      <c r="K15" s="87">
        <v>206644925</v>
      </c>
      <c r="L15" s="276"/>
      <c r="M15" s="159"/>
      <c r="N15" s="5"/>
      <c r="O15" s="49"/>
      <c r="P15" s="245" t="str">
        <f>IF(OR('[6]2026 január'!G14=0,
       ISBLANK('[6]2026 január'!G14)),
    "",
    '[6]2026 január'!G14
)</f>
        <v/>
      </c>
      <c r="Q15" s="49">
        <f>'[6]2026 január'!W14</f>
        <v>0</v>
      </c>
      <c r="R15" s="49"/>
      <c r="S15" s="49"/>
      <c r="T15" s="4"/>
      <c r="U15" s="245">
        <f>IF('[6]2026 január'!S14=0,
    "",
    '[6]2026 január'!S14
)</f>
        <v>238948</v>
      </c>
      <c r="V15" s="245">
        <f>IF('[6]2026 január'!T14=0,
    "",
    '[6]2026 január'!T14
)</f>
        <v>12405</v>
      </c>
      <c r="W15" s="245" t="str">
        <f>IF('[6]2026 január'!U14=0,
    "",
    '[6]2026 január'!U14
)</f>
        <v/>
      </c>
      <c r="X15" s="245">
        <f>IF('[6]2026 január'!V14=0,
    "",
    '[6]2026 január'!V14
)</f>
        <v>14000</v>
      </c>
      <c r="Y15" s="245" t="str">
        <f>IF('[6]2026 január'!W14=0,
    "",
    '[6]2026 január'!W14
)</f>
        <v/>
      </c>
      <c r="Z15" s="245" t="str">
        <f>IF('[6]2026 január'!X14=0,
    "",
    '[6]2026 január'!X14
)</f>
        <v/>
      </c>
      <c r="AA15" s="245">
        <f>IF('[6]2026 január'!Y14=0,
    "",
    '[6]2026 január'!Y14
)</f>
        <v>237353</v>
      </c>
      <c r="AB15" s="245" t="str">
        <f>IF('[6]2026 január'!Z14=0,
    "",
    '[6]2026 január'!Z14
)</f>
        <v/>
      </c>
      <c r="AC15" s="245" t="str">
        <f>IF('[6]2026 január'!AA14=0,
    "",
    '[6]2026 január'!AA14
)</f>
        <v/>
      </c>
      <c r="AD15" s="245" t="str">
        <f>IF('[6]2026 január'!AB14=0,
    "",
    '[6]2026 január'!AB14
)</f>
        <v/>
      </c>
      <c r="AE15" s="245" t="str">
        <f>IF('[6]2026 január'!AC14=0,
    "",
    '[6]2026 január'!AC14
)</f>
        <v/>
      </c>
      <c r="AF15" s="245" t="str">
        <f>IF('[6]2026 január'!AD14=0,
    "",
    '[6]2026 január'!AD14
)</f>
        <v/>
      </c>
      <c r="AG15" s="245">
        <f>IF('[6]2026 január'!B$14=0,
    "",
    '[6]2026 január'!B$14
)</f>
        <v>251430</v>
      </c>
      <c r="AH15" s="245" t="str">
        <f>IF('[6]2026 január'!AE$14=0,
    "",
    '[6]2026 január'!AE$14
)</f>
        <v/>
      </c>
      <c r="AI15" s="245" t="str">
        <f>IF('[6]2026 január'!AF14=0,
    "",
    '[6]2026 január'!AF14
)</f>
        <v/>
      </c>
      <c r="AJ15" s="245" t="str">
        <f>IF('[6]2026 január'!AG14=0,
    "",
    '[6]2026 január'!AG14
)</f>
        <v/>
      </c>
      <c r="AK15" s="245" t="str">
        <f>IF('[6]2026 január'!AH14=0,
    "",
    '[6]2026 január'!AH14
)</f>
        <v/>
      </c>
    </row>
    <row r="16" spans="1:38">
      <c r="A16" s="5">
        <v>46036</v>
      </c>
      <c r="B16" s="380">
        <v>263730</v>
      </c>
      <c r="C16" s="11">
        <v>1100</v>
      </c>
      <c r="D16" s="11">
        <v>246990</v>
      </c>
      <c r="E16" s="11">
        <v>0</v>
      </c>
      <c r="F16" s="11">
        <v>2840</v>
      </c>
      <c r="G16" s="11">
        <v>1100</v>
      </c>
      <c r="H16" s="11">
        <v>249830</v>
      </c>
      <c r="I16" s="11">
        <v>249830</v>
      </c>
      <c r="J16" s="10">
        <v>2282</v>
      </c>
      <c r="K16" s="87">
        <v>206895855</v>
      </c>
      <c r="L16" s="276"/>
      <c r="M16" s="159"/>
      <c r="N16" s="5"/>
      <c r="O16" s="49"/>
      <c r="P16" s="245" t="str">
        <f>IF(OR('[6]2026 január'!G15=0,
       ISBLANK('[6]2026 január'!G15)),
    "",
    '[6]2026 január'!G15
)</f>
        <v/>
      </c>
      <c r="Q16" s="49">
        <f>'[6]2026 január'!W15</f>
        <v>0</v>
      </c>
      <c r="R16" s="49"/>
      <c r="S16" s="49"/>
      <c r="T16" s="4"/>
      <c r="U16" s="245">
        <f>IF('[6]2026 január'!S15=0,
    "",
    '[6]2026 január'!S15
)</f>
        <v>237353</v>
      </c>
      <c r="V16" s="245">
        <f>IF('[6]2026 január'!T15=0,
    "",
    '[6]2026 január'!T15
)</f>
        <v>13900</v>
      </c>
      <c r="W16" s="245" t="str">
        <f>IF('[6]2026 január'!U15=0,
    "",
    '[6]2026 január'!U15
)</f>
        <v/>
      </c>
      <c r="X16" s="245" t="str">
        <f>IF('[6]2026 január'!V15=0,
    "",
    '[6]2026 január'!V15
)</f>
        <v/>
      </c>
      <c r="Y16" s="245" t="str">
        <f>IF('[6]2026 január'!W15=0,
    "",
    '[6]2026 január'!W15
)</f>
        <v/>
      </c>
      <c r="Z16" s="245" t="str">
        <f>IF('[6]2026 január'!X15=0,
    "",
    '[6]2026 január'!X15
)</f>
        <v/>
      </c>
      <c r="AA16" s="245">
        <f>IF('[6]2026 január'!Y15=0,
    "",
    '[6]2026 január'!Y15
)</f>
        <v>251253</v>
      </c>
      <c r="AB16" s="245" t="str">
        <f>IF('[6]2026 január'!Z15=0,
    "",
    '[6]2026 január'!Z15
)</f>
        <v/>
      </c>
      <c r="AC16" s="245" t="str">
        <f>IF('[6]2026 január'!AA15=0,
    "",
    '[6]2026 január'!AA15
)</f>
        <v/>
      </c>
      <c r="AD16" s="245" t="str">
        <f>IF('[6]2026 január'!AB15=0,
    "",
    '[6]2026 január'!AB15
)</f>
        <v/>
      </c>
      <c r="AE16" s="245" t="str">
        <f>IF('[6]2026 január'!AC15=0,
    "",
    '[6]2026 január'!AC15
)</f>
        <v/>
      </c>
      <c r="AF16" s="245" t="str">
        <f>IF('[6]2026 január'!AD15=0,
    "",
    '[6]2026 január'!AD15
)</f>
        <v/>
      </c>
      <c r="AG16" s="245">
        <f>IF('[6]2026 január'!B$15=0,
    "",
    '[6]2026 január'!B$15
)</f>
        <v>263730</v>
      </c>
      <c r="AH16" s="245" t="str">
        <f>IF('[6]2026 január'!AE$15=0,
    "",
    '[6]2026 január'!AE$15
)</f>
        <v/>
      </c>
      <c r="AI16" s="245" t="str">
        <f>IF('[6]2026 január'!AF15=0,
    "",
    '[6]2026 január'!AF15
)</f>
        <v/>
      </c>
      <c r="AJ16" s="245" t="str">
        <f>IF('[6]2026 január'!AG15=0,
    "",
    '[6]2026 január'!AG15
)</f>
        <v/>
      </c>
      <c r="AK16" s="245" t="str">
        <f>IF('[6]2026 január'!AH15=0,
    "",
    '[6]2026 január'!AH15
)</f>
        <v/>
      </c>
    </row>
    <row r="17" spans="1:37">
      <c r="A17" s="5">
        <v>46037</v>
      </c>
      <c r="B17" s="380">
        <v>288030</v>
      </c>
      <c r="C17" s="11">
        <v>1550</v>
      </c>
      <c r="D17" s="11">
        <v>250140</v>
      </c>
      <c r="E17" s="11">
        <v>0</v>
      </c>
      <c r="F17" s="11">
        <v>12740</v>
      </c>
      <c r="G17" s="11">
        <v>200</v>
      </c>
      <c r="H17" s="11">
        <v>264230</v>
      </c>
      <c r="I17" s="11">
        <v>264230</v>
      </c>
      <c r="J17" s="10">
        <v>2283</v>
      </c>
      <c r="K17" s="87">
        <v>207160285</v>
      </c>
      <c r="L17" s="276"/>
      <c r="M17" s="159"/>
      <c r="N17" s="5"/>
      <c r="O17" s="49"/>
      <c r="P17" s="245" t="str">
        <f>IF(OR('[6]2026 január'!G16=0,
       ISBLANK('[6]2026 január'!G16)),
    "",
    '[6]2026 január'!G16
)</f>
        <v/>
      </c>
      <c r="Q17" s="49">
        <f>'[6]2026 január'!W16</f>
        <v>0</v>
      </c>
      <c r="R17" s="49"/>
      <c r="S17" s="49"/>
      <c r="T17" s="4"/>
      <c r="U17" s="245">
        <f>IF('[6]2026 január'!S16=0,
    "",
    '[6]2026 január'!S16
)</f>
        <v>251253</v>
      </c>
      <c r="V17" s="245">
        <f>IF('[6]2026 január'!T16=0,
    "",
    '[6]2026 január'!T16
)</f>
        <v>23800</v>
      </c>
      <c r="W17" s="245" t="str">
        <f>IF('[6]2026 január'!U16=0,
    "",
    '[6]2026 január'!U16
)</f>
        <v/>
      </c>
      <c r="X17" s="245">
        <f>IF('[6]2026 január'!V16=0,
    "",
    '[6]2026 január'!V16
)</f>
        <v>14000</v>
      </c>
      <c r="Y17" s="245" t="str">
        <f>IF('[6]2026 január'!W16=0,
    "",
    '[6]2026 január'!W16
)</f>
        <v/>
      </c>
      <c r="Z17" s="245" t="str">
        <f>IF('[6]2026 január'!X16=0,
    "",
    '[6]2026 január'!X16
)</f>
        <v/>
      </c>
      <c r="AA17" s="245">
        <f>IF('[6]2026 január'!Y16=0,
    "",
    '[6]2026 január'!Y16
)</f>
        <v>261053</v>
      </c>
      <c r="AB17" s="245" t="str">
        <f>IF('[6]2026 január'!Z16=0,
    "",
    '[6]2026 január'!Z16
)</f>
        <v/>
      </c>
      <c r="AC17" s="245" t="str">
        <f>IF('[6]2026 január'!AA16=0,
    "",
    '[6]2026 január'!AA16
)</f>
        <v/>
      </c>
      <c r="AD17" s="245" t="str">
        <f>IF('[6]2026 január'!AB16=0,
    "",
    '[6]2026 január'!AB16
)</f>
        <v/>
      </c>
      <c r="AE17" s="245" t="str">
        <f>IF('[6]2026 január'!AC16=0,
    "",
    '[6]2026 január'!AC16
)</f>
        <v/>
      </c>
      <c r="AF17" s="245" t="str">
        <f>IF('[6]2026 január'!AD16=0,
    "",
    '[6]2026 január'!AD16
)</f>
        <v/>
      </c>
      <c r="AG17" s="245">
        <f>IF('[6]2026 január'!B$16=0,
    "",
    '[6]2026 január'!B$16
)</f>
        <v>288030</v>
      </c>
      <c r="AH17" s="245" t="str">
        <f>IF('[6]2026 január'!AE$16=0,
    "",
    '[6]2026 január'!AE$16
)</f>
        <v/>
      </c>
      <c r="AI17" s="245" t="str">
        <f>IF('[6]2026 január'!AF16=0,
    "",
    '[6]2026 január'!AF16
)</f>
        <v/>
      </c>
      <c r="AJ17" s="245" t="str">
        <f>IF('[6]2026 január'!AG16=0,
    "",
    '[6]2026 január'!AG16
)</f>
        <v/>
      </c>
      <c r="AK17" s="245" t="str">
        <f>IF('[6]2026 január'!AH16=0,
    "",
    '[6]2026 január'!AH16
)</f>
        <v/>
      </c>
    </row>
    <row r="18" spans="1:37">
      <c r="A18" s="5">
        <v>46038</v>
      </c>
      <c r="B18" s="380">
        <v>252610</v>
      </c>
      <c r="C18" s="11">
        <v>1800</v>
      </c>
      <c r="D18" s="11">
        <v>223600</v>
      </c>
      <c r="E18" s="11">
        <v>0</v>
      </c>
      <c r="F18" s="11">
        <v>12495</v>
      </c>
      <c r="G18" s="11">
        <v>1200</v>
      </c>
      <c r="H18" s="11">
        <v>236695</v>
      </c>
      <c r="I18" s="11">
        <v>236695</v>
      </c>
      <c r="J18" s="10">
        <v>2284</v>
      </c>
      <c r="K18" s="87">
        <v>207398180</v>
      </c>
      <c r="L18" s="276"/>
      <c r="M18" s="159"/>
      <c r="N18" s="5"/>
      <c r="O18" s="49"/>
      <c r="P18" s="245" t="str">
        <f>IF(OR('[6]2026 január'!G17=0,
       ISBLANK('[6]2026 január'!G17)),
    "",
    '[6]2026 január'!G17
)</f>
        <v/>
      </c>
      <c r="Q18" s="49">
        <f>'[6]2026 január'!W17</f>
        <v>0</v>
      </c>
      <c r="R18" s="49"/>
      <c r="S18" s="49"/>
      <c r="T18" s="4"/>
      <c r="U18" s="245">
        <f>IF('[6]2026 január'!S17=0,
    "",
    '[6]2026 január'!S17
)</f>
        <v>261053</v>
      </c>
      <c r="V18" s="245">
        <f>IF('[6]2026 január'!T17=0,
    "",
    '[6]2026 január'!T17
)</f>
        <v>15915</v>
      </c>
      <c r="W18" s="245" t="str">
        <f>IF('[6]2026 január'!U17=0,
    "",
    '[6]2026 január'!U17
)</f>
        <v/>
      </c>
      <c r="X18" s="245">
        <f>IF('[6]2026 január'!V17=0,
    "",
    '[6]2026 január'!V17
)</f>
        <v>162445</v>
      </c>
      <c r="Y18" s="245" t="str">
        <f>IF('[6]2026 január'!W17=0,
    "",
    '[6]2026 január'!W17
)</f>
        <v/>
      </c>
      <c r="Z18" s="245" t="str">
        <f>IF('[6]2026 január'!X17=0,
    "",
    '[6]2026 január'!X17
)</f>
        <v/>
      </c>
      <c r="AA18" s="245">
        <f>IF('[6]2026 január'!Y17=0,
    "",
    '[6]2026 január'!Y17
)</f>
        <v>114523</v>
      </c>
      <c r="AB18" s="245" t="str">
        <f>IF('[6]2026 január'!Z17=0,
    "",
    '[6]2026 január'!Z17
)</f>
        <v/>
      </c>
      <c r="AC18" s="245" t="str">
        <f>IF('[6]2026 január'!AA17=0,
    "",
    '[6]2026 január'!AA17
)</f>
        <v/>
      </c>
      <c r="AD18" s="245" t="str">
        <f>IF('[6]2026 január'!AB17=0,
    "",
    '[6]2026 január'!AB17
)</f>
        <v/>
      </c>
      <c r="AE18" s="245" t="str">
        <f>IF('[6]2026 január'!AC17=0,
    "",
    '[6]2026 január'!AC17
)</f>
        <v/>
      </c>
      <c r="AF18" s="245" t="str">
        <f>IF('[6]2026 január'!AD17=0,
    "",
    '[6]2026 január'!AD17
)</f>
        <v/>
      </c>
      <c r="AG18" s="245">
        <f>IF('[6]2026 január'!B$17=0,
    "",
    '[6]2026 január'!B$17
)</f>
        <v>252610</v>
      </c>
      <c r="AH18" s="245" t="str">
        <f>IF('[6]2026 január'!AE$17=0,
    "",
    '[6]2026 január'!AE$17
)</f>
        <v/>
      </c>
      <c r="AI18" s="245" t="str">
        <f>IF('[6]2026 január'!AF17=0,
    "",
    '[6]2026 január'!AF17
)</f>
        <v/>
      </c>
      <c r="AJ18" s="245" t="str">
        <f>IF('[6]2026 január'!AG17=0,
    "",
    '[6]2026 január'!AG17
)</f>
        <v/>
      </c>
      <c r="AK18" s="245" t="str">
        <f>IF('[6]2026 január'!AH17=0,
    "",
    '[6]2026 január'!AH17
)</f>
        <v/>
      </c>
    </row>
    <row r="19" spans="1:37">
      <c r="A19" s="162">
        <v>46039</v>
      </c>
      <c r="B19" s="379"/>
      <c r="C19" s="163"/>
      <c r="D19" s="163"/>
      <c r="E19" s="163"/>
      <c r="F19" s="163"/>
      <c r="G19" s="163"/>
      <c r="H19" s="163"/>
      <c r="I19" s="163"/>
      <c r="J19" s="99"/>
      <c r="K19" s="167"/>
      <c r="L19" s="275"/>
      <c r="M19" s="168"/>
      <c r="N19" s="162"/>
      <c r="O19" s="49"/>
      <c r="P19" s="245" t="str">
        <f>IF(OR('[6]2026 január'!G18=0,
       ISBLANK('[6]2026 január'!G18)),
    "",
    '[6]2026 január'!G18
)</f>
        <v/>
      </c>
      <c r="Q19" s="49">
        <f>'[6]2026 január'!W18</f>
        <v>0</v>
      </c>
      <c r="R19" s="49"/>
      <c r="S19" s="49"/>
      <c r="T19" s="4"/>
      <c r="U19" s="245">
        <f>IF('[6]2026 január'!S18=0,
    "",
    '[6]2026 január'!S18
)</f>
        <v>114523</v>
      </c>
      <c r="V19" s="245" t="str">
        <f>IF('[6]2026 január'!T18=0,
    "",
    '[6]2026 január'!T18
)</f>
        <v/>
      </c>
      <c r="W19" s="245" t="str">
        <f>IF('[6]2026 január'!U18=0,
    "",
    '[6]2026 január'!U18
)</f>
        <v/>
      </c>
      <c r="X19" s="245" t="str">
        <f>IF('[6]2026 január'!V18=0,
    "",
    '[6]2026 január'!V18
)</f>
        <v/>
      </c>
      <c r="Y19" s="245" t="str">
        <f>IF('[6]2026 január'!W18=0,
    "",
    '[6]2026 január'!W18
)</f>
        <v/>
      </c>
      <c r="Z19" s="245" t="str">
        <f>IF('[6]2026 január'!X18=0,
    "",
    '[6]2026 január'!X18
)</f>
        <v/>
      </c>
      <c r="AA19" s="245">
        <f>IF('[6]2026 január'!Y18=0,
    "",
    '[6]2026 január'!Y18
)</f>
        <v>114523</v>
      </c>
      <c r="AB19" s="245" t="str">
        <f>IF('[6]2026 január'!Z18=0,
    "",
    '[6]2026 január'!Z18
)</f>
        <v/>
      </c>
      <c r="AC19" s="245" t="str">
        <f>IF('[6]2026 január'!AA18=0,
    "",
    '[6]2026 január'!AA18
)</f>
        <v/>
      </c>
      <c r="AD19" s="245" t="str">
        <f>IF('[6]2026 január'!AB18=0,
    "",
    '[6]2026 január'!AB18
)</f>
        <v/>
      </c>
      <c r="AE19" s="245" t="str">
        <f>IF('[6]2026 január'!AC18=0,
    "",
    '[6]2026 január'!AC18
)</f>
        <v/>
      </c>
      <c r="AF19" s="245" t="str">
        <f>IF('[6]2026 január'!AD18=0,
    "",
    '[6]2026 január'!AD18
)</f>
        <v/>
      </c>
      <c r="AG19" s="245" t="str">
        <f>IF('[6]2026 január'!B$18=0,
    "",
    '[6]2026 január'!B$18
)</f>
        <v/>
      </c>
      <c r="AH19" s="245" t="str">
        <f>IF('[6]2026 január'!AE$18=0,
    "",
    '[6]2026 január'!AE$18
)</f>
        <v/>
      </c>
      <c r="AI19" s="245" t="str">
        <f>IF('[6]2026 január'!AF18=0,
    "",
    '[6]2026 január'!AF18
)</f>
        <v/>
      </c>
      <c r="AJ19" s="245" t="str">
        <f>IF('[6]2026 január'!AG18=0,
    "",
    '[6]2026 január'!AG18
)</f>
        <v/>
      </c>
      <c r="AK19" s="245" t="str">
        <f>IF('[6]2026 január'!AH18=0,
    "",
    '[6]2026 január'!AH18
)</f>
        <v/>
      </c>
    </row>
    <row r="20" spans="1:37">
      <c r="A20" s="162">
        <v>46040</v>
      </c>
      <c r="B20" s="379"/>
      <c r="C20" s="163"/>
      <c r="D20" s="163"/>
      <c r="E20" s="163"/>
      <c r="F20" s="163"/>
      <c r="G20" s="163"/>
      <c r="H20" s="163"/>
      <c r="I20" s="163"/>
      <c r="J20" s="99"/>
      <c r="K20" s="167"/>
      <c r="L20" s="275"/>
      <c r="M20" s="168"/>
      <c r="N20" s="162"/>
      <c r="O20" s="49"/>
      <c r="P20" s="245" t="str">
        <f>IF(OR('[6]2026 január'!G19=0,
       ISBLANK('[6]2026 január'!G19)),
    "",
    '[6]2026 január'!G19
)</f>
        <v/>
      </c>
      <c r="Q20" s="49">
        <f>'[6]2026 január'!W19</f>
        <v>0</v>
      </c>
      <c r="R20" s="49"/>
      <c r="S20" s="49"/>
      <c r="T20" s="4"/>
      <c r="U20" s="245">
        <f>IF('[6]2026 január'!S19=0,
    "",
    '[6]2026 január'!S19
)</f>
        <v>114523</v>
      </c>
      <c r="V20" s="245" t="str">
        <f>IF('[6]2026 január'!T19=0,
    "",
    '[6]2026 január'!T19
)</f>
        <v/>
      </c>
      <c r="W20" s="245" t="str">
        <f>IF('[6]2026 január'!U19=0,
    "",
    '[6]2026 január'!U19
)</f>
        <v/>
      </c>
      <c r="X20" s="245" t="str">
        <f>IF('[6]2026 január'!V19=0,
    "",
    '[6]2026 január'!V19
)</f>
        <v/>
      </c>
      <c r="Y20" s="245" t="str">
        <f>IF('[6]2026 január'!W19=0,
    "",
    '[6]2026 január'!W19
)</f>
        <v/>
      </c>
      <c r="Z20" s="245" t="str">
        <f>IF('[6]2026 január'!X19=0,
    "",
    '[6]2026 január'!X19
)</f>
        <v/>
      </c>
      <c r="AA20" s="245">
        <f>IF('[6]2026 január'!Y19=0,
    "",
    '[6]2026 január'!Y19
)</f>
        <v>114523</v>
      </c>
      <c r="AB20" s="245" t="str">
        <f>IF('[6]2026 január'!Z19=0,
    "",
    '[6]2026 január'!Z19
)</f>
        <v/>
      </c>
      <c r="AC20" s="245" t="str">
        <f>IF('[6]2026 január'!AA19=0,
    "",
    '[6]2026 január'!AA19
)</f>
        <v/>
      </c>
      <c r="AD20" s="245" t="str">
        <f>IF('[6]2026 január'!AB19=0,
    "",
    '[6]2026 január'!AB19
)</f>
        <v/>
      </c>
      <c r="AE20" s="245" t="str">
        <f>IF('[6]2026 január'!AC19=0,
    "",
    '[6]2026 január'!AC19
)</f>
        <v/>
      </c>
      <c r="AF20" s="245" t="str">
        <f>IF('[6]2026 január'!AD19=0,
    "",
    '[6]2026 január'!AD19
)</f>
        <v/>
      </c>
      <c r="AG20" s="245" t="str">
        <f>IF('[6]2026 január'!B$19=0,
    "",
    '[6]2026 január'!B$19
)</f>
        <v/>
      </c>
      <c r="AH20" s="245" t="str">
        <f>IF('[6]2026 január'!AE$19=0,
    "",
    '[6]2026 január'!AE$19
)</f>
        <v/>
      </c>
      <c r="AI20" s="245" t="str">
        <f>IF('[6]2026 január'!AF19=0,
    "",
    '[6]2026 január'!AF19
)</f>
        <v/>
      </c>
      <c r="AJ20" s="245" t="str">
        <f>IF('[6]2026 január'!AG19=0,
    "",
    '[6]2026 január'!AG19
)</f>
        <v/>
      </c>
      <c r="AK20" s="245" t="str">
        <f>IF('[6]2026 január'!AH19=0,
    "",
    '[6]2026 január'!AH19
)</f>
        <v/>
      </c>
    </row>
    <row r="21" spans="1:37">
      <c r="A21" s="5">
        <v>46041</v>
      </c>
      <c r="B21" s="380">
        <v>245375</v>
      </c>
      <c r="C21" s="11">
        <v>1400</v>
      </c>
      <c r="D21" s="11">
        <v>216530</v>
      </c>
      <c r="E21" s="11">
        <v>0</v>
      </c>
      <c r="F21" s="11">
        <v>6510</v>
      </c>
      <c r="G21" s="11">
        <v>1200</v>
      </c>
      <c r="H21" s="11">
        <v>223240</v>
      </c>
      <c r="I21" s="11">
        <v>223240</v>
      </c>
      <c r="J21" s="10">
        <v>2285</v>
      </c>
      <c r="K21" s="87">
        <v>207622620</v>
      </c>
      <c r="L21" s="276"/>
      <c r="M21" s="159"/>
      <c r="N21" s="5"/>
      <c r="O21" s="49"/>
      <c r="P21" s="245" t="str">
        <f>IF(OR('[6]2026 január'!G20=0,
       ISBLANK('[6]2026 január'!G20)),
    "",
    '[6]2026 január'!G20
)</f>
        <v/>
      </c>
      <c r="Q21" s="49">
        <f>'[6]2026 január'!W20</f>
        <v>0</v>
      </c>
      <c r="R21" s="49"/>
      <c r="S21" s="49"/>
      <c r="T21" s="4"/>
      <c r="U21" s="245">
        <f>IF('[6]2026 január'!S20=0,
    "",
    '[6]2026 január'!S20
)</f>
        <v>114523</v>
      </c>
      <c r="V21" s="245">
        <f>IF('[6]2026 január'!T20=0,
    "",
    '[6]2026 január'!T20
)</f>
        <v>22135</v>
      </c>
      <c r="W21" s="245" t="str">
        <f>IF('[6]2026 január'!U20=0,
    "",
    '[6]2026 január'!U20
)</f>
        <v/>
      </c>
      <c r="X21" s="245">
        <f>IF('[6]2026 január'!V20=0,
    "",
    '[6]2026 január'!V20
)</f>
        <v>18545</v>
      </c>
      <c r="Y21" s="245" t="str">
        <f>IF('[6]2026 január'!W20=0,
    "",
    '[6]2026 január'!W20
)</f>
        <v/>
      </c>
      <c r="Z21" s="245" t="str">
        <f>IF('[6]2026 január'!X20=0,
    "",
    '[6]2026 január'!X20
)</f>
        <v/>
      </c>
      <c r="AA21" s="245">
        <f>IF('[6]2026 január'!Y20=0,
    "",
    '[6]2026 január'!Y20
)</f>
        <v>118113</v>
      </c>
      <c r="AB21" s="245" t="str">
        <f>IF('[6]2026 január'!Z20=0,
    "",
    '[6]2026 január'!Z20
)</f>
        <v/>
      </c>
      <c r="AC21" s="245" t="str">
        <f>IF('[6]2026 január'!AA20=0,
    "",
    '[6]2026 január'!AA20
)</f>
        <v/>
      </c>
      <c r="AD21" s="245" t="str">
        <f>IF('[6]2026 január'!AB20=0,
    "",
    '[6]2026 január'!AB20
)</f>
        <v/>
      </c>
      <c r="AE21" s="245" t="str">
        <f>IF('[6]2026 január'!AC20=0,
    "",
    '[6]2026 január'!AC20
)</f>
        <v/>
      </c>
      <c r="AF21" s="245" t="str">
        <f>IF('[6]2026 január'!AD20=0,
    "",
    '[6]2026 január'!AD20
)</f>
        <v/>
      </c>
      <c r="AG21" s="245">
        <f>IF('[6]2026 január'!B$20=0,
    "",
    '[6]2026 január'!B$20
)</f>
        <v>245375</v>
      </c>
      <c r="AH21" s="245" t="str">
        <f>IF('[6]2026 január'!AE$20=0,
    "",
    '[6]2026 január'!AE$20
)</f>
        <v/>
      </c>
      <c r="AI21" s="245" t="str">
        <f>IF('[6]2026 január'!AF20=0,
    "",
    '[6]2026 január'!AF20
)</f>
        <v/>
      </c>
      <c r="AJ21" s="245" t="str">
        <f>IF('[6]2026 január'!AG20=0,
    "",
    '[6]2026 január'!AG20
)</f>
        <v/>
      </c>
      <c r="AK21" s="245" t="str">
        <f>IF('[6]2026 január'!AH20=0,
    "",
    '[6]2026 január'!AH20
)</f>
        <v/>
      </c>
    </row>
    <row r="22" spans="1:37">
      <c r="A22" s="5">
        <v>46042</v>
      </c>
      <c r="B22" s="380">
        <v>263795</v>
      </c>
      <c r="C22" s="11">
        <v>1250</v>
      </c>
      <c r="D22" s="11">
        <v>228885</v>
      </c>
      <c r="E22" s="11">
        <v>0</v>
      </c>
      <c r="F22" s="11">
        <v>5990</v>
      </c>
      <c r="G22" s="11">
        <v>1560</v>
      </c>
      <c r="H22" s="11">
        <v>234565</v>
      </c>
      <c r="I22" s="11">
        <v>234565</v>
      </c>
      <c r="J22" s="10">
        <v>2286</v>
      </c>
      <c r="K22" s="87">
        <v>207858745</v>
      </c>
      <c r="L22" s="276"/>
      <c r="M22" s="159"/>
      <c r="N22" s="5"/>
      <c r="O22" s="49"/>
      <c r="P22" s="245" t="str">
        <f>IF(OR('[6]2026 január'!G21=0,
       ISBLANK('[6]2026 január'!G21)),
    "",
    '[6]2026 január'!G21
)</f>
        <v/>
      </c>
      <c r="Q22" s="49">
        <f>'[6]2026 január'!W21</f>
        <v>0</v>
      </c>
      <c r="R22" s="49"/>
      <c r="S22" s="49"/>
      <c r="T22" s="4"/>
      <c r="U22" s="245">
        <f>IF('[6]2026 január'!S21=0,
    "",
    '[6]2026 január'!S21
)</f>
        <v>118113</v>
      </c>
      <c r="V22" s="245">
        <f>IF('[6]2026 január'!T21=0,
    "",
    '[6]2026 január'!T21
)</f>
        <v>29230</v>
      </c>
      <c r="W22" s="245" t="str">
        <f>IF('[6]2026 január'!U21=0,
    "",
    '[6]2026 január'!U21
)</f>
        <v/>
      </c>
      <c r="X22" s="245">
        <f>IF('[6]2026 január'!V21=0,
    "",
    '[6]2026 január'!V21
)</f>
        <v>14000</v>
      </c>
      <c r="Y22" s="245" t="str">
        <f>IF('[6]2026 január'!W21=0,
    "",
    '[6]2026 január'!W21
)</f>
        <v/>
      </c>
      <c r="Z22" s="245" t="str">
        <f>IF('[6]2026 január'!X21=0,
    "",
    '[6]2026 január'!X21
)</f>
        <v/>
      </c>
      <c r="AA22" s="245">
        <f>IF('[6]2026 január'!Y21=0,
    "",
    '[6]2026 január'!Y21
)</f>
        <v>133343</v>
      </c>
      <c r="AB22" s="245" t="str">
        <f>IF('[6]2026 január'!Z21=0,
    "",
    '[6]2026 január'!Z21
)</f>
        <v/>
      </c>
      <c r="AC22" s="245" t="str">
        <f>IF('[6]2026 január'!AA21=0,
    "",
    '[6]2026 január'!AA21
)</f>
        <v/>
      </c>
      <c r="AD22" s="245" t="str">
        <f>IF('[6]2026 január'!AB21=0,
    "",
    '[6]2026 január'!AB21
)</f>
        <v/>
      </c>
      <c r="AE22" s="245" t="str">
        <f>IF('[6]2026 január'!AC21=0,
    "",
    '[6]2026 január'!AC21
)</f>
        <v/>
      </c>
      <c r="AF22" s="245" t="str">
        <f>IF('[6]2026 január'!AD21=0,
    "",
    '[6]2026 január'!AD21
)</f>
        <v/>
      </c>
      <c r="AG22" s="245">
        <f>IF('[6]2026 január'!B$21=0,
    "",
    '[6]2026 január'!B$21
)</f>
        <v>263795</v>
      </c>
      <c r="AH22" s="245" t="str">
        <f>IF('[6]2026 január'!AE$21=0,
    "",
    '[6]2026 január'!AE$21
)</f>
        <v/>
      </c>
      <c r="AI22" s="245" t="str">
        <f>IF('[6]2026 január'!AF21=0,
    "",
    '[6]2026 január'!AF21
)</f>
        <v/>
      </c>
      <c r="AJ22" s="245" t="str">
        <f>IF('[6]2026 január'!AG21=0,
    "",
    '[6]2026 január'!AG21
)</f>
        <v/>
      </c>
      <c r="AK22" s="245" t="str">
        <f>IF('[6]2026 január'!AH21=0,
    "",
    '[6]2026 január'!AH21
)</f>
        <v/>
      </c>
    </row>
    <row r="23" spans="1:37">
      <c r="A23" s="5">
        <v>46043</v>
      </c>
      <c r="B23" s="380">
        <v>265050</v>
      </c>
      <c r="C23" s="11">
        <v>1250</v>
      </c>
      <c r="D23" s="11">
        <v>223670</v>
      </c>
      <c r="E23" s="11">
        <v>0</v>
      </c>
      <c r="F23" s="11">
        <v>14380</v>
      </c>
      <c r="G23" s="11">
        <v>1200</v>
      </c>
      <c r="H23" s="11">
        <v>238100</v>
      </c>
      <c r="I23" s="11">
        <v>238100</v>
      </c>
      <c r="J23" s="10">
        <v>2287</v>
      </c>
      <c r="K23" s="87">
        <v>208098045</v>
      </c>
      <c r="L23" s="276"/>
      <c r="M23" s="159"/>
      <c r="N23" s="5"/>
      <c r="O23" s="49"/>
      <c r="P23" s="245" t="str">
        <f>IF(OR('[6]2026 január'!G22=0,
       ISBLANK('[6]2026 január'!G22)),
    "",
    '[6]2026 január'!G22
)</f>
        <v/>
      </c>
      <c r="Q23" s="49">
        <f>'[6]2026 január'!W22</f>
        <v>0</v>
      </c>
      <c r="R23" s="49"/>
      <c r="S23" s="49"/>
      <c r="T23" s="4"/>
      <c r="U23" s="245">
        <f>IF('[6]2026 január'!S22=0,
    "",
    '[6]2026 január'!S22
)</f>
        <v>133343</v>
      </c>
      <c r="V23" s="245">
        <f>IF('[6]2026 január'!T22=0,
    "",
    '[6]2026 január'!T22
)</f>
        <v>26950</v>
      </c>
      <c r="W23" s="245" t="str">
        <f>IF('[6]2026 január'!U22=0,
    "",
    '[6]2026 január'!U22
)</f>
        <v/>
      </c>
      <c r="X23" s="245">
        <f>IF('[6]2026 január'!V22=0,
    "",
    '[6]2026 január'!V22
)</f>
        <v>14000</v>
      </c>
      <c r="Y23" s="245" t="str">
        <f>IF('[6]2026 január'!W22=0,
    "",
    '[6]2026 január'!W22
)</f>
        <v/>
      </c>
      <c r="Z23" s="245" t="str">
        <f>IF('[6]2026 január'!X22=0,
    "",
    '[6]2026 január'!X22
)</f>
        <v/>
      </c>
      <c r="AA23" s="245">
        <f>IF('[6]2026 január'!Y22=0,
    "",
    '[6]2026 január'!Y22
)</f>
        <v>146293</v>
      </c>
      <c r="AB23" s="245" t="str">
        <f>IF('[6]2026 január'!Z22=0,
    "",
    '[6]2026 január'!Z22
)</f>
        <v/>
      </c>
      <c r="AC23" s="245" t="str">
        <f>IF('[6]2026 január'!AA22=0,
    "",
    '[6]2026 január'!AA22
)</f>
        <v/>
      </c>
      <c r="AD23" s="245" t="str">
        <f>IF('[6]2026 január'!AB22=0,
    "",
    '[6]2026 január'!AB22
)</f>
        <v/>
      </c>
      <c r="AE23" s="245" t="str">
        <f>IF('[6]2026 január'!AC22=0,
    "",
    '[6]2026 január'!AC22
)</f>
        <v/>
      </c>
      <c r="AF23" s="245" t="str">
        <f>IF('[6]2026 január'!AD22=0,
    "",
    '[6]2026 január'!AD22
)</f>
        <v/>
      </c>
      <c r="AG23" s="245">
        <f>IF('[6]2026 január'!B$22=0,
    "",
    '[6]2026 január'!B$22
)</f>
        <v>265050</v>
      </c>
      <c r="AH23" s="245" t="str">
        <f>IF('[6]2026 január'!AE$22=0,
    "",
    '[6]2026 január'!AE$22
)</f>
        <v/>
      </c>
      <c r="AI23" s="245" t="str">
        <f>IF('[6]2026 január'!AF22=0,
    "",
    '[6]2026 január'!AF22
)</f>
        <v/>
      </c>
      <c r="AJ23" s="245" t="str">
        <f>IF('[6]2026 január'!AG22=0,
    "",
    '[6]2026 január'!AG22
)</f>
        <v/>
      </c>
      <c r="AK23" s="245" t="str">
        <f>IF('[6]2026 január'!AH22=0,
    "",
    '[6]2026 január'!AH22
)</f>
        <v/>
      </c>
    </row>
    <row r="24" spans="1:37">
      <c r="A24" s="5">
        <v>46044</v>
      </c>
      <c r="B24" s="380">
        <v>260435</v>
      </c>
      <c r="C24" s="11">
        <v>1300</v>
      </c>
      <c r="D24" s="11">
        <v>234855</v>
      </c>
      <c r="E24" s="11">
        <v>0</v>
      </c>
      <c r="F24" s="11">
        <v>7090</v>
      </c>
      <c r="G24" s="11">
        <v>1100</v>
      </c>
      <c r="H24" s="11">
        <v>242145</v>
      </c>
      <c r="I24" s="11">
        <v>242145</v>
      </c>
      <c r="J24" s="10">
        <v>2288</v>
      </c>
      <c r="K24" s="87">
        <v>208341290</v>
      </c>
      <c r="L24" s="276"/>
      <c r="M24" s="159"/>
      <c r="N24" s="5"/>
      <c r="O24" s="49"/>
      <c r="P24" s="245" t="str">
        <f>IF(OR('[6]2026 január'!G23=0,
       ISBLANK('[6]2026 január'!G23)),
    "",
    '[6]2026 január'!G23
)</f>
        <v/>
      </c>
      <c r="Q24" s="49">
        <f>'[6]2026 január'!W23</f>
        <v>0</v>
      </c>
      <c r="R24" s="49"/>
      <c r="S24" s="49"/>
      <c r="T24" s="4"/>
      <c r="U24" s="245">
        <f>IF('[6]2026 január'!S23=0,
    "",
    '[6]2026 január'!S23
)</f>
        <v>146293</v>
      </c>
      <c r="V24" s="245">
        <f>IF('[6]2026 január'!T23=0,
    "",
    '[6]2026 január'!T23
)</f>
        <v>18290</v>
      </c>
      <c r="W24" s="245" t="str">
        <f>IF('[6]2026 január'!U23=0,
    "",
    '[6]2026 január'!U23
)</f>
        <v/>
      </c>
      <c r="X24" s="245" t="str">
        <f>IF('[6]2026 január'!V23=0,
    "",
    '[6]2026 január'!V23
)</f>
        <v/>
      </c>
      <c r="Y24" s="245" t="str">
        <f>IF('[6]2026 január'!W23=0,
    "",
    '[6]2026 január'!W23
)</f>
        <v/>
      </c>
      <c r="Z24" s="245" t="str">
        <f>IF('[6]2026 január'!X23=0,
    "",
    '[6]2026 január'!X23
)</f>
        <v/>
      </c>
      <c r="AA24" s="245">
        <f>IF('[6]2026 január'!Y23=0,
    "",
    '[6]2026 január'!Y23
)</f>
        <v>164583</v>
      </c>
      <c r="AB24" s="245" t="str">
        <f>IF('[6]2026 január'!Z23=0,
    "",
    '[6]2026 január'!Z23
)</f>
        <v/>
      </c>
      <c r="AC24" s="245" t="str">
        <f>IF('[6]2026 január'!AA23=0,
    "",
    '[6]2026 január'!AA23
)</f>
        <v/>
      </c>
      <c r="AD24" s="245" t="str">
        <f>IF('[6]2026 január'!AB23=0,
    "",
    '[6]2026 január'!AB23
)</f>
        <v/>
      </c>
      <c r="AE24" s="245" t="str">
        <f>IF('[6]2026 január'!AC23=0,
    "",
    '[6]2026 január'!AC23
)</f>
        <v/>
      </c>
      <c r="AF24" s="245" t="str">
        <f>IF('[6]2026 január'!AD23=0,
    "",
    '[6]2026 január'!AD23
)</f>
        <v/>
      </c>
      <c r="AG24" s="245">
        <f>IF('[6]2026 január'!B$23=0,
    "",
    '[6]2026 január'!B$23
)</f>
        <v>260435</v>
      </c>
      <c r="AH24" s="245" t="str">
        <f>IF('[6]2026 január'!AE$23=0,
    "",
    '[6]2026 január'!AE$23
)</f>
        <v/>
      </c>
      <c r="AI24" s="245" t="str">
        <f>IF('[6]2026 január'!AF23=0,
    "",
    '[6]2026 január'!AF23
)</f>
        <v/>
      </c>
      <c r="AJ24" s="245" t="str">
        <f>IF('[6]2026 január'!AG23=0,
    "",
    '[6]2026 január'!AG23
)</f>
        <v/>
      </c>
      <c r="AK24" s="245" t="str">
        <f>IF('[6]2026 január'!AH23=0,
    "",
    '[6]2026 január'!AH23
)</f>
        <v/>
      </c>
    </row>
    <row r="25" spans="1:37">
      <c r="A25" s="5">
        <v>46045</v>
      </c>
      <c r="B25" s="380">
        <v>219760</v>
      </c>
      <c r="C25" s="11">
        <v>1050</v>
      </c>
      <c r="D25" s="11">
        <v>190315</v>
      </c>
      <c r="E25" s="11">
        <v>0</v>
      </c>
      <c r="F25" s="11">
        <v>8385</v>
      </c>
      <c r="G25" s="11">
        <v>1150</v>
      </c>
      <c r="H25" s="11">
        <v>198600</v>
      </c>
      <c r="I25" s="11">
        <v>198600</v>
      </c>
      <c r="J25" s="10">
        <v>2289</v>
      </c>
      <c r="K25" s="87">
        <v>208541040</v>
      </c>
      <c r="L25" s="276"/>
      <c r="M25" s="159"/>
      <c r="N25" s="5"/>
      <c r="O25" s="49"/>
      <c r="P25" s="245" t="str">
        <f>IF(OR('[6]2026 január'!G24=0,
       ISBLANK('[6]2026 január'!G24)),
    "",
    '[6]2026 január'!G24
)</f>
        <v/>
      </c>
      <c r="Q25" s="49">
        <f>'[6]2026 január'!W24</f>
        <v>0</v>
      </c>
      <c r="R25" s="49"/>
      <c r="S25" s="49"/>
      <c r="T25" s="4"/>
      <c r="U25" s="245">
        <f>IF('[6]2026 január'!S24=0,
    "",
    '[6]2026 január'!S24
)</f>
        <v>164583</v>
      </c>
      <c r="V25" s="245">
        <f>IF('[6]2026 január'!T24=0,
    "",
    '[6]2026 január'!T24
)</f>
        <v>21160</v>
      </c>
      <c r="W25" s="245" t="str">
        <f>IF('[6]2026 január'!U24=0,
    "",
    '[6]2026 január'!U24
)</f>
        <v/>
      </c>
      <c r="X25" s="245">
        <f>IF('[6]2026 január'!V24=0,
    "",
    '[6]2026 január'!V24
)</f>
        <v>20000</v>
      </c>
      <c r="Y25" s="245" t="str">
        <f>IF('[6]2026 január'!W24=0,
    "",
    '[6]2026 január'!W24
)</f>
        <v/>
      </c>
      <c r="Z25" s="245" t="str">
        <f>IF('[6]2026 január'!X24=0,
    "",
    '[6]2026 január'!X24
)</f>
        <v/>
      </c>
      <c r="AA25" s="245">
        <f>IF('[6]2026 január'!Y24=0,
    "",
    '[6]2026 január'!Y24
)</f>
        <v>165743</v>
      </c>
      <c r="AB25" s="245" t="str">
        <f>IF('[6]2026 január'!Z24=0,
    "",
    '[6]2026 január'!Z24
)</f>
        <v/>
      </c>
      <c r="AC25" s="245" t="str">
        <f>IF('[6]2026 január'!AA24=0,
    "",
    '[6]2026 január'!AA24
)</f>
        <v/>
      </c>
      <c r="AD25" s="245" t="str">
        <f>IF('[6]2026 január'!AB24=0,
    "",
    '[6]2026 január'!AB24
)</f>
        <v/>
      </c>
      <c r="AE25" s="245" t="str">
        <f>IF('[6]2026 január'!AC24=0,
    "",
    '[6]2026 január'!AC24
)</f>
        <v/>
      </c>
      <c r="AF25" s="245" t="str">
        <f>IF('[6]2026 január'!AD24=0,
    "",
    '[6]2026 január'!AD24
)</f>
        <v/>
      </c>
      <c r="AG25" s="245">
        <f>IF('[6]2026 január'!B$24=0,
    "",
    '[6]2026 január'!B$24
)</f>
        <v>219760</v>
      </c>
      <c r="AH25" s="245" t="str">
        <f>IF('[6]2026 január'!AE$24=0,
    "",
    '[6]2026 január'!AE$24
)</f>
        <v/>
      </c>
      <c r="AI25" s="245" t="str">
        <f>IF('[6]2026 január'!AF24=0,
    "",
    '[6]2026 január'!AF24
)</f>
        <v/>
      </c>
      <c r="AJ25" s="245" t="str">
        <f>IF('[6]2026 január'!AG24=0,
    "",
    '[6]2026 január'!AG24
)</f>
        <v/>
      </c>
      <c r="AK25" s="245" t="str">
        <f>IF('[6]2026 január'!AH24=0,
    "",
    '[6]2026 január'!AH24
)</f>
        <v/>
      </c>
    </row>
    <row r="26" spans="1:37">
      <c r="A26" s="162">
        <v>46046</v>
      </c>
      <c r="B26" s="379"/>
      <c r="C26" s="163"/>
      <c r="D26" s="163"/>
      <c r="E26" s="163"/>
      <c r="F26" s="163"/>
      <c r="G26" s="163"/>
      <c r="H26" s="163"/>
      <c r="I26" s="163"/>
      <c r="J26" s="99"/>
      <c r="K26" s="167"/>
      <c r="L26" s="275"/>
      <c r="M26" s="168"/>
      <c r="N26" s="162"/>
      <c r="O26" s="49"/>
      <c r="P26" s="245" t="str">
        <f>IF(OR('[6]2026 január'!G25=0,
       ISBLANK('[6]2026 január'!G25)),
    "",
    '[6]2026 január'!G25
)</f>
        <v/>
      </c>
      <c r="Q26" s="49">
        <f>'[6]2026 január'!W25</f>
        <v>0</v>
      </c>
      <c r="R26" s="49"/>
      <c r="S26" s="49"/>
      <c r="T26" s="4"/>
      <c r="U26" s="245">
        <f>IF('[6]2026 január'!S25=0,
    "",
    '[6]2026 január'!S25
)</f>
        <v>165743</v>
      </c>
      <c r="V26" s="245" t="str">
        <f>IF('[6]2026 január'!T25=0,
    "",
    '[6]2026 január'!T25
)</f>
        <v/>
      </c>
      <c r="W26" s="245" t="str">
        <f>IF('[6]2026 január'!U25=0,
    "",
    '[6]2026 január'!U25
)</f>
        <v/>
      </c>
      <c r="X26" s="245" t="str">
        <f>IF('[6]2026 január'!V25=0,
    "",
    '[6]2026 január'!V25
)</f>
        <v/>
      </c>
      <c r="Y26" s="245" t="str">
        <f>IF('[6]2026 január'!W25=0,
    "",
    '[6]2026 január'!W25
)</f>
        <v/>
      </c>
      <c r="Z26" s="245" t="str">
        <f>IF('[6]2026 január'!X25=0,
    "",
    '[6]2026 január'!X25
)</f>
        <v/>
      </c>
      <c r="AA26" s="245">
        <f>IF('[6]2026 január'!Y25=0,
    "",
    '[6]2026 január'!Y25
)</f>
        <v>165743</v>
      </c>
      <c r="AB26" s="245" t="str">
        <f>IF('[6]2026 január'!Z25=0,
    "",
    '[6]2026 január'!Z25
)</f>
        <v/>
      </c>
      <c r="AC26" s="245" t="str">
        <f>IF('[6]2026 január'!AA25=0,
    "",
    '[6]2026 január'!AA25
)</f>
        <v/>
      </c>
      <c r="AD26" s="245" t="str">
        <f>IF('[6]2026 január'!AB25=0,
    "",
    '[6]2026 január'!AB25
)</f>
        <v/>
      </c>
      <c r="AE26" s="245" t="str">
        <f>IF('[6]2026 január'!AC25=0,
    "",
    '[6]2026 január'!AC25
)</f>
        <v/>
      </c>
      <c r="AF26" s="245" t="str">
        <f>IF('[6]2026 január'!AD25=0,
    "",
    '[6]2026 január'!AD25
)</f>
        <v/>
      </c>
      <c r="AG26" s="245" t="str">
        <f>IF('[6]2026 január'!B$25=0,
    "",
    '[6]2026 január'!B$25
)</f>
        <v/>
      </c>
      <c r="AH26" s="245" t="str">
        <f>IF('[6]2026 január'!AE$25=0,
    "",
    '[6]2026 január'!AE$25
)</f>
        <v/>
      </c>
      <c r="AI26" s="245" t="str">
        <f>IF('[6]2026 január'!AF25=0,
    "",
    '[6]2026 január'!AF25
)</f>
        <v/>
      </c>
      <c r="AJ26" s="245" t="str">
        <f>IF('[6]2026 január'!AG25=0,
    "",
    '[6]2026 január'!AG25
)</f>
        <v/>
      </c>
      <c r="AK26" s="245" t="str">
        <f>IF('[6]2026 január'!AH25=0,
    "",
    '[6]2026 január'!AH25
)</f>
        <v/>
      </c>
    </row>
    <row r="27" spans="1:37">
      <c r="A27" s="162">
        <v>46047</v>
      </c>
      <c r="B27" s="379"/>
      <c r="C27" s="163"/>
      <c r="D27" s="163"/>
      <c r="E27" s="163"/>
      <c r="F27" s="163"/>
      <c r="G27" s="163"/>
      <c r="H27" s="163"/>
      <c r="I27" s="163"/>
      <c r="J27" s="99"/>
      <c r="K27" s="167"/>
      <c r="L27" s="275"/>
      <c r="M27" s="168"/>
      <c r="N27" s="162"/>
      <c r="O27" s="49"/>
      <c r="P27" s="245" t="str">
        <f>IF(OR('[6]2026 január'!G26=0,
       ISBLANK('[6]2026 január'!G26)),
    "",
    '[6]2026 január'!G26
)</f>
        <v/>
      </c>
      <c r="Q27" s="49">
        <f>'[6]2026 január'!W26</f>
        <v>0</v>
      </c>
      <c r="R27" s="49"/>
      <c r="S27" s="49"/>
      <c r="T27" s="4"/>
      <c r="U27" s="245">
        <f>IF('[6]2026 január'!S26=0,
    "",
    '[6]2026 január'!S26
)</f>
        <v>165743</v>
      </c>
      <c r="V27" s="245" t="str">
        <f>IF('[6]2026 január'!T26=0,
    "",
    '[6]2026 január'!T26
)</f>
        <v/>
      </c>
      <c r="W27" s="245" t="str">
        <f>IF('[6]2026 január'!U26=0,
    "",
    '[6]2026 január'!U26
)</f>
        <v/>
      </c>
      <c r="X27" s="245" t="str">
        <f>IF('[6]2026 január'!V26=0,
    "",
    '[6]2026 január'!V26
)</f>
        <v/>
      </c>
      <c r="Y27" s="245" t="str">
        <f>IF('[6]2026 január'!W26=0,
    "",
    '[6]2026 január'!W26
)</f>
        <v/>
      </c>
      <c r="Z27" s="245" t="str">
        <f>IF('[6]2026 január'!X26=0,
    "",
    '[6]2026 január'!X26
)</f>
        <v/>
      </c>
      <c r="AA27" s="245">
        <f>IF('[6]2026 január'!Y26=0,
    "",
    '[6]2026 január'!Y26
)</f>
        <v>165743</v>
      </c>
      <c r="AB27" s="245" t="str">
        <f>IF('[6]2026 január'!Z26=0,
    "",
    '[6]2026 január'!Z26
)</f>
        <v/>
      </c>
      <c r="AC27" s="245" t="str">
        <f>IF('[6]2026 január'!AA26=0,
    "",
    '[6]2026 január'!AA26
)</f>
        <v/>
      </c>
      <c r="AD27" s="245" t="str">
        <f>IF('[6]2026 január'!AB26=0,
    "",
    '[6]2026 január'!AB26
)</f>
        <v/>
      </c>
      <c r="AE27" s="245" t="str">
        <f>IF('[6]2026 január'!AC26=0,
    "",
    '[6]2026 január'!AC26
)</f>
        <v/>
      </c>
      <c r="AF27" s="245" t="str">
        <f>IF('[6]2026 január'!AD26=0,
    "",
    '[6]2026 január'!AD26
)</f>
        <v/>
      </c>
      <c r="AG27" s="245" t="str">
        <f>IF('[6]2026 január'!B$26=0,
    "",
    '[6]2026 január'!B$26
)</f>
        <v/>
      </c>
      <c r="AH27" s="245" t="str">
        <f>IF('[6]2026 január'!AE$26=0,
    "",
    '[6]2026 január'!AE$26
)</f>
        <v/>
      </c>
      <c r="AI27" s="245" t="str">
        <f>IF('[6]2026 január'!AF26=0,
    "",
    '[6]2026 január'!AF26
)</f>
        <v/>
      </c>
      <c r="AJ27" s="245" t="str">
        <f>IF('[6]2026 január'!AG26=0,
    "",
    '[6]2026 január'!AG26
)</f>
        <v/>
      </c>
      <c r="AK27" s="245" t="str">
        <f>IF('[6]2026 január'!AH26=0,
    "",
    '[6]2026 január'!AH26
)</f>
        <v/>
      </c>
    </row>
    <row r="28" spans="1:37">
      <c r="A28" s="5">
        <v>46048</v>
      </c>
      <c r="B28" s="380">
        <v>225770</v>
      </c>
      <c r="C28" s="11">
        <v>1350</v>
      </c>
      <c r="D28" s="11">
        <v>184745</v>
      </c>
      <c r="E28" s="11">
        <v>0</v>
      </c>
      <c r="F28" s="11">
        <v>6980</v>
      </c>
      <c r="G28" s="11">
        <v>1480</v>
      </c>
      <c r="H28" s="91">
        <v>191595</v>
      </c>
      <c r="I28" s="91">
        <v>203835</v>
      </c>
      <c r="J28" s="10">
        <v>2290</v>
      </c>
      <c r="K28" s="87">
        <v>208734115</v>
      </c>
      <c r="L28" s="276"/>
      <c r="M28" s="159"/>
      <c r="N28" s="5"/>
      <c r="O28" s="49"/>
      <c r="P28" s="245" t="str">
        <f>IF(OR('[6]2026 január'!G27=0,
       ISBLANK('[6]2026 január'!G27)),
    "",
    '[6]2026 január'!G27
)</f>
        <v/>
      </c>
      <c r="Q28" s="49">
        <f>'[6]2026 január'!W27</f>
        <v>0</v>
      </c>
      <c r="R28" s="49"/>
      <c r="S28" s="49"/>
      <c r="T28" s="4"/>
      <c r="U28" s="245">
        <f>IF('[6]2026 január'!S27=0,
    "",
    '[6]2026 január'!S27
)</f>
        <v>165743</v>
      </c>
      <c r="V28" s="245">
        <f>IF('[6]2026 január'!T27=0,
    "",
    '[6]2026 január'!T27
)</f>
        <v>21935</v>
      </c>
      <c r="W28" s="245" t="str">
        <f>IF('[6]2026 január'!U27=0,
    "",
    '[6]2026 január'!U27
)</f>
        <v/>
      </c>
      <c r="X28" s="245">
        <f>IF('[6]2026 január'!V27=0,
    "",
    '[6]2026 január'!V27
)</f>
        <v>11200</v>
      </c>
      <c r="Y28" s="245" t="str">
        <f>IF('[6]2026 január'!W27=0,
    "",
    '[6]2026 január'!W27
)</f>
        <v/>
      </c>
      <c r="Z28" s="245" t="str">
        <f>IF('[6]2026 január'!X27=0,
    "",
    '[6]2026 január'!X27
)</f>
        <v/>
      </c>
      <c r="AA28" s="245">
        <f>IF('[6]2026 január'!Y27=0,
    "",
    '[6]2026 január'!Y27
)</f>
        <v>176478</v>
      </c>
      <c r="AB28" s="245" t="str">
        <f>IF('[6]2026 január'!Z27=0,
    "",
    '[6]2026 január'!Z27
)</f>
        <v/>
      </c>
      <c r="AC28" s="245" t="str">
        <f>IF('[6]2026 január'!AA27=0,
    "",
    '[6]2026 január'!AA27
)</f>
        <v/>
      </c>
      <c r="AD28" s="245" t="str">
        <f>IF('[6]2026 január'!AB27=0,
    "",
    '[6]2026 január'!AB27
)</f>
        <v/>
      </c>
      <c r="AE28" s="245" t="str">
        <f>IF('[6]2026 január'!AC27=0,
    "",
    '[6]2026 január'!AC27
)</f>
        <v/>
      </c>
      <c r="AF28" s="245" t="str">
        <f>IF('[6]2026 január'!AD27=0,
    "",
    '[6]2026 január'!AD27
)</f>
        <v/>
      </c>
      <c r="AG28" s="245">
        <f>IF('[6]2026 január'!B$27=0,
    "",
    '[6]2026 január'!B$27
)</f>
        <v>225770</v>
      </c>
      <c r="AH28" s="245" t="str">
        <f>IF('[6]2026 január'!AE$27=0,
    "",
    '[6]2026 január'!AE$27
)</f>
        <v/>
      </c>
      <c r="AI28" s="245" t="str">
        <f>IF('[6]2026 január'!AF27=0,
    "",
    '[6]2026 január'!AF27
)</f>
        <v/>
      </c>
      <c r="AJ28" s="245" t="str">
        <f>IF('[6]2026 január'!AG27=0,
    "",
    '[6]2026 január'!AG27
)</f>
        <v/>
      </c>
      <c r="AK28" s="245" t="str">
        <f>IF('[6]2026 január'!AH27=0,
    "",
    '[6]2026 január'!AH27
)</f>
        <v/>
      </c>
    </row>
    <row r="29" spans="1:37">
      <c r="A29" s="5">
        <v>46049</v>
      </c>
      <c r="B29" s="380">
        <v>281895</v>
      </c>
      <c r="C29" s="11">
        <v>1600</v>
      </c>
      <c r="D29" s="11">
        <v>253485</v>
      </c>
      <c r="E29" s="11">
        <v>0</v>
      </c>
      <c r="F29" s="11">
        <v>11530</v>
      </c>
      <c r="G29" s="11">
        <v>1150</v>
      </c>
      <c r="H29" s="91">
        <v>265465</v>
      </c>
      <c r="I29" s="91">
        <v>253225</v>
      </c>
      <c r="J29" s="10">
        <v>2291</v>
      </c>
      <c r="K29" s="87">
        <v>209000730</v>
      </c>
      <c r="L29" s="276"/>
      <c r="M29" s="159"/>
      <c r="N29" s="5"/>
      <c r="O29" s="49"/>
      <c r="P29" s="245" t="str">
        <f>IF(OR('[6]2026 január'!G28=0,
       ISBLANK('[6]2026 január'!G28)),
    "",
    '[6]2026 január'!G28
)</f>
        <v/>
      </c>
      <c r="Q29" s="49">
        <f>'[6]2026 január'!W28</f>
        <v>0</v>
      </c>
      <c r="R29" s="49"/>
      <c r="S29" s="49"/>
      <c r="T29" s="4"/>
      <c r="U29" s="245">
        <f>IF('[6]2026 január'!S28=0,
    "",
    '[6]2026 január'!S28
)</f>
        <v>176478</v>
      </c>
      <c r="V29" s="245">
        <f>IF('[6]2026 január'!T28=0,
    "",
    '[6]2026 január'!T28
)</f>
        <v>28670</v>
      </c>
      <c r="W29" s="245" t="str">
        <f>IF('[6]2026 január'!U28=0,
    "",
    '[6]2026 január'!U28
)</f>
        <v/>
      </c>
      <c r="X29" s="245">
        <f>IF('[6]2026 január'!V28=0,
    "",
    '[6]2026 január'!V28
)</f>
        <v>11200</v>
      </c>
      <c r="Y29" s="245" t="str">
        <f>IF('[6]2026 január'!W28=0,
    "",
    '[6]2026 január'!W28
)</f>
        <v/>
      </c>
      <c r="Z29" s="245" t="str">
        <f>IF('[6]2026 január'!X28=0,
    "",
    '[6]2026 január'!X28
)</f>
        <v/>
      </c>
      <c r="AA29" s="245">
        <f>IF('[6]2026 január'!Y28=0,
    "",
    '[6]2026 január'!Y28
)</f>
        <v>193948</v>
      </c>
      <c r="AB29" s="245" t="str">
        <f>IF('[6]2026 január'!Z28=0,
    "",
    '[6]2026 január'!Z28
)</f>
        <v/>
      </c>
      <c r="AC29" s="245" t="str">
        <f>IF('[6]2026 január'!AA28=0,
    "",
    '[6]2026 január'!AA28
)</f>
        <v/>
      </c>
      <c r="AD29" s="245" t="str">
        <f>IF('[6]2026 január'!AB28=0,
    "",
    '[6]2026 január'!AB28
)</f>
        <v/>
      </c>
      <c r="AE29" s="245" t="str">
        <f>IF('[6]2026 január'!AC28=0,
    "",
    '[6]2026 január'!AC28
)</f>
        <v/>
      </c>
      <c r="AF29" s="245" t="str">
        <f>IF('[6]2026 január'!AD28=0,
    "",
    '[6]2026 január'!AD28
)</f>
        <v/>
      </c>
      <c r="AG29" s="245">
        <f>IF('[6]2026 január'!B$28=0,
    "",
    '[6]2026 január'!B$28
)</f>
        <v>281895</v>
      </c>
      <c r="AH29" s="245" t="str">
        <f>IF('[6]2026 január'!AE$28=0,
    "",
    '[6]2026 január'!AE$28
)</f>
        <v/>
      </c>
      <c r="AI29" s="245" t="str">
        <f>IF('[6]2026 január'!AF28=0,
    "",
    '[6]2026 január'!AF28
)</f>
        <v/>
      </c>
      <c r="AJ29" s="245" t="str">
        <f>IF('[6]2026 január'!AG28=0,
    "",
    '[6]2026 január'!AG28
)</f>
        <v/>
      </c>
      <c r="AK29" s="245" t="str">
        <f>IF('[6]2026 január'!AH28=0,
    "",
    '[6]2026 január'!AH28
)</f>
        <v/>
      </c>
    </row>
    <row r="30" spans="1:37">
      <c r="A30" s="5">
        <v>46050</v>
      </c>
      <c r="B30" s="380">
        <v>237415</v>
      </c>
      <c r="C30" s="11">
        <v>1050</v>
      </c>
      <c r="D30" s="11">
        <v>202155</v>
      </c>
      <c r="E30" s="11">
        <v>0</v>
      </c>
      <c r="F30" s="11">
        <v>13410</v>
      </c>
      <c r="G30" s="11">
        <v>1050</v>
      </c>
      <c r="H30" s="11">
        <v>215565</v>
      </c>
      <c r="I30" s="11">
        <v>215565</v>
      </c>
      <c r="J30" s="10">
        <v>2292</v>
      </c>
      <c r="K30" s="87">
        <v>209217345</v>
      </c>
      <c r="L30" s="276"/>
      <c r="M30" s="159"/>
      <c r="N30" s="5"/>
      <c r="O30" s="49"/>
      <c r="P30" s="245" t="str">
        <f>IF(OR('[6]2026 január'!G29=0,
       ISBLANK('[6]2026 január'!G29)),
    "",
    '[6]2026 január'!G29
)</f>
        <v/>
      </c>
      <c r="Q30" s="49">
        <f>'[6]2026 január'!W29</f>
        <v>0</v>
      </c>
      <c r="R30" s="49"/>
      <c r="S30" s="49"/>
      <c r="T30" s="4"/>
      <c r="U30" s="245">
        <f>IF('[6]2026 január'!S29=0,
    "",
    '[6]2026 január'!S29
)</f>
        <v>193948</v>
      </c>
      <c r="V30" s="245">
        <f>IF('[6]2026 január'!T29=0,
    "",
    '[6]2026 január'!T29
)</f>
        <v>21850</v>
      </c>
      <c r="W30" s="245" t="str">
        <f>IF('[6]2026 január'!U29=0,
    "",
    '[6]2026 január'!U29
)</f>
        <v/>
      </c>
      <c r="X30" s="245">
        <f>IF('[6]2026 január'!V29=0,
    "",
    '[6]2026 január'!V29
)</f>
        <v>40000</v>
      </c>
      <c r="Y30" s="245" t="str">
        <f>IF('[6]2026 január'!W29=0,
    "",
    '[6]2026 január'!W29
)</f>
        <v/>
      </c>
      <c r="Z30" s="245" t="str">
        <f>IF('[6]2026 január'!X29=0,
    "",
    '[6]2026 január'!X29
)</f>
        <v/>
      </c>
      <c r="AA30" s="245">
        <f>IF('[6]2026 január'!Y29=0,
    "",
    '[6]2026 január'!Y29
)</f>
        <v>175798</v>
      </c>
      <c r="AB30" s="245" t="str">
        <f>IF('[6]2026 január'!Z29=0,
    "",
    '[6]2026 január'!Z29
)</f>
        <v/>
      </c>
      <c r="AC30" s="245" t="str">
        <f>IF('[6]2026 január'!AA29=0,
    "",
    '[6]2026 január'!AA29
)</f>
        <v/>
      </c>
      <c r="AD30" s="245" t="str">
        <f>IF('[6]2026 január'!AB29=0,
    "",
    '[6]2026 január'!AB29
)</f>
        <v/>
      </c>
      <c r="AE30" s="245" t="str">
        <f>IF('[6]2026 január'!AC29=0,
    "",
    '[6]2026 január'!AC29
)</f>
        <v/>
      </c>
      <c r="AF30" s="245" t="str">
        <f>IF('[6]2026 január'!AD29=0,
    "",
    '[6]2026 január'!AD29
)</f>
        <v/>
      </c>
      <c r="AG30" s="245">
        <f>IF('[6]2026 január'!B$29=0,
    "",
    '[6]2026 január'!B$29
)</f>
        <v>237415</v>
      </c>
      <c r="AH30" s="245" t="str">
        <f>IF('[6]2026 január'!AE$29=0,
    "",
    '[6]2026 január'!AE$29
)</f>
        <v/>
      </c>
      <c r="AI30" s="245" t="str">
        <f>IF('[6]2026 január'!AF29=0,
    "",
    '[6]2026 január'!AF29
)</f>
        <v/>
      </c>
      <c r="AJ30" s="245" t="str">
        <f>IF('[6]2026 január'!AG29=0,
    "",
    '[6]2026 január'!AG29
)</f>
        <v/>
      </c>
      <c r="AK30" s="245" t="str">
        <f>IF('[6]2026 január'!AH29=0,
    "",
    '[6]2026 január'!AH29
)</f>
        <v/>
      </c>
    </row>
    <row r="31" spans="1:37">
      <c r="A31" s="5">
        <v>46051</v>
      </c>
      <c r="B31" s="380">
        <v>299310</v>
      </c>
      <c r="C31" s="11">
        <v>1050</v>
      </c>
      <c r="D31" s="11">
        <v>270290</v>
      </c>
      <c r="E31" s="11">
        <v>0</v>
      </c>
      <c r="F31" s="11">
        <v>11855</v>
      </c>
      <c r="G31" s="11">
        <v>2890</v>
      </c>
      <c r="H31" s="11">
        <v>280305</v>
      </c>
      <c r="I31" s="11">
        <v>280305</v>
      </c>
      <c r="J31" s="10">
        <v>2293</v>
      </c>
      <c r="K31" s="87">
        <v>209500540</v>
      </c>
      <c r="L31" s="276"/>
      <c r="M31" s="159"/>
      <c r="N31" s="5"/>
      <c r="O31" s="49"/>
      <c r="P31" s="245" t="str">
        <f>IF(OR('[6]2026 január'!G30=0,
       ISBLANK('[6]2026 január'!G30)),
    "",
    '[6]2026 január'!G30
)</f>
        <v/>
      </c>
      <c r="Q31" s="49">
        <f>'[6]2026 január'!W30</f>
        <v>0</v>
      </c>
      <c r="R31" s="49"/>
      <c r="S31" s="49"/>
      <c r="T31" s="4"/>
      <c r="U31" s="245">
        <f>IF('[6]2026 január'!S30=0,
    "",
    '[6]2026 január'!S30
)</f>
        <v>175798</v>
      </c>
      <c r="V31" s="245">
        <f>IF('[6]2026 január'!T30=0,
    "",
    '[6]2026 január'!T30
)</f>
        <v>19005</v>
      </c>
      <c r="W31" s="245" t="str">
        <f>IF('[6]2026 január'!U30=0,
    "",
    '[6]2026 január'!U30
)</f>
        <v/>
      </c>
      <c r="X31" s="245" t="str">
        <f>IF('[6]2026 január'!V30=0,
    "",
    '[6]2026 január'!V30
)</f>
        <v/>
      </c>
      <c r="Y31" s="245" t="str">
        <f>IF('[6]2026 január'!W30=0,
    "",
    '[6]2026 január'!W30
)</f>
        <v/>
      </c>
      <c r="Z31" s="245" t="str">
        <f>IF('[6]2026 január'!X30=0,
    "",
    '[6]2026 január'!X30
)</f>
        <v/>
      </c>
      <c r="AA31" s="245">
        <f>IF('[6]2026 január'!Y30=0,
    "",
    '[6]2026 január'!Y30
)</f>
        <v>194803</v>
      </c>
      <c r="AB31" s="245" t="str">
        <f>IF('[6]2026 január'!Z30=0,
    "",
    '[6]2026 január'!Z30
)</f>
        <v/>
      </c>
      <c r="AC31" s="245" t="str">
        <f>IF('[6]2026 január'!AA30=0,
    "",
    '[6]2026 január'!AA30
)</f>
        <v/>
      </c>
      <c r="AD31" s="245" t="str">
        <f>IF('[6]2026 január'!AB30=0,
    "",
    '[6]2026 január'!AB30
)</f>
        <v/>
      </c>
      <c r="AE31" s="245" t="str">
        <f>IF('[6]2026 január'!AC30=0,
    "",
    '[6]2026 január'!AC30
)</f>
        <v/>
      </c>
      <c r="AF31" s="245" t="str">
        <f>IF('[6]2026 január'!AD30=0,
    "",
    '[6]2026 január'!AD30
)</f>
        <v/>
      </c>
      <c r="AG31" s="245">
        <f>IF('[6]2026 január'!B$30=0,
    "",
    '[6]2026 január'!B$30
)</f>
        <v>299310</v>
      </c>
      <c r="AH31" s="245" t="str">
        <f>IF('[6]2026 január'!AE$30=0,
    "",
    '[6]2026 január'!AE$30
)</f>
        <v/>
      </c>
      <c r="AI31" s="245" t="str">
        <f>IF('[6]2026 január'!AF30=0,
    "",
    '[6]2026 január'!AF30
)</f>
        <v/>
      </c>
      <c r="AJ31" s="245" t="str">
        <f>IF('[6]2026 január'!AG30=0,
    "",
    '[6]2026 január'!AG30
)</f>
        <v/>
      </c>
      <c r="AK31" s="245" t="str">
        <f>IF('[6]2026 január'!AH30=0,
    "",
    '[6]2026 január'!AH30
)</f>
        <v/>
      </c>
    </row>
    <row r="32" spans="1:37">
      <c r="A32" s="5">
        <v>46052</v>
      </c>
      <c r="B32" s="380">
        <v>268700</v>
      </c>
      <c r="C32" s="11">
        <v>1550</v>
      </c>
      <c r="D32" s="11">
        <v>231370</v>
      </c>
      <c r="E32" s="11">
        <v>0</v>
      </c>
      <c r="F32" s="11">
        <v>9220</v>
      </c>
      <c r="G32" s="11">
        <v>3370</v>
      </c>
      <c r="H32" s="11">
        <v>238770</v>
      </c>
      <c r="I32" s="11">
        <v>238770</v>
      </c>
      <c r="J32" s="10">
        <v>2294</v>
      </c>
      <c r="K32" s="87">
        <v>209742680</v>
      </c>
      <c r="L32" s="276"/>
      <c r="M32" s="159"/>
      <c r="N32" s="5"/>
      <c r="O32" s="49"/>
      <c r="P32" s="245" t="str">
        <f>IF(OR('[6]2026 január'!G31=0,
       ISBLANK('[6]2026 január'!G31)),
    "",
    '[6]2026 január'!G31
)</f>
        <v/>
      </c>
      <c r="Q32" s="49">
        <f>'[6]2026 január'!W31</f>
        <v>0</v>
      </c>
      <c r="R32" s="49"/>
      <c r="S32" s="49"/>
      <c r="T32" s="4"/>
      <c r="U32" s="245">
        <f>IF('[6]2026 január'!S31=0,
    "",
    '[6]2026 január'!S31
)</f>
        <v>194803</v>
      </c>
      <c r="V32" s="245">
        <f>IF('[6]2026 január'!T31=0,
    "",
    '[6]2026 január'!T31
)</f>
        <v>29930</v>
      </c>
      <c r="W32" s="245" t="str">
        <f>IF('[6]2026 január'!U31=0,
    "",
    '[6]2026 január'!U31
)</f>
        <v/>
      </c>
      <c r="X32" s="245">
        <f>IF('[6]2026 január'!V31=0,
    "",
    '[6]2026 január'!V31
)</f>
        <v>10000</v>
      </c>
      <c r="Y32" s="245" t="str">
        <f>IF('[6]2026 január'!W31=0,
    "",
    '[6]2026 január'!W31
)</f>
        <v/>
      </c>
      <c r="Z32" s="245" t="str">
        <f>IF('[6]2026 január'!X31=0,
    "",
    '[6]2026 január'!X31
)</f>
        <v/>
      </c>
      <c r="AA32" s="245">
        <f>IF('[6]2026 január'!Y31=0,
    "",
    '[6]2026 január'!Y31
)</f>
        <v>214733</v>
      </c>
      <c r="AB32" s="245" t="str">
        <f>IF('[6]2026 január'!Z31=0,
    "",
    '[6]2026 január'!Z31
)</f>
        <v/>
      </c>
      <c r="AC32" s="245" t="str">
        <f>IF('[6]2026 január'!AA31=0,
    "",
    '[6]2026 január'!AA31
)</f>
        <v/>
      </c>
      <c r="AD32" s="245" t="str">
        <f>IF('[6]2026 január'!AB31=0,
    "",
    '[6]2026 január'!AB31
)</f>
        <v/>
      </c>
      <c r="AE32" s="245" t="str">
        <f>IF('[6]2026 január'!AC31=0,
    "",
    '[6]2026 január'!AC31
)</f>
        <v/>
      </c>
      <c r="AF32" s="245" t="str">
        <f>IF('[6]2026 január'!AD31=0,
    "",
    '[6]2026 január'!AD31
)</f>
        <v/>
      </c>
      <c r="AG32" s="245">
        <f>IF('[6]2026 január'!B$31=0,
    "",
    '[6]2026 január'!B$31
)</f>
        <v>268700</v>
      </c>
      <c r="AH32" s="245" t="str">
        <f>IF('[6]2026 január'!AE$31=0,
    "",
    '[6]2026 január'!AE$31
)</f>
        <v/>
      </c>
      <c r="AI32" s="245" t="str">
        <f>IF('[6]2026 január'!AF31=0,
    "",
    '[6]2026 január'!AF31
)</f>
        <v/>
      </c>
      <c r="AJ32" s="245" t="str">
        <f>IF('[6]2026 január'!AG31=0,
    "",
    '[6]2026 január'!AG31
)</f>
        <v/>
      </c>
      <c r="AK32" s="245" t="str">
        <f>IF('[6]2026 január'!AH31=0,
    "",
    '[6]2026 január'!AH31
)</f>
        <v/>
      </c>
    </row>
    <row r="33" spans="1:37">
      <c r="A33" s="162">
        <v>46053</v>
      </c>
      <c r="B33" s="379"/>
      <c r="C33" s="163"/>
      <c r="D33" s="163"/>
      <c r="E33" s="163"/>
      <c r="F33" s="163"/>
      <c r="G33" s="163"/>
      <c r="H33" s="217"/>
      <c r="I33" s="217"/>
      <c r="J33" s="99"/>
      <c r="K33" s="167"/>
      <c r="L33" s="277"/>
      <c r="M33" s="218"/>
      <c r="N33" s="221"/>
      <c r="O33" s="49"/>
      <c r="P33" s="245" t="str">
        <f>IF(OR('[6]2026 január'!G32=0,
       ISBLANK('[6]2026 január'!G32)),
    "",
    '[6]2026 január'!G32
)</f>
        <v/>
      </c>
      <c r="Q33" s="49">
        <f>'[6]2026 január'!W32</f>
        <v>0</v>
      </c>
      <c r="R33" s="49"/>
      <c r="S33" s="49"/>
      <c r="T33" s="4"/>
      <c r="U33" s="245">
        <f>IF('[6]2026 január'!S32=0,
    "",
    '[6]2026 január'!S32
)</f>
        <v>214733</v>
      </c>
      <c r="V33" s="245" t="str">
        <f>IF('[6]2026 január'!T32=0,
    "",
    '[6]2026 január'!T32
)</f>
        <v/>
      </c>
      <c r="W33" s="245" t="str">
        <f>IF('[6]2026 január'!U32=0,
    "",
    '[6]2026 január'!U32
)</f>
        <v/>
      </c>
      <c r="X33" s="245" t="str">
        <f>IF('[6]2026 január'!V32=0,
    "",
    '[6]2026 január'!V32
)</f>
        <v/>
      </c>
      <c r="Y33" s="245" t="str">
        <f>IF('[6]2026 január'!W32=0,
    "",
    '[6]2026 január'!W32
)</f>
        <v/>
      </c>
      <c r="Z33" s="245" t="str">
        <f>IF('[6]2026 január'!X32=0,
    "",
    '[6]2026 január'!X32
)</f>
        <v/>
      </c>
      <c r="AA33" s="245">
        <f>IF('[6]2026 január'!Y32=0,
    "",
    '[6]2026 január'!Y32
)</f>
        <v>214733</v>
      </c>
      <c r="AB33" s="245" t="str">
        <f>IF('[6]2026 január'!Z32=0,
    "",
    '[6]2026 január'!Z32
)</f>
        <v/>
      </c>
      <c r="AC33" s="245" t="str">
        <f>IF('[6]2026 január'!AA32=0,
    "",
    '[6]2026 január'!AA32
)</f>
        <v/>
      </c>
      <c r="AD33" s="245" t="str">
        <f>IF('[6]2026 január'!AB32=0,
    "",
    '[6]2026 január'!AB32
)</f>
        <v/>
      </c>
      <c r="AE33" s="245" t="str">
        <f>IF('[6]2026 január'!AC32=0,
    "",
    '[6]2026 január'!AC32
)</f>
        <v/>
      </c>
      <c r="AF33" s="245" t="str">
        <f>IF('[6]2026 január'!AD32=0,
    "",
    '[6]2026 január'!AD32
)</f>
        <v/>
      </c>
      <c r="AG33" s="245" t="str">
        <f>IF('[6]2026 január'!B$32=0,
    "",
    '[6]2026 január'!B$32
)</f>
        <v/>
      </c>
      <c r="AH33" s="245" t="str">
        <f>IF('[6]2026 január'!AE$32=0,
    "",
    '[6]2026 január'!AE$32
)</f>
        <v/>
      </c>
      <c r="AI33" s="245" t="str">
        <f>IF('[6]2026 január'!AF32=0,
    "",
    '[6]2026 január'!AF32
)</f>
        <v/>
      </c>
      <c r="AJ33" s="245" t="str">
        <f>IF('[6]2026 január'!AG32=0,
    "",
    '[6]2026 január'!AG32
)</f>
        <v/>
      </c>
      <c r="AK33" s="245" t="str">
        <f>IF('[6]2026 január'!AH32=0,
    "",
    '[6]2026 január'!AH32
)</f>
        <v/>
      </c>
    </row>
    <row r="34" spans="1:37" ht="24.75" customHeight="1">
      <c r="A34" s="84" t="s">
        <v>43</v>
      </c>
      <c r="B34" s="381"/>
      <c r="C34" s="22">
        <f>SUM(C1:C33)</f>
        <v>26950</v>
      </c>
      <c r="D34" s="22">
        <f>SUM(D1:D33)</f>
        <v>4767430.05</v>
      </c>
      <c r="E34" s="22">
        <f>SUM(E1:E33)</f>
        <v>0.18</v>
      </c>
      <c r="F34" s="22">
        <f>SUM(F1:F33)</f>
        <v>191365.27000000002</v>
      </c>
      <c r="G34" s="216">
        <f>SUM(G3:G33)</f>
        <v>29890</v>
      </c>
      <c r="H34" s="214">
        <f>SUM(H3:H33)</f>
        <v>4955855</v>
      </c>
      <c r="I34" s="215">
        <f>SUM(I3:I33)</f>
        <v>4955855</v>
      </c>
      <c r="J34" s="12"/>
      <c r="K34" s="278"/>
      <c r="L34" s="278"/>
      <c r="M34" s="9"/>
      <c r="N34" s="8"/>
      <c r="O34" s="78"/>
      <c r="P34" s="245" t="str">
        <f>IF(OR('[6]2026 január'!G33=0,
       ISBLANK('[6]2026 január'!G33)),
    "",
    '[6]2026 január'!G33
)</f>
        <v/>
      </c>
      <c r="Q34" s="79">
        <f>'[6]2026 január'!W33</f>
        <v>0</v>
      </c>
      <c r="R34" s="4"/>
      <c r="S34" s="4"/>
      <c r="T34" s="4"/>
      <c r="U34" s="260" t="str">
        <f>IF('[6]2026 január'!S33=0,
    "",
    '[6]2026 január'!S33
)</f>
        <v/>
      </c>
      <c r="V34" s="260">
        <f>IF('[6]2026 január'!T33=0,
    "",
    '[6]2026 január'!T33
)</f>
        <v>490935</v>
      </c>
      <c r="W34" s="260" t="str">
        <f>IF('[6]2026 január'!U33=0,
    "",
    '[6]2026 január'!U33
)</f>
        <v/>
      </c>
      <c r="X34" s="260" t="str">
        <f>IF('[6]2026 január'!V33=0,
    "",
    '[6]2026 január'!V33
)</f>
        <v/>
      </c>
      <c r="Y34" s="260" t="str">
        <f>IF('[6]2026 január'!W33=0,
    "",
    '[6]2026 január'!W33
)</f>
        <v/>
      </c>
      <c r="Z34" s="260" t="str">
        <f>IF('[6]2026 január'!X33=0,
    "",
    '[6]2026 január'!X33
)</f>
        <v/>
      </c>
      <c r="AA34" s="260" t="str">
        <f>IF('[6]2026 január'!Y33=0,
    "",
    '[6]2026 január'!Y33
)</f>
        <v/>
      </c>
      <c r="AB34" s="260" t="str">
        <f>IF('[6]2026 január'!Z33=0,
    "",
    '[6]2026 január'!Z33
)</f>
        <v/>
      </c>
      <c r="AC34" s="260" t="str">
        <f>IF('[6]2026 január'!AA33=0,
    "",
    '[6]2026 január'!AA33
)</f>
        <v/>
      </c>
      <c r="AD34" s="260" t="str">
        <f>IF('[6]2026 január'!AB33=0,
    "",
    '[6]2026 január'!AB33
)</f>
        <v/>
      </c>
      <c r="AE34" s="260" t="str">
        <f>IF('[6]2026 január'!AC33=0,
    "",
    '[6]2026 január'!AC33
)</f>
        <v/>
      </c>
      <c r="AF34" s="260" t="str">
        <f>IF('[6]2026 január'!AD33=0,
    "",
    '[6]2026 január'!AD33
)</f>
        <v/>
      </c>
      <c r="AG34" s="245">
        <f>IF('[6]2026 január'!B$33=0,
    "",
    '[6]2026 január'!B$33
)</f>
        <v>5446790</v>
      </c>
      <c r="AH34" s="260" t="str">
        <f>IF('[6]2026 január'!AE$33=0,
    "",
    '[6]2026 január'!AE$33
)</f>
        <v/>
      </c>
      <c r="AI34" s="260" t="str">
        <f>IF('[6]2026 január'!AF33=0,
    "",
    '[6]2026 január'!AF33
)</f>
        <v/>
      </c>
      <c r="AJ34" s="260" t="str">
        <f>IF('[6]2026 január'!AG33=0,
    "",
    '[6]2026 január'!AG33
)</f>
        <v/>
      </c>
      <c r="AK34" s="260" t="str">
        <f>IF('[6]2026 január'!AH33=0,
    "",
    '[6]2026 január'!AH33
)</f>
        <v/>
      </c>
    </row>
    <row r="35" spans="1:37" ht="26.25" customHeight="1">
      <c r="A35" s="85"/>
      <c r="B35" s="382"/>
      <c r="C35" s="26">
        <f>C34+D34+E34+F34</f>
        <v>4985745.5</v>
      </c>
      <c r="D35" s="9"/>
      <c r="E35" s="9"/>
      <c r="F35" s="9"/>
      <c r="G35" s="25">
        <f>G34+H34</f>
        <v>4985745</v>
      </c>
      <c r="H35" s="220"/>
      <c r="J35"/>
      <c r="L35" s="287"/>
      <c r="N35" s="4"/>
      <c r="O35" s="79"/>
      <c r="P35" s="4"/>
      <c r="Q35" s="4"/>
      <c r="R35" s="79"/>
      <c r="S35" s="4"/>
      <c r="T35" s="4"/>
      <c r="U35" s="4"/>
      <c r="V35" s="4"/>
      <c r="W35" s="4"/>
      <c r="Y35" s="4"/>
      <c r="Z35" s="79"/>
      <c r="AA35" s="4"/>
      <c r="AB35" s="4"/>
      <c r="AC35" s="4"/>
      <c r="AD35" s="79"/>
      <c r="AE35" s="4"/>
      <c r="AF35" s="4"/>
      <c r="AG35" s="4"/>
      <c r="AH35" s="4"/>
      <c r="AI35" s="4"/>
    </row>
    <row r="36" spans="1:37">
      <c r="B36" s="383"/>
      <c r="J36"/>
      <c r="L36" s="287"/>
      <c r="N36" s="4"/>
      <c r="O36" s="4"/>
      <c r="P36" s="4"/>
      <c r="Q36" s="4"/>
      <c r="R36" s="4"/>
      <c r="S36" s="4"/>
      <c r="T36" s="4"/>
      <c r="U36" s="4"/>
      <c r="V36" s="4"/>
      <c r="W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7">
      <c r="B37" s="383"/>
      <c r="J37"/>
      <c r="L37" s="287"/>
      <c r="N37" s="4"/>
      <c r="O37" s="4"/>
      <c r="P37" s="4"/>
      <c r="Q37" s="4"/>
      <c r="R37" s="4"/>
      <c r="S37" s="4"/>
      <c r="T37" s="4"/>
      <c r="U37" s="4"/>
      <c r="V37" s="4"/>
      <c r="W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7">
      <c r="B38" s="383"/>
    </row>
    <row r="39" spans="1:37">
      <c r="A39" s="422" t="s">
        <v>108</v>
      </c>
      <c r="B39" s="423"/>
      <c r="C39" s="424"/>
      <c r="D39" s="424"/>
      <c r="E39" s="424"/>
      <c r="F39" s="425"/>
      <c r="G39" s="425"/>
      <c r="H39" s="425"/>
      <c r="I39" s="425"/>
      <c r="J39" s="426"/>
      <c r="K39" s="427"/>
    </row>
    <row r="40" spans="1:37" ht="14.45" customHeight="1">
      <c r="A40" s="428" t="s">
        <v>271</v>
      </c>
      <c r="B40" s="429"/>
      <c r="C40" s="429"/>
      <c r="D40" s="429"/>
      <c r="E40" s="429"/>
      <c r="F40" s="429"/>
      <c r="G40" s="429"/>
      <c r="H40" s="429"/>
      <c r="I40" s="429"/>
      <c r="J40" s="429"/>
      <c r="K40" s="430"/>
    </row>
    <row r="41" spans="1:37" ht="14.45" customHeight="1">
      <c r="A41" s="431" t="s">
        <v>272</v>
      </c>
      <c r="B41" s="432"/>
      <c r="C41" s="432"/>
      <c r="D41" s="432"/>
      <c r="E41" s="432"/>
      <c r="F41" s="432"/>
      <c r="G41" s="432"/>
      <c r="H41" s="432"/>
      <c r="I41" s="432"/>
      <c r="J41" s="432"/>
      <c r="K41" s="433"/>
    </row>
    <row r="42" spans="1:37">
      <c r="B42" s="383"/>
    </row>
    <row r="43" spans="1:37" ht="15" customHeight="1">
      <c r="A43" s="81" t="s">
        <v>4</v>
      </c>
      <c r="B43" s="378"/>
      <c r="C43" s="30"/>
      <c r="D43" s="30"/>
      <c r="E43" s="30"/>
      <c r="F43" s="30"/>
      <c r="G43" s="30"/>
      <c r="H43" s="30"/>
      <c r="I43" s="30"/>
      <c r="J43" s="39"/>
      <c r="K43" s="376"/>
      <c r="L43" s="281"/>
      <c r="M43" s="418"/>
      <c r="N43" s="178"/>
    </row>
    <row r="44" spans="1:37" ht="15" customHeight="1">
      <c r="A44" s="162">
        <v>46054</v>
      </c>
      <c r="B44" s="163"/>
      <c r="C44" s="163"/>
      <c r="D44" s="163"/>
      <c r="E44" s="163"/>
      <c r="F44" s="163"/>
      <c r="G44" s="163"/>
      <c r="H44" s="163"/>
      <c r="I44" s="163"/>
      <c r="J44" s="164"/>
      <c r="K44" s="165"/>
      <c r="L44" s="282"/>
      <c r="M44" s="414"/>
      <c r="N44" s="179"/>
    </row>
    <row r="45" spans="1:37" ht="15" customHeight="1">
      <c r="A45" s="162">
        <v>46055</v>
      </c>
      <c r="B45" s="11">
        <v>262700</v>
      </c>
      <c r="C45" s="11">
        <v>1220</v>
      </c>
      <c r="D45" s="11">
        <v>238185</v>
      </c>
      <c r="E45" s="11">
        <v>0</v>
      </c>
      <c r="F45" s="11">
        <v>12795</v>
      </c>
      <c r="G45" s="11">
        <v>2510</v>
      </c>
      <c r="H45" s="11">
        <v>249690</v>
      </c>
      <c r="I45" s="11">
        <v>249690</v>
      </c>
      <c r="J45" s="44" t="s">
        <v>291</v>
      </c>
      <c r="K45" s="86">
        <v>209994880</v>
      </c>
      <c r="L45" s="410"/>
      <c r="M45" s="241"/>
      <c r="N45" s="9"/>
      <c r="AG45" s="245">
        <f>IF('[6]2026 február'!B$3=0,
    "",
    '[6]2026 február'!B$3
)</f>
        <v>262700</v>
      </c>
    </row>
    <row r="46" spans="1:37" ht="15" customHeight="1">
      <c r="A46" s="162">
        <v>46056</v>
      </c>
      <c r="B46" s="11">
        <v>275260</v>
      </c>
      <c r="C46" s="11">
        <v>1150</v>
      </c>
      <c r="D46" s="11">
        <v>255075</v>
      </c>
      <c r="E46" s="11">
        <v>0</v>
      </c>
      <c r="F46" s="11">
        <v>1580</v>
      </c>
      <c r="G46" s="11">
        <v>2050</v>
      </c>
      <c r="H46" s="11">
        <v>255755</v>
      </c>
      <c r="I46" s="11">
        <v>255755</v>
      </c>
      <c r="J46" s="44" t="s">
        <v>292</v>
      </c>
      <c r="K46" s="87">
        <v>210252685</v>
      </c>
      <c r="L46" s="284"/>
      <c r="M46" s="241"/>
      <c r="N46" s="9"/>
      <c r="AG46" s="245">
        <f>IF('[6]2026 február'!B$4=0,
    "",
    '[6]2026 február'!B$4
)</f>
        <v>275260</v>
      </c>
    </row>
    <row r="47" spans="1:37" ht="15" customHeight="1">
      <c r="A47" s="162">
        <v>46057</v>
      </c>
      <c r="B47" s="11">
        <v>316575</v>
      </c>
      <c r="C47" s="11">
        <v>1650</v>
      </c>
      <c r="D47" s="11">
        <v>264355</v>
      </c>
      <c r="E47" s="11">
        <v>0</v>
      </c>
      <c r="F47" s="11">
        <v>9980</v>
      </c>
      <c r="G47" s="11">
        <v>2300</v>
      </c>
      <c r="H47" s="11">
        <v>273685</v>
      </c>
      <c r="I47" s="11">
        <v>273685</v>
      </c>
      <c r="J47" s="44" t="s">
        <v>293</v>
      </c>
      <c r="K47" s="87">
        <v>210528670</v>
      </c>
      <c r="L47" s="284"/>
      <c r="M47" s="241"/>
      <c r="N47" s="9"/>
      <c r="AG47" s="245">
        <f>IF('[6]2026 február'!B$5=0,
    "",
    '[6]2026 február'!B$5
)</f>
        <v>316575</v>
      </c>
    </row>
    <row r="48" spans="1:37" ht="15" customHeight="1">
      <c r="A48" s="162">
        <v>46058</v>
      </c>
      <c r="B48" s="11">
        <v>285770</v>
      </c>
      <c r="C48" s="11">
        <v>1700</v>
      </c>
      <c r="D48" s="11">
        <v>262450</v>
      </c>
      <c r="E48" s="11">
        <v>0</v>
      </c>
      <c r="F48" s="11">
        <v>8720</v>
      </c>
      <c r="G48" s="11">
        <v>1200</v>
      </c>
      <c r="H48" s="11">
        <v>271670</v>
      </c>
      <c r="I48" s="11">
        <v>271670</v>
      </c>
      <c r="J48" s="44" t="s">
        <v>294</v>
      </c>
      <c r="K48" s="87">
        <v>210801540</v>
      </c>
      <c r="L48" s="284"/>
      <c r="M48" s="241"/>
      <c r="N48" s="9"/>
      <c r="AG48" s="245">
        <f>IF('[6]2026 február'!B$6=0,
    "",
    '[6]2026 február'!B$6
)</f>
        <v>285770</v>
      </c>
    </row>
    <row r="49" spans="1:33" ht="15" customHeight="1">
      <c r="A49" s="162">
        <v>46059</v>
      </c>
      <c r="B49" s="11">
        <v>273375</v>
      </c>
      <c r="C49" s="11">
        <v>1400</v>
      </c>
      <c r="D49" s="11">
        <v>251285</v>
      </c>
      <c r="E49" s="11">
        <v>0</v>
      </c>
      <c r="F49" s="11">
        <v>4590</v>
      </c>
      <c r="G49" s="11">
        <v>2050</v>
      </c>
      <c r="H49" s="11">
        <v>255225</v>
      </c>
      <c r="I49" s="11">
        <v>255225</v>
      </c>
      <c r="J49" s="44" t="s">
        <v>295</v>
      </c>
      <c r="K49" s="87">
        <v>211058815</v>
      </c>
      <c r="L49" s="284"/>
      <c r="M49" s="241"/>
      <c r="N49" s="9"/>
      <c r="AG49" s="245">
        <f>IF('[6]2026 február'!B$7=0,
    "",
    '[6]2026 február'!B$7
)</f>
        <v>273375</v>
      </c>
    </row>
    <row r="50" spans="1:33" ht="15" customHeight="1">
      <c r="A50" s="162">
        <v>46060</v>
      </c>
      <c r="B50" s="163"/>
      <c r="C50" s="163"/>
      <c r="D50" s="163"/>
      <c r="E50" s="163"/>
      <c r="F50" s="163"/>
      <c r="G50" s="163"/>
      <c r="H50" s="163"/>
      <c r="I50" s="163"/>
      <c r="J50" s="164"/>
      <c r="K50" s="167"/>
      <c r="L50" s="283"/>
      <c r="M50" s="414"/>
      <c r="N50" s="179"/>
      <c r="AG50" s="245" t="str">
        <f>IF('[6]2026 február'!B$8=0,
    "",
    '[6]2026 február'!B$8
)</f>
        <v/>
      </c>
    </row>
    <row r="51" spans="1:33" ht="15" customHeight="1">
      <c r="A51" s="162">
        <v>46061</v>
      </c>
      <c r="B51" s="163"/>
      <c r="C51" s="163"/>
      <c r="D51" s="163"/>
      <c r="E51" s="163"/>
      <c r="F51" s="163"/>
      <c r="G51" s="163"/>
      <c r="H51" s="163"/>
      <c r="I51" s="163"/>
      <c r="J51" s="164"/>
      <c r="K51" s="167"/>
      <c r="L51" s="283"/>
      <c r="M51" s="414"/>
      <c r="N51" s="179"/>
      <c r="AG51" s="245" t="str">
        <f>IF('[6]2026 február'!B$9=0,
    "",
    '[6]2026 február'!B$9
)</f>
        <v/>
      </c>
    </row>
    <row r="52" spans="1:33" ht="15" customHeight="1">
      <c r="A52" s="162">
        <v>46062</v>
      </c>
      <c r="B52" s="11"/>
      <c r="C52" s="11"/>
      <c r="D52" s="11"/>
      <c r="E52" s="11"/>
      <c r="F52" s="11"/>
      <c r="G52" s="11"/>
      <c r="H52" s="11"/>
      <c r="I52" s="11"/>
      <c r="J52" s="44"/>
      <c r="K52" s="87"/>
      <c r="L52" s="284"/>
      <c r="M52" s="241"/>
      <c r="N52" s="9"/>
      <c r="AG52" s="245" t="str">
        <f>IF('[6]2026 február'!B$10=0,
    "",
    '[6]2026 február'!B$10
)</f>
        <v/>
      </c>
    </row>
    <row r="53" spans="1:33" ht="15" customHeight="1">
      <c r="A53" s="162">
        <v>46063</v>
      </c>
      <c r="B53" s="11"/>
      <c r="C53" s="11"/>
      <c r="D53" s="11"/>
      <c r="E53" s="11"/>
      <c r="F53" s="11"/>
      <c r="G53" s="11"/>
      <c r="H53" s="11"/>
      <c r="I53" s="11"/>
      <c r="J53" s="44"/>
      <c r="K53" s="87"/>
      <c r="L53" s="284"/>
      <c r="M53" s="241"/>
      <c r="N53" s="9"/>
      <c r="AG53" s="245" t="str">
        <f>IF('[6]2026 február'!B$11=0,
    "",
    '[6]2026 február'!B$11
)</f>
        <v/>
      </c>
    </row>
    <row r="54" spans="1:33" ht="15" customHeight="1">
      <c r="A54" s="162">
        <v>46064</v>
      </c>
      <c r="B54" s="11"/>
      <c r="C54" s="11"/>
      <c r="D54" s="11"/>
      <c r="E54" s="11"/>
      <c r="F54" s="11"/>
      <c r="G54" s="11"/>
      <c r="H54" s="11"/>
      <c r="I54" s="11"/>
      <c r="J54" s="44"/>
      <c r="K54" s="87"/>
      <c r="L54" s="284"/>
      <c r="M54" s="241"/>
      <c r="N54" s="9"/>
      <c r="AG54" s="245" t="str">
        <f>IF('[6]2026 február'!B$12=0,
    "",
    '[6]2026 február'!B$12
)</f>
        <v/>
      </c>
    </row>
    <row r="55" spans="1:33" ht="15" customHeight="1">
      <c r="A55" s="162">
        <v>46065</v>
      </c>
      <c r="B55" s="11"/>
      <c r="C55" s="11"/>
      <c r="D55" s="11"/>
      <c r="E55" s="11"/>
      <c r="F55" s="11"/>
      <c r="G55" s="11"/>
      <c r="H55" s="11"/>
      <c r="I55" s="11"/>
      <c r="J55" s="44"/>
      <c r="K55" s="87"/>
      <c r="L55" s="284"/>
      <c r="M55" s="126"/>
      <c r="N55" s="9"/>
      <c r="AG55" s="245" t="str">
        <f>IF('[6]2026 február'!B$13=0,
    "",
    '[6]2026 február'!B$13
)</f>
        <v/>
      </c>
    </row>
    <row r="56" spans="1:33" ht="15" customHeight="1">
      <c r="A56" s="162">
        <v>46066</v>
      </c>
      <c r="B56" s="11"/>
      <c r="C56" s="11"/>
      <c r="D56" s="11"/>
      <c r="E56" s="11"/>
      <c r="F56" s="11"/>
      <c r="G56" s="11"/>
      <c r="H56" s="11"/>
      <c r="I56" s="11"/>
      <c r="J56" s="44"/>
      <c r="K56" s="87"/>
      <c r="L56" s="284"/>
      <c r="M56" s="241"/>
      <c r="N56" s="9"/>
      <c r="AG56" s="245" t="str">
        <f>IF('[6]2026 február'!B$14=0,
    "",
    '[6]2026 február'!B$14
)</f>
        <v/>
      </c>
    </row>
    <row r="57" spans="1:33" ht="15" customHeight="1">
      <c r="A57" s="162">
        <v>46067</v>
      </c>
      <c r="B57" s="163"/>
      <c r="C57" s="163"/>
      <c r="D57" s="163"/>
      <c r="E57" s="163"/>
      <c r="F57" s="163"/>
      <c r="G57" s="163"/>
      <c r="H57" s="163"/>
      <c r="I57" s="163"/>
      <c r="J57" s="164"/>
      <c r="K57" s="167"/>
      <c r="L57" s="283"/>
      <c r="M57" s="414"/>
      <c r="N57" s="179"/>
      <c r="AG57" s="245" t="str">
        <f>IF('[6]2026 február'!B$15=0,
    "",
    '[6]2026 február'!B$15
)</f>
        <v/>
      </c>
    </row>
    <row r="58" spans="1:33" ht="15" customHeight="1">
      <c r="A58" s="162">
        <v>46068</v>
      </c>
      <c r="B58" s="163"/>
      <c r="C58" s="163"/>
      <c r="D58" s="163"/>
      <c r="E58" s="163"/>
      <c r="F58" s="163"/>
      <c r="G58" s="163"/>
      <c r="H58" s="163"/>
      <c r="I58" s="163"/>
      <c r="J58" s="164"/>
      <c r="K58" s="167"/>
      <c r="L58" s="283"/>
      <c r="M58" s="414"/>
      <c r="N58" s="179"/>
      <c r="AG58" s="245" t="str">
        <f>IF('[6]2026 február'!B$16=0,
    "",
    '[6]2026 február'!B$16
)</f>
        <v/>
      </c>
    </row>
    <row r="59" spans="1:33" ht="15" customHeight="1">
      <c r="A59" s="162">
        <v>46069</v>
      </c>
      <c r="B59" s="11"/>
      <c r="C59" s="11"/>
      <c r="D59" s="11"/>
      <c r="E59" s="11"/>
      <c r="F59" s="11"/>
      <c r="G59" s="11"/>
      <c r="H59" s="11"/>
      <c r="I59" s="11"/>
      <c r="J59" s="44"/>
      <c r="K59" s="87"/>
      <c r="L59" s="284"/>
      <c r="M59" s="241"/>
      <c r="N59" s="9"/>
      <c r="AG59" s="245" t="str">
        <f>IF('[6]2026 február'!B$17=0,
    "",
    '[6]2026 február'!B$17
)</f>
        <v/>
      </c>
    </row>
    <row r="60" spans="1:33" ht="15" customHeight="1">
      <c r="A60" s="162">
        <v>46070</v>
      </c>
      <c r="B60" s="11"/>
      <c r="C60" s="11"/>
      <c r="D60" s="11"/>
      <c r="E60" s="11"/>
      <c r="F60" s="11"/>
      <c r="G60" s="11"/>
      <c r="H60" s="11"/>
      <c r="I60" s="11"/>
      <c r="J60" s="44"/>
      <c r="K60" s="87"/>
      <c r="L60" s="284"/>
      <c r="M60" s="241"/>
      <c r="N60" s="9"/>
      <c r="AG60" s="245" t="str">
        <f>IF('[6]2026 február'!B$18=0,
    "",
    '[6]2026 február'!B$18
)</f>
        <v/>
      </c>
    </row>
    <row r="61" spans="1:33" ht="15" customHeight="1">
      <c r="A61" s="162">
        <v>46071</v>
      </c>
      <c r="B61" s="11"/>
      <c r="C61" s="11"/>
      <c r="D61" s="11"/>
      <c r="E61" s="11"/>
      <c r="F61" s="11"/>
      <c r="G61" s="11"/>
      <c r="H61" s="11"/>
      <c r="I61" s="11"/>
      <c r="J61" s="44"/>
      <c r="K61" s="87"/>
      <c r="L61" s="284"/>
      <c r="M61" s="241"/>
      <c r="N61" s="9"/>
      <c r="AG61" s="245" t="str">
        <f>IF('[6]2026 február'!B$19=0,
    "",
    '[6]2026 február'!B$19
)</f>
        <v/>
      </c>
    </row>
    <row r="62" spans="1:33" ht="15" customHeight="1">
      <c r="A62" s="162">
        <v>46072</v>
      </c>
      <c r="B62" s="11"/>
      <c r="C62" s="11"/>
      <c r="D62" s="11"/>
      <c r="E62" s="11"/>
      <c r="F62" s="11"/>
      <c r="G62" s="11"/>
      <c r="H62" s="11"/>
      <c r="I62" s="11"/>
      <c r="J62" s="44"/>
      <c r="K62" s="87"/>
      <c r="L62" s="284"/>
      <c r="M62" s="241"/>
      <c r="N62" s="9"/>
      <c r="AG62" s="245" t="str">
        <f>IF('[6]2026 február'!B$20=0,
    "",
    '[6]2026 február'!B$20
)</f>
        <v/>
      </c>
    </row>
    <row r="63" spans="1:33" ht="15" customHeight="1">
      <c r="A63" s="162">
        <v>46073</v>
      </c>
      <c r="B63" s="11"/>
      <c r="C63" s="11"/>
      <c r="D63" s="11"/>
      <c r="E63" s="11"/>
      <c r="F63" s="11"/>
      <c r="G63" s="11"/>
      <c r="H63" s="11"/>
      <c r="I63" s="11"/>
      <c r="J63" s="44"/>
      <c r="K63" s="87"/>
      <c r="L63" s="284"/>
      <c r="M63" s="241"/>
      <c r="N63" s="9"/>
      <c r="AG63" s="245" t="str">
        <f>IF('[6]2026 február'!B$21=0,
    "",
    '[6]2026 február'!B$21
)</f>
        <v/>
      </c>
    </row>
    <row r="64" spans="1:33" ht="15" customHeight="1">
      <c r="A64" s="162">
        <v>46074</v>
      </c>
      <c r="B64" s="163"/>
      <c r="C64" s="163"/>
      <c r="D64" s="163"/>
      <c r="E64" s="163"/>
      <c r="F64" s="163"/>
      <c r="G64" s="163"/>
      <c r="H64" s="163"/>
      <c r="I64" s="163"/>
      <c r="J64" s="164"/>
      <c r="K64" s="167"/>
      <c r="L64" s="283"/>
      <c r="M64" s="414"/>
      <c r="N64" s="179"/>
      <c r="AG64" s="245" t="str">
        <f>IF('[6]2026 február'!B$22=0,
    "",
    '[6]2026 február'!B$22
)</f>
        <v/>
      </c>
    </row>
    <row r="65" spans="1:33" ht="15" customHeight="1">
      <c r="A65" s="162">
        <v>46075</v>
      </c>
      <c r="B65" s="163"/>
      <c r="C65" s="163"/>
      <c r="D65" s="163"/>
      <c r="E65" s="163"/>
      <c r="F65" s="163"/>
      <c r="G65" s="163"/>
      <c r="H65" s="163"/>
      <c r="I65" s="163"/>
      <c r="J65" s="164"/>
      <c r="K65" s="167"/>
      <c r="L65" s="283"/>
      <c r="M65" s="414"/>
      <c r="N65" s="179"/>
      <c r="AG65" s="245" t="str">
        <f>IF('[6]2026 február'!B$23=0,
    "",
    '[6]2026 február'!B$23
)</f>
        <v/>
      </c>
    </row>
    <row r="66" spans="1:33" ht="15" customHeight="1">
      <c r="A66" s="162">
        <v>46076</v>
      </c>
      <c r="B66" s="11"/>
      <c r="C66" s="11"/>
      <c r="D66" s="11"/>
      <c r="E66" s="11"/>
      <c r="F66" s="11"/>
      <c r="G66" s="11"/>
      <c r="H66" s="11"/>
      <c r="I66" s="11"/>
      <c r="J66" s="44"/>
      <c r="K66" s="87"/>
      <c r="L66" s="284"/>
      <c r="M66" s="241"/>
      <c r="N66" s="9"/>
      <c r="AG66" s="245" t="str">
        <f>IF('[6]2026 február'!B$24=0,
    "",
    '[6]2026 február'!B$24
)</f>
        <v/>
      </c>
    </row>
    <row r="67" spans="1:33" ht="15" customHeight="1">
      <c r="A67" s="162">
        <v>46077</v>
      </c>
      <c r="B67" s="11"/>
      <c r="C67" s="11"/>
      <c r="D67" s="11"/>
      <c r="E67" s="11"/>
      <c r="F67" s="11"/>
      <c r="G67" s="11"/>
      <c r="H67" s="11"/>
      <c r="I67" s="11"/>
      <c r="J67" s="44"/>
      <c r="K67" s="87"/>
      <c r="L67" s="284"/>
      <c r="M67" s="241"/>
      <c r="N67" s="9"/>
      <c r="AG67" s="245" t="str">
        <f>IF('[6]2026 február'!B$25=0,
    "",
    '[6]2026 február'!B$25
)</f>
        <v/>
      </c>
    </row>
    <row r="68" spans="1:33" ht="15" customHeight="1">
      <c r="A68" s="162">
        <v>46078</v>
      </c>
      <c r="B68" s="11"/>
      <c r="C68" s="11"/>
      <c r="D68" s="11"/>
      <c r="E68" s="11"/>
      <c r="F68" s="11"/>
      <c r="G68" s="11"/>
      <c r="H68" s="11"/>
      <c r="I68" s="11"/>
      <c r="J68" s="44"/>
      <c r="K68" s="87"/>
      <c r="L68" s="284"/>
      <c r="M68" s="241"/>
      <c r="N68" s="9"/>
      <c r="AG68" s="245" t="str">
        <f>IF('[6]2026 február'!B$26=0,
    "",
    '[6]2026 február'!B$26
)</f>
        <v/>
      </c>
    </row>
    <row r="69" spans="1:33">
      <c r="A69" s="162">
        <v>46079</v>
      </c>
      <c r="B69" s="11"/>
      <c r="C69" s="11"/>
      <c r="D69" s="11"/>
      <c r="E69" s="11"/>
      <c r="F69" s="11"/>
      <c r="G69" s="11"/>
      <c r="H69" s="11"/>
      <c r="I69" s="11"/>
      <c r="J69" s="44"/>
      <c r="K69" s="87"/>
      <c r="L69" s="284"/>
      <c r="M69" s="241"/>
      <c r="N69" s="9"/>
      <c r="AG69" s="245" t="str">
        <f>IF('[6]2026 február'!B$27=0,
    "",
    '[6]2026 február'!B$27
)</f>
        <v/>
      </c>
    </row>
    <row r="70" spans="1:33">
      <c r="A70" s="162">
        <v>46080</v>
      </c>
      <c r="B70" s="11"/>
      <c r="C70" s="11"/>
      <c r="D70" s="11"/>
      <c r="E70" s="11"/>
      <c r="F70" s="11"/>
      <c r="G70" s="11"/>
      <c r="H70" s="11"/>
      <c r="I70" s="11"/>
      <c r="J70" s="44"/>
      <c r="K70" s="87"/>
      <c r="L70" s="284"/>
      <c r="M70" s="241"/>
      <c r="N70" s="9"/>
      <c r="AG70" s="245" t="str">
        <f>IF('[6]2026 február'!B$28=0,
    "",
    '[6]2026 február'!B$28
)</f>
        <v/>
      </c>
    </row>
    <row r="71" spans="1:33">
      <c r="A71" s="162">
        <v>46081</v>
      </c>
      <c r="B71" s="163"/>
      <c r="C71" s="163"/>
      <c r="D71" s="163"/>
      <c r="E71" s="163"/>
      <c r="F71" s="163"/>
      <c r="G71" s="163"/>
      <c r="H71" s="163"/>
      <c r="I71" s="163"/>
      <c r="J71" s="164"/>
      <c r="K71" s="167"/>
      <c r="L71" s="283"/>
      <c r="M71" s="414"/>
      <c r="N71" s="179"/>
      <c r="AG71" s="245" t="str">
        <f>IF('[6]2026 február'!B$29=0,
    "",
    '[6]2026 február'!B$29
)</f>
        <v/>
      </c>
    </row>
    <row r="72" spans="1:33" ht="15" customHeight="1">
      <c r="A72" s="5"/>
      <c r="B72" s="11"/>
      <c r="C72" s="11"/>
      <c r="D72" s="11"/>
      <c r="E72" s="11"/>
      <c r="F72" s="11"/>
      <c r="G72" s="11"/>
      <c r="H72" s="11"/>
      <c r="I72" s="11"/>
      <c r="J72" s="44"/>
      <c r="K72" s="87"/>
      <c r="L72" s="284"/>
      <c r="M72" s="241"/>
      <c r="N72" s="9"/>
      <c r="AG72" s="245" t="str">
        <f>IF('[6]2026 február'!B$30=0,
    "",
    '[6]2026 február'!B$30
)</f>
        <v/>
      </c>
    </row>
    <row r="73" spans="1:33" ht="15" customHeight="1">
      <c r="A73" s="5"/>
      <c r="B73" s="11"/>
      <c r="C73" s="11"/>
      <c r="D73" s="11"/>
      <c r="E73" s="11"/>
      <c r="F73" s="11"/>
      <c r="G73" s="11"/>
      <c r="H73" s="11"/>
      <c r="I73" s="11"/>
      <c r="J73" s="44"/>
      <c r="K73" s="87"/>
      <c r="L73" s="284"/>
      <c r="M73" s="241"/>
      <c r="N73" s="9"/>
      <c r="AG73" s="245" t="str">
        <f>IF('[6]2026 február'!B$31=0,
    "",
    '[6]2026 február'!B$31
)</f>
        <v/>
      </c>
    </row>
    <row r="74" spans="1:33">
      <c r="A74" s="162"/>
      <c r="B74" s="11"/>
      <c r="C74" s="11"/>
      <c r="D74" s="11"/>
      <c r="E74" s="11"/>
      <c r="F74" s="11"/>
      <c r="G74" s="11"/>
      <c r="H74" s="11"/>
      <c r="I74" s="11"/>
      <c r="J74" s="229"/>
      <c r="K74" s="230"/>
      <c r="L74" s="412"/>
      <c r="M74" s="421"/>
      <c r="N74" s="9"/>
      <c r="AG74" s="245" t="str">
        <f>IF('[6]2026 február'!B$32=0,
    "",
    '[6]2026 február'!B$32
)</f>
        <v/>
      </c>
    </row>
    <row r="75" spans="1:33" ht="18.75">
      <c r="A75" s="21" t="s">
        <v>43</v>
      </c>
      <c r="B75" s="389"/>
      <c r="C75" s="22">
        <f>SUM(C42:C74)</f>
        <v>7120</v>
      </c>
      <c r="D75" s="22">
        <f>SUM(D42:D74)</f>
        <v>1271350</v>
      </c>
      <c r="E75" s="22">
        <f>SUM(E42:E74)</f>
        <v>0</v>
      </c>
      <c r="F75" s="22">
        <f>SUM(F42:F74)</f>
        <v>37665</v>
      </c>
      <c r="G75" s="23">
        <f>SUM(G42:G74)</f>
        <v>10110</v>
      </c>
      <c r="H75" s="23">
        <f>SUM(H44:H74)</f>
        <v>1306025</v>
      </c>
      <c r="I75" s="47"/>
      <c r="J75" s="37"/>
      <c r="K75" s="19"/>
      <c r="L75" s="278"/>
      <c r="M75" s="241"/>
      <c r="N75" s="9"/>
      <c r="AG75" s="245">
        <f>IF('[6]2026 február'!B$33=0,
    "",
    '[6]2026 február'!B$33
)</f>
        <v>1413680</v>
      </c>
    </row>
    <row r="76" spans="1:33" ht="15" customHeight="1">
      <c r="A76" s="5"/>
      <c r="B76" s="11"/>
      <c r="C76" s="34">
        <f>C75+D75+E75+F75</f>
        <v>1316135</v>
      </c>
      <c r="D76" s="10"/>
      <c r="E76" s="10"/>
      <c r="F76" s="10"/>
      <c r="G76" s="62">
        <f>G75+H75</f>
        <v>1316135</v>
      </c>
      <c r="H76" s="10"/>
      <c r="I76" s="10"/>
      <c r="J76" s="38"/>
      <c r="K76" s="11"/>
      <c r="L76" s="286"/>
      <c r="M76" s="241"/>
      <c r="N76" s="9"/>
    </row>
    <row r="77" spans="1:33" ht="15" customHeight="1">
      <c r="B77" s="383"/>
    </row>
    <row r="78" spans="1:33" ht="15" customHeight="1">
      <c r="A78" s="436" t="s">
        <v>108</v>
      </c>
      <c r="B78" s="437"/>
      <c r="C78" s="438"/>
      <c r="D78" s="438"/>
      <c r="E78" s="438"/>
      <c r="F78" s="439"/>
      <c r="G78" s="439"/>
      <c r="H78" s="439"/>
      <c r="I78" s="439"/>
      <c r="J78" s="440"/>
      <c r="K78" s="441"/>
    </row>
    <row r="79" spans="1:33" ht="15" customHeight="1">
      <c r="A79" s="442"/>
      <c r="B79" s="435"/>
      <c r="C79" s="435"/>
      <c r="D79" s="435"/>
      <c r="E79" s="435"/>
      <c r="F79" s="435"/>
      <c r="G79" s="429"/>
      <c r="H79" s="429"/>
      <c r="I79" s="429"/>
      <c r="J79" s="429"/>
      <c r="K79" s="443"/>
    </row>
    <row r="80" spans="1:33" ht="15" customHeight="1">
      <c r="A80" s="477"/>
      <c r="B80" s="478"/>
      <c r="C80" s="478"/>
      <c r="D80" s="478"/>
      <c r="E80" s="478"/>
      <c r="F80" s="478"/>
      <c r="G80" s="444"/>
      <c r="H80" s="444"/>
      <c r="I80" s="444"/>
      <c r="J80" s="444"/>
      <c r="K80" s="445"/>
    </row>
    <row r="81" spans="2:2" ht="15" customHeight="1">
      <c r="B81" s="383"/>
    </row>
    <row r="82" spans="2:2" ht="15" customHeight="1">
      <c r="B82" s="383"/>
    </row>
    <row r="83" spans="2:2" ht="15" customHeight="1">
      <c r="B83" s="383"/>
    </row>
    <row r="84" spans="2:2" ht="15" customHeight="1">
      <c r="B84" s="383"/>
    </row>
    <row r="85" spans="2:2" ht="15" customHeight="1">
      <c r="B85" s="383"/>
    </row>
    <row r="86" spans="2:2" ht="15" customHeight="1">
      <c r="B86" s="383"/>
    </row>
    <row r="87" spans="2:2" ht="15" customHeight="1">
      <c r="B87" s="383"/>
    </row>
    <row r="88" spans="2:2" ht="15" customHeight="1">
      <c r="B88" s="383"/>
    </row>
    <row r="89" spans="2:2" ht="15" customHeight="1">
      <c r="B89" s="383"/>
    </row>
    <row r="90" spans="2:2" ht="15" customHeight="1">
      <c r="B90" s="383"/>
    </row>
    <row r="91" spans="2:2" ht="15" customHeight="1">
      <c r="B91" s="383"/>
    </row>
    <row r="92" spans="2:2" ht="15" customHeight="1">
      <c r="B92" s="383"/>
    </row>
    <row r="93" spans="2:2" ht="15" customHeight="1">
      <c r="B93" s="383"/>
    </row>
    <row r="94" spans="2:2" ht="15" customHeight="1">
      <c r="B94" s="383"/>
    </row>
    <row r="95" spans="2:2" ht="15" customHeight="1">
      <c r="B95" s="383"/>
    </row>
    <row r="96" spans="2:2" ht="15" customHeight="1">
      <c r="B96" s="383"/>
    </row>
    <row r="97" spans="2:2" ht="15" customHeight="1">
      <c r="B97" s="383"/>
    </row>
    <row r="98" spans="2:2" ht="15" customHeight="1">
      <c r="B98" s="383"/>
    </row>
    <row r="99" spans="2:2" ht="15" customHeight="1">
      <c r="B99" s="383"/>
    </row>
    <row r="100" spans="2:2" ht="15" customHeight="1">
      <c r="B100" s="383"/>
    </row>
    <row r="101" spans="2:2" ht="15" customHeight="1">
      <c r="B101" s="383"/>
    </row>
    <row r="102" spans="2:2" ht="15" customHeight="1">
      <c r="B102" s="383"/>
    </row>
    <row r="103" spans="2:2" ht="15" customHeight="1">
      <c r="B103" s="383"/>
    </row>
    <row r="104" spans="2:2" ht="15" customHeight="1">
      <c r="B104" s="383"/>
    </row>
    <row r="105" spans="2:2">
      <c r="B105" s="383"/>
    </row>
    <row r="106" spans="2:2">
      <c r="B106" s="383"/>
    </row>
    <row r="107" spans="2:2">
      <c r="B107" s="383"/>
    </row>
    <row r="108" spans="2:2" ht="15" customHeight="1">
      <c r="B108" s="383"/>
    </row>
    <row r="109" spans="2:2" ht="15" customHeight="1">
      <c r="B109" s="383"/>
    </row>
    <row r="110" spans="2:2" ht="15" customHeight="1">
      <c r="B110" s="383"/>
    </row>
    <row r="111" spans="2:2" ht="15" customHeight="1">
      <c r="B111" s="383"/>
    </row>
    <row r="112" spans="2:2" ht="15" customHeight="1">
      <c r="B112" s="383"/>
    </row>
    <row r="113" spans="2:2" ht="15" customHeight="1">
      <c r="B113" s="383"/>
    </row>
    <row r="114" spans="2:2" ht="15" customHeight="1">
      <c r="B114" s="383"/>
    </row>
    <row r="115" spans="2:2" ht="15" customHeight="1">
      <c r="B115" s="383"/>
    </row>
    <row r="116" spans="2:2" ht="15" customHeight="1">
      <c r="B116" s="383"/>
    </row>
    <row r="117" spans="2:2" ht="15" customHeight="1">
      <c r="B117" s="383"/>
    </row>
    <row r="118" spans="2:2">
      <c r="B118" s="383"/>
    </row>
    <row r="119" spans="2:2">
      <c r="B119" s="383"/>
    </row>
    <row r="120" spans="2:2" ht="15" customHeight="1">
      <c r="B120" s="383"/>
    </row>
    <row r="121" spans="2:2" ht="15" customHeight="1">
      <c r="B121" s="383"/>
    </row>
    <row r="122" spans="2:2" ht="15" customHeight="1">
      <c r="B122" s="383"/>
    </row>
    <row r="123" spans="2:2" ht="15" customHeight="1">
      <c r="B123" s="383"/>
    </row>
    <row r="124" spans="2:2" ht="15" customHeight="1">
      <c r="B124" s="383"/>
    </row>
    <row r="125" spans="2:2" ht="15" customHeight="1">
      <c r="B125" s="383"/>
    </row>
    <row r="126" spans="2:2" ht="15" customHeight="1">
      <c r="B126" s="383"/>
    </row>
    <row r="127" spans="2:2" ht="15" customHeight="1">
      <c r="B127" s="383"/>
    </row>
    <row r="128" spans="2:2" ht="15" customHeight="1">
      <c r="B128" s="383"/>
    </row>
    <row r="129" spans="2:2" ht="15" customHeight="1">
      <c r="B129" s="383"/>
    </row>
    <row r="130" spans="2:2" ht="15" customHeight="1">
      <c r="B130" s="383"/>
    </row>
    <row r="131" spans="2:2" ht="15" customHeight="1">
      <c r="B131" s="383"/>
    </row>
    <row r="132" spans="2:2" ht="15" customHeight="1">
      <c r="B132" s="383"/>
    </row>
    <row r="133" spans="2:2" ht="15" customHeight="1">
      <c r="B133" s="383"/>
    </row>
    <row r="134" spans="2:2" ht="15" customHeight="1">
      <c r="B134" s="383"/>
    </row>
    <row r="135" spans="2:2" ht="15" customHeight="1">
      <c r="B135" s="383"/>
    </row>
    <row r="136" spans="2:2" ht="15" customHeight="1">
      <c r="B136" s="383"/>
    </row>
    <row r="137" spans="2:2" ht="15" customHeight="1">
      <c r="B137" s="383"/>
    </row>
    <row r="138" spans="2:2" ht="15" customHeight="1">
      <c r="B138" s="383"/>
    </row>
    <row r="139" spans="2:2" ht="15" customHeight="1">
      <c r="B139" s="383"/>
    </row>
    <row r="140" spans="2:2" ht="15" customHeight="1">
      <c r="B140" s="383"/>
    </row>
    <row r="141" spans="2:2" ht="15" customHeight="1">
      <c r="B141" s="383"/>
    </row>
    <row r="142" spans="2:2" ht="15" customHeight="1">
      <c r="B142" s="383"/>
    </row>
    <row r="143" spans="2:2" ht="15" customHeight="1">
      <c r="B143" s="383"/>
    </row>
    <row r="144" spans="2:2" ht="15" customHeight="1">
      <c r="B144" s="383"/>
    </row>
    <row r="145" spans="2:2" ht="15" customHeight="1">
      <c r="B145" s="383"/>
    </row>
    <row r="146" spans="2:2" ht="15" customHeight="1">
      <c r="B146" s="383"/>
    </row>
    <row r="147" spans="2:2" ht="15" customHeight="1">
      <c r="B147" s="383"/>
    </row>
    <row r="148" spans="2:2">
      <c r="B148" s="383"/>
    </row>
    <row r="149" spans="2:2">
      <c r="B149" s="383"/>
    </row>
    <row r="150" spans="2:2">
      <c r="B150" s="383"/>
    </row>
    <row r="151" spans="2:2">
      <c r="B151" s="383"/>
    </row>
    <row r="152" spans="2:2" ht="15" customHeight="1">
      <c r="B152" s="383"/>
    </row>
    <row r="153" spans="2:2" ht="15" customHeight="1">
      <c r="B153" s="383"/>
    </row>
    <row r="154" spans="2:2">
      <c r="B154" s="383"/>
    </row>
    <row r="155" spans="2:2">
      <c r="B155" s="383"/>
    </row>
    <row r="156" spans="2:2" ht="15" customHeight="1">
      <c r="B156" s="383"/>
    </row>
    <row r="157" spans="2:2" ht="15" customHeight="1">
      <c r="B157" s="383"/>
    </row>
    <row r="158" spans="2:2" ht="15" customHeight="1">
      <c r="B158" s="383"/>
    </row>
    <row r="159" spans="2:2" ht="15" customHeight="1">
      <c r="B159" s="383"/>
    </row>
    <row r="160" spans="2:2" ht="15" customHeight="1">
      <c r="B160" s="383"/>
    </row>
    <row r="161" spans="2:2" ht="15" customHeight="1">
      <c r="B161" s="383"/>
    </row>
    <row r="162" spans="2:2" ht="15" customHeight="1">
      <c r="B162" s="383"/>
    </row>
    <row r="163" spans="2:2" ht="15" customHeight="1">
      <c r="B163" s="383"/>
    </row>
    <row r="164" spans="2:2" ht="15" customHeight="1">
      <c r="B164" s="383"/>
    </row>
    <row r="165" spans="2:2" ht="15" customHeight="1">
      <c r="B165" s="383"/>
    </row>
    <row r="166" spans="2:2" ht="15" customHeight="1">
      <c r="B166" s="383"/>
    </row>
    <row r="167" spans="2:2" ht="15" customHeight="1">
      <c r="B167" s="383"/>
    </row>
    <row r="168" spans="2:2" ht="15" customHeight="1">
      <c r="B168" s="383"/>
    </row>
    <row r="169" spans="2:2" ht="15" customHeight="1">
      <c r="B169" s="383"/>
    </row>
    <row r="170" spans="2:2" ht="15" customHeight="1">
      <c r="B170" s="383"/>
    </row>
    <row r="171" spans="2:2" ht="15" customHeight="1">
      <c r="B171" s="383"/>
    </row>
    <row r="172" spans="2:2" ht="15" customHeight="1">
      <c r="B172" s="383"/>
    </row>
    <row r="173" spans="2:2" ht="15" customHeight="1">
      <c r="B173" s="383"/>
    </row>
    <row r="174" spans="2:2" ht="15" customHeight="1">
      <c r="B174" s="383"/>
    </row>
    <row r="175" spans="2:2" ht="15" customHeight="1">
      <c r="B175" s="383"/>
    </row>
    <row r="176" spans="2:2" ht="15" customHeight="1">
      <c r="B176" s="383"/>
    </row>
    <row r="177" spans="2:2" ht="15" customHeight="1">
      <c r="B177" s="383"/>
    </row>
    <row r="178" spans="2:2" ht="15" customHeight="1">
      <c r="B178" s="383"/>
    </row>
    <row r="179" spans="2:2" ht="15" customHeight="1">
      <c r="B179" s="383"/>
    </row>
    <row r="180" spans="2:2" ht="15" customHeight="1">
      <c r="B180" s="383"/>
    </row>
    <row r="181" spans="2:2" ht="15" customHeight="1">
      <c r="B181" s="383"/>
    </row>
    <row r="182" spans="2:2" ht="15" customHeight="1">
      <c r="B182" s="383"/>
    </row>
    <row r="183" spans="2:2" ht="15" customHeight="1">
      <c r="B183" s="383"/>
    </row>
    <row r="184" spans="2:2" ht="15" customHeight="1">
      <c r="B184" s="383"/>
    </row>
    <row r="185" spans="2:2">
      <c r="B185" s="383"/>
    </row>
    <row r="186" spans="2:2">
      <c r="B186" s="383"/>
    </row>
    <row r="187" spans="2:2">
      <c r="B187" s="383"/>
    </row>
    <row r="188" spans="2:2" ht="15" customHeight="1">
      <c r="B188" s="383"/>
    </row>
    <row r="189" spans="2:2" ht="15" customHeight="1">
      <c r="B189" s="383"/>
    </row>
    <row r="190" spans="2:2" ht="15" customHeight="1">
      <c r="B190" s="383"/>
    </row>
    <row r="191" spans="2:2">
      <c r="B191" s="383"/>
    </row>
    <row r="192" spans="2:2">
      <c r="B192" s="383"/>
    </row>
    <row r="193" spans="2:2" ht="15" customHeight="1">
      <c r="B193" s="383"/>
    </row>
    <row r="194" spans="2:2" ht="15" customHeight="1">
      <c r="B194" s="383"/>
    </row>
    <row r="195" spans="2:2" ht="15" customHeight="1">
      <c r="B195" s="383"/>
    </row>
    <row r="196" spans="2:2" ht="15" customHeight="1">
      <c r="B196" s="383"/>
    </row>
    <row r="197" spans="2:2" ht="15" customHeight="1">
      <c r="B197" s="383"/>
    </row>
    <row r="198" spans="2:2" ht="15" customHeight="1">
      <c r="B198" s="383"/>
    </row>
    <row r="199" spans="2:2" ht="15" customHeight="1">
      <c r="B199" s="383"/>
    </row>
    <row r="200" spans="2:2" ht="15" customHeight="1">
      <c r="B200" s="383"/>
    </row>
    <row r="201" spans="2:2" ht="15" customHeight="1">
      <c r="B201" s="383"/>
    </row>
    <row r="202" spans="2:2" ht="15" customHeight="1">
      <c r="B202" s="383"/>
    </row>
    <row r="203" spans="2:2" ht="15" customHeight="1">
      <c r="B203" s="383"/>
    </row>
    <row r="204" spans="2:2" ht="15" customHeight="1">
      <c r="B204" s="383"/>
    </row>
    <row r="205" spans="2:2" ht="15" customHeight="1">
      <c r="B205" s="383"/>
    </row>
    <row r="206" spans="2:2" ht="15" customHeight="1">
      <c r="B206" s="383"/>
    </row>
    <row r="207" spans="2:2" ht="15" customHeight="1">
      <c r="B207" s="383"/>
    </row>
    <row r="208" spans="2:2" ht="15" customHeight="1">
      <c r="B208" s="383"/>
    </row>
    <row r="209" spans="2:2" ht="15" customHeight="1">
      <c r="B209" s="383"/>
    </row>
    <row r="210" spans="2:2" ht="15" customHeight="1">
      <c r="B210" s="383"/>
    </row>
    <row r="211" spans="2:2" ht="15" customHeight="1">
      <c r="B211" s="383"/>
    </row>
    <row r="212" spans="2:2" ht="15" customHeight="1">
      <c r="B212" s="383"/>
    </row>
    <row r="213" spans="2:2" ht="15" customHeight="1">
      <c r="B213" s="383"/>
    </row>
    <row r="214" spans="2:2" ht="15" customHeight="1">
      <c r="B214" s="383"/>
    </row>
    <row r="215" spans="2:2" ht="15" customHeight="1">
      <c r="B215" s="383"/>
    </row>
    <row r="216" spans="2:2" ht="15" customHeight="1">
      <c r="B216" s="383"/>
    </row>
    <row r="217" spans="2:2" ht="15" customHeight="1">
      <c r="B217" s="383"/>
    </row>
    <row r="218" spans="2:2" ht="15" customHeight="1">
      <c r="B218" s="383"/>
    </row>
    <row r="219" spans="2:2" ht="15" customHeight="1">
      <c r="B219" s="383"/>
    </row>
    <row r="220" spans="2:2" ht="15" customHeight="1">
      <c r="B220" s="383"/>
    </row>
    <row r="221" spans="2:2" ht="15" customHeight="1">
      <c r="B221" s="383"/>
    </row>
    <row r="222" spans="2:2">
      <c r="B222" s="383"/>
    </row>
    <row r="223" spans="2:2">
      <c r="B223" s="383"/>
    </row>
    <row r="224" spans="2:2">
      <c r="B224" s="383"/>
    </row>
    <row r="225" spans="2:2" ht="15" customHeight="1">
      <c r="B225" s="383"/>
    </row>
    <row r="226" spans="2:2" ht="15" customHeight="1">
      <c r="B226" s="383"/>
    </row>
    <row r="227" spans="2:2" ht="15" customHeight="1">
      <c r="B227" s="383"/>
    </row>
    <row r="228" spans="2:2" ht="15" customHeight="1">
      <c r="B228" s="383"/>
    </row>
    <row r="229" spans="2:2" ht="15" customHeight="1">
      <c r="B229" s="383"/>
    </row>
    <row r="230" spans="2:2">
      <c r="B230" s="383"/>
    </row>
    <row r="231" spans="2:2">
      <c r="B231" s="383"/>
    </row>
    <row r="232" spans="2:2" ht="15" customHeight="1">
      <c r="B232" s="383"/>
    </row>
    <row r="233" spans="2:2" ht="15" customHeight="1">
      <c r="B233" s="383"/>
    </row>
    <row r="234" spans="2:2" ht="15" customHeight="1">
      <c r="B234" s="383"/>
    </row>
    <row r="235" spans="2:2" ht="15" customHeight="1">
      <c r="B235" s="383"/>
    </row>
    <row r="236" spans="2:2" ht="15" customHeight="1">
      <c r="B236" s="383"/>
    </row>
    <row r="237" spans="2:2" ht="15" customHeight="1">
      <c r="B237" s="383"/>
    </row>
    <row r="238" spans="2:2" ht="15" customHeight="1">
      <c r="B238" s="383"/>
    </row>
    <row r="239" spans="2:2" ht="15" customHeight="1">
      <c r="B239" s="383"/>
    </row>
    <row r="240" spans="2:2" ht="15" customHeight="1">
      <c r="B240" s="383"/>
    </row>
    <row r="241" spans="2:2" ht="15" customHeight="1">
      <c r="B241" s="383"/>
    </row>
    <row r="242" spans="2:2" ht="15" customHeight="1">
      <c r="B242" s="383"/>
    </row>
    <row r="243" spans="2:2" ht="15" customHeight="1">
      <c r="B243" s="383"/>
    </row>
    <row r="244" spans="2:2" ht="15" customHeight="1">
      <c r="B244" s="383"/>
    </row>
    <row r="245" spans="2:2" ht="15" customHeight="1">
      <c r="B245" s="383"/>
    </row>
    <row r="246" spans="2:2" ht="15" customHeight="1">
      <c r="B246" s="383"/>
    </row>
    <row r="247" spans="2:2" ht="15" customHeight="1">
      <c r="B247" s="383"/>
    </row>
    <row r="248" spans="2:2" ht="15" customHeight="1">
      <c r="B248" s="383"/>
    </row>
    <row r="249" spans="2:2" ht="15" customHeight="1">
      <c r="B249" s="383"/>
    </row>
    <row r="250" spans="2:2" ht="15" customHeight="1">
      <c r="B250" s="383"/>
    </row>
    <row r="251" spans="2:2" ht="15" customHeight="1">
      <c r="B251" s="383"/>
    </row>
    <row r="252" spans="2:2" ht="15" customHeight="1">
      <c r="B252" s="383"/>
    </row>
    <row r="253" spans="2:2" ht="15" customHeight="1">
      <c r="B253" s="383"/>
    </row>
    <row r="254" spans="2:2" ht="15" customHeight="1">
      <c r="B254" s="383"/>
    </row>
    <row r="255" spans="2:2" ht="15" customHeight="1">
      <c r="B255" s="383"/>
    </row>
    <row r="256" spans="2:2" ht="15" customHeight="1">
      <c r="B256" s="383"/>
    </row>
    <row r="257" spans="2:2" ht="15" customHeight="1">
      <c r="B257" s="383"/>
    </row>
    <row r="258" spans="2:2" ht="15" customHeight="1">
      <c r="B258" s="383"/>
    </row>
    <row r="259" spans="2:2" ht="15" customHeight="1">
      <c r="B259" s="383"/>
    </row>
    <row r="260" spans="2:2" ht="15" customHeight="1">
      <c r="B260" s="383"/>
    </row>
    <row r="261" spans="2:2" ht="15" customHeight="1">
      <c r="B261" s="383"/>
    </row>
    <row r="262" spans="2:2" ht="15" customHeight="1">
      <c r="B262" s="383"/>
    </row>
    <row r="263" spans="2:2">
      <c r="B263" s="383"/>
    </row>
    <row r="264" spans="2:2">
      <c r="B264" s="383"/>
    </row>
    <row r="265" spans="2:2" ht="15" customHeight="1">
      <c r="B265" s="383"/>
    </row>
    <row r="266" spans="2:2" ht="15" customHeight="1">
      <c r="B266" s="383"/>
    </row>
    <row r="267" spans="2:2" ht="15" customHeight="1">
      <c r="B267" s="383"/>
    </row>
    <row r="268" spans="2:2">
      <c r="B268" s="383"/>
    </row>
    <row r="269" spans="2:2">
      <c r="B269" s="383"/>
    </row>
    <row r="270" spans="2:2" ht="15" customHeight="1">
      <c r="B270" s="383"/>
    </row>
    <row r="271" spans="2:2" ht="15" customHeight="1">
      <c r="B271" s="383"/>
    </row>
    <row r="272" spans="2:2" ht="15" customHeight="1">
      <c r="B272" s="383"/>
    </row>
    <row r="273" spans="2:2" ht="15" customHeight="1">
      <c r="B273" s="383"/>
    </row>
    <row r="274" spans="2:2" ht="15" customHeight="1">
      <c r="B274" s="383"/>
    </row>
    <row r="275" spans="2:2" ht="15" customHeight="1">
      <c r="B275" s="383"/>
    </row>
    <row r="276" spans="2:2" ht="15" customHeight="1">
      <c r="B276" s="383"/>
    </row>
    <row r="277" spans="2:2" ht="15" customHeight="1">
      <c r="B277" s="383"/>
    </row>
    <row r="278" spans="2:2" ht="15" customHeight="1">
      <c r="B278" s="383"/>
    </row>
    <row r="279" spans="2:2" ht="15" customHeight="1">
      <c r="B279" s="383"/>
    </row>
    <row r="280" spans="2:2" ht="15" customHeight="1">
      <c r="B280" s="383"/>
    </row>
    <row r="281" spans="2:2" ht="15" customHeight="1">
      <c r="B281" s="383"/>
    </row>
    <row r="282" spans="2:2" ht="15" customHeight="1">
      <c r="B282" s="383"/>
    </row>
    <row r="283" spans="2:2" ht="15" customHeight="1">
      <c r="B283" s="383"/>
    </row>
    <row r="284" spans="2:2" ht="15" customHeight="1">
      <c r="B284" s="383"/>
    </row>
    <row r="285" spans="2:2" ht="15" customHeight="1">
      <c r="B285" s="383"/>
    </row>
    <row r="286" spans="2:2" ht="15" customHeight="1">
      <c r="B286" s="383"/>
    </row>
    <row r="287" spans="2:2" ht="15" customHeight="1">
      <c r="B287" s="383"/>
    </row>
    <row r="288" spans="2:2" ht="15" customHeight="1">
      <c r="B288" s="383"/>
    </row>
    <row r="289" spans="2:2" ht="15" customHeight="1">
      <c r="B289" s="383"/>
    </row>
    <row r="290" spans="2:2" ht="15" customHeight="1">
      <c r="B290" s="383"/>
    </row>
    <row r="291" spans="2:2" ht="15" customHeight="1">
      <c r="B291" s="383"/>
    </row>
    <row r="292" spans="2:2" ht="15" customHeight="1">
      <c r="B292" s="383"/>
    </row>
    <row r="293" spans="2:2" ht="15" customHeight="1">
      <c r="B293" s="383"/>
    </row>
    <row r="294" spans="2:2" ht="15" customHeight="1">
      <c r="B294" s="383"/>
    </row>
    <row r="295" spans="2:2" ht="15" customHeight="1">
      <c r="B295" s="383"/>
    </row>
    <row r="296" spans="2:2" ht="15" customHeight="1">
      <c r="B296" s="383"/>
    </row>
    <row r="297" spans="2:2" ht="15" customHeight="1">
      <c r="B297" s="383"/>
    </row>
    <row r="298" spans="2:2" ht="15" customHeight="1">
      <c r="B298" s="383"/>
    </row>
    <row r="299" spans="2:2" ht="15" customHeight="1">
      <c r="B299" s="383"/>
    </row>
    <row r="300" spans="2:2" ht="15" customHeight="1">
      <c r="B300" s="383"/>
    </row>
    <row r="301" spans="2:2">
      <c r="B301" s="383"/>
    </row>
    <row r="302" spans="2:2">
      <c r="B302" s="383"/>
    </row>
    <row r="303" spans="2:2" ht="15" customHeight="1">
      <c r="B303" s="383"/>
    </row>
    <row r="304" spans="2:2" ht="15" customHeight="1">
      <c r="B304" s="383"/>
    </row>
    <row r="305" spans="2:2">
      <c r="B305" s="383"/>
    </row>
    <row r="306" spans="2:2" ht="15" customHeight="1">
      <c r="B306" s="383"/>
    </row>
    <row r="307" spans="2:2" ht="15" customHeight="1">
      <c r="B307" s="383"/>
    </row>
    <row r="308" spans="2:2" ht="15" customHeight="1">
      <c r="B308" s="383"/>
    </row>
    <row r="309" spans="2:2" ht="15" customHeight="1">
      <c r="B309" s="383"/>
    </row>
    <row r="310" spans="2:2" ht="15" customHeight="1">
      <c r="B310" s="383"/>
    </row>
    <row r="311" spans="2:2" ht="15" customHeight="1">
      <c r="B311" s="383"/>
    </row>
    <row r="312" spans="2:2" ht="15" customHeight="1">
      <c r="B312" s="383"/>
    </row>
    <row r="313" spans="2:2" ht="15" customHeight="1">
      <c r="B313" s="383"/>
    </row>
    <row r="314" spans="2:2" ht="15" customHeight="1">
      <c r="B314" s="383"/>
    </row>
    <row r="315" spans="2:2" ht="15" customHeight="1">
      <c r="B315" s="383"/>
    </row>
    <row r="316" spans="2:2" ht="15" customHeight="1">
      <c r="B316" s="383"/>
    </row>
    <row r="317" spans="2:2" ht="15" customHeight="1">
      <c r="B317" s="383"/>
    </row>
    <row r="318" spans="2:2" ht="15" customHeight="1">
      <c r="B318" s="383"/>
    </row>
    <row r="319" spans="2:2" ht="15" customHeight="1">
      <c r="B319" s="383"/>
    </row>
    <row r="320" spans="2:2" ht="15" customHeight="1">
      <c r="B320" s="383"/>
    </row>
    <row r="321" spans="2:2" ht="15" customHeight="1">
      <c r="B321" s="383"/>
    </row>
    <row r="322" spans="2:2" ht="15" customHeight="1">
      <c r="B322" s="383"/>
    </row>
    <row r="323" spans="2:2" ht="15" customHeight="1">
      <c r="B323" s="383"/>
    </row>
    <row r="324" spans="2:2" ht="15" customHeight="1">
      <c r="B324" s="383"/>
    </row>
    <row r="325" spans="2:2" ht="15" customHeight="1">
      <c r="B325" s="383"/>
    </row>
    <row r="326" spans="2:2" ht="15" customHeight="1">
      <c r="B326" s="383"/>
    </row>
    <row r="327" spans="2:2" ht="15" customHeight="1">
      <c r="B327" s="383"/>
    </row>
    <row r="328" spans="2:2" ht="15" customHeight="1">
      <c r="B328" s="383"/>
    </row>
    <row r="329" spans="2:2" ht="15" customHeight="1">
      <c r="B329" s="383"/>
    </row>
    <row r="330" spans="2:2" ht="15" customHeight="1">
      <c r="B330" s="383"/>
    </row>
    <row r="331" spans="2:2" ht="15" customHeight="1">
      <c r="B331" s="383"/>
    </row>
    <row r="332" spans="2:2" ht="15" customHeight="1">
      <c r="B332" s="383"/>
    </row>
    <row r="333" spans="2:2" ht="15" customHeight="1">
      <c r="B333" s="383"/>
    </row>
    <row r="334" spans="2:2" ht="15" customHeight="1">
      <c r="B334" s="383"/>
    </row>
    <row r="335" spans="2:2" ht="15" customHeight="1">
      <c r="B335" s="383"/>
    </row>
    <row r="336" spans="2:2" ht="15" customHeight="1">
      <c r="B336" s="383"/>
    </row>
    <row r="337" spans="2:2" ht="15" customHeight="1">
      <c r="B337" s="383"/>
    </row>
    <row r="338" spans="2:2">
      <c r="B338" s="383"/>
    </row>
    <row r="339" spans="2:2">
      <c r="B339" s="383"/>
    </row>
    <row r="340" spans="2:2" ht="15" customHeight="1">
      <c r="B340" s="383"/>
    </row>
    <row r="341" spans="2:2" ht="15" customHeight="1">
      <c r="B341" s="383"/>
    </row>
    <row r="342" spans="2:2" ht="15" customHeight="1">
      <c r="B342" s="383"/>
    </row>
    <row r="343" spans="2:2">
      <c r="B343" s="383"/>
    </row>
    <row r="344" spans="2:2" ht="15" customHeight="1">
      <c r="B344" s="383"/>
    </row>
    <row r="345" spans="2:2" ht="15" customHeight="1">
      <c r="B345" s="383"/>
    </row>
    <row r="346" spans="2:2" ht="15" customHeight="1">
      <c r="B346" s="383"/>
    </row>
    <row r="347" spans="2:2">
      <c r="B347" s="383"/>
    </row>
    <row r="348" spans="2:2" ht="15" customHeight="1">
      <c r="B348" s="383"/>
    </row>
    <row r="349" spans="2:2">
      <c r="B349" s="383"/>
    </row>
    <row r="350" spans="2:2">
      <c r="B350" s="383"/>
    </row>
    <row r="351" spans="2:2" ht="15" customHeight="1">
      <c r="B351" s="383"/>
    </row>
    <row r="352" spans="2:2" ht="15" customHeight="1">
      <c r="B352" s="383"/>
    </row>
    <row r="353" spans="2:2" ht="15" customHeight="1">
      <c r="B353" s="383"/>
    </row>
    <row r="354" spans="2:2" ht="15" customHeight="1">
      <c r="B354" s="383"/>
    </row>
    <row r="355" spans="2:2" ht="15" customHeight="1">
      <c r="B355" s="383"/>
    </row>
    <row r="356" spans="2:2" ht="15" customHeight="1">
      <c r="B356" s="383"/>
    </row>
    <row r="357" spans="2:2" ht="15" customHeight="1">
      <c r="B357" s="383"/>
    </row>
    <row r="358" spans="2:2" ht="15" customHeight="1">
      <c r="B358" s="383"/>
    </row>
    <row r="359" spans="2:2" ht="15" customHeight="1">
      <c r="B359" s="383"/>
    </row>
    <row r="360" spans="2:2" ht="15" customHeight="1">
      <c r="B360" s="383"/>
    </row>
    <row r="361" spans="2:2" ht="15" customHeight="1">
      <c r="B361" s="383"/>
    </row>
    <row r="362" spans="2:2" ht="15" customHeight="1">
      <c r="B362" s="383"/>
    </row>
    <row r="363" spans="2:2" ht="15" customHeight="1">
      <c r="B363" s="383"/>
    </row>
    <row r="364" spans="2:2" ht="15" customHeight="1">
      <c r="B364" s="383"/>
    </row>
    <row r="365" spans="2:2" ht="15" customHeight="1">
      <c r="B365" s="383"/>
    </row>
    <row r="366" spans="2:2" ht="15" customHeight="1">
      <c r="B366" s="383"/>
    </row>
    <row r="367" spans="2:2" ht="15" customHeight="1">
      <c r="B367" s="383"/>
    </row>
    <row r="368" spans="2:2" ht="15" customHeight="1">
      <c r="B368" s="383"/>
    </row>
    <row r="369" spans="2:2" ht="15" customHeight="1">
      <c r="B369" s="383"/>
    </row>
    <row r="370" spans="2:2" ht="15" customHeight="1">
      <c r="B370" s="383"/>
    </row>
    <row r="371" spans="2:2" ht="15" customHeight="1">
      <c r="B371" s="383"/>
    </row>
    <row r="372" spans="2:2" ht="15" customHeight="1">
      <c r="B372" s="383"/>
    </row>
    <row r="373" spans="2:2" ht="15" customHeight="1">
      <c r="B373" s="383"/>
    </row>
    <row r="374" spans="2:2" ht="15" customHeight="1">
      <c r="B374" s="383"/>
    </row>
    <row r="375" spans="2:2" ht="15" customHeight="1">
      <c r="B375" s="383"/>
    </row>
    <row r="376" spans="2:2" ht="15" customHeight="1">
      <c r="B376" s="383"/>
    </row>
    <row r="377" spans="2:2" ht="15" customHeight="1">
      <c r="B377" s="383"/>
    </row>
    <row r="378" spans="2:2" ht="15" customHeight="1">
      <c r="B378" s="383"/>
    </row>
    <row r="379" spans="2:2" ht="15" customHeight="1">
      <c r="B379" s="383"/>
    </row>
    <row r="380" spans="2:2">
      <c r="B380" s="383"/>
    </row>
    <row r="381" spans="2:2">
      <c r="B381" s="383"/>
    </row>
    <row r="382" spans="2:2">
      <c r="B382" s="383"/>
    </row>
    <row r="383" spans="2:2" ht="15" customHeight="1">
      <c r="B383" s="383"/>
    </row>
    <row r="384" spans="2:2" ht="15" customHeight="1">
      <c r="B384" s="383"/>
    </row>
    <row r="385" spans="2:2">
      <c r="B385" s="383"/>
    </row>
    <row r="386" spans="2:2" ht="15" customHeight="1">
      <c r="B386" s="383"/>
    </row>
    <row r="387" spans="2:2" ht="15" customHeight="1">
      <c r="B387" s="383"/>
    </row>
    <row r="388" spans="2:2" ht="15" customHeight="1">
      <c r="B388" s="383"/>
    </row>
    <row r="389" spans="2:2" ht="15" customHeight="1">
      <c r="B389" s="383"/>
    </row>
    <row r="390" spans="2:2" ht="15" customHeight="1">
      <c r="B390" s="383"/>
    </row>
    <row r="391" spans="2:2" ht="15" customHeight="1">
      <c r="B391" s="383"/>
    </row>
    <row r="392" spans="2:2" ht="15" customHeight="1">
      <c r="B392" s="383"/>
    </row>
    <row r="393" spans="2:2" ht="15" customHeight="1">
      <c r="B393" s="383"/>
    </row>
    <row r="394" spans="2:2" ht="15" customHeight="1">
      <c r="B394" s="383"/>
    </row>
    <row r="395" spans="2:2" ht="15" customHeight="1">
      <c r="B395" s="383"/>
    </row>
    <row r="396" spans="2:2" ht="15" customHeight="1">
      <c r="B396" s="383"/>
    </row>
    <row r="397" spans="2:2" ht="15" customHeight="1">
      <c r="B397" s="383"/>
    </row>
    <row r="398" spans="2:2" ht="15" customHeight="1">
      <c r="B398" s="383"/>
    </row>
    <row r="399" spans="2:2" ht="15" customHeight="1">
      <c r="B399" s="383"/>
    </row>
    <row r="400" spans="2:2" ht="15" customHeight="1">
      <c r="B400" s="383"/>
    </row>
    <row r="401" spans="2:2" ht="15" customHeight="1">
      <c r="B401" s="383"/>
    </row>
    <row r="402" spans="2:2" ht="15" customHeight="1">
      <c r="B402" s="383"/>
    </row>
    <row r="403" spans="2:2" ht="15" customHeight="1">
      <c r="B403" s="383"/>
    </row>
    <row r="404" spans="2:2" ht="15" customHeight="1">
      <c r="B404" s="383"/>
    </row>
    <row r="405" spans="2:2" ht="15" customHeight="1">
      <c r="B405" s="383"/>
    </row>
    <row r="406" spans="2:2" ht="15" customHeight="1">
      <c r="B406" s="383"/>
    </row>
    <row r="407" spans="2:2" ht="15" customHeight="1">
      <c r="B407" s="383"/>
    </row>
    <row r="408" spans="2:2" ht="15" customHeight="1">
      <c r="B408" s="383"/>
    </row>
    <row r="409" spans="2:2" ht="15" customHeight="1">
      <c r="B409" s="383"/>
    </row>
    <row r="410" spans="2:2" ht="15" customHeight="1">
      <c r="B410" s="383"/>
    </row>
    <row r="411" spans="2:2" ht="15" customHeight="1">
      <c r="B411" s="383"/>
    </row>
    <row r="412" spans="2:2" ht="15" customHeight="1">
      <c r="B412" s="383"/>
    </row>
    <row r="413" spans="2:2" ht="15" customHeight="1">
      <c r="B413" s="383"/>
    </row>
    <row r="414" spans="2:2" ht="15" customHeight="1">
      <c r="B414" s="383"/>
    </row>
    <row r="415" spans="2:2" ht="15" customHeight="1">
      <c r="B415" s="383"/>
    </row>
    <row r="416" spans="2:2" ht="15" customHeight="1">
      <c r="B416" s="383"/>
    </row>
    <row r="417" spans="2:2" ht="15" customHeight="1">
      <c r="B417" s="383"/>
    </row>
    <row r="418" spans="2:2">
      <c r="B418" s="383"/>
    </row>
    <row r="419" spans="2:2">
      <c r="B419" s="383"/>
    </row>
    <row r="420" spans="2:2" ht="15" customHeight="1">
      <c r="B420" s="383"/>
    </row>
    <row r="421" spans="2:2" ht="15" customHeight="1">
      <c r="B421" s="383"/>
    </row>
    <row r="422" spans="2:2" ht="15" customHeight="1">
      <c r="B422" s="383"/>
    </row>
    <row r="423" spans="2:2" ht="15" customHeight="1">
      <c r="B423" s="383"/>
    </row>
    <row r="424" spans="2:2" ht="15" customHeight="1">
      <c r="B424" s="383"/>
    </row>
    <row r="425" spans="2:2">
      <c r="B425" s="383"/>
    </row>
    <row r="426" spans="2:2" ht="15" customHeight="1">
      <c r="B426" s="383"/>
    </row>
    <row r="427" spans="2:2" ht="15" customHeight="1">
      <c r="B427" s="383"/>
    </row>
    <row r="428" spans="2:2" ht="15" customHeight="1">
      <c r="B428" s="383"/>
    </row>
    <row r="429" spans="2:2" ht="15" customHeight="1">
      <c r="B429" s="383"/>
    </row>
    <row r="430" spans="2:2" ht="15" customHeight="1">
      <c r="B430" s="383"/>
    </row>
    <row r="431" spans="2:2" ht="15" customHeight="1">
      <c r="B431" s="383"/>
    </row>
    <row r="432" spans="2:2" ht="15" customHeight="1">
      <c r="B432" s="383"/>
    </row>
    <row r="433" spans="2:2" ht="15" customHeight="1">
      <c r="B433" s="383"/>
    </row>
    <row r="434" spans="2:2" ht="15" customHeight="1">
      <c r="B434" s="383"/>
    </row>
    <row r="435" spans="2:2" ht="15" customHeight="1">
      <c r="B435" s="383"/>
    </row>
    <row r="436" spans="2:2" ht="15" customHeight="1">
      <c r="B436" s="383"/>
    </row>
    <row r="437" spans="2:2" ht="15" customHeight="1">
      <c r="B437" s="383"/>
    </row>
    <row r="438" spans="2:2" ht="15" customHeight="1">
      <c r="B438" s="383"/>
    </row>
    <row r="439" spans="2:2" ht="15" customHeight="1">
      <c r="B439" s="383"/>
    </row>
    <row r="440" spans="2:2" ht="15" customHeight="1">
      <c r="B440" s="383"/>
    </row>
    <row r="441" spans="2:2" ht="15" customHeight="1">
      <c r="B441" s="383"/>
    </row>
    <row r="442" spans="2:2" ht="15" customHeight="1">
      <c r="B442" s="383"/>
    </row>
    <row r="443" spans="2:2" ht="15" customHeight="1">
      <c r="B443" s="383"/>
    </row>
    <row r="444" spans="2:2" ht="15" customHeight="1">
      <c r="B444" s="383"/>
    </row>
    <row r="445" spans="2:2" ht="15" customHeight="1">
      <c r="B445" s="383"/>
    </row>
    <row r="446" spans="2:2" ht="15" customHeight="1">
      <c r="B446" s="383"/>
    </row>
    <row r="447" spans="2:2" ht="15" customHeight="1">
      <c r="B447" s="383"/>
    </row>
    <row r="448" spans="2:2" ht="15" customHeight="1">
      <c r="B448" s="383"/>
    </row>
    <row r="449" spans="2:2" ht="15" customHeight="1">
      <c r="B449" s="383"/>
    </row>
    <row r="450" spans="2:2" ht="15" customHeight="1">
      <c r="B450" s="383"/>
    </row>
    <row r="451" spans="2:2" ht="15" customHeight="1">
      <c r="B451" s="383"/>
    </row>
    <row r="452" spans="2:2" ht="15" customHeight="1">
      <c r="B452" s="383"/>
    </row>
    <row r="453" spans="2:2" ht="15" customHeight="1">
      <c r="B453" s="383"/>
    </row>
    <row r="454" spans="2:2" ht="15" customHeight="1">
      <c r="B454" s="383"/>
    </row>
    <row r="455" spans="2:2" ht="15" customHeight="1">
      <c r="B455" s="383"/>
    </row>
    <row r="456" spans="2:2" ht="15" customHeight="1">
      <c r="B456" s="383"/>
    </row>
    <row r="457" spans="2:2" ht="15" customHeight="1">
      <c r="B457" s="383"/>
    </row>
    <row r="458" spans="2:2">
      <c r="B458" s="383"/>
    </row>
    <row r="459" spans="2:2">
      <c r="B459" s="383"/>
    </row>
  </sheetData>
  <sheetProtection formatCells="0" formatColumns="0" formatRows="0"/>
  <protectedRanges>
    <protectedRange sqref="A38 AM37:BO37 A42 A77 A81:A459 L78:AG80 C81:AG459 AH78:BO459 A460:BO578 O43:BO43 C77:BO77 C42:BO42 C38:BO38 O39:BO41 O44:AF76 AH44:BO76 AG76" name="Range1"/>
    <protectedRange sqref="I1" name="Range2"/>
    <protectedRange sqref="A36:A37 C36:AL37" name="Range1_4"/>
    <protectedRange sqref="N2:O2 AL2" name="Range1_2_1"/>
    <protectedRange sqref="S2:AF2 AH2:AK2" name="Range1_2_1_1"/>
    <protectedRange sqref="B36:B38 B42 B77 B81:B459" name="Range1_1"/>
    <protectedRange sqref="B1" name="Range1_1_1"/>
  </protectedRanges>
  <mergeCells count="1">
    <mergeCell ref="A80:F80"/>
  </mergeCells>
  <conditionalFormatting sqref="A2 C2:M2 M3:M33">
    <cfRule type="containsText" dxfId="224" priority="41" stopIfTrue="1" operator="containsText" text="ELTÉRÉS!">
      <formula>NOT(ISERROR(SEARCH("ELTÉRÉS!",A2)))</formula>
    </cfRule>
    <cfRule type="containsText" dxfId="223" priority="42" stopIfTrue="1" operator="containsText" text="STIMMEL!">
      <formula>NOT(ISERROR(SEARCH("STIMMEL!",A2)))</formula>
    </cfRule>
  </conditionalFormatting>
  <conditionalFormatting sqref="A2 C2:M2 M3:M33">
    <cfRule type="cellIs" dxfId="222" priority="40" operator="equal">
      <formula>0.01</formula>
    </cfRule>
  </conditionalFormatting>
  <conditionalFormatting sqref="A3:A33 C3:L33">
    <cfRule type="containsText" dxfId="221" priority="38" stopIfTrue="1" operator="containsText" text="ELTÉRÉS!">
      <formula>NOT(ISERROR(SEARCH("ELTÉRÉS!",A3)))</formula>
    </cfRule>
    <cfRule type="containsText" dxfId="220" priority="39" stopIfTrue="1" operator="containsText" text="STIMMEL!">
      <formula>NOT(ISERROR(SEARCH("STIMMEL!",A3)))</formula>
    </cfRule>
  </conditionalFormatting>
  <conditionalFormatting sqref="A3:A33 C3:L33">
    <cfRule type="cellIs" dxfId="219" priority="37" operator="equal">
      <formula>0.01</formula>
    </cfRule>
  </conditionalFormatting>
  <conditionalFormatting sqref="M39:N41">
    <cfRule type="containsText" dxfId="218" priority="35" stopIfTrue="1" operator="containsText" text="ELTÉRÉS!">
      <formula>NOT(ISERROR(SEARCH("ELTÉRÉS!",M39)))</formula>
    </cfRule>
    <cfRule type="containsText" dxfId="217" priority="36" stopIfTrue="1" operator="containsText" text="STIMMEL!">
      <formula>NOT(ISERROR(SEARCH("STIMMEL!",M39)))</formula>
    </cfRule>
  </conditionalFormatting>
  <conditionalFormatting sqref="M39:N41">
    <cfRule type="cellIs" dxfId="216" priority="34" operator="equal">
      <formula>0.01</formula>
    </cfRule>
  </conditionalFormatting>
  <conditionalFormatting sqref="L39:L41">
    <cfRule type="containsText" dxfId="215" priority="32" stopIfTrue="1" operator="containsText" text="ELTÉRÉS!">
      <formula>NOT(ISERROR(SEARCH("ELTÉRÉS!",L39)))</formula>
    </cfRule>
    <cfRule type="containsText" dxfId="214" priority="33" stopIfTrue="1" operator="containsText" text="STIMMEL!">
      <formula>NOT(ISERROR(SEARCH("STIMMEL!",L39)))</formula>
    </cfRule>
  </conditionalFormatting>
  <conditionalFormatting sqref="L39:L41">
    <cfRule type="cellIs" dxfId="213" priority="31" operator="equal">
      <formula>0.01</formula>
    </cfRule>
  </conditionalFormatting>
  <conditionalFormatting sqref="B2:B33">
    <cfRule type="containsText" dxfId="212" priority="29" stopIfTrue="1" operator="containsText" text="ELTÉRÉS!">
      <formula>NOT(ISERROR(SEARCH("ELTÉRÉS!",B2)))</formula>
    </cfRule>
    <cfRule type="containsText" dxfId="211" priority="30" stopIfTrue="1" operator="containsText" text="STIMMEL!">
      <formula>NOT(ISERROR(SEARCH("STIMMEL!",B2)))</formula>
    </cfRule>
  </conditionalFormatting>
  <conditionalFormatting sqref="B2:B33">
    <cfRule type="cellIs" dxfId="210" priority="28" operator="equal">
      <formula>0.01</formula>
    </cfRule>
  </conditionalFormatting>
  <conditionalFormatting sqref="C43:N76 A43:A76">
    <cfRule type="containsText" dxfId="209" priority="23" stopIfTrue="1" operator="containsText" text="ELTÉRÉS!">
      <formula>NOT(ISERROR(SEARCH("ELTÉRÉS!",A43)))</formula>
    </cfRule>
    <cfRule type="containsText" dxfId="208" priority="24" stopIfTrue="1" operator="containsText" text="STIMMEL!">
      <formula>NOT(ISERROR(SEARCH("STIMMEL!",A43)))</formula>
    </cfRule>
  </conditionalFormatting>
  <conditionalFormatting sqref="C43:N76 A43:A76">
    <cfRule type="cellIs" dxfId="207" priority="22" operator="equal">
      <formula>0.01</formula>
    </cfRule>
  </conditionalFormatting>
  <conditionalFormatting sqref="B43:B74">
    <cfRule type="containsText" dxfId="206" priority="20" stopIfTrue="1" operator="containsText" text="ELTÉRÉS!">
      <formula>NOT(ISERROR(SEARCH("ELTÉRÉS!",B43)))</formula>
    </cfRule>
    <cfRule type="containsText" dxfId="205" priority="21" stopIfTrue="1" operator="containsText" text="STIMMEL!">
      <formula>NOT(ISERROR(SEARCH("STIMMEL!",B43)))</formula>
    </cfRule>
  </conditionalFormatting>
  <conditionalFormatting sqref="B43:B74">
    <cfRule type="cellIs" dxfId="204" priority="19" operator="equal">
      <formula>0.01</formula>
    </cfRule>
  </conditionalFormatting>
  <conditionalFormatting sqref="F39:K39">
    <cfRule type="containsText" dxfId="203" priority="17" stopIfTrue="1" operator="containsText" text="ELTÉRÉS!">
      <formula>NOT(ISERROR(SEARCH("ELTÉRÉS!",F39)))</formula>
    </cfRule>
    <cfRule type="containsText" dxfId="202" priority="18" stopIfTrue="1" operator="containsText" text="STIMMEL!">
      <formula>NOT(ISERROR(SEARCH("STIMMEL!",F39)))</formula>
    </cfRule>
  </conditionalFormatting>
  <conditionalFormatting sqref="F39:K39">
    <cfRule type="cellIs" dxfId="201" priority="16" operator="equal">
      <formula>0.01</formula>
    </cfRule>
  </conditionalFormatting>
  <conditionalFormatting sqref="A39">
    <cfRule type="containsText" dxfId="200" priority="14" stopIfTrue="1" operator="containsText" text="ELTÉRÉS!">
      <formula>NOT(ISERROR(SEARCH("ELTÉRÉS!",A39)))</formula>
    </cfRule>
    <cfRule type="containsText" dxfId="199" priority="15" stopIfTrue="1" operator="containsText" text="STIMMEL!">
      <formula>NOT(ISERROR(SEARCH("STIMMEL!",A39)))</formula>
    </cfRule>
  </conditionalFormatting>
  <conditionalFormatting sqref="A39">
    <cfRule type="cellIs" dxfId="198" priority="13" operator="equal">
      <formula>0.01</formula>
    </cfRule>
  </conditionalFormatting>
  <conditionalFormatting sqref="B39">
    <cfRule type="containsText" dxfId="197" priority="11" stopIfTrue="1" operator="containsText" text="ELTÉRÉS!">
      <formula>NOT(ISERROR(SEARCH("ELTÉRÉS!",B39)))</formula>
    </cfRule>
    <cfRule type="containsText" dxfId="196" priority="12" stopIfTrue="1" operator="containsText" text="STIMMEL!">
      <formula>NOT(ISERROR(SEARCH("STIMMEL!",B39)))</formula>
    </cfRule>
  </conditionalFormatting>
  <conditionalFormatting sqref="B39">
    <cfRule type="cellIs" dxfId="195" priority="10" operator="equal">
      <formula>0.01</formula>
    </cfRule>
  </conditionalFormatting>
  <conditionalFormatting sqref="F78:K78">
    <cfRule type="containsText" dxfId="194" priority="8" stopIfTrue="1" operator="containsText" text="ELTÉRÉS!">
      <formula>NOT(ISERROR(SEARCH("ELTÉRÉS!",F78)))</formula>
    </cfRule>
    <cfRule type="containsText" dxfId="193" priority="9" stopIfTrue="1" operator="containsText" text="STIMMEL!">
      <formula>NOT(ISERROR(SEARCH("STIMMEL!",F78)))</formula>
    </cfRule>
  </conditionalFormatting>
  <conditionalFormatting sqref="F78:K78">
    <cfRule type="cellIs" dxfId="192" priority="7" operator="equal">
      <formula>0.01</formula>
    </cfRule>
  </conditionalFormatting>
  <conditionalFormatting sqref="A78">
    <cfRule type="containsText" dxfId="191" priority="5" stopIfTrue="1" operator="containsText" text="ELTÉRÉS!">
      <formula>NOT(ISERROR(SEARCH("ELTÉRÉS!",A78)))</formula>
    </cfRule>
    <cfRule type="containsText" dxfId="190" priority="6" stopIfTrue="1" operator="containsText" text="STIMMEL!">
      <formula>NOT(ISERROR(SEARCH("STIMMEL!",A78)))</formula>
    </cfRule>
  </conditionalFormatting>
  <conditionalFormatting sqref="A78">
    <cfRule type="cellIs" dxfId="189" priority="4" operator="equal">
      <formula>0.01</formula>
    </cfRule>
  </conditionalFormatting>
  <conditionalFormatting sqref="B78">
    <cfRule type="containsText" dxfId="188" priority="2" stopIfTrue="1" operator="containsText" text="ELTÉRÉS!">
      <formula>NOT(ISERROR(SEARCH("ELTÉRÉS!",B78)))</formula>
    </cfRule>
    <cfRule type="containsText" dxfId="187" priority="3" stopIfTrue="1" operator="containsText" text="STIMMEL!">
      <formula>NOT(ISERROR(SEARCH("STIMMEL!",B78)))</formula>
    </cfRule>
  </conditionalFormatting>
  <conditionalFormatting sqref="B78">
    <cfRule type="cellIs" dxfId="186" priority="1" operator="equal">
      <formula>0.01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C4B2-9D23-4EC8-822B-8707C68379B7}">
  <dimension ref="A1:AG458"/>
  <sheetViews>
    <sheetView workbookViewId="0">
      <pane ySplit="1" topLeftCell="AC2" activePane="bottomLeft" state="frozen"/>
      <selection pane="bottomLeft" activeCell="AG43" sqref="AG43"/>
    </sheetView>
  </sheetViews>
  <sheetFormatPr defaultRowHeight="15" customHeight="1"/>
  <cols>
    <col min="1" max="1" width="15.28515625" style="77" customWidth="1"/>
    <col min="2" max="2" width="16" style="383" customWidth="1"/>
    <col min="3" max="5" width="12.28515625" style="4" customWidth="1"/>
    <col min="6" max="6" width="12.85546875" style="4" bestFit="1" customWidth="1"/>
    <col min="7" max="7" width="15.28515625" style="4" bestFit="1" customWidth="1"/>
    <col min="8" max="8" width="12.85546875" style="4" bestFit="1" customWidth="1"/>
    <col min="9" max="10" width="12.85546875" style="4" customWidth="1"/>
    <col min="11" max="11" width="10.85546875" style="40" customWidth="1"/>
    <col min="12" max="12" width="17.28515625" style="49" customWidth="1"/>
    <col min="13" max="13" width="15.140625" style="49" customWidth="1"/>
    <col min="14" max="14" width="8.5703125" customWidth="1"/>
    <col min="15" max="15" width="16.42578125" customWidth="1"/>
    <col min="16" max="16" width="7.140625" style="4" customWidth="1"/>
    <col min="17" max="18" width="15.85546875" style="4" customWidth="1"/>
    <col min="19" max="19" width="11.85546875" style="4" customWidth="1"/>
    <col min="20" max="20" width="10.5703125" style="4" customWidth="1"/>
    <col min="21" max="21" width="11.5703125" style="4" customWidth="1"/>
    <col min="22" max="22" width="14.140625" style="4" customWidth="1"/>
    <col min="23" max="23" width="13.28515625" style="4" customWidth="1"/>
    <col min="24" max="24" width="13" style="4" customWidth="1"/>
    <col min="25" max="25" width="12.140625" style="49" customWidth="1"/>
    <col min="26" max="26" width="10.5703125" style="40" customWidth="1"/>
    <col min="27" max="27" width="9.5703125" style="4" customWidth="1"/>
    <col min="28" max="28" width="15" style="4" customWidth="1"/>
    <col min="29" max="29" width="17" customWidth="1"/>
    <col min="31" max="31" width="12.85546875" customWidth="1"/>
  </cols>
  <sheetData>
    <row r="1" spans="1:33" ht="26.25" customHeight="1">
      <c r="A1" s="83" t="s">
        <v>31</v>
      </c>
      <c r="B1" s="377" t="s">
        <v>77</v>
      </c>
      <c r="C1" s="3">
        <v>0</v>
      </c>
      <c r="D1" s="3">
        <v>0.05</v>
      </c>
      <c r="E1" s="3">
        <v>0.18</v>
      </c>
      <c r="F1" s="3">
        <v>0.27</v>
      </c>
      <c r="G1" s="2" t="s">
        <v>78</v>
      </c>
      <c r="H1" s="2" t="s">
        <v>79</v>
      </c>
      <c r="I1" s="48" t="s">
        <v>80</v>
      </c>
      <c r="J1" s="147" t="s">
        <v>115</v>
      </c>
      <c r="K1" s="36" t="s">
        <v>116</v>
      </c>
      <c r="L1" s="252" t="s">
        <v>82</v>
      </c>
      <c r="M1" s="76" t="s">
        <v>83</v>
      </c>
      <c r="N1" s="59" t="s">
        <v>84</v>
      </c>
      <c r="O1" s="59" t="s">
        <v>85</v>
      </c>
      <c r="Q1" s="2" t="s">
        <v>32</v>
      </c>
      <c r="R1" s="377" t="s">
        <v>77</v>
      </c>
      <c r="S1" s="185">
        <v>0</v>
      </c>
      <c r="T1" s="3">
        <v>0.05</v>
      </c>
      <c r="U1" s="3">
        <v>0.18</v>
      </c>
      <c r="V1" s="3">
        <v>0.27</v>
      </c>
      <c r="W1" s="2" t="s">
        <v>78</v>
      </c>
      <c r="X1" s="2" t="s">
        <v>79</v>
      </c>
      <c r="Y1" s="48" t="s">
        <v>80</v>
      </c>
      <c r="Z1" s="158" t="s">
        <v>115</v>
      </c>
      <c r="AA1" s="36" t="s">
        <v>116</v>
      </c>
      <c r="AB1" s="250" t="s">
        <v>82</v>
      </c>
      <c r="AC1" s="76" t="s">
        <v>83</v>
      </c>
      <c r="AD1" s="59" t="s">
        <v>84</v>
      </c>
      <c r="AE1" s="59" t="s">
        <v>85</v>
      </c>
      <c r="AG1" t="s">
        <v>262</v>
      </c>
    </row>
    <row r="2" spans="1:33" ht="21">
      <c r="A2" s="81" t="s">
        <v>3</v>
      </c>
      <c r="B2" s="378"/>
      <c r="C2" s="30"/>
      <c r="D2" s="30"/>
      <c r="E2" s="30"/>
      <c r="F2" s="30"/>
      <c r="G2" s="30"/>
      <c r="H2" s="30"/>
      <c r="I2" s="30"/>
      <c r="J2" s="30"/>
      <c r="K2" s="39"/>
      <c r="L2" s="30"/>
      <c r="M2" s="31"/>
      <c r="N2" s="31"/>
      <c r="O2" s="31"/>
      <c r="Q2" s="181" t="s">
        <v>3</v>
      </c>
      <c r="R2" s="378"/>
      <c r="S2" s="30"/>
      <c r="T2" s="30"/>
      <c r="U2" s="30"/>
      <c r="V2" s="30"/>
      <c r="W2" s="30"/>
      <c r="X2" s="30"/>
      <c r="Y2" s="30"/>
      <c r="Z2" s="30"/>
      <c r="AA2" s="39"/>
      <c r="AB2" s="30"/>
      <c r="AC2" s="31"/>
      <c r="AD2" s="31"/>
      <c r="AE2" s="31"/>
      <c r="AG2" t="str">
        <f>'[7]2026 január'!B$1</f>
        <v>Novohost</v>
      </c>
    </row>
    <row r="3" spans="1:33">
      <c r="A3" s="162">
        <v>46023</v>
      </c>
      <c r="B3" s="163"/>
      <c r="C3" s="163"/>
      <c r="D3" s="163"/>
      <c r="E3" s="163"/>
      <c r="F3" s="163"/>
      <c r="G3" s="163"/>
      <c r="H3" s="163"/>
      <c r="I3" s="163"/>
      <c r="J3" s="163"/>
      <c r="K3" s="164"/>
      <c r="L3" s="223"/>
      <c r="M3" s="166"/>
      <c r="N3" s="174"/>
      <c r="O3" s="174"/>
      <c r="Q3" s="162">
        <v>46023</v>
      </c>
      <c r="R3" s="379"/>
      <c r="S3" s="189"/>
      <c r="T3" s="163"/>
      <c r="U3" s="163"/>
      <c r="V3" s="163"/>
      <c r="W3" s="163"/>
      <c r="X3" s="163"/>
      <c r="Y3" s="163"/>
      <c r="Z3" s="163"/>
      <c r="AA3" s="164"/>
      <c r="AB3" s="223"/>
      <c r="AC3" s="166"/>
      <c r="AD3" s="174"/>
      <c r="AE3" s="174"/>
      <c r="AG3">
        <f>'[7]2026 január'!B$2</f>
        <v>0</v>
      </c>
    </row>
    <row r="4" spans="1:33">
      <c r="A4" s="162">
        <v>46024</v>
      </c>
      <c r="B4" s="163"/>
      <c r="C4" s="163"/>
      <c r="D4" s="163"/>
      <c r="E4" s="163"/>
      <c r="F4" s="163"/>
      <c r="G4" s="163"/>
      <c r="H4" s="163"/>
      <c r="I4" s="163"/>
      <c r="J4" s="163"/>
      <c r="K4" s="164"/>
      <c r="L4" s="251"/>
      <c r="M4" s="248"/>
      <c r="N4" s="249"/>
      <c r="O4" s="249"/>
      <c r="Q4" s="162">
        <v>46024</v>
      </c>
      <c r="R4" s="379"/>
      <c r="S4" s="189"/>
      <c r="T4" s="163"/>
      <c r="U4" s="163"/>
      <c r="V4" s="163"/>
      <c r="W4" s="163"/>
      <c r="X4" s="163"/>
      <c r="Y4" s="163"/>
      <c r="Z4" s="163"/>
      <c r="AA4" s="164"/>
      <c r="AB4" s="251"/>
      <c r="AC4" s="248"/>
      <c r="AD4" s="249"/>
      <c r="AE4" s="249"/>
      <c r="AG4">
        <f>'[7]2026 január'!B$3</f>
        <v>0</v>
      </c>
    </row>
    <row r="5" spans="1:33">
      <c r="A5" s="162">
        <v>46025</v>
      </c>
      <c r="B5" s="163">
        <v>41440</v>
      </c>
      <c r="C5" s="163">
        <v>950</v>
      </c>
      <c r="D5" s="163">
        <v>2190</v>
      </c>
      <c r="E5" s="163"/>
      <c r="F5" s="163">
        <v>37060</v>
      </c>
      <c r="G5" s="163">
        <v>9110</v>
      </c>
      <c r="H5" s="163">
        <v>31090</v>
      </c>
      <c r="I5" s="163">
        <v>31090</v>
      </c>
      <c r="J5" s="163">
        <v>1200</v>
      </c>
      <c r="K5" s="164" t="s">
        <v>74</v>
      </c>
      <c r="L5" s="167">
        <v>102238949</v>
      </c>
      <c r="M5" s="172"/>
      <c r="N5" s="174"/>
      <c r="O5" s="174"/>
      <c r="Q5" s="162">
        <v>46025</v>
      </c>
      <c r="R5" s="379"/>
      <c r="S5" s="189"/>
      <c r="T5" s="163"/>
      <c r="U5" s="163"/>
      <c r="V5" s="163"/>
      <c r="W5" s="163"/>
      <c r="X5" s="163"/>
      <c r="Y5" s="163"/>
      <c r="Z5" s="163"/>
      <c r="AA5" s="164"/>
      <c r="AB5" s="167"/>
      <c r="AC5" s="172"/>
      <c r="AD5" s="174"/>
      <c r="AE5" s="174"/>
      <c r="AG5">
        <f>'[7]2026 január'!B$4</f>
        <v>41440</v>
      </c>
    </row>
    <row r="6" spans="1:33">
      <c r="A6" s="162">
        <v>46026</v>
      </c>
      <c r="B6" s="163"/>
      <c r="C6" s="163"/>
      <c r="D6" s="163"/>
      <c r="E6" s="163"/>
      <c r="F6" s="163"/>
      <c r="G6" s="163"/>
      <c r="H6" s="163"/>
      <c r="I6" s="163"/>
      <c r="J6" s="163"/>
      <c r="K6" s="164"/>
      <c r="L6" s="167"/>
      <c r="M6" s="172"/>
      <c r="N6" s="174"/>
      <c r="O6" s="174"/>
      <c r="Q6" s="162">
        <v>46026</v>
      </c>
      <c r="R6" s="379"/>
      <c r="S6" s="189"/>
      <c r="T6" s="163"/>
      <c r="U6" s="163"/>
      <c r="V6" s="163"/>
      <c r="W6" s="163"/>
      <c r="X6" s="163"/>
      <c r="Y6" s="163"/>
      <c r="Z6" s="163"/>
      <c r="AA6" s="164"/>
      <c r="AB6" s="167"/>
      <c r="AC6" s="172"/>
      <c r="AD6" s="174"/>
      <c r="AE6" s="174"/>
      <c r="AG6">
        <f>'[7]2026 január'!B$5</f>
        <v>0</v>
      </c>
    </row>
    <row r="7" spans="1:33">
      <c r="A7" s="5">
        <v>46027</v>
      </c>
      <c r="B7" s="11"/>
      <c r="C7" s="11"/>
      <c r="D7" s="11"/>
      <c r="E7" s="11"/>
      <c r="F7" s="11"/>
      <c r="G7" s="11"/>
      <c r="H7" s="11"/>
      <c r="I7" s="11"/>
      <c r="J7" s="11"/>
      <c r="K7" s="44"/>
      <c r="L7" s="87"/>
      <c r="M7" s="173"/>
      <c r="N7" s="169"/>
      <c r="O7" s="169"/>
      <c r="Q7" s="5">
        <v>46027</v>
      </c>
      <c r="R7" s="380"/>
      <c r="S7" s="190"/>
      <c r="T7" s="11"/>
      <c r="U7" s="11"/>
      <c r="V7" s="11"/>
      <c r="W7" s="11"/>
      <c r="X7" s="11"/>
      <c r="Y7" s="11"/>
      <c r="Z7" s="11"/>
      <c r="AA7" s="44"/>
      <c r="AB7" s="87"/>
      <c r="AC7" s="173"/>
      <c r="AD7" s="169"/>
      <c r="AE7" s="169"/>
      <c r="AG7">
        <f>'[7]2026 január'!B$6</f>
        <v>0</v>
      </c>
    </row>
    <row r="8" spans="1:33">
      <c r="A8" s="5">
        <v>46028</v>
      </c>
      <c r="B8" s="11"/>
      <c r="C8" s="11"/>
      <c r="D8" s="11"/>
      <c r="E8" s="11"/>
      <c r="F8" s="11"/>
      <c r="G8" s="11"/>
      <c r="H8" s="11"/>
      <c r="I8" s="11"/>
      <c r="J8" s="11"/>
      <c r="K8" s="44"/>
      <c r="L8" s="87"/>
      <c r="M8" s="173"/>
      <c r="N8" s="169"/>
      <c r="O8" s="169"/>
      <c r="Q8" s="5">
        <v>46028</v>
      </c>
      <c r="R8" s="380"/>
      <c r="S8" s="190"/>
      <c r="T8" s="11"/>
      <c r="U8" s="11"/>
      <c r="V8" s="11"/>
      <c r="W8" s="11"/>
      <c r="X8" s="11"/>
      <c r="Y8" s="11"/>
      <c r="Z8" s="11"/>
      <c r="AA8" s="44"/>
      <c r="AB8" s="87"/>
      <c r="AC8" s="173"/>
      <c r="AD8" s="169"/>
      <c r="AE8" s="169"/>
      <c r="AG8">
        <f>'[7]2026 január'!B$7</f>
        <v>0</v>
      </c>
    </row>
    <row r="9" spans="1:33">
      <c r="A9" s="5">
        <v>46029</v>
      </c>
      <c r="B9" s="11">
        <v>8470</v>
      </c>
      <c r="C9" s="11"/>
      <c r="D9" s="11">
        <v>8470</v>
      </c>
      <c r="E9" s="11"/>
      <c r="F9" s="11"/>
      <c r="G9" s="11">
        <v>4130</v>
      </c>
      <c r="H9" s="11">
        <v>4340</v>
      </c>
      <c r="I9" s="11">
        <v>4340</v>
      </c>
      <c r="J9" s="11" t="s">
        <v>46</v>
      </c>
      <c r="K9" s="44" t="s">
        <v>296</v>
      </c>
      <c r="L9" s="87">
        <v>102247419</v>
      </c>
      <c r="M9" s="173"/>
      <c r="N9" s="170"/>
      <c r="O9" s="170"/>
      <c r="Q9" s="5">
        <v>46029</v>
      </c>
      <c r="R9" s="380"/>
      <c r="S9" s="190"/>
      <c r="T9" s="11"/>
      <c r="U9" s="11"/>
      <c r="V9" s="11"/>
      <c r="W9" s="11"/>
      <c r="X9" s="11"/>
      <c r="Y9" s="11"/>
      <c r="Z9" s="11"/>
      <c r="AA9" s="44"/>
      <c r="AB9" s="87"/>
      <c r="AC9" s="173"/>
      <c r="AD9" s="170"/>
      <c r="AE9" s="170"/>
      <c r="AG9">
        <f>'[7]2026 január'!B$8</f>
        <v>0</v>
      </c>
    </row>
    <row r="10" spans="1:33">
      <c r="A10" s="5">
        <v>46030</v>
      </c>
      <c r="B10" s="11"/>
      <c r="C10" s="11"/>
      <c r="D10" s="11"/>
      <c r="E10" s="11"/>
      <c r="F10" s="11"/>
      <c r="G10" s="11"/>
      <c r="H10" s="11"/>
      <c r="I10" s="11"/>
      <c r="J10" s="11"/>
      <c r="K10" s="44"/>
      <c r="L10" s="87"/>
      <c r="M10" s="173"/>
      <c r="N10" s="169"/>
      <c r="O10" s="169"/>
      <c r="Q10" s="5">
        <v>46030</v>
      </c>
      <c r="R10" s="380"/>
      <c r="S10" s="190"/>
      <c r="T10" s="11"/>
      <c r="U10" s="11"/>
      <c r="V10" s="11"/>
      <c r="W10" s="11"/>
      <c r="X10" s="11"/>
      <c r="Y10" s="11"/>
      <c r="Z10" s="11"/>
      <c r="AA10" s="44"/>
      <c r="AB10" s="87"/>
      <c r="AC10" s="173"/>
      <c r="AD10" s="169"/>
      <c r="AE10" s="169"/>
      <c r="AG10">
        <f>'[7]2026 január'!B$9</f>
        <v>0</v>
      </c>
    </row>
    <row r="11" spans="1:33">
      <c r="A11" s="5">
        <v>46031</v>
      </c>
      <c r="B11" s="11">
        <v>850</v>
      </c>
      <c r="C11" s="11"/>
      <c r="D11" s="11">
        <v>850</v>
      </c>
      <c r="E11" s="11"/>
      <c r="F11" s="11"/>
      <c r="G11" s="11"/>
      <c r="H11" s="11">
        <v>850</v>
      </c>
      <c r="I11" s="11">
        <v>850</v>
      </c>
      <c r="J11" s="11" t="s">
        <v>46</v>
      </c>
      <c r="K11" s="44" t="s">
        <v>297</v>
      </c>
      <c r="L11" s="87">
        <v>102248269</v>
      </c>
      <c r="M11" s="173"/>
      <c r="N11" s="169"/>
      <c r="O11" s="169"/>
      <c r="Q11" s="5">
        <v>46031</v>
      </c>
      <c r="R11" s="380"/>
      <c r="S11" s="190"/>
      <c r="T11" s="11"/>
      <c r="U11" s="11"/>
      <c r="V11" s="11"/>
      <c r="W11" s="11"/>
      <c r="X11" s="11"/>
      <c r="Y11" s="11"/>
      <c r="Z11" s="11"/>
      <c r="AA11" s="44"/>
      <c r="AB11" s="87"/>
      <c r="AC11" s="173"/>
      <c r="AD11" s="169"/>
      <c r="AE11" s="169"/>
      <c r="AG11">
        <f>'[7]2026 január'!B$10</f>
        <v>0</v>
      </c>
    </row>
    <row r="12" spans="1:33">
      <c r="A12" s="162">
        <v>46032</v>
      </c>
      <c r="B12" s="163">
        <v>395635</v>
      </c>
      <c r="C12" s="163">
        <v>946</v>
      </c>
      <c r="D12" s="163">
        <v>2920</v>
      </c>
      <c r="E12" s="163">
        <v>32290</v>
      </c>
      <c r="F12" s="163">
        <v>362587</v>
      </c>
      <c r="G12" s="163">
        <v>135605</v>
      </c>
      <c r="H12" s="163">
        <v>263137</v>
      </c>
      <c r="I12" s="163">
        <v>263137</v>
      </c>
      <c r="J12" s="163">
        <v>9108</v>
      </c>
      <c r="K12" s="164" t="s">
        <v>298</v>
      </c>
      <c r="L12" s="167">
        <v>102647012</v>
      </c>
      <c r="M12" s="172"/>
      <c r="N12" s="174"/>
      <c r="O12" s="174"/>
      <c r="Q12" s="162">
        <v>46032</v>
      </c>
      <c r="R12" s="379">
        <v>42930</v>
      </c>
      <c r="S12" s="189">
        <v>350</v>
      </c>
      <c r="T12" s="163">
        <v>49362</v>
      </c>
      <c r="U12" s="163"/>
      <c r="V12" s="163">
        <v>1600</v>
      </c>
      <c r="W12" s="163">
        <v>7580</v>
      </c>
      <c r="X12" s="163">
        <v>43732</v>
      </c>
      <c r="Y12" s="163">
        <v>30700</v>
      </c>
      <c r="Z12" s="163">
        <v>1480</v>
      </c>
      <c r="AA12" s="164" t="s">
        <v>75</v>
      </c>
      <c r="AB12" s="167">
        <v>42791286</v>
      </c>
      <c r="AC12" s="172"/>
      <c r="AD12" s="174"/>
      <c r="AE12" s="174"/>
      <c r="AG12">
        <f>'[7]2026 január'!B$11</f>
        <v>438565</v>
      </c>
    </row>
    <row r="13" spans="1:33">
      <c r="A13" s="162">
        <v>46033</v>
      </c>
      <c r="B13" s="163">
        <v>539480</v>
      </c>
      <c r="C13" s="163">
        <v>2500</v>
      </c>
      <c r="D13" s="163">
        <v>2740</v>
      </c>
      <c r="E13" s="163">
        <v>26280</v>
      </c>
      <c r="F13" s="163">
        <v>507956</v>
      </c>
      <c r="G13" s="163">
        <v>169690</v>
      </c>
      <c r="H13" s="394">
        <v>369792</v>
      </c>
      <c r="I13" s="394">
        <v>357924</v>
      </c>
      <c r="J13" s="163">
        <v>11868</v>
      </c>
      <c r="K13" s="164" t="s">
        <v>299</v>
      </c>
      <c r="L13" s="167">
        <v>103186488</v>
      </c>
      <c r="M13" s="172"/>
      <c r="N13" s="174"/>
      <c r="O13" s="174"/>
      <c r="Q13" s="162">
        <v>46033</v>
      </c>
      <c r="R13" s="379">
        <v>319630</v>
      </c>
      <c r="S13" s="189">
        <v>200</v>
      </c>
      <c r="T13" s="163">
        <v>273130</v>
      </c>
      <c r="U13" s="163"/>
      <c r="V13" s="163">
        <v>46300</v>
      </c>
      <c r="W13" s="163">
        <v>108345</v>
      </c>
      <c r="X13" s="163">
        <v>241283</v>
      </c>
      <c r="Y13" s="163">
        <v>241283</v>
      </c>
      <c r="Z13" s="163">
        <v>6523</v>
      </c>
      <c r="AA13" s="164" t="s">
        <v>300</v>
      </c>
      <c r="AB13" s="167">
        <v>43110916</v>
      </c>
      <c r="AC13" s="172"/>
      <c r="AD13" s="174"/>
      <c r="AE13" s="174"/>
      <c r="AG13">
        <f>'[7]2026 január'!B$12</f>
        <v>0</v>
      </c>
    </row>
    <row r="14" spans="1:33">
      <c r="A14" s="5">
        <v>46034</v>
      </c>
      <c r="B14" s="11"/>
      <c r="C14" s="11"/>
      <c r="D14" s="11"/>
      <c r="E14" s="11"/>
      <c r="F14" s="11"/>
      <c r="G14" s="11"/>
      <c r="H14" s="11"/>
      <c r="I14" s="11"/>
      <c r="J14" s="11"/>
      <c r="K14" s="44"/>
      <c r="L14" s="87"/>
      <c r="M14" s="173"/>
      <c r="N14" s="169"/>
      <c r="O14" s="169"/>
      <c r="Q14" s="5">
        <v>46034</v>
      </c>
      <c r="R14" s="380"/>
      <c r="S14" s="190"/>
      <c r="T14" s="11"/>
      <c r="U14" s="11"/>
      <c r="V14" s="11"/>
      <c r="W14" s="11"/>
      <c r="X14" s="11"/>
      <c r="Y14" s="11"/>
      <c r="Z14" s="11"/>
      <c r="AA14" s="44"/>
      <c r="AB14" s="87"/>
      <c r="AC14" s="173"/>
      <c r="AD14" s="169"/>
      <c r="AE14" s="169"/>
      <c r="AG14">
        <f>'[7]2026 január'!B$13</f>
        <v>0</v>
      </c>
    </row>
    <row r="15" spans="1:33">
      <c r="A15" s="5">
        <v>46035</v>
      </c>
      <c r="B15" s="11"/>
      <c r="C15" s="11"/>
      <c r="D15" s="11"/>
      <c r="E15" s="11"/>
      <c r="F15" s="11"/>
      <c r="G15" s="11"/>
      <c r="H15" s="11"/>
      <c r="I15" s="11"/>
      <c r="J15" s="11"/>
      <c r="K15" s="44"/>
      <c r="L15" s="87"/>
      <c r="M15" s="173"/>
      <c r="N15" s="169"/>
      <c r="O15" s="169"/>
      <c r="Q15" s="5">
        <v>46035</v>
      </c>
      <c r="R15" s="380"/>
      <c r="S15" s="190"/>
      <c r="T15" s="11"/>
      <c r="U15" s="11"/>
      <c r="V15" s="11"/>
      <c r="W15" s="11"/>
      <c r="X15" s="11"/>
      <c r="Y15" s="11"/>
      <c r="Z15" s="11"/>
      <c r="AA15" s="44"/>
      <c r="AB15" s="87"/>
      <c r="AC15" s="173"/>
      <c r="AD15" s="169"/>
      <c r="AE15" s="169"/>
      <c r="AG15">
        <f>'[7]2026 január'!B$14</f>
        <v>0</v>
      </c>
    </row>
    <row r="16" spans="1:33">
      <c r="A16" s="5">
        <v>46036</v>
      </c>
      <c r="B16" s="11"/>
      <c r="C16" s="11"/>
      <c r="D16" s="11"/>
      <c r="E16" s="11"/>
      <c r="F16" s="11"/>
      <c r="G16" s="11"/>
      <c r="H16" s="11"/>
      <c r="I16" s="11"/>
      <c r="J16" s="11"/>
      <c r="K16" s="44"/>
      <c r="L16" s="87"/>
      <c r="M16" s="173"/>
      <c r="N16" s="169"/>
      <c r="O16" s="169"/>
      <c r="Q16" s="5">
        <v>46036</v>
      </c>
      <c r="R16" s="380"/>
      <c r="S16" s="190"/>
      <c r="T16" s="11"/>
      <c r="U16" s="11"/>
      <c r="V16" s="11"/>
      <c r="W16" s="11"/>
      <c r="X16" s="11"/>
      <c r="Y16" s="11"/>
      <c r="Z16" s="11"/>
      <c r="AA16" s="44"/>
      <c r="AB16" s="87"/>
      <c r="AC16" s="173"/>
      <c r="AD16" s="169"/>
      <c r="AE16" s="169"/>
      <c r="AG16">
        <f>'[7]2026 január'!B$15</f>
        <v>0</v>
      </c>
    </row>
    <row r="17" spans="1:33">
      <c r="A17" s="5">
        <v>46037</v>
      </c>
      <c r="B17" s="11"/>
      <c r="C17" s="11"/>
      <c r="D17" s="11"/>
      <c r="E17" s="11"/>
      <c r="F17" s="11"/>
      <c r="G17" s="11"/>
      <c r="H17" s="11"/>
      <c r="I17" s="11"/>
      <c r="J17" s="11"/>
      <c r="K17" s="44"/>
      <c r="L17" s="87"/>
      <c r="M17" s="173"/>
      <c r="N17" s="169"/>
      <c r="O17" s="169"/>
      <c r="Q17" s="5">
        <v>46037</v>
      </c>
      <c r="R17" s="380"/>
      <c r="S17" s="190"/>
      <c r="T17" s="11"/>
      <c r="U17" s="11"/>
      <c r="V17" s="11"/>
      <c r="W17" s="11"/>
      <c r="X17" s="11"/>
      <c r="Y17" s="11"/>
      <c r="Z17" s="11"/>
      <c r="AA17" s="44"/>
      <c r="AB17" s="87"/>
      <c r="AC17" s="173"/>
      <c r="AD17" s="169"/>
      <c r="AE17" s="169"/>
      <c r="AG17">
        <f>'[7]2026 január'!B$16</f>
        <v>0</v>
      </c>
    </row>
    <row r="18" spans="1:33">
      <c r="A18" s="5">
        <v>46038</v>
      </c>
      <c r="B18" s="11"/>
      <c r="C18" s="11"/>
      <c r="D18" s="11"/>
      <c r="E18" s="11"/>
      <c r="F18" s="11"/>
      <c r="G18" s="11"/>
      <c r="H18" s="11"/>
      <c r="I18" s="11"/>
      <c r="J18" s="11"/>
      <c r="K18" s="44"/>
      <c r="L18" s="87"/>
      <c r="M18" s="173"/>
      <c r="N18" s="169"/>
      <c r="O18" s="169"/>
      <c r="Q18" s="5">
        <v>46038</v>
      </c>
      <c r="R18" s="380"/>
      <c r="S18" s="190"/>
      <c r="T18" s="11"/>
      <c r="U18" s="11"/>
      <c r="V18" s="11"/>
      <c r="W18" s="11"/>
      <c r="X18" s="11"/>
      <c r="Y18" s="11"/>
      <c r="Z18" s="11"/>
      <c r="AA18" s="44"/>
      <c r="AB18" s="87"/>
      <c r="AC18" s="173"/>
      <c r="AD18" s="169"/>
      <c r="AE18" s="169"/>
      <c r="AG18">
        <f>'[7]2026 január'!B$17</f>
        <v>0</v>
      </c>
    </row>
    <row r="19" spans="1:33">
      <c r="A19" s="162">
        <v>46039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4"/>
      <c r="L19" s="167"/>
      <c r="M19" s="172"/>
      <c r="N19" s="174"/>
      <c r="O19" s="174"/>
      <c r="Q19" s="162">
        <v>46039</v>
      </c>
      <c r="R19" s="379"/>
      <c r="S19" s="189"/>
      <c r="T19" s="163"/>
      <c r="U19" s="163"/>
      <c r="V19" s="163"/>
      <c r="W19" s="163"/>
      <c r="X19" s="163"/>
      <c r="Y19" s="163"/>
      <c r="Z19" s="163"/>
      <c r="AA19" s="164"/>
      <c r="AB19" s="167"/>
      <c r="AC19" s="172"/>
      <c r="AD19" s="174"/>
      <c r="AE19" s="174"/>
      <c r="AG19">
        <f>'[7]2026 január'!B$18</f>
        <v>0</v>
      </c>
    </row>
    <row r="20" spans="1:33">
      <c r="A20" s="162">
        <v>46040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4"/>
      <c r="L20" s="167"/>
      <c r="M20" s="172"/>
      <c r="N20" s="174"/>
      <c r="O20" s="174"/>
      <c r="Q20" s="162">
        <v>46040</v>
      </c>
      <c r="R20" s="379"/>
      <c r="S20" s="189"/>
      <c r="T20" s="163"/>
      <c r="U20" s="163"/>
      <c r="V20" s="163"/>
      <c r="W20" s="163"/>
      <c r="X20" s="163"/>
      <c r="Y20" s="163"/>
      <c r="Z20" s="163"/>
      <c r="AA20" s="164"/>
      <c r="AB20" s="167"/>
      <c r="AC20" s="172"/>
      <c r="AD20" s="174"/>
      <c r="AE20" s="174"/>
      <c r="AG20">
        <f>'[7]2026 január'!B$19</f>
        <v>0</v>
      </c>
    </row>
    <row r="21" spans="1:33">
      <c r="A21" s="5">
        <v>46041</v>
      </c>
      <c r="B21" s="11"/>
      <c r="C21" s="11"/>
      <c r="D21" s="11"/>
      <c r="E21" s="11"/>
      <c r="F21" s="11"/>
      <c r="G21" s="11"/>
      <c r="H21" s="11"/>
      <c r="I21" s="11"/>
      <c r="J21" s="11"/>
      <c r="K21" s="44"/>
      <c r="L21" s="87"/>
      <c r="M21" s="173"/>
      <c r="N21" s="169"/>
      <c r="O21" s="169"/>
      <c r="Q21" s="5">
        <v>46041</v>
      </c>
      <c r="R21" s="380"/>
      <c r="S21" s="190"/>
      <c r="T21" s="11"/>
      <c r="U21" s="11"/>
      <c r="V21" s="11"/>
      <c r="W21" s="11"/>
      <c r="X21" s="11"/>
      <c r="Y21" s="11"/>
      <c r="Z21" s="11"/>
      <c r="AA21" s="44"/>
      <c r="AB21" s="87"/>
      <c r="AC21" s="173"/>
      <c r="AD21" s="169"/>
      <c r="AE21" s="169"/>
      <c r="AG21">
        <f>'[7]2026 január'!B$20</f>
        <v>0</v>
      </c>
    </row>
    <row r="22" spans="1:33">
      <c r="A22" s="5">
        <v>46042</v>
      </c>
      <c r="B22" s="11"/>
      <c r="C22" s="11"/>
      <c r="D22" s="11"/>
      <c r="E22" s="11"/>
      <c r="F22" s="11"/>
      <c r="G22" s="11"/>
      <c r="H22" s="11"/>
      <c r="I22" s="11"/>
      <c r="J22" s="11"/>
      <c r="K22" s="44"/>
      <c r="L22" s="87"/>
      <c r="M22" s="173"/>
      <c r="N22" s="169"/>
      <c r="O22" s="169"/>
      <c r="Q22" s="5">
        <v>46042</v>
      </c>
      <c r="R22" s="380"/>
      <c r="S22" s="190"/>
      <c r="T22" s="11"/>
      <c r="U22" s="11"/>
      <c r="V22" s="11"/>
      <c r="W22" s="11"/>
      <c r="X22" s="11"/>
      <c r="Y22" s="11"/>
      <c r="Z22" s="11"/>
      <c r="AA22" s="44"/>
      <c r="AB22" s="87"/>
      <c r="AC22" s="173"/>
      <c r="AD22" s="169"/>
      <c r="AE22" s="169"/>
      <c r="AG22">
        <f>'[7]2026 január'!B$21</f>
        <v>0</v>
      </c>
    </row>
    <row r="23" spans="1:33">
      <c r="A23" s="5">
        <v>46043</v>
      </c>
      <c r="B23" s="11"/>
      <c r="C23" s="11"/>
      <c r="D23" s="11"/>
      <c r="E23" s="11"/>
      <c r="F23" s="11"/>
      <c r="G23" s="11"/>
      <c r="H23" s="11"/>
      <c r="I23" s="11"/>
      <c r="J23" s="11"/>
      <c r="K23" s="44"/>
      <c r="L23" s="87"/>
      <c r="M23" s="173"/>
      <c r="N23" s="169"/>
      <c r="O23" s="169"/>
      <c r="Q23" s="5">
        <v>46043</v>
      </c>
      <c r="R23" s="380"/>
      <c r="S23" s="190"/>
      <c r="T23" s="11"/>
      <c r="U23" s="11"/>
      <c r="V23" s="11"/>
      <c r="W23" s="11"/>
      <c r="X23" s="11"/>
      <c r="Y23" s="11"/>
      <c r="Z23" s="11"/>
      <c r="AA23" s="44"/>
      <c r="AB23" s="87"/>
      <c r="AC23" s="173"/>
      <c r="AD23" s="169"/>
      <c r="AE23" s="169"/>
      <c r="AG23">
        <f>'[7]2026 január'!B$22</f>
        <v>0</v>
      </c>
    </row>
    <row r="24" spans="1:33">
      <c r="A24" s="5">
        <v>46044</v>
      </c>
      <c r="B24" s="11"/>
      <c r="C24" s="11"/>
      <c r="D24" s="11"/>
      <c r="E24" s="11"/>
      <c r="F24" s="11"/>
      <c r="G24" s="11"/>
      <c r="H24" s="11"/>
      <c r="I24" s="11"/>
      <c r="J24" s="11"/>
      <c r="K24" s="44"/>
      <c r="L24" s="87"/>
      <c r="M24" s="173"/>
      <c r="N24" s="169"/>
      <c r="O24" s="169"/>
      <c r="Q24" s="5">
        <v>46044</v>
      </c>
      <c r="R24" s="380"/>
      <c r="S24" s="190"/>
      <c r="T24" s="11"/>
      <c r="U24" s="11"/>
      <c r="V24" s="11"/>
      <c r="W24" s="11"/>
      <c r="X24" s="11"/>
      <c r="Y24" s="11"/>
      <c r="Z24" s="11"/>
      <c r="AA24" s="44"/>
      <c r="AB24" s="87"/>
      <c r="AC24" s="173"/>
      <c r="AD24" s="169"/>
      <c r="AE24" s="169"/>
      <c r="AG24">
        <f>'[7]2026 január'!B$23</f>
        <v>0</v>
      </c>
    </row>
    <row r="25" spans="1:33">
      <c r="A25" s="5">
        <v>46045</v>
      </c>
      <c r="B25" s="11"/>
      <c r="C25" s="11"/>
      <c r="D25" s="11"/>
      <c r="E25" s="11"/>
      <c r="F25" s="11"/>
      <c r="G25" s="11"/>
      <c r="H25" s="11"/>
      <c r="I25" s="11"/>
      <c r="J25" s="11"/>
      <c r="K25" s="44"/>
      <c r="L25" s="87"/>
      <c r="M25" s="173"/>
      <c r="N25" s="169"/>
      <c r="O25" s="169"/>
      <c r="Q25" s="5">
        <v>46045</v>
      </c>
      <c r="R25" s="380"/>
      <c r="S25" s="190"/>
      <c r="T25" s="11"/>
      <c r="U25" s="11"/>
      <c r="V25" s="11"/>
      <c r="W25" s="11"/>
      <c r="X25" s="11"/>
      <c r="Y25" s="11"/>
      <c r="Z25" s="11"/>
      <c r="AA25" s="44"/>
      <c r="AB25" s="87"/>
      <c r="AC25" s="173"/>
      <c r="AD25" s="169"/>
      <c r="AE25" s="169"/>
      <c r="AG25">
        <f>'[7]2026 január'!B$24</f>
        <v>0</v>
      </c>
    </row>
    <row r="26" spans="1:33">
      <c r="A26" s="162">
        <v>46046</v>
      </c>
      <c r="B26" s="163"/>
      <c r="C26" s="163"/>
      <c r="D26" s="163"/>
      <c r="E26" s="163"/>
      <c r="F26" s="163"/>
      <c r="G26" s="163"/>
      <c r="H26" s="163"/>
      <c r="I26" s="163"/>
      <c r="J26" s="163"/>
      <c r="K26" s="164"/>
      <c r="L26" s="167"/>
      <c r="M26" s="172"/>
      <c r="N26" s="174"/>
      <c r="O26" s="174"/>
      <c r="Q26" s="162">
        <v>46046</v>
      </c>
      <c r="R26" s="379"/>
      <c r="S26" s="189"/>
      <c r="T26" s="163"/>
      <c r="U26" s="163"/>
      <c r="V26" s="163"/>
      <c r="W26" s="163"/>
      <c r="X26" s="163"/>
      <c r="Y26" s="163"/>
      <c r="Z26" s="163"/>
      <c r="AA26" s="164"/>
      <c r="AB26" s="167"/>
      <c r="AC26" s="172"/>
      <c r="AD26" s="174"/>
      <c r="AE26" s="174"/>
      <c r="AG26">
        <f>'[7]2026 január'!B$25</f>
        <v>0</v>
      </c>
    </row>
    <row r="27" spans="1:33">
      <c r="A27" s="162">
        <v>46047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4"/>
      <c r="L27" s="167"/>
      <c r="M27" s="172"/>
      <c r="N27" s="174"/>
      <c r="O27" s="174"/>
      <c r="Q27" s="162">
        <v>46047</v>
      </c>
      <c r="R27" s="379"/>
      <c r="S27" s="189"/>
      <c r="T27" s="163"/>
      <c r="U27" s="163"/>
      <c r="V27" s="163"/>
      <c r="W27" s="163"/>
      <c r="X27" s="163"/>
      <c r="Y27" s="163"/>
      <c r="Z27" s="163"/>
      <c r="AA27" s="164"/>
      <c r="AB27" s="167"/>
      <c r="AC27" s="172"/>
      <c r="AD27" s="174"/>
      <c r="AE27" s="174"/>
      <c r="AG27">
        <f>'[7]2026 január'!B$26</f>
        <v>0</v>
      </c>
    </row>
    <row r="28" spans="1:33">
      <c r="A28" s="5">
        <v>46048</v>
      </c>
      <c r="B28" s="11"/>
      <c r="C28" s="11"/>
      <c r="D28" s="11"/>
      <c r="E28" s="11"/>
      <c r="F28" s="11"/>
      <c r="G28" s="11"/>
      <c r="H28" s="11"/>
      <c r="I28" s="11"/>
      <c r="J28" s="11"/>
      <c r="K28" s="44"/>
      <c r="L28" s="87"/>
      <c r="M28" s="173"/>
      <c r="N28" s="169"/>
      <c r="O28" s="169"/>
      <c r="Q28" s="5">
        <v>46048</v>
      </c>
      <c r="R28" s="380"/>
      <c r="S28" s="190"/>
      <c r="T28" s="11"/>
      <c r="U28" s="11"/>
      <c r="V28" s="11"/>
      <c r="W28" s="11"/>
      <c r="X28" s="11"/>
      <c r="Y28" s="11"/>
      <c r="Z28" s="11"/>
      <c r="AA28" s="44"/>
      <c r="AB28" s="87"/>
      <c r="AC28" s="173"/>
      <c r="AD28" s="169"/>
      <c r="AE28" s="169"/>
      <c r="AG28">
        <f>'[7]2026 január'!B$27</f>
        <v>0</v>
      </c>
    </row>
    <row r="29" spans="1:33">
      <c r="A29" s="5">
        <v>46049</v>
      </c>
      <c r="B29" s="11"/>
      <c r="C29" s="11"/>
      <c r="D29" s="11"/>
      <c r="E29" s="11"/>
      <c r="F29" s="11"/>
      <c r="G29" s="11"/>
      <c r="H29" s="11"/>
      <c r="I29" s="11"/>
      <c r="J29" s="11"/>
      <c r="K29" s="44"/>
      <c r="L29" s="87"/>
      <c r="M29" s="173"/>
      <c r="N29" s="169"/>
      <c r="O29" s="169"/>
      <c r="Q29" s="5">
        <v>46049</v>
      </c>
      <c r="R29" s="380"/>
      <c r="S29" s="190"/>
      <c r="T29" s="11"/>
      <c r="U29" s="11"/>
      <c r="V29" s="11"/>
      <c r="W29" s="11"/>
      <c r="X29" s="11"/>
      <c r="Y29" s="11"/>
      <c r="Z29" s="11"/>
      <c r="AA29" s="44"/>
      <c r="AB29" s="87"/>
      <c r="AC29" s="173"/>
      <c r="AD29" s="169"/>
      <c r="AE29" s="169"/>
      <c r="AG29">
        <f>'[7]2026 január'!B$28</f>
        <v>0</v>
      </c>
    </row>
    <row r="30" spans="1:33">
      <c r="A30" s="5">
        <v>46050</v>
      </c>
      <c r="B30" s="11"/>
      <c r="C30" s="11"/>
      <c r="D30" s="11"/>
      <c r="E30" s="11"/>
      <c r="F30" s="11"/>
      <c r="G30" s="11"/>
      <c r="H30" s="11"/>
      <c r="I30" s="11"/>
      <c r="J30" s="11"/>
      <c r="K30" s="44"/>
      <c r="L30" s="87"/>
      <c r="M30" s="173"/>
      <c r="N30" s="169"/>
      <c r="O30" s="169"/>
      <c r="Q30" s="5">
        <v>46050</v>
      </c>
      <c r="R30" s="380"/>
      <c r="S30" s="190"/>
      <c r="T30" s="11"/>
      <c r="U30" s="11"/>
      <c r="V30" s="11"/>
      <c r="W30" s="11"/>
      <c r="X30" s="11"/>
      <c r="Y30" s="11"/>
      <c r="Z30" s="11"/>
      <c r="AA30" s="44"/>
      <c r="AB30" s="87"/>
      <c r="AC30" s="173"/>
      <c r="AD30" s="169"/>
      <c r="AE30" s="169"/>
      <c r="AG30">
        <f>'[7]2026 január'!B$29</f>
        <v>0</v>
      </c>
    </row>
    <row r="31" spans="1:33">
      <c r="A31" s="5">
        <v>46051</v>
      </c>
      <c r="B31" s="11"/>
      <c r="C31" s="11"/>
      <c r="D31" s="11"/>
      <c r="E31" s="11"/>
      <c r="F31" s="11"/>
      <c r="G31" s="11"/>
      <c r="H31" s="11"/>
      <c r="I31" s="11"/>
      <c r="J31" s="11"/>
      <c r="K31" s="44"/>
      <c r="L31" s="87"/>
      <c r="M31" s="173"/>
      <c r="N31" s="169"/>
      <c r="O31" s="169"/>
      <c r="Q31" s="5">
        <v>46051</v>
      </c>
      <c r="R31" s="380"/>
      <c r="S31" s="190"/>
      <c r="T31" s="11"/>
      <c r="U31" s="11"/>
      <c r="V31" s="11"/>
      <c r="W31" s="11"/>
      <c r="X31" s="11"/>
      <c r="Y31" s="11"/>
      <c r="Z31" s="11"/>
      <c r="AA31" s="44"/>
      <c r="AB31" s="87"/>
      <c r="AC31" s="173"/>
      <c r="AD31" s="169"/>
      <c r="AE31" s="169"/>
      <c r="AG31">
        <f>'[7]2026 január'!B$30</f>
        <v>0</v>
      </c>
    </row>
    <row r="32" spans="1:33">
      <c r="A32" s="5">
        <v>46052</v>
      </c>
      <c r="B32" s="11"/>
      <c r="C32" s="11"/>
      <c r="D32" s="11"/>
      <c r="E32" s="11"/>
      <c r="F32" s="11"/>
      <c r="G32" s="11"/>
      <c r="H32" s="11"/>
      <c r="I32" s="11"/>
      <c r="J32" s="11"/>
      <c r="K32" s="44"/>
      <c r="L32" s="87"/>
      <c r="M32" s="173"/>
      <c r="N32" s="169"/>
      <c r="O32" s="169"/>
      <c r="Q32" s="219">
        <v>46052</v>
      </c>
      <c r="R32" s="380"/>
      <c r="S32" s="247"/>
      <c r="T32" s="228"/>
      <c r="U32" s="228"/>
      <c r="V32" s="228"/>
      <c r="W32" s="228"/>
      <c r="X32" s="228"/>
      <c r="Y32" s="228"/>
      <c r="Z32" s="228"/>
      <c r="AA32" s="229"/>
      <c r="AB32" s="230"/>
      <c r="AC32" s="231"/>
      <c r="AD32" s="232"/>
      <c r="AE32" s="232"/>
      <c r="AG32">
        <f>'[7]2026 január'!B$31</f>
        <v>0</v>
      </c>
    </row>
    <row r="33" spans="1:33">
      <c r="A33" s="221">
        <v>46053</v>
      </c>
      <c r="B33" s="163"/>
      <c r="C33" s="217"/>
      <c r="D33" s="217"/>
      <c r="E33" s="217"/>
      <c r="F33" s="217"/>
      <c r="G33" s="217"/>
      <c r="H33" s="217"/>
      <c r="I33" s="217"/>
      <c r="J33" s="217"/>
      <c r="K33" s="209"/>
      <c r="L33" s="210"/>
      <c r="M33" s="211"/>
      <c r="N33" s="224"/>
      <c r="O33" s="224"/>
      <c r="Q33" s="162">
        <v>46053</v>
      </c>
      <c r="R33" s="379"/>
      <c r="S33" s="163"/>
      <c r="T33" s="163"/>
      <c r="U33" s="163"/>
      <c r="V33" s="163"/>
      <c r="W33" s="163"/>
      <c r="X33" s="163"/>
      <c r="Y33" s="163"/>
      <c r="Z33" s="163"/>
      <c r="AA33" s="222"/>
      <c r="AB33" s="163"/>
      <c r="AC33" s="168"/>
      <c r="AD33" s="174"/>
      <c r="AE33" s="174"/>
      <c r="AG33">
        <f>'[7]2026 január'!B$32</f>
        <v>0</v>
      </c>
    </row>
    <row r="34" spans="1:33" ht="22.5" customHeight="1">
      <c r="A34" s="84" t="s">
        <v>43</v>
      </c>
      <c r="B34" s="389"/>
      <c r="C34" s="246">
        <f>SUM(C1:C33)</f>
        <v>4396</v>
      </c>
      <c r="D34" s="246">
        <f>SUM(D1:D33)</f>
        <v>17170.05</v>
      </c>
      <c r="E34" s="246">
        <f>SUM(E1:E33)</f>
        <v>58570.18</v>
      </c>
      <c r="F34" s="246">
        <f>SUM(F1:F33)</f>
        <v>907603.27</v>
      </c>
      <c r="G34" s="214">
        <f>SUM(G3:G33)</f>
        <v>318535</v>
      </c>
      <c r="H34" s="214">
        <f>SUM(H3:H33)</f>
        <v>669209</v>
      </c>
      <c r="I34" s="215"/>
      <c r="J34" s="215"/>
      <c r="K34" s="12"/>
      <c r="L34" s="19"/>
      <c r="M34" s="19"/>
      <c r="N34" s="9"/>
      <c r="O34" s="9"/>
      <c r="Q34" s="84" t="s">
        <v>43</v>
      </c>
      <c r="R34" s="381"/>
      <c r="S34" s="246">
        <f>SUM(S1:S33)</f>
        <v>550</v>
      </c>
      <c r="T34" s="246">
        <f>SUM(T1:T33)</f>
        <v>322492.05</v>
      </c>
      <c r="U34" s="246">
        <f>SUM(U1:U33)</f>
        <v>0.18</v>
      </c>
      <c r="V34" s="246">
        <f>SUM(V1:V33)</f>
        <v>47900.27</v>
      </c>
      <c r="W34" s="214">
        <f>SUM(W3:W33)</f>
        <v>115925</v>
      </c>
      <c r="X34" s="214">
        <f>SUM(X3:X33)</f>
        <v>285015</v>
      </c>
      <c r="Y34" s="215"/>
      <c r="Z34" s="215"/>
      <c r="AA34" s="12"/>
      <c r="AB34" s="19"/>
      <c r="AC34" s="19"/>
      <c r="AD34" s="9"/>
      <c r="AE34" s="9"/>
      <c r="AG34">
        <f>'[7]2026 január'!B$33</f>
        <v>480005</v>
      </c>
    </row>
    <row r="35" spans="1:33" ht="25.5" customHeight="1">
      <c r="A35" s="85"/>
      <c r="B35" s="159"/>
      <c r="C35" s="26">
        <f>C34+D34+E34+F34</f>
        <v>987739.5</v>
      </c>
      <c r="D35" s="9"/>
      <c r="E35" s="9"/>
      <c r="F35" s="9"/>
      <c r="G35" s="25">
        <f>G34+H34</f>
        <v>987744</v>
      </c>
      <c r="H35" s="9"/>
      <c r="I35" s="9"/>
      <c r="J35" s="9"/>
      <c r="K35" s="9"/>
      <c r="L35" s="9"/>
      <c r="M35" s="9"/>
      <c r="N35" s="9"/>
      <c r="O35" s="9"/>
      <c r="Q35" s="85"/>
      <c r="R35" s="382"/>
      <c r="S35" s="26">
        <f>S34+T34+U34+V34</f>
        <v>370942.5</v>
      </c>
      <c r="T35" s="9"/>
      <c r="U35" s="9"/>
      <c r="V35" s="9"/>
      <c r="W35" s="25">
        <f>W34+X34</f>
        <v>400940</v>
      </c>
      <c r="X35" s="9"/>
      <c r="Y35" s="9"/>
      <c r="Z35" s="9"/>
      <c r="AA35" s="9"/>
      <c r="AB35" s="9"/>
      <c r="AC35" s="9"/>
      <c r="AD35" s="9"/>
      <c r="AE35" s="9"/>
    </row>
    <row r="36" spans="1:33">
      <c r="A36" s="82"/>
      <c r="C36"/>
      <c r="D36"/>
      <c r="E36"/>
      <c r="F36"/>
      <c r="G36"/>
      <c r="H36"/>
      <c r="I36"/>
      <c r="J36"/>
      <c r="K36"/>
      <c r="L36"/>
      <c r="M36"/>
      <c r="R36" s="383"/>
      <c r="Y36" s="4"/>
      <c r="Z36" s="49"/>
      <c r="AC36" s="4"/>
    </row>
    <row r="37" spans="1:33">
      <c r="A37" s="82"/>
      <c r="C37"/>
      <c r="D37"/>
      <c r="E37"/>
      <c r="F37"/>
      <c r="G37"/>
      <c r="H37"/>
      <c r="I37"/>
      <c r="J37"/>
      <c r="K37"/>
      <c r="L37"/>
      <c r="M37"/>
      <c r="R37" s="383"/>
      <c r="Y37" s="4"/>
      <c r="Z37" s="49"/>
      <c r="AC37" s="4"/>
    </row>
    <row r="38" spans="1:33">
      <c r="A38" s="82"/>
      <c r="C38"/>
      <c r="D38"/>
      <c r="E38"/>
      <c r="F38"/>
      <c r="G38"/>
      <c r="H38"/>
      <c r="I38"/>
      <c r="J38"/>
      <c r="K38"/>
      <c r="L38"/>
      <c r="M38"/>
      <c r="R38" s="383"/>
      <c r="Y38" s="4"/>
      <c r="Z38" s="49"/>
      <c r="AC38" s="4"/>
    </row>
    <row r="39" spans="1:33">
      <c r="A39" s="263" t="s">
        <v>108</v>
      </c>
      <c r="B39" s="384"/>
      <c r="C39" s="264"/>
      <c r="D39" s="264"/>
      <c r="E39" s="264"/>
      <c r="F39" s="193"/>
      <c r="G39" s="193"/>
      <c r="H39" s="193"/>
      <c r="I39" s="193"/>
      <c r="J39" s="193"/>
      <c r="K39" s="194"/>
      <c r="L39" s="262"/>
      <c r="M39"/>
      <c r="Q39" s="263" t="s">
        <v>108</v>
      </c>
      <c r="R39" s="384"/>
      <c r="S39" s="264"/>
      <c r="T39" s="264"/>
      <c r="U39" s="264"/>
      <c r="V39" s="193"/>
      <c r="W39" s="193"/>
      <c r="X39" s="193"/>
      <c r="Y39" s="193"/>
      <c r="Z39" s="193"/>
      <c r="AA39" s="194"/>
      <c r="AB39" s="262"/>
      <c r="AC39" s="4"/>
    </row>
    <row r="40" spans="1:33">
      <c r="A40" s="200"/>
      <c r="B40" s="385"/>
      <c r="C40" s="82"/>
      <c r="D40" s="82"/>
      <c r="L40" s="67"/>
      <c r="M40"/>
      <c r="Q40" s="200"/>
      <c r="R40" s="385"/>
      <c r="S40" s="82"/>
      <c r="T40" s="82"/>
      <c r="Y40" s="4"/>
      <c r="Z40" s="4"/>
      <c r="AA40" s="40"/>
      <c r="AB40" s="67"/>
      <c r="AC40" s="4"/>
    </row>
    <row r="41" spans="1:33">
      <c r="A41" s="201"/>
      <c r="B41" s="386"/>
      <c r="C41" s="202"/>
      <c r="D41" s="202"/>
      <c r="E41" s="196"/>
      <c r="F41" s="196"/>
      <c r="G41" s="196"/>
      <c r="H41" s="196"/>
      <c r="I41" s="196"/>
      <c r="J41" s="196"/>
      <c r="K41" s="197"/>
      <c r="L41" s="261"/>
      <c r="M41"/>
      <c r="Q41" s="201"/>
      <c r="R41" s="386"/>
      <c r="S41" s="202"/>
      <c r="T41" s="202"/>
      <c r="U41" s="196"/>
      <c r="V41" s="196"/>
      <c r="W41" s="196"/>
      <c r="X41" s="196"/>
      <c r="Y41" s="196"/>
      <c r="Z41" s="196"/>
      <c r="AA41" s="197"/>
      <c r="AB41" s="261"/>
      <c r="AC41" s="4"/>
    </row>
    <row r="42" spans="1:33">
      <c r="A42" s="82"/>
      <c r="C42"/>
      <c r="D42"/>
      <c r="E42"/>
      <c r="F42"/>
      <c r="G42"/>
      <c r="H42"/>
      <c r="I42"/>
      <c r="J42"/>
      <c r="K42"/>
      <c r="L42"/>
      <c r="M42"/>
      <c r="R42" s="383"/>
      <c r="Y42" s="4"/>
      <c r="Z42" s="49"/>
      <c r="AC42" s="4"/>
    </row>
    <row r="43" spans="1:33" ht="21">
      <c r="A43" s="81" t="s">
        <v>4</v>
      </c>
      <c r="B43" s="378"/>
      <c r="C43" s="30"/>
      <c r="D43" s="30"/>
      <c r="E43" s="30"/>
      <c r="F43" s="30"/>
      <c r="G43" s="30"/>
      <c r="H43" s="30"/>
      <c r="I43" s="30"/>
      <c r="J43" s="39"/>
      <c r="K43" s="376"/>
      <c r="L43" s="281"/>
      <c r="M43" s="418"/>
      <c r="N43" s="418"/>
      <c r="O43" s="419"/>
      <c r="Q43" s="81" t="s">
        <v>4</v>
      </c>
      <c r="R43" s="378"/>
      <c r="S43" s="30"/>
      <c r="T43" s="30"/>
      <c r="U43" s="30"/>
      <c r="V43" s="30"/>
      <c r="W43" s="30"/>
      <c r="X43" s="30"/>
      <c r="Y43" s="30"/>
      <c r="Z43" s="39"/>
      <c r="AA43" s="376"/>
      <c r="AB43" s="281"/>
      <c r="AC43" s="418"/>
      <c r="AD43" s="418"/>
      <c r="AE43" s="419"/>
    </row>
    <row r="44" spans="1:33">
      <c r="A44" s="162">
        <v>46054</v>
      </c>
      <c r="B44" s="163"/>
      <c r="C44" s="163"/>
      <c r="D44" s="163"/>
      <c r="E44" s="163"/>
      <c r="F44" s="163"/>
      <c r="G44" s="163"/>
      <c r="H44" s="163"/>
      <c r="I44" s="163"/>
      <c r="J44" s="164"/>
      <c r="K44" s="165"/>
      <c r="L44" s="282"/>
      <c r="M44" s="414"/>
      <c r="N44" s="414"/>
      <c r="O44" s="179"/>
      <c r="Q44" s="162">
        <v>46054</v>
      </c>
      <c r="R44" s="163"/>
      <c r="S44" s="163"/>
      <c r="T44" s="163"/>
      <c r="U44" s="163"/>
      <c r="V44" s="163"/>
      <c r="W44" s="163"/>
      <c r="X44" s="163"/>
      <c r="Y44" s="163"/>
      <c r="Z44" s="164"/>
      <c r="AA44" s="165"/>
      <c r="AB44" s="282"/>
      <c r="AC44" s="414"/>
      <c r="AD44" s="414"/>
      <c r="AE44" s="179"/>
      <c r="AG44">
        <f>'[7]2026 február'!B$2</f>
        <v>0</v>
      </c>
    </row>
    <row r="45" spans="1:33">
      <c r="A45" s="162">
        <v>46055</v>
      </c>
      <c r="B45" s="11"/>
      <c r="C45" s="11"/>
      <c r="D45" s="11"/>
      <c r="E45" s="11"/>
      <c r="F45" s="11"/>
      <c r="G45" s="11"/>
      <c r="H45" s="11"/>
      <c r="I45" s="11"/>
      <c r="J45" s="44"/>
      <c r="K45" s="86"/>
      <c r="L45" s="410"/>
      <c r="M45" s="241"/>
      <c r="N45" s="241"/>
      <c r="O45" s="9"/>
      <c r="Q45" s="162">
        <v>46055</v>
      </c>
      <c r="R45" s="11"/>
      <c r="S45" s="11"/>
      <c r="T45" s="11"/>
      <c r="U45" s="11"/>
      <c r="V45" s="11"/>
      <c r="W45" s="11"/>
      <c r="X45" s="11"/>
      <c r="Y45" s="11"/>
      <c r="Z45" s="44"/>
      <c r="AA45" s="86"/>
      <c r="AB45" s="410"/>
      <c r="AC45" s="241"/>
      <c r="AD45" s="241"/>
      <c r="AE45" s="9"/>
      <c r="AG45">
        <f>'[7]2026 február'!B$3</f>
        <v>0</v>
      </c>
    </row>
    <row r="46" spans="1:33">
      <c r="A46" s="162">
        <v>46056</v>
      </c>
      <c r="B46" s="11"/>
      <c r="C46" s="11"/>
      <c r="D46" s="11"/>
      <c r="E46" s="11"/>
      <c r="F46" s="11"/>
      <c r="G46" s="11"/>
      <c r="H46" s="11"/>
      <c r="I46" s="11"/>
      <c r="J46" s="44"/>
      <c r="K46" s="87"/>
      <c r="L46" s="284"/>
      <c r="M46" s="241"/>
      <c r="N46" s="241"/>
      <c r="O46" s="9"/>
      <c r="Q46" s="162">
        <v>46056</v>
      </c>
      <c r="R46" s="11"/>
      <c r="S46" s="11"/>
      <c r="T46" s="11"/>
      <c r="U46" s="11"/>
      <c r="V46" s="11"/>
      <c r="W46" s="11"/>
      <c r="X46" s="11"/>
      <c r="Y46" s="11"/>
      <c r="Z46" s="44"/>
      <c r="AA46" s="87"/>
      <c r="AB46" s="284"/>
      <c r="AC46" s="241"/>
      <c r="AD46" s="241"/>
      <c r="AE46" s="9"/>
      <c r="AG46">
        <f>'[7]2026 február'!B$4</f>
        <v>0</v>
      </c>
    </row>
    <row r="47" spans="1:33">
      <c r="A47" s="162">
        <v>46057</v>
      </c>
      <c r="B47" s="11"/>
      <c r="C47" s="11"/>
      <c r="D47" s="11"/>
      <c r="E47" s="11"/>
      <c r="F47" s="11"/>
      <c r="G47" s="11"/>
      <c r="H47" s="11"/>
      <c r="I47" s="11"/>
      <c r="J47" s="44"/>
      <c r="K47" s="87"/>
      <c r="L47" s="284"/>
      <c r="M47" s="241"/>
      <c r="N47" s="241"/>
      <c r="O47" s="9"/>
      <c r="Q47" s="162">
        <v>46057</v>
      </c>
      <c r="R47" s="11"/>
      <c r="S47" s="11"/>
      <c r="T47" s="11"/>
      <c r="U47" s="11"/>
      <c r="V47" s="11"/>
      <c r="W47" s="11"/>
      <c r="X47" s="11"/>
      <c r="Y47" s="11"/>
      <c r="Z47" s="44"/>
      <c r="AA47" s="87"/>
      <c r="AB47" s="284"/>
      <c r="AC47" s="241"/>
      <c r="AD47" s="241"/>
      <c r="AE47" s="9"/>
      <c r="AG47">
        <f>'[7]2026 február'!B$5</f>
        <v>0</v>
      </c>
    </row>
    <row r="48" spans="1:33">
      <c r="A48" s="162">
        <v>46058</v>
      </c>
      <c r="B48" s="11"/>
      <c r="C48" s="11"/>
      <c r="D48" s="11"/>
      <c r="E48" s="11"/>
      <c r="F48" s="11"/>
      <c r="G48" s="11"/>
      <c r="H48" s="11"/>
      <c r="I48" s="11"/>
      <c r="J48" s="44"/>
      <c r="K48" s="87"/>
      <c r="L48" s="284"/>
      <c r="M48" s="241"/>
      <c r="N48" s="241"/>
      <c r="O48" s="9"/>
      <c r="Q48" s="162">
        <v>46058</v>
      </c>
      <c r="R48" s="11"/>
      <c r="S48" s="11"/>
      <c r="T48" s="11"/>
      <c r="U48" s="11"/>
      <c r="V48" s="11"/>
      <c r="W48" s="11"/>
      <c r="X48" s="11"/>
      <c r="Y48" s="11"/>
      <c r="Z48" s="44"/>
      <c r="AA48" s="87"/>
      <c r="AB48" s="284"/>
      <c r="AC48" s="241"/>
      <c r="AD48" s="241"/>
      <c r="AE48" s="9"/>
      <c r="AG48">
        <f>'[7]2026 február'!B$6</f>
        <v>0</v>
      </c>
    </row>
    <row r="49" spans="1:33">
      <c r="A49" s="162">
        <v>46059</v>
      </c>
      <c r="B49" s="11"/>
      <c r="C49" s="11"/>
      <c r="D49" s="11"/>
      <c r="E49" s="11"/>
      <c r="F49" s="11"/>
      <c r="G49" s="11"/>
      <c r="H49" s="11"/>
      <c r="I49" s="11"/>
      <c r="J49" s="44"/>
      <c r="K49" s="87"/>
      <c r="L49" s="284"/>
      <c r="M49" s="241"/>
      <c r="N49" s="241"/>
      <c r="O49" s="9"/>
      <c r="Q49" s="162">
        <v>46059</v>
      </c>
      <c r="R49" s="11"/>
      <c r="S49" s="11"/>
      <c r="T49" s="11"/>
      <c r="U49" s="11"/>
      <c r="V49" s="11"/>
      <c r="W49" s="11"/>
      <c r="X49" s="11"/>
      <c r="Y49" s="11"/>
      <c r="Z49" s="44"/>
      <c r="AA49" s="87"/>
      <c r="AB49" s="284"/>
      <c r="AC49" s="241"/>
      <c r="AD49" s="241"/>
      <c r="AE49" s="9"/>
      <c r="AG49">
        <f>'[7]2026 február'!B$7</f>
        <v>0</v>
      </c>
    </row>
    <row r="50" spans="1:33">
      <c r="A50" s="162">
        <v>46060</v>
      </c>
      <c r="B50" s="163"/>
      <c r="C50" s="163"/>
      <c r="D50" s="163"/>
      <c r="E50" s="163"/>
      <c r="F50" s="163"/>
      <c r="G50" s="163"/>
      <c r="H50" s="163"/>
      <c r="I50" s="163"/>
      <c r="J50" s="164"/>
      <c r="K50" s="167"/>
      <c r="L50" s="283"/>
      <c r="M50" s="414"/>
      <c r="N50" s="414"/>
      <c r="O50" s="179"/>
      <c r="Q50" s="162">
        <v>46060</v>
      </c>
      <c r="R50" s="163"/>
      <c r="S50" s="163"/>
      <c r="T50" s="163"/>
      <c r="U50" s="163"/>
      <c r="V50" s="163"/>
      <c r="W50" s="163"/>
      <c r="X50" s="163"/>
      <c r="Y50" s="163"/>
      <c r="Z50" s="164"/>
      <c r="AA50" s="167"/>
      <c r="AB50" s="283"/>
      <c r="AC50" s="414"/>
      <c r="AD50" s="414"/>
      <c r="AE50" s="179"/>
      <c r="AG50">
        <f>'[7]2026 február'!B$8</f>
        <v>0</v>
      </c>
    </row>
    <row r="51" spans="1:33">
      <c r="A51" s="162">
        <v>46061</v>
      </c>
      <c r="B51" s="163"/>
      <c r="C51" s="163"/>
      <c r="D51" s="163"/>
      <c r="E51" s="163"/>
      <c r="F51" s="163"/>
      <c r="G51" s="163"/>
      <c r="H51" s="163"/>
      <c r="I51" s="163"/>
      <c r="J51" s="164"/>
      <c r="K51" s="167"/>
      <c r="L51" s="283"/>
      <c r="M51" s="414"/>
      <c r="N51" s="414"/>
      <c r="O51" s="179"/>
      <c r="Q51" s="162">
        <v>46061</v>
      </c>
      <c r="R51" s="163"/>
      <c r="S51" s="163"/>
      <c r="T51" s="163"/>
      <c r="U51" s="163"/>
      <c r="V51" s="163"/>
      <c r="W51" s="163"/>
      <c r="X51" s="163"/>
      <c r="Y51" s="163"/>
      <c r="Z51" s="164"/>
      <c r="AA51" s="167"/>
      <c r="AB51" s="283"/>
      <c r="AC51" s="414"/>
      <c r="AD51" s="414"/>
      <c r="AE51" s="179"/>
      <c r="AG51">
        <f>'[7]2026 február'!B$9</f>
        <v>0</v>
      </c>
    </row>
    <row r="52" spans="1:33">
      <c r="A52" s="162">
        <v>46062</v>
      </c>
      <c r="B52" s="11"/>
      <c r="C52" s="11"/>
      <c r="D52" s="11"/>
      <c r="E52" s="11"/>
      <c r="F52" s="11"/>
      <c r="G52" s="11"/>
      <c r="H52" s="11"/>
      <c r="I52" s="11"/>
      <c r="J52" s="44"/>
      <c r="K52" s="87"/>
      <c r="L52" s="284"/>
      <c r="M52" s="241"/>
      <c r="N52" s="241"/>
      <c r="O52" s="9"/>
      <c r="Q52" s="162">
        <v>46062</v>
      </c>
      <c r="R52" s="11"/>
      <c r="S52" s="11"/>
      <c r="T52" s="11"/>
      <c r="U52" s="11"/>
      <c r="V52" s="11"/>
      <c r="W52" s="11"/>
      <c r="X52" s="11"/>
      <c r="Y52" s="11"/>
      <c r="Z52" s="44"/>
      <c r="AA52" s="87"/>
      <c r="AB52" s="284"/>
      <c r="AC52" s="241"/>
      <c r="AD52" s="241"/>
      <c r="AE52" s="9"/>
      <c r="AG52">
        <f>'[7]2026 február'!B$10</f>
        <v>0</v>
      </c>
    </row>
    <row r="53" spans="1:33">
      <c r="A53" s="162">
        <v>46063</v>
      </c>
      <c r="B53" s="11"/>
      <c r="C53" s="11"/>
      <c r="D53" s="11"/>
      <c r="E53" s="11"/>
      <c r="F53" s="11"/>
      <c r="G53" s="11"/>
      <c r="H53" s="11"/>
      <c r="I53" s="11"/>
      <c r="J53" s="44"/>
      <c r="K53" s="87"/>
      <c r="L53" s="284"/>
      <c r="M53" s="241"/>
      <c r="N53" s="241"/>
      <c r="O53" s="9"/>
      <c r="Q53" s="162">
        <v>46063</v>
      </c>
      <c r="R53" s="11"/>
      <c r="S53" s="11"/>
      <c r="T53" s="11"/>
      <c r="U53" s="11"/>
      <c r="V53" s="11"/>
      <c r="W53" s="11"/>
      <c r="X53" s="11"/>
      <c r="Y53" s="11"/>
      <c r="Z53" s="44"/>
      <c r="AA53" s="87"/>
      <c r="AB53" s="284"/>
      <c r="AC53" s="241"/>
      <c r="AD53" s="241"/>
      <c r="AE53" s="9"/>
      <c r="AG53">
        <f>'[7]2026 február'!B$11</f>
        <v>0</v>
      </c>
    </row>
    <row r="54" spans="1:33">
      <c r="A54" s="162">
        <v>46064</v>
      </c>
      <c r="B54" s="11"/>
      <c r="C54" s="11"/>
      <c r="D54" s="11"/>
      <c r="E54" s="11"/>
      <c r="F54" s="11"/>
      <c r="G54" s="11"/>
      <c r="H54" s="11"/>
      <c r="I54" s="11"/>
      <c r="J54" s="44"/>
      <c r="K54" s="87"/>
      <c r="L54" s="284"/>
      <c r="M54" s="241"/>
      <c r="N54" s="241"/>
      <c r="O54" s="9"/>
      <c r="Q54" s="162">
        <v>46064</v>
      </c>
      <c r="R54" s="11"/>
      <c r="S54" s="11"/>
      <c r="T54" s="11"/>
      <c r="U54" s="11"/>
      <c r="V54" s="11"/>
      <c r="W54" s="11"/>
      <c r="X54" s="11"/>
      <c r="Y54" s="11"/>
      <c r="Z54" s="44"/>
      <c r="AA54" s="87"/>
      <c r="AB54" s="284"/>
      <c r="AC54" s="241"/>
      <c r="AD54" s="241"/>
      <c r="AE54" s="9"/>
      <c r="AG54">
        <f>'[7]2026 február'!B$12</f>
        <v>0</v>
      </c>
    </row>
    <row r="55" spans="1:33">
      <c r="A55" s="162">
        <v>46065</v>
      </c>
      <c r="B55" s="11"/>
      <c r="C55" s="11"/>
      <c r="D55" s="11"/>
      <c r="E55" s="11"/>
      <c r="F55" s="11"/>
      <c r="G55" s="11"/>
      <c r="H55" s="11"/>
      <c r="I55" s="11"/>
      <c r="J55" s="44"/>
      <c r="K55" s="87"/>
      <c r="L55" s="284"/>
      <c r="M55" s="126"/>
      <c r="N55" s="241"/>
      <c r="O55" s="9"/>
      <c r="Q55" s="162">
        <v>46065</v>
      </c>
      <c r="R55" s="11"/>
      <c r="S55" s="11"/>
      <c r="T55" s="11"/>
      <c r="U55" s="11"/>
      <c r="V55" s="11"/>
      <c r="W55" s="11"/>
      <c r="X55" s="11"/>
      <c r="Y55" s="11"/>
      <c r="Z55" s="44"/>
      <c r="AA55" s="87"/>
      <c r="AB55" s="284"/>
      <c r="AC55" s="126"/>
      <c r="AD55" s="241"/>
      <c r="AE55" s="9"/>
      <c r="AG55">
        <f>'[7]2026 február'!B$13</f>
        <v>0</v>
      </c>
    </row>
    <row r="56" spans="1:33">
      <c r="A56" s="162">
        <v>46066</v>
      </c>
      <c r="B56" s="11"/>
      <c r="C56" s="11"/>
      <c r="D56" s="11"/>
      <c r="E56" s="11"/>
      <c r="F56" s="11"/>
      <c r="G56" s="11"/>
      <c r="H56" s="11"/>
      <c r="I56" s="11"/>
      <c r="J56" s="44"/>
      <c r="K56" s="87"/>
      <c r="L56" s="284"/>
      <c r="M56" s="241"/>
      <c r="N56" s="241"/>
      <c r="O56" s="9"/>
      <c r="Q56" s="162">
        <v>46066</v>
      </c>
      <c r="R56" s="11"/>
      <c r="S56" s="11"/>
      <c r="T56" s="11"/>
      <c r="U56" s="11"/>
      <c r="V56" s="11"/>
      <c r="W56" s="11"/>
      <c r="X56" s="11"/>
      <c r="Y56" s="11"/>
      <c r="Z56" s="44"/>
      <c r="AA56" s="87"/>
      <c r="AB56" s="284"/>
      <c r="AC56" s="241"/>
      <c r="AD56" s="241"/>
      <c r="AE56" s="9"/>
      <c r="AG56">
        <f>'[7]2026 február'!B$14</f>
        <v>0</v>
      </c>
    </row>
    <row r="57" spans="1:33">
      <c r="A57" s="162">
        <v>46067</v>
      </c>
      <c r="B57" s="163"/>
      <c r="C57" s="163"/>
      <c r="D57" s="163"/>
      <c r="E57" s="163"/>
      <c r="F57" s="163"/>
      <c r="G57" s="163"/>
      <c r="H57" s="163"/>
      <c r="I57" s="163"/>
      <c r="J57" s="164"/>
      <c r="K57" s="167"/>
      <c r="L57" s="283"/>
      <c r="M57" s="414"/>
      <c r="N57" s="414"/>
      <c r="O57" s="179"/>
      <c r="Q57" s="162">
        <v>46067</v>
      </c>
      <c r="R57" s="163"/>
      <c r="S57" s="163"/>
      <c r="T57" s="163"/>
      <c r="U57" s="163"/>
      <c r="V57" s="163"/>
      <c r="W57" s="163"/>
      <c r="X57" s="163"/>
      <c r="Y57" s="163"/>
      <c r="Z57" s="164"/>
      <c r="AA57" s="167"/>
      <c r="AB57" s="283"/>
      <c r="AC57" s="414"/>
      <c r="AD57" s="414"/>
      <c r="AE57" s="179"/>
      <c r="AG57">
        <f>'[7]2026 február'!B$15</f>
        <v>0</v>
      </c>
    </row>
    <row r="58" spans="1:33">
      <c r="A58" s="162">
        <v>46068</v>
      </c>
      <c r="B58" s="163"/>
      <c r="C58" s="163"/>
      <c r="D58" s="163"/>
      <c r="E58" s="163"/>
      <c r="F58" s="163"/>
      <c r="G58" s="163"/>
      <c r="H58" s="163"/>
      <c r="I58" s="163"/>
      <c r="J58" s="164"/>
      <c r="K58" s="167"/>
      <c r="L58" s="283"/>
      <c r="M58" s="414"/>
      <c r="N58" s="414"/>
      <c r="O58" s="179"/>
      <c r="Q58" s="162">
        <v>46068</v>
      </c>
      <c r="R58" s="163"/>
      <c r="S58" s="163"/>
      <c r="T58" s="163"/>
      <c r="U58" s="163"/>
      <c r="V58" s="163"/>
      <c r="W58" s="163"/>
      <c r="X58" s="163"/>
      <c r="Y58" s="163"/>
      <c r="Z58" s="164"/>
      <c r="AA58" s="167"/>
      <c r="AB58" s="283"/>
      <c r="AC58" s="414"/>
      <c r="AD58" s="414"/>
      <c r="AE58" s="179"/>
      <c r="AG58">
        <f>'[7]2026 február'!B$16</f>
        <v>0</v>
      </c>
    </row>
    <row r="59" spans="1:33">
      <c r="A59" s="162">
        <v>46069</v>
      </c>
      <c r="B59" s="11"/>
      <c r="C59" s="11"/>
      <c r="D59" s="11"/>
      <c r="E59" s="11"/>
      <c r="F59" s="11"/>
      <c r="G59" s="11"/>
      <c r="H59" s="11"/>
      <c r="I59" s="11"/>
      <c r="J59" s="44"/>
      <c r="K59" s="87"/>
      <c r="L59" s="284"/>
      <c r="M59" s="241"/>
      <c r="N59" s="241"/>
      <c r="O59" s="9"/>
      <c r="Q59" s="162">
        <v>46069</v>
      </c>
      <c r="R59" s="11"/>
      <c r="S59" s="11"/>
      <c r="T59" s="11"/>
      <c r="U59" s="11"/>
      <c r="V59" s="11"/>
      <c r="W59" s="11"/>
      <c r="X59" s="11"/>
      <c r="Y59" s="11"/>
      <c r="Z59" s="44"/>
      <c r="AA59" s="87"/>
      <c r="AB59" s="284"/>
      <c r="AC59" s="241"/>
      <c r="AD59" s="241"/>
      <c r="AE59" s="9"/>
      <c r="AG59">
        <f>'[7]2026 február'!B$17</f>
        <v>0</v>
      </c>
    </row>
    <row r="60" spans="1:33">
      <c r="A60" s="162">
        <v>46070</v>
      </c>
      <c r="B60" s="11"/>
      <c r="C60" s="11"/>
      <c r="D60" s="11"/>
      <c r="E60" s="11"/>
      <c r="F60" s="11"/>
      <c r="G60" s="11"/>
      <c r="H60" s="11"/>
      <c r="I60" s="11"/>
      <c r="J60" s="44"/>
      <c r="K60" s="87"/>
      <c r="L60" s="284"/>
      <c r="M60" s="241"/>
      <c r="N60" s="241"/>
      <c r="O60" s="9"/>
      <c r="Q60" s="162">
        <v>46070</v>
      </c>
      <c r="R60" s="11"/>
      <c r="S60" s="11"/>
      <c r="T60" s="11"/>
      <c r="U60" s="11"/>
      <c r="V60" s="11"/>
      <c r="W60" s="11"/>
      <c r="X60" s="11"/>
      <c r="Y60" s="11"/>
      <c r="Z60" s="44"/>
      <c r="AA60" s="87"/>
      <c r="AB60" s="284"/>
      <c r="AC60" s="241"/>
      <c r="AD60" s="241"/>
      <c r="AE60" s="9"/>
      <c r="AG60">
        <f>'[7]2026 február'!B$18</f>
        <v>0</v>
      </c>
    </row>
    <row r="61" spans="1:33">
      <c r="A61" s="162">
        <v>46071</v>
      </c>
      <c r="B61" s="11"/>
      <c r="C61" s="11"/>
      <c r="D61" s="11"/>
      <c r="E61" s="11"/>
      <c r="F61" s="11"/>
      <c r="G61" s="11"/>
      <c r="H61" s="11"/>
      <c r="I61" s="11"/>
      <c r="J61" s="44"/>
      <c r="K61" s="87"/>
      <c r="L61" s="284"/>
      <c r="M61" s="241"/>
      <c r="N61" s="241"/>
      <c r="O61" s="9"/>
      <c r="Q61" s="162">
        <v>46071</v>
      </c>
      <c r="R61" s="11"/>
      <c r="S61" s="11"/>
      <c r="T61" s="11"/>
      <c r="U61" s="11"/>
      <c r="V61" s="11"/>
      <c r="W61" s="11"/>
      <c r="X61" s="11"/>
      <c r="Y61" s="11"/>
      <c r="Z61" s="44"/>
      <c r="AA61" s="87"/>
      <c r="AB61" s="284"/>
      <c r="AC61" s="241"/>
      <c r="AD61" s="241"/>
      <c r="AE61" s="9"/>
      <c r="AG61">
        <f>'[7]2026 február'!B$19</f>
        <v>0</v>
      </c>
    </row>
    <row r="62" spans="1:33">
      <c r="A62" s="162">
        <v>46072</v>
      </c>
      <c r="B62" s="11"/>
      <c r="C62" s="11"/>
      <c r="D62" s="11"/>
      <c r="E62" s="11"/>
      <c r="F62" s="11"/>
      <c r="G62" s="11"/>
      <c r="H62" s="11"/>
      <c r="I62" s="11"/>
      <c r="J62" s="44"/>
      <c r="K62" s="87"/>
      <c r="L62" s="284"/>
      <c r="M62" s="241"/>
      <c r="N62" s="241"/>
      <c r="O62" s="9"/>
      <c r="Q62" s="162">
        <v>46072</v>
      </c>
      <c r="R62" s="11"/>
      <c r="S62" s="11"/>
      <c r="T62" s="11"/>
      <c r="U62" s="11"/>
      <c r="V62" s="11"/>
      <c r="W62" s="11"/>
      <c r="X62" s="11"/>
      <c r="Y62" s="11"/>
      <c r="Z62" s="44"/>
      <c r="AA62" s="87"/>
      <c r="AB62" s="284"/>
      <c r="AC62" s="241"/>
      <c r="AD62" s="241"/>
      <c r="AE62" s="9"/>
      <c r="AG62">
        <f>'[7]2026 február'!B$20</f>
        <v>0</v>
      </c>
    </row>
    <row r="63" spans="1:33">
      <c r="A63" s="162">
        <v>46073</v>
      </c>
      <c r="B63" s="11"/>
      <c r="C63" s="11"/>
      <c r="D63" s="11"/>
      <c r="E63" s="11"/>
      <c r="F63" s="11"/>
      <c r="G63" s="11"/>
      <c r="H63" s="11"/>
      <c r="I63" s="11"/>
      <c r="J63" s="44"/>
      <c r="K63" s="87"/>
      <c r="L63" s="284"/>
      <c r="M63" s="241"/>
      <c r="N63" s="241"/>
      <c r="O63" s="9"/>
      <c r="Q63" s="162">
        <v>46073</v>
      </c>
      <c r="R63" s="11"/>
      <c r="S63" s="11"/>
      <c r="T63" s="11"/>
      <c r="U63" s="11"/>
      <c r="V63" s="11"/>
      <c r="W63" s="11"/>
      <c r="X63" s="11"/>
      <c r="Y63" s="11"/>
      <c r="Z63" s="44"/>
      <c r="AA63" s="87"/>
      <c r="AB63" s="284"/>
      <c r="AC63" s="241"/>
      <c r="AD63" s="241"/>
      <c r="AE63" s="9"/>
      <c r="AG63">
        <f>'[7]2026 február'!B$21</f>
        <v>0</v>
      </c>
    </row>
    <row r="64" spans="1:33">
      <c r="A64" s="162">
        <v>46074</v>
      </c>
      <c r="B64" s="163"/>
      <c r="C64" s="163"/>
      <c r="D64" s="163"/>
      <c r="E64" s="163"/>
      <c r="F64" s="163"/>
      <c r="G64" s="163"/>
      <c r="H64" s="163"/>
      <c r="I64" s="163"/>
      <c r="J64" s="164"/>
      <c r="K64" s="167"/>
      <c r="L64" s="283"/>
      <c r="M64" s="414"/>
      <c r="N64" s="414"/>
      <c r="O64" s="179"/>
      <c r="Q64" s="162">
        <v>46074</v>
      </c>
      <c r="R64" s="163"/>
      <c r="S64" s="163"/>
      <c r="T64" s="163"/>
      <c r="U64" s="163"/>
      <c r="V64" s="163"/>
      <c r="W64" s="163"/>
      <c r="X64" s="163"/>
      <c r="Y64" s="163"/>
      <c r="Z64" s="164"/>
      <c r="AA64" s="167"/>
      <c r="AB64" s="283"/>
      <c r="AC64" s="414"/>
      <c r="AD64" s="414"/>
      <c r="AE64" s="179"/>
      <c r="AG64">
        <f>'[7]2026 február'!B$22</f>
        <v>0</v>
      </c>
    </row>
    <row r="65" spans="1:33">
      <c r="A65" s="162">
        <v>46075</v>
      </c>
      <c r="B65" s="163"/>
      <c r="C65" s="163"/>
      <c r="D65" s="163"/>
      <c r="E65" s="163"/>
      <c r="F65" s="163"/>
      <c r="G65" s="163"/>
      <c r="H65" s="163"/>
      <c r="I65" s="163"/>
      <c r="J65" s="164"/>
      <c r="K65" s="167"/>
      <c r="L65" s="283"/>
      <c r="M65" s="414"/>
      <c r="N65" s="414"/>
      <c r="O65" s="179"/>
      <c r="Q65" s="162">
        <v>46075</v>
      </c>
      <c r="R65" s="163"/>
      <c r="S65" s="163"/>
      <c r="T65" s="163"/>
      <c r="U65" s="163"/>
      <c r="V65" s="163"/>
      <c r="W65" s="163"/>
      <c r="X65" s="163"/>
      <c r="Y65" s="163"/>
      <c r="Z65" s="164"/>
      <c r="AA65" s="167"/>
      <c r="AB65" s="283"/>
      <c r="AC65" s="414"/>
      <c r="AD65" s="414"/>
      <c r="AE65" s="179"/>
      <c r="AG65">
        <f>'[7]2026 február'!B$23</f>
        <v>0</v>
      </c>
    </row>
    <row r="66" spans="1:33">
      <c r="A66" s="162">
        <v>46076</v>
      </c>
      <c r="B66" s="11"/>
      <c r="C66" s="11"/>
      <c r="D66" s="11"/>
      <c r="E66" s="11"/>
      <c r="F66" s="11"/>
      <c r="G66" s="11"/>
      <c r="H66" s="11"/>
      <c r="I66" s="11"/>
      <c r="J66" s="44"/>
      <c r="K66" s="87"/>
      <c r="L66" s="284"/>
      <c r="M66" s="241"/>
      <c r="N66" s="241"/>
      <c r="O66" s="9"/>
      <c r="Q66" s="162">
        <v>46076</v>
      </c>
      <c r="R66" s="11"/>
      <c r="S66" s="11"/>
      <c r="T66" s="11"/>
      <c r="U66" s="11"/>
      <c r="V66" s="11"/>
      <c r="W66" s="11"/>
      <c r="X66" s="11"/>
      <c r="Y66" s="11"/>
      <c r="Z66" s="44"/>
      <c r="AA66" s="87"/>
      <c r="AB66" s="284"/>
      <c r="AC66" s="241"/>
      <c r="AD66" s="241"/>
      <c r="AE66" s="9"/>
      <c r="AG66">
        <f>'[7]2026 február'!B$24</f>
        <v>0</v>
      </c>
    </row>
    <row r="67" spans="1:33">
      <c r="A67" s="162">
        <v>46077</v>
      </c>
      <c r="B67" s="11"/>
      <c r="C67" s="11"/>
      <c r="D67" s="11"/>
      <c r="E67" s="11"/>
      <c r="F67" s="11"/>
      <c r="G67" s="11"/>
      <c r="H67" s="11"/>
      <c r="I67" s="11"/>
      <c r="J67" s="44"/>
      <c r="K67" s="87"/>
      <c r="L67" s="284"/>
      <c r="M67" s="241"/>
      <c r="N67" s="241"/>
      <c r="O67" s="9"/>
      <c r="Q67" s="162">
        <v>46077</v>
      </c>
      <c r="R67" s="11"/>
      <c r="S67" s="11"/>
      <c r="T67" s="11"/>
      <c r="U67" s="11"/>
      <c r="V67" s="11"/>
      <c r="W67" s="11"/>
      <c r="X67" s="11"/>
      <c r="Y67" s="11"/>
      <c r="Z67" s="44"/>
      <c r="AA67" s="87"/>
      <c r="AB67" s="284"/>
      <c r="AC67" s="241"/>
      <c r="AD67" s="241"/>
      <c r="AE67" s="9"/>
      <c r="AG67">
        <f>'[7]2026 február'!B$25</f>
        <v>0</v>
      </c>
    </row>
    <row r="68" spans="1:33">
      <c r="A68" s="162">
        <v>46078</v>
      </c>
      <c r="B68" s="11"/>
      <c r="C68" s="11"/>
      <c r="D68" s="11"/>
      <c r="E68" s="11"/>
      <c r="F68" s="11"/>
      <c r="G68" s="11"/>
      <c r="H68" s="11"/>
      <c r="I68" s="11"/>
      <c r="J68" s="44"/>
      <c r="K68" s="87"/>
      <c r="L68" s="284"/>
      <c r="M68" s="241"/>
      <c r="N68" s="241"/>
      <c r="O68" s="9"/>
      <c r="Q68" s="162">
        <v>46078</v>
      </c>
      <c r="R68" s="11"/>
      <c r="S68" s="11"/>
      <c r="T68" s="11"/>
      <c r="U68" s="11"/>
      <c r="V68" s="11"/>
      <c r="W68" s="11"/>
      <c r="X68" s="11"/>
      <c r="Y68" s="11"/>
      <c r="Z68" s="44"/>
      <c r="AA68" s="87"/>
      <c r="AB68" s="284"/>
      <c r="AC68" s="241"/>
      <c r="AD68" s="241"/>
      <c r="AE68" s="9"/>
      <c r="AG68">
        <f>'[7]2026 február'!B$26</f>
        <v>0</v>
      </c>
    </row>
    <row r="69" spans="1:33">
      <c r="A69" s="162">
        <v>46079</v>
      </c>
      <c r="B69" s="11"/>
      <c r="C69" s="11"/>
      <c r="D69" s="11"/>
      <c r="E69" s="11"/>
      <c r="F69" s="11"/>
      <c r="G69" s="11"/>
      <c r="H69" s="11"/>
      <c r="I69" s="11"/>
      <c r="J69" s="44"/>
      <c r="K69" s="87"/>
      <c r="L69" s="284"/>
      <c r="M69" s="241"/>
      <c r="N69" s="241"/>
      <c r="O69" s="9"/>
      <c r="Q69" s="162">
        <v>46079</v>
      </c>
      <c r="R69" s="11"/>
      <c r="S69" s="11"/>
      <c r="T69" s="11"/>
      <c r="U69" s="11"/>
      <c r="V69" s="11"/>
      <c r="W69" s="11"/>
      <c r="X69" s="11"/>
      <c r="Y69" s="11"/>
      <c r="Z69" s="44"/>
      <c r="AA69" s="87"/>
      <c r="AB69" s="284"/>
      <c r="AC69" s="241"/>
      <c r="AD69" s="241"/>
      <c r="AE69" s="9"/>
      <c r="AG69">
        <f>'[7]2026 február'!B$27</f>
        <v>0</v>
      </c>
    </row>
    <row r="70" spans="1:33">
      <c r="A70" s="162">
        <v>46080</v>
      </c>
      <c r="B70" s="11"/>
      <c r="C70" s="11"/>
      <c r="D70" s="11"/>
      <c r="E70" s="11"/>
      <c r="F70" s="11"/>
      <c r="G70" s="11"/>
      <c r="H70" s="11"/>
      <c r="I70" s="11"/>
      <c r="J70" s="44"/>
      <c r="K70" s="87"/>
      <c r="L70" s="284"/>
      <c r="M70" s="241"/>
      <c r="N70" s="241"/>
      <c r="O70" s="9"/>
      <c r="Q70" s="162">
        <v>46080</v>
      </c>
      <c r="R70" s="11"/>
      <c r="S70" s="11"/>
      <c r="T70" s="11"/>
      <c r="U70" s="11"/>
      <c r="V70" s="11"/>
      <c r="W70" s="11"/>
      <c r="X70" s="11"/>
      <c r="Y70" s="11"/>
      <c r="Z70" s="44"/>
      <c r="AA70" s="87"/>
      <c r="AB70" s="284"/>
      <c r="AC70" s="241"/>
      <c r="AD70" s="241"/>
      <c r="AE70" s="9"/>
      <c r="AG70">
        <f>'[7]2026 február'!B$28</f>
        <v>0</v>
      </c>
    </row>
    <row r="71" spans="1:33">
      <c r="A71" s="162">
        <v>46081</v>
      </c>
      <c r="B71" s="163"/>
      <c r="C71" s="163"/>
      <c r="D71" s="163"/>
      <c r="E71" s="163"/>
      <c r="F71" s="163"/>
      <c r="G71" s="163"/>
      <c r="H71" s="163"/>
      <c r="I71" s="163"/>
      <c r="J71" s="164"/>
      <c r="K71" s="167"/>
      <c r="L71" s="283"/>
      <c r="M71" s="414"/>
      <c r="N71" s="414"/>
      <c r="O71" s="179"/>
      <c r="Q71" s="162">
        <v>46081</v>
      </c>
      <c r="R71" s="163"/>
      <c r="S71" s="163"/>
      <c r="T71" s="163"/>
      <c r="U71" s="163"/>
      <c r="V71" s="163"/>
      <c r="W71" s="163"/>
      <c r="X71" s="163"/>
      <c r="Y71" s="163"/>
      <c r="Z71" s="164"/>
      <c r="AA71" s="167"/>
      <c r="AB71" s="283"/>
      <c r="AC71" s="414"/>
      <c r="AD71" s="414"/>
      <c r="AE71" s="179"/>
      <c r="AG71">
        <f>'[7]2026 február'!B$29</f>
        <v>0</v>
      </c>
    </row>
    <row r="72" spans="1:33">
      <c r="A72" s="5"/>
      <c r="B72" s="11"/>
      <c r="C72" s="11"/>
      <c r="D72" s="11"/>
      <c r="E72" s="11"/>
      <c r="F72" s="11"/>
      <c r="G72" s="11"/>
      <c r="H72" s="11"/>
      <c r="I72" s="11"/>
      <c r="J72" s="44"/>
      <c r="K72" s="87"/>
      <c r="L72" s="284"/>
      <c r="M72" s="241"/>
      <c r="N72" s="241"/>
      <c r="O72" s="9"/>
      <c r="Q72" s="5"/>
      <c r="R72" s="11"/>
      <c r="S72" s="11"/>
      <c r="T72" s="11"/>
      <c r="U72" s="11"/>
      <c r="V72" s="11"/>
      <c r="W72" s="11"/>
      <c r="X72" s="11"/>
      <c r="Y72" s="11"/>
      <c r="Z72" s="44"/>
      <c r="AA72" s="87"/>
      <c r="AB72" s="284"/>
      <c r="AC72" s="241"/>
      <c r="AD72" s="241"/>
      <c r="AE72" s="9"/>
      <c r="AG72">
        <f>'[7]2026 február'!B$30</f>
        <v>0</v>
      </c>
    </row>
    <row r="73" spans="1:33">
      <c r="A73" s="5"/>
      <c r="B73" s="11"/>
      <c r="C73" s="11"/>
      <c r="D73" s="11"/>
      <c r="E73" s="11"/>
      <c r="F73" s="11"/>
      <c r="G73" s="11"/>
      <c r="H73" s="11"/>
      <c r="I73" s="11"/>
      <c r="J73" s="44"/>
      <c r="K73" s="87"/>
      <c r="L73" s="284"/>
      <c r="M73" s="241"/>
      <c r="N73" s="241"/>
      <c r="O73" s="9"/>
      <c r="Q73" s="5"/>
      <c r="R73" s="11"/>
      <c r="S73" s="11"/>
      <c r="T73" s="11"/>
      <c r="U73" s="11"/>
      <c r="V73" s="11"/>
      <c r="W73" s="11"/>
      <c r="X73" s="11"/>
      <c r="Y73" s="11"/>
      <c r="Z73" s="44"/>
      <c r="AA73" s="87"/>
      <c r="AB73" s="284"/>
      <c r="AC73" s="241"/>
      <c r="AD73" s="241"/>
      <c r="AE73" s="9"/>
      <c r="AG73">
        <f>'[7]2026 február'!B$31</f>
        <v>0</v>
      </c>
    </row>
    <row r="74" spans="1:33">
      <c r="A74" s="162"/>
      <c r="B74" s="11"/>
      <c r="C74" s="11"/>
      <c r="D74" s="11"/>
      <c r="E74" s="11"/>
      <c r="F74" s="11"/>
      <c r="G74" s="11"/>
      <c r="H74" s="11"/>
      <c r="I74" s="11"/>
      <c r="J74" s="229"/>
      <c r="K74" s="230"/>
      <c r="L74" s="412"/>
      <c r="M74" s="421"/>
      <c r="N74" s="241"/>
      <c r="O74" s="9"/>
      <c r="Q74" s="162"/>
      <c r="R74" s="11"/>
      <c r="S74" s="11"/>
      <c r="T74" s="11"/>
      <c r="U74" s="11"/>
      <c r="V74" s="11"/>
      <c r="W74" s="11"/>
      <c r="X74" s="11"/>
      <c r="Y74" s="11"/>
      <c r="Z74" s="229"/>
      <c r="AA74" s="230"/>
      <c r="AB74" s="412"/>
      <c r="AC74" s="421"/>
      <c r="AD74" s="241"/>
      <c r="AE74" s="9"/>
      <c r="AG74">
        <f>'[7]2026 február'!B$32</f>
        <v>0</v>
      </c>
    </row>
    <row r="75" spans="1:33" ht="18.75">
      <c r="A75" s="21" t="s">
        <v>43</v>
      </c>
      <c r="B75" s="389"/>
      <c r="C75" s="22">
        <f>SUM(C42:C74)</f>
        <v>0</v>
      </c>
      <c r="D75" s="22">
        <f>SUM(D42:D74)</f>
        <v>0</v>
      </c>
      <c r="E75" s="22">
        <f>SUM(E42:E74)</f>
        <v>0</v>
      </c>
      <c r="F75" s="22">
        <f>SUM(F42:F74)</f>
        <v>0</v>
      </c>
      <c r="G75" s="23">
        <f>SUM(G42:G74)</f>
        <v>0</v>
      </c>
      <c r="H75" s="23">
        <f>SUM(H44:H74)</f>
        <v>0</v>
      </c>
      <c r="I75" s="47"/>
      <c r="J75" s="37"/>
      <c r="K75" s="19"/>
      <c r="L75" s="278"/>
      <c r="M75" s="241"/>
      <c r="N75" s="241"/>
      <c r="O75" s="9"/>
      <c r="Q75" s="21" t="s">
        <v>43</v>
      </c>
      <c r="R75" s="389"/>
      <c r="S75" s="22">
        <f>SUM(S42:S74)</f>
        <v>0</v>
      </c>
      <c r="T75" s="22">
        <f>SUM(T42:T74)</f>
        <v>0</v>
      </c>
      <c r="U75" s="22">
        <f>SUM(U42:U74)</f>
        <v>0</v>
      </c>
      <c r="V75" s="22">
        <f>SUM(V42:V74)</f>
        <v>0</v>
      </c>
      <c r="W75" s="23">
        <f>SUM(W42:W74)</f>
        <v>0</v>
      </c>
      <c r="X75" s="23">
        <f>SUM(X44:X74)</f>
        <v>0</v>
      </c>
      <c r="Y75" s="47"/>
      <c r="Z75" s="37"/>
      <c r="AA75" s="19"/>
      <c r="AB75" s="278"/>
      <c r="AC75" s="241"/>
      <c r="AD75" s="241"/>
      <c r="AE75" s="9"/>
      <c r="AG75">
        <f>'[7]2026 február'!B$33</f>
        <v>0</v>
      </c>
    </row>
    <row r="76" spans="1:33">
      <c r="A76" s="5"/>
      <c r="B76" s="11"/>
      <c r="C76" s="34">
        <f>C75+D75+E75+F75</f>
        <v>0</v>
      </c>
      <c r="D76" s="10"/>
      <c r="E76" s="10"/>
      <c r="F76" s="10"/>
      <c r="G76" s="62">
        <f>G75+H75</f>
        <v>0</v>
      </c>
      <c r="H76" s="10"/>
      <c r="I76" s="10"/>
      <c r="J76" s="38"/>
      <c r="K76" s="11"/>
      <c r="L76" s="286"/>
      <c r="M76" s="241"/>
      <c r="N76" s="241"/>
      <c r="O76" s="9"/>
      <c r="Q76" s="5"/>
      <c r="R76" s="11"/>
      <c r="S76" s="34">
        <f>S75+T75+U75+V75</f>
        <v>0</v>
      </c>
      <c r="T76" s="10"/>
      <c r="U76" s="10"/>
      <c r="V76" s="10"/>
      <c r="W76" s="62">
        <f>W75+X75</f>
        <v>0</v>
      </c>
      <c r="X76" s="10"/>
      <c r="Y76" s="10"/>
      <c r="Z76" s="38"/>
      <c r="AA76" s="11"/>
      <c r="AB76" s="286"/>
      <c r="AC76" s="241"/>
      <c r="AD76" s="241"/>
      <c r="AE76" s="9"/>
    </row>
    <row r="77" spans="1:33">
      <c r="A77" s="82"/>
      <c r="C77"/>
      <c r="D77"/>
      <c r="E77"/>
      <c r="F77"/>
      <c r="G77"/>
      <c r="H77"/>
      <c r="I77"/>
      <c r="J77"/>
      <c r="K77"/>
      <c r="L77"/>
      <c r="M77"/>
      <c r="R77" s="383"/>
      <c r="Y77" s="4"/>
      <c r="Z77" s="49"/>
      <c r="AC77" s="4"/>
    </row>
    <row r="78" spans="1:33">
      <c r="A78" s="436" t="s">
        <v>108</v>
      </c>
      <c r="B78" s="437"/>
      <c r="C78" s="438"/>
      <c r="D78" s="438"/>
      <c r="E78" s="438"/>
      <c r="F78" s="439"/>
      <c r="G78" s="439"/>
      <c r="H78" s="439"/>
      <c r="I78" s="439"/>
      <c r="J78" s="440"/>
      <c r="K78" s="441"/>
      <c r="L78"/>
      <c r="M78"/>
      <c r="Q78" s="436" t="s">
        <v>108</v>
      </c>
      <c r="R78" s="437"/>
      <c r="S78" s="438"/>
      <c r="T78" s="438"/>
      <c r="U78" s="438"/>
      <c r="V78" s="439"/>
      <c r="W78" s="439"/>
      <c r="X78" s="439"/>
      <c r="Y78" s="439"/>
      <c r="Z78" s="440"/>
      <c r="AA78" s="441"/>
      <c r="AC78" s="4"/>
    </row>
    <row r="79" spans="1:33">
      <c r="A79" s="442"/>
      <c r="B79" s="435"/>
      <c r="C79" s="435"/>
      <c r="D79" s="435"/>
      <c r="E79" s="435"/>
      <c r="F79" s="435"/>
      <c r="G79" s="429"/>
      <c r="H79" s="429"/>
      <c r="I79" s="429"/>
      <c r="J79" s="429"/>
      <c r="K79" s="443"/>
      <c r="L79"/>
      <c r="M79"/>
      <c r="Q79" s="442"/>
      <c r="R79" s="435"/>
      <c r="S79" s="435"/>
      <c r="T79" s="435"/>
      <c r="U79" s="435"/>
      <c r="V79" s="435"/>
      <c r="W79" s="429"/>
      <c r="X79" s="429"/>
      <c r="Y79" s="429"/>
      <c r="Z79" s="429"/>
      <c r="AA79" s="443"/>
      <c r="AC79" s="4"/>
    </row>
    <row r="80" spans="1:33">
      <c r="A80" s="477"/>
      <c r="B80" s="478"/>
      <c r="C80" s="478"/>
      <c r="D80" s="478"/>
      <c r="E80" s="478"/>
      <c r="F80" s="478"/>
      <c r="G80" s="444"/>
      <c r="H80" s="444"/>
      <c r="I80" s="444"/>
      <c r="J80" s="444"/>
      <c r="K80" s="445"/>
      <c r="L80"/>
      <c r="M80"/>
      <c r="Q80" s="477"/>
      <c r="R80" s="478"/>
      <c r="S80" s="478"/>
      <c r="T80" s="478"/>
      <c r="U80" s="478"/>
      <c r="V80" s="478"/>
      <c r="W80" s="444"/>
      <c r="X80" s="444"/>
      <c r="Y80" s="444"/>
      <c r="Z80" s="444"/>
      <c r="AA80" s="445"/>
      <c r="AC80" s="4"/>
    </row>
    <row r="81" spans="1:29">
      <c r="A81" s="82"/>
      <c r="C81"/>
      <c r="D81"/>
      <c r="E81"/>
      <c r="F81"/>
      <c r="G81"/>
      <c r="H81"/>
      <c r="I81"/>
      <c r="J81"/>
      <c r="K81"/>
      <c r="L81"/>
      <c r="M81"/>
      <c r="R81" s="383"/>
      <c r="Y81" s="4"/>
      <c r="Z81" s="49"/>
      <c r="AC81" s="4"/>
    </row>
    <row r="82" spans="1:29">
      <c r="A82" s="82"/>
      <c r="C82"/>
      <c r="D82"/>
      <c r="E82"/>
      <c r="F82"/>
      <c r="G82"/>
      <c r="H82"/>
      <c r="I82"/>
      <c r="J82"/>
      <c r="K82"/>
      <c r="L82"/>
      <c r="M82"/>
      <c r="R82" s="383"/>
      <c r="Y82" s="4"/>
      <c r="Z82" s="49"/>
      <c r="AC82" s="4"/>
    </row>
    <row r="83" spans="1:29" ht="15" customHeight="1">
      <c r="A83" s="82"/>
      <c r="C83"/>
      <c r="D83"/>
      <c r="E83"/>
      <c r="F83"/>
      <c r="G83"/>
      <c r="H83"/>
      <c r="I83"/>
      <c r="J83"/>
      <c r="K83"/>
      <c r="L83"/>
      <c r="M83"/>
      <c r="R83" s="383"/>
      <c r="Y83" s="4"/>
      <c r="Z83" s="49"/>
      <c r="AA83" s="40"/>
      <c r="AC83" s="4"/>
    </row>
    <row r="84" spans="1:29" ht="15" customHeight="1">
      <c r="A84" s="82"/>
      <c r="C84"/>
      <c r="D84"/>
      <c r="E84"/>
      <c r="F84"/>
      <c r="G84"/>
      <c r="H84"/>
      <c r="I84"/>
      <c r="J84"/>
      <c r="K84"/>
      <c r="L84"/>
      <c r="M84"/>
      <c r="R84" s="383"/>
      <c r="Y84" s="4"/>
      <c r="Z84" s="49"/>
      <c r="AA84" s="40"/>
      <c r="AC84" s="4"/>
    </row>
    <row r="85" spans="1:29" ht="15" customHeight="1">
      <c r="A85" s="82"/>
      <c r="C85"/>
      <c r="D85"/>
      <c r="E85"/>
      <c r="F85"/>
      <c r="G85"/>
      <c r="H85"/>
      <c r="I85"/>
      <c r="J85"/>
      <c r="K85"/>
      <c r="L85"/>
      <c r="M85"/>
      <c r="R85" s="383"/>
      <c r="Y85" s="4"/>
      <c r="Z85" s="49"/>
      <c r="AA85" s="40"/>
      <c r="AC85" s="4"/>
    </row>
    <row r="86" spans="1:29" ht="15" customHeight="1">
      <c r="R86" s="383"/>
    </row>
    <row r="87" spans="1:29" ht="15" customHeight="1">
      <c r="R87" s="383"/>
    </row>
    <row r="88" spans="1:29" ht="15" customHeight="1">
      <c r="R88" s="383"/>
    </row>
    <row r="89" spans="1:29" ht="15" customHeight="1">
      <c r="R89" s="383"/>
    </row>
    <row r="90" spans="1:29" ht="15" customHeight="1">
      <c r="R90" s="383"/>
    </row>
    <row r="91" spans="1:29" ht="15" customHeight="1">
      <c r="R91" s="383"/>
    </row>
    <row r="92" spans="1:29" ht="15" customHeight="1">
      <c r="R92" s="383"/>
    </row>
    <row r="93" spans="1:29" ht="15" customHeight="1">
      <c r="R93" s="383"/>
    </row>
    <row r="94" spans="1:29" ht="15" customHeight="1">
      <c r="R94" s="383"/>
    </row>
    <row r="95" spans="1:29" ht="15" customHeight="1">
      <c r="R95" s="383"/>
    </row>
    <row r="96" spans="1:29" ht="15" customHeight="1">
      <c r="R96" s="383"/>
    </row>
    <row r="97" spans="18:18" ht="15" customHeight="1">
      <c r="R97" s="383"/>
    </row>
    <row r="98" spans="18:18" ht="15" customHeight="1">
      <c r="R98" s="383"/>
    </row>
    <row r="99" spans="18:18" ht="15" customHeight="1">
      <c r="R99" s="383"/>
    </row>
    <row r="100" spans="18:18" ht="15" customHeight="1">
      <c r="R100" s="383"/>
    </row>
    <row r="101" spans="18:18" ht="15" customHeight="1">
      <c r="R101" s="383"/>
    </row>
    <row r="102" spans="18:18" ht="15" customHeight="1">
      <c r="R102" s="383"/>
    </row>
    <row r="103" spans="18:18" ht="15" customHeight="1">
      <c r="R103" s="383"/>
    </row>
    <row r="104" spans="18:18" ht="15" customHeight="1">
      <c r="R104" s="383"/>
    </row>
    <row r="105" spans="18:18" ht="15" customHeight="1">
      <c r="R105" s="383"/>
    </row>
    <row r="106" spans="18:18" ht="15" customHeight="1">
      <c r="R106" s="383"/>
    </row>
    <row r="107" spans="18:18" ht="15" customHeight="1">
      <c r="R107" s="383"/>
    </row>
    <row r="108" spans="18:18" ht="15" customHeight="1">
      <c r="R108" s="383"/>
    </row>
    <row r="109" spans="18:18" ht="15" customHeight="1">
      <c r="R109" s="383"/>
    </row>
    <row r="110" spans="18:18" ht="15" customHeight="1">
      <c r="R110" s="383"/>
    </row>
    <row r="111" spans="18:18" ht="15" customHeight="1">
      <c r="R111" s="383"/>
    </row>
    <row r="112" spans="18:18" ht="15" customHeight="1">
      <c r="R112" s="383"/>
    </row>
    <row r="113" spans="18:18" ht="15" customHeight="1">
      <c r="R113" s="383"/>
    </row>
    <row r="114" spans="18:18" ht="15" customHeight="1">
      <c r="R114" s="383"/>
    </row>
    <row r="115" spans="18:18" ht="15" customHeight="1">
      <c r="R115" s="383"/>
    </row>
    <row r="116" spans="18:18" ht="15" customHeight="1">
      <c r="R116" s="383"/>
    </row>
    <row r="117" spans="18:18" ht="15" customHeight="1">
      <c r="R117" s="383"/>
    </row>
    <row r="118" spans="18:18" ht="15" customHeight="1">
      <c r="R118" s="383"/>
    </row>
    <row r="119" spans="18:18" ht="15" customHeight="1">
      <c r="R119" s="383"/>
    </row>
    <row r="120" spans="18:18" ht="15" customHeight="1">
      <c r="R120" s="383"/>
    </row>
    <row r="121" spans="18:18" ht="15" customHeight="1">
      <c r="R121" s="383"/>
    </row>
    <row r="122" spans="18:18" ht="15" customHeight="1">
      <c r="R122" s="383"/>
    </row>
    <row r="123" spans="18:18" ht="15" customHeight="1">
      <c r="R123" s="383"/>
    </row>
    <row r="124" spans="18:18" ht="15" customHeight="1">
      <c r="R124" s="383"/>
    </row>
    <row r="125" spans="18:18" ht="15" customHeight="1">
      <c r="R125" s="383"/>
    </row>
    <row r="126" spans="18:18" ht="15" customHeight="1">
      <c r="R126" s="383"/>
    </row>
    <row r="127" spans="18:18" ht="15" customHeight="1">
      <c r="R127" s="383"/>
    </row>
    <row r="128" spans="18:18" ht="15" customHeight="1">
      <c r="R128" s="383"/>
    </row>
    <row r="129" spans="18:18" ht="15" customHeight="1">
      <c r="R129" s="383"/>
    </row>
    <row r="130" spans="18:18" ht="15" customHeight="1">
      <c r="R130" s="383"/>
    </row>
    <row r="131" spans="18:18" ht="15" customHeight="1">
      <c r="R131" s="383"/>
    </row>
    <row r="132" spans="18:18" ht="15" customHeight="1">
      <c r="R132" s="383"/>
    </row>
    <row r="133" spans="18:18" ht="15" customHeight="1">
      <c r="R133" s="383"/>
    </row>
    <row r="134" spans="18:18" ht="15" customHeight="1">
      <c r="R134" s="383"/>
    </row>
    <row r="135" spans="18:18" ht="15" customHeight="1">
      <c r="R135" s="383"/>
    </row>
    <row r="136" spans="18:18" ht="15" customHeight="1">
      <c r="R136" s="383"/>
    </row>
    <row r="137" spans="18:18" ht="15" customHeight="1">
      <c r="R137" s="383"/>
    </row>
    <row r="138" spans="18:18" ht="15" customHeight="1">
      <c r="R138" s="383"/>
    </row>
    <row r="139" spans="18:18" ht="15" customHeight="1">
      <c r="R139" s="383"/>
    </row>
    <row r="140" spans="18:18" ht="15" customHeight="1">
      <c r="R140" s="383"/>
    </row>
    <row r="141" spans="18:18" ht="15" customHeight="1">
      <c r="R141" s="383"/>
    </row>
    <row r="142" spans="18:18" ht="15" customHeight="1">
      <c r="R142" s="383"/>
    </row>
    <row r="143" spans="18:18" ht="15" customHeight="1">
      <c r="R143" s="383"/>
    </row>
    <row r="144" spans="18:18" ht="15" customHeight="1">
      <c r="R144" s="383"/>
    </row>
    <row r="145" spans="18:18" ht="15" customHeight="1">
      <c r="R145" s="383"/>
    </row>
    <row r="146" spans="18:18" ht="15" customHeight="1">
      <c r="R146" s="383"/>
    </row>
    <row r="147" spans="18:18" ht="15" customHeight="1">
      <c r="R147" s="383"/>
    </row>
    <row r="148" spans="18:18" ht="15" customHeight="1">
      <c r="R148" s="383"/>
    </row>
    <row r="149" spans="18:18" ht="15" customHeight="1">
      <c r="R149" s="383"/>
    </row>
    <row r="150" spans="18:18" ht="15" customHeight="1">
      <c r="R150" s="383"/>
    </row>
    <row r="151" spans="18:18" ht="15" customHeight="1">
      <c r="R151" s="383"/>
    </row>
    <row r="152" spans="18:18" ht="15" customHeight="1">
      <c r="R152" s="383"/>
    </row>
    <row r="153" spans="18:18" ht="15" customHeight="1">
      <c r="R153" s="383"/>
    </row>
    <row r="154" spans="18:18" ht="15" customHeight="1">
      <c r="R154" s="383"/>
    </row>
    <row r="155" spans="18:18" ht="15" customHeight="1">
      <c r="R155" s="383"/>
    </row>
    <row r="156" spans="18:18" ht="15" customHeight="1">
      <c r="R156" s="383"/>
    </row>
    <row r="157" spans="18:18" ht="15" customHeight="1">
      <c r="R157" s="383"/>
    </row>
    <row r="158" spans="18:18" ht="15" customHeight="1">
      <c r="R158" s="383"/>
    </row>
    <row r="159" spans="18:18" ht="15" customHeight="1">
      <c r="R159" s="383"/>
    </row>
    <row r="160" spans="18:18" ht="15" customHeight="1">
      <c r="R160" s="383"/>
    </row>
    <row r="161" spans="18:18" ht="15" customHeight="1">
      <c r="R161" s="383"/>
    </row>
    <row r="162" spans="18:18" ht="15" customHeight="1">
      <c r="R162" s="383"/>
    </row>
    <row r="163" spans="18:18" ht="15" customHeight="1">
      <c r="R163" s="383"/>
    </row>
    <row r="164" spans="18:18" ht="15" customHeight="1">
      <c r="R164" s="383"/>
    </row>
    <row r="165" spans="18:18" ht="15" customHeight="1">
      <c r="R165" s="383"/>
    </row>
    <row r="166" spans="18:18" ht="15" customHeight="1">
      <c r="R166" s="383"/>
    </row>
    <row r="167" spans="18:18" ht="15" customHeight="1">
      <c r="R167" s="383"/>
    </row>
    <row r="168" spans="18:18" ht="15" customHeight="1">
      <c r="R168" s="383"/>
    </row>
    <row r="169" spans="18:18" ht="15" customHeight="1">
      <c r="R169" s="383"/>
    </row>
    <row r="170" spans="18:18" ht="15" customHeight="1">
      <c r="R170" s="383"/>
    </row>
    <row r="171" spans="18:18" ht="15" customHeight="1">
      <c r="R171" s="383"/>
    </row>
    <row r="172" spans="18:18" ht="15" customHeight="1">
      <c r="R172" s="383"/>
    </row>
    <row r="173" spans="18:18" ht="15" customHeight="1">
      <c r="R173" s="383"/>
    </row>
    <row r="174" spans="18:18" ht="15" customHeight="1">
      <c r="R174" s="383"/>
    </row>
    <row r="175" spans="18:18" ht="15" customHeight="1">
      <c r="R175" s="383"/>
    </row>
    <row r="176" spans="18:18" ht="15" customHeight="1">
      <c r="R176" s="383"/>
    </row>
    <row r="177" spans="18:18" ht="15" customHeight="1">
      <c r="R177" s="383"/>
    </row>
    <row r="178" spans="18:18" ht="15" customHeight="1">
      <c r="R178" s="383"/>
    </row>
    <row r="179" spans="18:18" ht="15" customHeight="1">
      <c r="R179" s="383"/>
    </row>
    <row r="180" spans="18:18" ht="15" customHeight="1">
      <c r="R180" s="383"/>
    </row>
    <row r="181" spans="18:18" ht="15" customHeight="1">
      <c r="R181" s="383"/>
    </row>
    <row r="182" spans="18:18" ht="15" customHeight="1">
      <c r="R182" s="383"/>
    </row>
    <row r="183" spans="18:18" ht="15" customHeight="1">
      <c r="R183" s="383"/>
    </row>
    <row r="184" spans="18:18" ht="15" customHeight="1">
      <c r="R184" s="383"/>
    </row>
    <row r="185" spans="18:18" ht="15" customHeight="1">
      <c r="R185" s="383"/>
    </row>
    <row r="186" spans="18:18" ht="15" customHeight="1">
      <c r="R186" s="383"/>
    </row>
    <row r="187" spans="18:18" ht="15" customHeight="1">
      <c r="R187" s="383"/>
    </row>
    <row r="188" spans="18:18" ht="15" customHeight="1">
      <c r="R188" s="383"/>
    </row>
    <row r="189" spans="18:18" ht="15" customHeight="1">
      <c r="R189" s="383"/>
    </row>
    <row r="190" spans="18:18" ht="15" customHeight="1">
      <c r="R190" s="383"/>
    </row>
    <row r="191" spans="18:18" ht="15" customHeight="1">
      <c r="R191" s="383"/>
    </row>
    <row r="192" spans="18:18" ht="15" customHeight="1">
      <c r="R192" s="383"/>
    </row>
    <row r="193" spans="18:18" ht="15" customHeight="1">
      <c r="R193" s="383"/>
    </row>
    <row r="194" spans="18:18" ht="15" customHeight="1">
      <c r="R194" s="383"/>
    </row>
    <row r="195" spans="18:18" ht="15" customHeight="1">
      <c r="R195" s="383"/>
    </row>
    <row r="196" spans="18:18" ht="15" customHeight="1">
      <c r="R196" s="383"/>
    </row>
    <row r="197" spans="18:18" ht="15" customHeight="1">
      <c r="R197" s="383"/>
    </row>
    <row r="198" spans="18:18" ht="15" customHeight="1">
      <c r="R198" s="383"/>
    </row>
    <row r="199" spans="18:18" ht="15" customHeight="1">
      <c r="R199" s="383"/>
    </row>
    <row r="200" spans="18:18" ht="15" customHeight="1">
      <c r="R200" s="383"/>
    </row>
    <row r="201" spans="18:18" ht="15" customHeight="1">
      <c r="R201" s="383"/>
    </row>
    <row r="202" spans="18:18" ht="15" customHeight="1">
      <c r="R202" s="383"/>
    </row>
    <row r="203" spans="18:18" ht="15" customHeight="1">
      <c r="R203" s="383"/>
    </row>
    <row r="204" spans="18:18" ht="15" customHeight="1">
      <c r="R204" s="383"/>
    </row>
    <row r="205" spans="18:18" ht="15" customHeight="1">
      <c r="R205" s="383"/>
    </row>
    <row r="206" spans="18:18" ht="15" customHeight="1">
      <c r="R206" s="383"/>
    </row>
    <row r="207" spans="18:18" ht="15" customHeight="1">
      <c r="R207" s="383"/>
    </row>
    <row r="208" spans="18:18" ht="15" customHeight="1">
      <c r="R208" s="383"/>
    </row>
    <row r="209" spans="18:18" ht="15" customHeight="1">
      <c r="R209" s="383"/>
    </row>
    <row r="210" spans="18:18" ht="15" customHeight="1">
      <c r="R210" s="383"/>
    </row>
    <row r="211" spans="18:18" ht="15" customHeight="1">
      <c r="R211" s="383"/>
    </row>
    <row r="212" spans="18:18" ht="15" customHeight="1">
      <c r="R212" s="383"/>
    </row>
    <row r="213" spans="18:18" ht="15" customHeight="1">
      <c r="R213" s="383"/>
    </row>
    <row r="214" spans="18:18" ht="15" customHeight="1">
      <c r="R214" s="383"/>
    </row>
    <row r="215" spans="18:18" ht="15" customHeight="1">
      <c r="R215" s="383"/>
    </row>
    <row r="216" spans="18:18" ht="15" customHeight="1">
      <c r="R216" s="383"/>
    </row>
    <row r="217" spans="18:18" ht="15" customHeight="1">
      <c r="R217" s="383"/>
    </row>
    <row r="218" spans="18:18" ht="15" customHeight="1">
      <c r="R218" s="383"/>
    </row>
    <row r="219" spans="18:18" ht="15" customHeight="1">
      <c r="R219" s="383"/>
    </row>
    <row r="220" spans="18:18" ht="15" customHeight="1">
      <c r="R220" s="383"/>
    </row>
    <row r="221" spans="18:18" ht="15" customHeight="1">
      <c r="R221" s="383"/>
    </row>
    <row r="222" spans="18:18" ht="15" customHeight="1">
      <c r="R222" s="383"/>
    </row>
    <row r="223" spans="18:18" ht="15" customHeight="1">
      <c r="R223" s="383"/>
    </row>
    <row r="224" spans="18:18" ht="15" customHeight="1">
      <c r="R224" s="383"/>
    </row>
    <row r="225" spans="18:18" ht="15" customHeight="1">
      <c r="R225" s="383"/>
    </row>
    <row r="226" spans="18:18" ht="15" customHeight="1">
      <c r="R226" s="383"/>
    </row>
    <row r="227" spans="18:18" ht="15" customHeight="1">
      <c r="R227" s="383"/>
    </row>
    <row r="228" spans="18:18" ht="15" customHeight="1">
      <c r="R228" s="383"/>
    </row>
    <row r="229" spans="18:18" ht="15" customHeight="1">
      <c r="R229" s="383"/>
    </row>
    <row r="230" spans="18:18" ht="15" customHeight="1">
      <c r="R230" s="383"/>
    </row>
    <row r="231" spans="18:18" ht="15" customHeight="1">
      <c r="R231" s="383"/>
    </row>
    <row r="232" spans="18:18" ht="15" customHeight="1">
      <c r="R232" s="383"/>
    </row>
    <row r="233" spans="18:18" ht="15" customHeight="1">
      <c r="R233" s="383"/>
    </row>
    <row r="234" spans="18:18" ht="15" customHeight="1">
      <c r="R234" s="383"/>
    </row>
    <row r="235" spans="18:18" ht="15" customHeight="1">
      <c r="R235" s="383"/>
    </row>
    <row r="236" spans="18:18" ht="15" customHeight="1">
      <c r="R236" s="383"/>
    </row>
    <row r="237" spans="18:18" ht="15" customHeight="1">
      <c r="R237" s="383"/>
    </row>
    <row r="238" spans="18:18" ht="15" customHeight="1">
      <c r="R238" s="383"/>
    </row>
    <row r="239" spans="18:18" ht="15" customHeight="1">
      <c r="R239" s="383"/>
    </row>
    <row r="240" spans="18:18" ht="15" customHeight="1">
      <c r="R240" s="383"/>
    </row>
    <row r="241" spans="18:18" ht="15" customHeight="1">
      <c r="R241" s="383"/>
    </row>
    <row r="242" spans="18:18" ht="15" customHeight="1">
      <c r="R242" s="383"/>
    </row>
    <row r="243" spans="18:18" ht="15" customHeight="1">
      <c r="R243" s="383"/>
    </row>
    <row r="244" spans="18:18" ht="15" customHeight="1">
      <c r="R244" s="383"/>
    </row>
    <row r="245" spans="18:18" ht="15" customHeight="1">
      <c r="R245" s="383"/>
    </row>
    <row r="246" spans="18:18" ht="15" customHeight="1">
      <c r="R246" s="383"/>
    </row>
    <row r="247" spans="18:18" ht="15" customHeight="1">
      <c r="R247" s="383"/>
    </row>
    <row r="248" spans="18:18" ht="15" customHeight="1">
      <c r="R248" s="383"/>
    </row>
    <row r="249" spans="18:18" ht="15" customHeight="1">
      <c r="R249" s="383"/>
    </row>
    <row r="250" spans="18:18" ht="15" customHeight="1">
      <c r="R250" s="383"/>
    </row>
    <row r="251" spans="18:18" ht="15" customHeight="1">
      <c r="R251" s="383"/>
    </row>
    <row r="252" spans="18:18" ht="15" customHeight="1">
      <c r="R252" s="383"/>
    </row>
    <row r="253" spans="18:18" ht="15" customHeight="1">
      <c r="R253" s="383"/>
    </row>
    <row r="254" spans="18:18" ht="15" customHeight="1">
      <c r="R254" s="383"/>
    </row>
    <row r="255" spans="18:18" ht="15" customHeight="1">
      <c r="R255" s="383"/>
    </row>
    <row r="256" spans="18:18" ht="15" customHeight="1">
      <c r="R256" s="383"/>
    </row>
    <row r="257" spans="18:18" ht="15" customHeight="1">
      <c r="R257" s="383"/>
    </row>
    <row r="258" spans="18:18" ht="15" customHeight="1">
      <c r="R258" s="383"/>
    </row>
    <row r="259" spans="18:18" ht="15" customHeight="1">
      <c r="R259" s="383"/>
    </row>
    <row r="260" spans="18:18" ht="15" customHeight="1">
      <c r="R260" s="383"/>
    </row>
    <row r="261" spans="18:18" ht="15" customHeight="1">
      <c r="R261" s="383"/>
    </row>
    <row r="262" spans="18:18" ht="15" customHeight="1">
      <c r="R262" s="383"/>
    </row>
    <row r="263" spans="18:18" ht="15" customHeight="1">
      <c r="R263" s="383"/>
    </row>
    <row r="264" spans="18:18" ht="15" customHeight="1">
      <c r="R264" s="383"/>
    </row>
    <row r="265" spans="18:18" ht="15" customHeight="1">
      <c r="R265" s="383"/>
    </row>
    <row r="266" spans="18:18" ht="15" customHeight="1">
      <c r="R266" s="383"/>
    </row>
    <row r="267" spans="18:18" ht="15" customHeight="1">
      <c r="R267" s="383"/>
    </row>
    <row r="268" spans="18:18" ht="15" customHeight="1">
      <c r="R268" s="383"/>
    </row>
    <row r="269" spans="18:18" ht="15" customHeight="1">
      <c r="R269" s="383"/>
    </row>
    <row r="270" spans="18:18" ht="15" customHeight="1">
      <c r="R270" s="383"/>
    </row>
    <row r="271" spans="18:18" ht="15" customHeight="1">
      <c r="R271" s="383"/>
    </row>
    <row r="272" spans="18:18" ht="15" customHeight="1">
      <c r="R272" s="383"/>
    </row>
    <row r="273" spans="18:18" ht="15" customHeight="1">
      <c r="R273" s="383"/>
    </row>
    <row r="274" spans="18:18" ht="15" customHeight="1">
      <c r="R274" s="383"/>
    </row>
    <row r="275" spans="18:18" ht="15" customHeight="1">
      <c r="R275" s="383"/>
    </row>
    <row r="276" spans="18:18" ht="15" customHeight="1">
      <c r="R276" s="383"/>
    </row>
    <row r="277" spans="18:18" ht="15" customHeight="1">
      <c r="R277" s="383"/>
    </row>
    <row r="278" spans="18:18" ht="15" customHeight="1">
      <c r="R278" s="383"/>
    </row>
    <row r="279" spans="18:18" ht="15" customHeight="1">
      <c r="R279" s="383"/>
    </row>
    <row r="280" spans="18:18" ht="15" customHeight="1">
      <c r="R280" s="383"/>
    </row>
    <row r="281" spans="18:18" ht="15" customHeight="1">
      <c r="R281" s="383"/>
    </row>
    <row r="282" spans="18:18" ht="15" customHeight="1">
      <c r="R282" s="383"/>
    </row>
    <row r="283" spans="18:18" ht="15" customHeight="1">
      <c r="R283" s="383"/>
    </row>
    <row r="284" spans="18:18" ht="15" customHeight="1">
      <c r="R284" s="383"/>
    </row>
    <row r="285" spans="18:18" ht="15" customHeight="1">
      <c r="R285" s="383"/>
    </row>
    <row r="286" spans="18:18" ht="15" customHeight="1">
      <c r="R286" s="383"/>
    </row>
    <row r="287" spans="18:18" ht="15" customHeight="1">
      <c r="R287" s="383"/>
    </row>
    <row r="288" spans="18:18" ht="15" customHeight="1">
      <c r="R288" s="383"/>
    </row>
    <row r="289" spans="18:18" ht="15" customHeight="1">
      <c r="R289" s="383"/>
    </row>
    <row r="290" spans="18:18" ht="15" customHeight="1">
      <c r="R290" s="383"/>
    </row>
    <row r="291" spans="18:18" ht="15" customHeight="1">
      <c r="R291" s="383"/>
    </row>
    <row r="292" spans="18:18" ht="15" customHeight="1">
      <c r="R292" s="383"/>
    </row>
    <row r="293" spans="18:18" ht="15" customHeight="1">
      <c r="R293" s="383"/>
    </row>
    <row r="294" spans="18:18" ht="15" customHeight="1">
      <c r="R294" s="383"/>
    </row>
    <row r="295" spans="18:18" ht="15" customHeight="1">
      <c r="R295" s="383"/>
    </row>
    <row r="296" spans="18:18" ht="15" customHeight="1">
      <c r="R296" s="383"/>
    </row>
    <row r="297" spans="18:18" ht="15" customHeight="1">
      <c r="R297" s="383"/>
    </row>
    <row r="298" spans="18:18" ht="15" customHeight="1">
      <c r="R298" s="383"/>
    </row>
    <row r="299" spans="18:18" ht="15" customHeight="1">
      <c r="R299" s="383"/>
    </row>
    <row r="300" spans="18:18" ht="15" customHeight="1">
      <c r="R300" s="383"/>
    </row>
    <row r="301" spans="18:18" ht="15" customHeight="1">
      <c r="R301" s="383"/>
    </row>
    <row r="302" spans="18:18" ht="15" customHeight="1">
      <c r="R302" s="383"/>
    </row>
    <row r="303" spans="18:18" ht="15" customHeight="1">
      <c r="R303" s="383"/>
    </row>
    <row r="304" spans="18:18" ht="15" customHeight="1">
      <c r="R304" s="383"/>
    </row>
    <row r="305" spans="18:18" ht="15" customHeight="1">
      <c r="R305" s="383"/>
    </row>
    <row r="306" spans="18:18" ht="15" customHeight="1">
      <c r="R306" s="383"/>
    </row>
    <row r="307" spans="18:18" ht="15" customHeight="1">
      <c r="R307" s="383"/>
    </row>
    <row r="308" spans="18:18" ht="15" customHeight="1">
      <c r="R308" s="383"/>
    </row>
    <row r="309" spans="18:18" ht="15" customHeight="1">
      <c r="R309" s="383"/>
    </row>
    <row r="310" spans="18:18" ht="15" customHeight="1">
      <c r="R310" s="383"/>
    </row>
    <row r="311" spans="18:18" ht="15" customHeight="1">
      <c r="R311" s="383"/>
    </row>
    <row r="312" spans="18:18" ht="15" customHeight="1">
      <c r="R312" s="383"/>
    </row>
    <row r="313" spans="18:18" ht="15" customHeight="1">
      <c r="R313" s="383"/>
    </row>
    <row r="314" spans="18:18" ht="15" customHeight="1">
      <c r="R314" s="383"/>
    </row>
    <row r="315" spans="18:18" ht="15" customHeight="1">
      <c r="R315" s="383"/>
    </row>
    <row r="316" spans="18:18" ht="15" customHeight="1">
      <c r="R316" s="383"/>
    </row>
    <row r="317" spans="18:18" ht="15" customHeight="1">
      <c r="R317" s="383"/>
    </row>
    <row r="318" spans="18:18" ht="15" customHeight="1">
      <c r="R318" s="383"/>
    </row>
    <row r="319" spans="18:18" ht="15" customHeight="1">
      <c r="R319" s="383"/>
    </row>
    <row r="320" spans="18:18" ht="15" customHeight="1">
      <c r="R320" s="383"/>
    </row>
    <row r="321" spans="18:18" ht="15" customHeight="1">
      <c r="R321" s="383"/>
    </row>
    <row r="322" spans="18:18" ht="15" customHeight="1">
      <c r="R322" s="383"/>
    </row>
    <row r="323" spans="18:18" ht="15" customHeight="1">
      <c r="R323" s="383"/>
    </row>
    <row r="324" spans="18:18" ht="15" customHeight="1">
      <c r="R324" s="383"/>
    </row>
    <row r="325" spans="18:18" ht="15" customHeight="1">
      <c r="R325" s="383"/>
    </row>
    <row r="326" spans="18:18" ht="15" customHeight="1">
      <c r="R326" s="383"/>
    </row>
    <row r="327" spans="18:18" ht="15" customHeight="1">
      <c r="R327" s="383"/>
    </row>
    <row r="328" spans="18:18" ht="15" customHeight="1">
      <c r="R328" s="383"/>
    </row>
    <row r="329" spans="18:18" ht="15" customHeight="1">
      <c r="R329" s="383"/>
    </row>
    <row r="330" spans="18:18" ht="15" customHeight="1">
      <c r="R330" s="383"/>
    </row>
    <row r="331" spans="18:18" ht="15" customHeight="1">
      <c r="R331" s="383"/>
    </row>
    <row r="332" spans="18:18" ht="15" customHeight="1">
      <c r="R332" s="383"/>
    </row>
    <row r="333" spans="18:18" ht="15" customHeight="1">
      <c r="R333" s="383"/>
    </row>
    <row r="334" spans="18:18" ht="15" customHeight="1">
      <c r="R334" s="383"/>
    </row>
    <row r="335" spans="18:18" ht="15" customHeight="1">
      <c r="R335" s="383"/>
    </row>
    <row r="336" spans="18:18" ht="15" customHeight="1">
      <c r="R336" s="383"/>
    </row>
    <row r="337" spans="18:18" ht="15" customHeight="1">
      <c r="R337" s="383"/>
    </row>
    <row r="338" spans="18:18" ht="15" customHeight="1">
      <c r="R338" s="383"/>
    </row>
    <row r="339" spans="18:18" ht="15" customHeight="1">
      <c r="R339" s="383"/>
    </row>
    <row r="340" spans="18:18" ht="15" customHeight="1">
      <c r="R340" s="383"/>
    </row>
    <row r="341" spans="18:18" ht="15" customHeight="1">
      <c r="R341" s="383"/>
    </row>
    <row r="342" spans="18:18" ht="15" customHeight="1">
      <c r="R342" s="383"/>
    </row>
    <row r="343" spans="18:18" ht="15" customHeight="1">
      <c r="R343" s="383"/>
    </row>
    <row r="344" spans="18:18" ht="15" customHeight="1">
      <c r="R344" s="383"/>
    </row>
    <row r="345" spans="18:18" ht="15" customHeight="1">
      <c r="R345" s="383"/>
    </row>
    <row r="346" spans="18:18" ht="15" customHeight="1">
      <c r="R346" s="383"/>
    </row>
    <row r="347" spans="18:18" ht="15" customHeight="1">
      <c r="R347" s="383"/>
    </row>
    <row r="348" spans="18:18" ht="15" customHeight="1">
      <c r="R348" s="383"/>
    </row>
    <row r="349" spans="18:18" ht="15" customHeight="1">
      <c r="R349" s="383"/>
    </row>
    <row r="350" spans="18:18" ht="15" customHeight="1">
      <c r="R350" s="383"/>
    </row>
    <row r="351" spans="18:18" ht="15" customHeight="1">
      <c r="R351" s="383"/>
    </row>
    <row r="352" spans="18:18" ht="15" customHeight="1">
      <c r="R352" s="383"/>
    </row>
    <row r="353" spans="18:18" ht="15" customHeight="1">
      <c r="R353" s="383"/>
    </row>
    <row r="354" spans="18:18" ht="15" customHeight="1">
      <c r="R354" s="383"/>
    </row>
    <row r="355" spans="18:18" ht="15" customHeight="1">
      <c r="R355" s="383"/>
    </row>
    <row r="356" spans="18:18" ht="15" customHeight="1">
      <c r="R356" s="383"/>
    </row>
    <row r="357" spans="18:18" ht="15" customHeight="1">
      <c r="R357" s="383"/>
    </row>
    <row r="358" spans="18:18" ht="15" customHeight="1">
      <c r="R358" s="383"/>
    </row>
    <row r="359" spans="18:18" ht="15" customHeight="1">
      <c r="R359" s="383"/>
    </row>
    <row r="360" spans="18:18" ht="15" customHeight="1">
      <c r="R360" s="383"/>
    </row>
    <row r="361" spans="18:18" ht="15" customHeight="1">
      <c r="R361" s="383"/>
    </row>
    <row r="362" spans="18:18" ht="15" customHeight="1">
      <c r="R362" s="383"/>
    </row>
    <row r="363" spans="18:18" ht="15" customHeight="1">
      <c r="R363" s="383"/>
    </row>
    <row r="364" spans="18:18" ht="15" customHeight="1">
      <c r="R364" s="383"/>
    </row>
    <row r="365" spans="18:18" ht="15" customHeight="1">
      <c r="R365" s="383"/>
    </row>
    <row r="366" spans="18:18" ht="15" customHeight="1">
      <c r="R366" s="383"/>
    </row>
    <row r="367" spans="18:18" ht="15" customHeight="1">
      <c r="R367" s="383"/>
    </row>
    <row r="368" spans="18:18" ht="15" customHeight="1">
      <c r="R368" s="383"/>
    </row>
    <row r="369" spans="18:18" ht="15" customHeight="1">
      <c r="R369" s="383"/>
    </row>
    <row r="370" spans="18:18" ht="15" customHeight="1">
      <c r="R370" s="383"/>
    </row>
    <row r="371" spans="18:18" ht="15" customHeight="1">
      <c r="R371" s="383"/>
    </row>
    <row r="372" spans="18:18" ht="15" customHeight="1">
      <c r="R372" s="383"/>
    </row>
    <row r="373" spans="18:18" ht="15" customHeight="1">
      <c r="R373" s="383"/>
    </row>
    <row r="374" spans="18:18" ht="15" customHeight="1">
      <c r="R374" s="383"/>
    </row>
    <row r="375" spans="18:18" ht="15" customHeight="1">
      <c r="R375" s="383"/>
    </row>
    <row r="376" spans="18:18" ht="15" customHeight="1">
      <c r="R376" s="383"/>
    </row>
    <row r="377" spans="18:18" ht="15" customHeight="1">
      <c r="R377" s="383"/>
    </row>
    <row r="378" spans="18:18" ht="15" customHeight="1">
      <c r="R378" s="383"/>
    </row>
    <row r="379" spans="18:18" ht="15" customHeight="1">
      <c r="R379" s="383"/>
    </row>
    <row r="380" spans="18:18" ht="15" customHeight="1">
      <c r="R380" s="383"/>
    </row>
    <row r="381" spans="18:18" ht="15" customHeight="1">
      <c r="R381" s="383"/>
    </row>
    <row r="382" spans="18:18" ht="15" customHeight="1">
      <c r="R382" s="383"/>
    </row>
    <row r="383" spans="18:18" ht="15" customHeight="1">
      <c r="R383" s="383"/>
    </row>
    <row r="384" spans="18:18" ht="15" customHeight="1">
      <c r="R384" s="383"/>
    </row>
    <row r="385" spans="18:18" ht="15" customHeight="1">
      <c r="R385" s="383"/>
    </row>
    <row r="386" spans="18:18" ht="15" customHeight="1">
      <c r="R386" s="383"/>
    </row>
    <row r="387" spans="18:18" ht="15" customHeight="1">
      <c r="R387" s="383"/>
    </row>
    <row r="388" spans="18:18" ht="15" customHeight="1">
      <c r="R388" s="383"/>
    </row>
    <row r="389" spans="18:18" ht="15" customHeight="1">
      <c r="R389" s="383"/>
    </row>
    <row r="390" spans="18:18" ht="15" customHeight="1">
      <c r="R390" s="383"/>
    </row>
    <row r="391" spans="18:18" ht="15" customHeight="1">
      <c r="R391" s="383"/>
    </row>
    <row r="392" spans="18:18" ht="15" customHeight="1">
      <c r="R392" s="383"/>
    </row>
    <row r="393" spans="18:18" ht="15" customHeight="1">
      <c r="R393" s="383"/>
    </row>
    <row r="394" spans="18:18" ht="15" customHeight="1">
      <c r="R394" s="383"/>
    </row>
    <row r="395" spans="18:18" ht="15" customHeight="1">
      <c r="R395" s="383"/>
    </row>
    <row r="396" spans="18:18" ht="15" customHeight="1">
      <c r="R396" s="383"/>
    </row>
    <row r="397" spans="18:18" ht="15" customHeight="1">
      <c r="R397" s="383"/>
    </row>
    <row r="398" spans="18:18" ht="15" customHeight="1">
      <c r="R398" s="383"/>
    </row>
    <row r="399" spans="18:18" ht="15" customHeight="1">
      <c r="R399" s="383"/>
    </row>
    <row r="400" spans="18:18" ht="15" customHeight="1">
      <c r="R400" s="383"/>
    </row>
    <row r="401" spans="18:18" ht="15" customHeight="1">
      <c r="R401" s="383"/>
    </row>
    <row r="402" spans="18:18" ht="15" customHeight="1">
      <c r="R402" s="383"/>
    </row>
    <row r="403" spans="18:18" ht="15" customHeight="1">
      <c r="R403" s="383"/>
    </row>
    <row r="404" spans="18:18" ht="15" customHeight="1">
      <c r="R404" s="383"/>
    </row>
    <row r="405" spans="18:18" ht="15" customHeight="1">
      <c r="R405" s="383"/>
    </row>
    <row r="406" spans="18:18" ht="15" customHeight="1">
      <c r="R406" s="383"/>
    </row>
    <row r="407" spans="18:18" ht="15" customHeight="1">
      <c r="R407" s="383"/>
    </row>
    <row r="408" spans="18:18" ht="15" customHeight="1">
      <c r="R408" s="383"/>
    </row>
    <row r="409" spans="18:18" ht="15" customHeight="1">
      <c r="R409" s="383"/>
    </row>
    <row r="410" spans="18:18" ht="15" customHeight="1">
      <c r="R410" s="383"/>
    </row>
    <row r="411" spans="18:18" ht="15" customHeight="1">
      <c r="R411" s="383"/>
    </row>
    <row r="412" spans="18:18" ht="15" customHeight="1">
      <c r="R412" s="383"/>
    </row>
    <row r="413" spans="18:18" ht="15" customHeight="1">
      <c r="R413" s="383"/>
    </row>
    <row r="414" spans="18:18" ht="15" customHeight="1">
      <c r="R414" s="383"/>
    </row>
    <row r="415" spans="18:18" ht="15" customHeight="1">
      <c r="R415" s="383"/>
    </row>
    <row r="416" spans="18:18" ht="15" customHeight="1">
      <c r="R416" s="383"/>
    </row>
    <row r="417" spans="18:18" ht="15" customHeight="1">
      <c r="R417" s="383"/>
    </row>
    <row r="418" spans="18:18" ht="15" customHeight="1">
      <c r="R418" s="383"/>
    </row>
    <row r="419" spans="18:18" ht="15" customHeight="1">
      <c r="R419" s="383"/>
    </row>
    <row r="420" spans="18:18" ht="15" customHeight="1">
      <c r="R420" s="383"/>
    </row>
    <row r="421" spans="18:18" ht="15" customHeight="1">
      <c r="R421" s="383"/>
    </row>
    <row r="422" spans="18:18" ht="15" customHeight="1">
      <c r="R422" s="383"/>
    </row>
    <row r="423" spans="18:18" ht="15" customHeight="1">
      <c r="R423" s="383"/>
    </row>
    <row r="424" spans="18:18" ht="15" customHeight="1">
      <c r="R424" s="383"/>
    </row>
    <row r="425" spans="18:18" ht="15" customHeight="1">
      <c r="R425" s="383"/>
    </row>
    <row r="426" spans="18:18" ht="15" customHeight="1">
      <c r="R426" s="383"/>
    </row>
    <row r="427" spans="18:18" ht="15" customHeight="1">
      <c r="R427" s="383"/>
    </row>
    <row r="428" spans="18:18" ht="15" customHeight="1">
      <c r="R428" s="383"/>
    </row>
    <row r="429" spans="18:18" ht="15" customHeight="1">
      <c r="R429" s="383"/>
    </row>
    <row r="430" spans="18:18" ht="15" customHeight="1">
      <c r="R430" s="383"/>
    </row>
    <row r="431" spans="18:18" ht="15" customHeight="1">
      <c r="R431" s="383"/>
    </row>
    <row r="432" spans="18:18" ht="15" customHeight="1">
      <c r="R432" s="383"/>
    </row>
    <row r="433" spans="18:18" ht="15" customHeight="1">
      <c r="R433" s="383"/>
    </row>
    <row r="434" spans="18:18" ht="15" customHeight="1">
      <c r="R434" s="383"/>
    </row>
    <row r="435" spans="18:18" ht="15" customHeight="1">
      <c r="R435" s="383"/>
    </row>
    <row r="436" spans="18:18" ht="15" customHeight="1">
      <c r="R436" s="383"/>
    </row>
    <row r="437" spans="18:18" ht="15" customHeight="1">
      <c r="R437" s="383"/>
    </row>
    <row r="438" spans="18:18" ht="15" customHeight="1">
      <c r="R438" s="383"/>
    </row>
    <row r="439" spans="18:18" ht="15" customHeight="1">
      <c r="R439" s="383"/>
    </row>
    <row r="440" spans="18:18" ht="15" customHeight="1">
      <c r="R440" s="383"/>
    </row>
    <row r="441" spans="18:18" ht="15" customHeight="1">
      <c r="R441" s="383"/>
    </row>
    <row r="442" spans="18:18" ht="15" customHeight="1">
      <c r="R442" s="383"/>
    </row>
    <row r="443" spans="18:18" ht="15" customHeight="1">
      <c r="R443" s="383"/>
    </row>
    <row r="444" spans="18:18" ht="15" customHeight="1">
      <c r="R444" s="383"/>
    </row>
    <row r="445" spans="18:18" ht="15" customHeight="1">
      <c r="R445" s="383"/>
    </row>
    <row r="446" spans="18:18" ht="15" customHeight="1">
      <c r="R446" s="383"/>
    </row>
    <row r="447" spans="18:18" ht="15" customHeight="1">
      <c r="R447" s="383"/>
    </row>
    <row r="448" spans="18:18" ht="15" customHeight="1">
      <c r="R448" s="383"/>
    </row>
    <row r="449" spans="18:18" ht="15" customHeight="1">
      <c r="R449" s="383"/>
    </row>
    <row r="450" spans="18:18" ht="15" customHeight="1">
      <c r="R450" s="383"/>
    </row>
    <row r="451" spans="18:18" ht="15" customHeight="1">
      <c r="R451" s="383"/>
    </row>
    <row r="452" spans="18:18" ht="15" customHeight="1">
      <c r="R452" s="383"/>
    </row>
    <row r="453" spans="18:18" ht="15" customHeight="1">
      <c r="R453" s="383"/>
    </row>
    <row r="454" spans="18:18" ht="15" customHeight="1">
      <c r="R454" s="383"/>
    </row>
    <row r="455" spans="18:18" ht="15" customHeight="1">
      <c r="R455" s="383"/>
    </row>
    <row r="456" spans="18:18" ht="15" customHeight="1">
      <c r="R456" s="383"/>
    </row>
    <row r="457" spans="18:18" ht="15" customHeight="1">
      <c r="R457" s="383"/>
    </row>
    <row r="458" spans="18:18" ht="15" customHeight="1">
      <c r="R458" s="383"/>
    </row>
  </sheetData>
  <sheetProtection formatCells="0" formatColumns="0" formatRows="0"/>
  <protectedRanges>
    <protectedRange sqref="A86:A590 P459:AD587 Q83:Q85 N83:O587 AE37:BH43 C86:M590 P86:Q458 S83:AD458 AE76:BH587 AE44:AF75 AH44:BH75" name="Range1"/>
    <protectedRange sqref="I1" name="Range2"/>
    <protectedRange sqref="Y1" name="Range2_1"/>
    <protectedRange sqref="Q36:Q38 A36:A38 N38:O42 A42 M39:M41 Q42 AC39:AD41 C38:M38 C36:O37 C42:M42 S36:AD38 S42:AD42 N77:O82 O43:O76 A77 C77:M77 Q77 S77:AD77 A81:A85 C81:M85 L78:M80 Q81:Q82 S81:AD82 AB78:AD80" name="Range1_3"/>
    <protectedRange sqref="M2:O2 AC2:AE2" name="Range1_2_1"/>
    <protectedRange sqref="J1 Z1" name="Range2_3"/>
    <protectedRange sqref="B36:B38 B42 R36:R38 R42 B77 R77 B81:B501 R81:R458" name="Range1_1"/>
    <protectedRange sqref="B1 R1" name="Range1_1_1"/>
  </protectedRanges>
  <mergeCells count="2">
    <mergeCell ref="A80:F80"/>
    <mergeCell ref="Q80:V80"/>
  </mergeCells>
  <conditionalFormatting sqref="A2 C2:L2">
    <cfRule type="containsText" dxfId="185" priority="80" stopIfTrue="1" operator="containsText" text="ELTÉRÉS!">
      <formula>NOT(ISERROR(SEARCH("ELTÉRÉS!",A2)))</formula>
    </cfRule>
    <cfRule type="containsText" dxfId="184" priority="81" stopIfTrue="1" operator="containsText" text="STIMMEL!">
      <formula>NOT(ISERROR(SEARCH("STIMMEL!",A2)))</formula>
    </cfRule>
  </conditionalFormatting>
  <conditionalFormatting sqref="A2 C2:L2">
    <cfRule type="cellIs" dxfId="183" priority="79" operator="equal">
      <formula>0.01</formula>
    </cfRule>
  </conditionalFormatting>
  <conditionalFormatting sqref="Q2 S2:AB2">
    <cfRule type="containsText" dxfId="182" priority="77" stopIfTrue="1" operator="containsText" text="ELTÉRÉS!">
      <formula>NOT(ISERROR(SEARCH("ELTÉRÉS!",Q2)))</formula>
    </cfRule>
    <cfRule type="containsText" dxfId="181" priority="78" stopIfTrue="1" operator="containsText" text="STIMMEL!">
      <formula>NOT(ISERROR(SEARCH("STIMMEL!",Q2)))</formula>
    </cfRule>
  </conditionalFormatting>
  <conditionalFormatting sqref="Q2 S2:AB2">
    <cfRule type="cellIs" dxfId="180" priority="76" operator="equal">
      <formula>0.01</formula>
    </cfRule>
  </conditionalFormatting>
  <conditionalFormatting sqref="M3:M33">
    <cfRule type="containsText" dxfId="179" priority="71" stopIfTrue="1" operator="containsText" text="ELTÉRÉS!">
      <formula>NOT(ISERROR(SEARCH("ELTÉRÉS!",M3)))</formula>
    </cfRule>
    <cfRule type="containsText" dxfId="178" priority="72" stopIfTrue="1" operator="containsText" text="STIMMEL!">
      <formula>NOT(ISERROR(SEARCH("STIMMEL!",M3)))</formula>
    </cfRule>
  </conditionalFormatting>
  <conditionalFormatting sqref="M3:M33">
    <cfRule type="cellIs" dxfId="177" priority="70" operator="equal">
      <formula>0.01</formula>
    </cfRule>
  </conditionalFormatting>
  <conditionalFormatting sqref="A3:A33 C3:L33">
    <cfRule type="containsText" dxfId="176" priority="68" stopIfTrue="1" operator="containsText" text="ELTÉRÉS!">
      <formula>NOT(ISERROR(SEARCH("ELTÉRÉS!",A3)))</formula>
    </cfRule>
    <cfRule type="containsText" dxfId="175" priority="69" stopIfTrue="1" operator="containsText" text="STIMMEL!">
      <formula>NOT(ISERROR(SEARCH("STIMMEL!",A3)))</formula>
    </cfRule>
  </conditionalFormatting>
  <conditionalFormatting sqref="A3:A33 C3:L33">
    <cfRule type="cellIs" dxfId="174" priority="67" operator="equal">
      <formula>0.01</formula>
    </cfRule>
  </conditionalFormatting>
  <conditionalFormatting sqref="AC3:AC33">
    <cfRule type="containsText" dxfId="173" priority="65" stopIfTrue="1" operator="containsText" text="ELTÉRÉS!">
      <formula>NOT(ISERROR(SEARCH("ELTÉRÉS!",AC3)))</formula>
    </cfRule>
    <cfRule type="containsText" dxfId="172" priority="66" stopIfTrue="1" operator="containsText" text="STIMMEL!">
      <formula>NOT(ISERROR(SEARCH("STIMMEL!",AC3)))</formula>
    </cfRule>
  </conditionalFormatting>
  <conditionalFormatting sqref="AC3:AC33">
    <cfRule type="cellIs" dxfId="171" priority="64" operator="equal">
      <formula>0.01</formula>
    </cfRule>
  </conditionalFormatting>
  <conditionalFormatting sqref="Q3:Q33 S3:AB33">
    <cfRule type="containsText" dxfId="170" priority="62" stopIfTrue="1" operator="containsText" text="ELTÉRÉS!">
      <formula>NOT(ISERROR(SEARCH("ELTÉRÉS!",Q3)))</formula>
    </cfRule>
    <cfRule type="containsText" dxfId="169" priority="63" stopIfTrue="1" operator="containsText" text="STIMMEL!">
      <formula>NOT(ISERROR(SEARCH("STIMMEL!",Q3)))</formula>
    </cfRule>
  </conditionalFormatting>
  <conditionalFormatting sqref="Q3:Q33 S3:AB33">
    <cfRule type="cellIs" dxfId="168" priority="61" operator="equal">
      <formula>0.01</formula>
    </cfRule>
  </conditionalFormatting>
  <conditionalFormatting sqref="Q39 U40:AB41 V39:AB39">
    <cfRule type="containsText" dxfId="167" priority="47" stopIfTrue="1" operator="containsText" text="ELTÉRÉS!">
      <formula>NOT(ISERROR(SEARCH("ELTÉRÉS!",Q39)))</formula>
    </cfRule>
    <cfRule type="containsText" dxfId="166" priority="48" stopIfTrue="1" operator="containsText" text="STIMMEL!">
      <formula>NOT(ISERROR(SEARCH("STIMMEL!",Q39)))</formula>
    </cfRule>
  </conditionalFormatting>
  <conditionalFormatting sqref="Q39 U40:AB41 V39:AB39">
    <cfRule type="cellIs" dxfId="165" priority="46" operator="equal">
      <formula>0.01</formula>
    </cfRule>
  </conditionalFormatting>
  <conditionalFormatting sqref="A39 E40:L41 F39:L39">
    <cfRule type="containsText" dxfId="164" priority="44" stopIfTrue="1" operator="containsText" text="ELTÉRÉS!">
      <formula>NOT(ISERROR(SEARCH("ELTÉRÉS!",A39)))</formula>
    </cfRule>
    <cfRule type="containsText" dxfId="163" priority="45" stopIfTrue="1" operator="containsText" text="STIMMEL!">
      <formula>NOT(ISERROR(SEARCH("STIMMEL!",A39)))</formula>
    </cfRule>
  </conditionalFormatting>
  <conditionalFormatting sqref="A39 E40:L41 F39:L39">
    <cfRule type="cellIs" dxfId="162" priority="43" operator="equal">
      <formula>0.01</formula>
    </cfRule>
  </conditionalFormatting>
  <conditionalFormatting sqref="B2:B33">
    <cfRule type="containsText" dxfId="161" priority="41" stopIfTrue="1" operator="containsText" text="ELTÉRÉS!">
      <formula>NOT(ISERROR(SEARCH("ELTÉRÉS!",B2)))</formula>
    </cfRule>
    <cfRule type="containsText" dxfId="160" priority="42" stopIfTrue="1" operator="containsText" text="STIMMEL!">
      <formula>NOT(ISERROR(SEARCH("STIMMEL!",B2)))</formula>
    </cfRule>
  </conditionalFormatting>
  <conditionalFormatting sqref="B2:B33">
    <cfRule type="cellIs" dxfId="159" priority="40" operator="equal">
      <formula>0.01</formula>
    </cfRule>
  </conditionalFormatting>
  <conditionalFormatting sqref="B39">
    <cfRule type="containsText" dxfId="158" priority="38" stopIfTrue="1" operator="containsText" text="ELTÉRÉS!">
      <formula>NOT(ISERROR(SEARCH("ELTÉRÉS!",B39)))</formula>
    </cfRule>
    <cfRule type="containsText" dxfId="157" priority="39" stopIfTrue="1" operator="containsText" text="STIMMEL!">
      <formula>NOT(ISERROR(SEARCH("STIMMEL!",B39)))</formula>
    </cfRule>
  </conditionalFormatting>
  <conditionalFormatting sqref="B39">
    <cfRule type="cellIs" dxfId="156" priority="37" operator="equal">
      <formula>0.01</formula>
    </cfRule>
  </conditionalFormatting>
  <conditionalFormatting sqref="R2:R33">
    <cfRule type="containsText" dxfId="155" priority="35" stopIfTrue="1" operator="containsText" text="ELTÉRÉS!">
      <formula>NOT(ISERROR(SEARCH("ELTÉRÉS!",R2)))</formula>
    </cfRule>
    <cfRule type="containsText" dxfId="154" priority="36" stopIfTrue="1" operator="containsText" text="STIMMEL!">
      <formula>NOT(ISERROR(SEARCH("STIMMEL!",R2)))</formula>
    </cfRule>
  </conditionalFormatting>
  <conditionalFormatting sqref="R2:R33">
    <cfRule type="cellIs" dxfId="153" priority="34" operator="equal">
      <formula>0.01</formula>
    </cfRule>
  </conditionalFormatting>
  <conditionalFormatting sqref="R39">
    <cfRule type="containsText" dxfId="152" priority="32" stopIfTrue="1" operator="containsText" text="ELTÉRÉS!">
      <formula>NOT(ISERROR(SEARCH("ELTÉRÉS!",R39)))</formula>
    </cfRule>
    <cfRule type="containsText" dxfId="151" priority="33" stopIfTrue="1" operator="containsText" text="STIMMEL!">
      <formula>NOT(ISERROR(SEARCH("STIMMEL!",R39)))</formula>
    </cfRule>
  </conditionalFormatting>
  <conditionalFormatting sqref="R39">
    <cfRule type="cellIs" dxfId="150" priority="31" operator="equal">
      <formula>0.01</formula>
    </cfRule>
  </conditionalFormatting>
  <conditionalFormatting sqref="C43:N76 A43:A76">
    <cfRule type="containsText" dxfId="149" priority="29" stopIfTrue="1" operator="containsText" text="ELTÉRÉS!">
      <formula>NOT(ISERROR(SEARCH("ELTÉRÉS!",A43)))</formula>
    </cfRule>
    <cfRule type="containsText" dxfId="148" priority="30" stopIfTrue="1" operator="containsText" text="STIMMEL!">
      <formula>NOT(ISERROR(SEARCH("STIMMEL!",A43)))</formula>
    </cfRule>
  </conditionalFormatting>
  <conditionalFormatting sqref="C43:N76 A43:A76">
    <cfRule type="cellIs" dxfId="147" priority="28" operator="equal">
      <formula>0.01</formula>
    </cfRule>
  </conditionalFormatting>
  <conditionalFormatting sqref="B43:B74">
    <cfRule type="containsText" dxfId="146" priority="26" stopIfTrue="1" operator="containsText" text="ELTÉRÉS!">
      <formula>NOT(ISERROR(SEARCH("ELTÉRÉS!",B43)))</formula>
    </cfRule>
    <cfRule type="containsText" dxfId="145" priority="27" stopIfTrue="1" operator="containsText" text="STIMMEL!">
      <formula>NOT(ISERROR(SEARCH("STIMMEL!",B43)))</formula>
    </cfRule>
  </conditionalFormatting>
  <conditionalFormatting sqref="B43:B74">
    <cfRule type="cellIs" dxfId="144" priority="25" operator="equal">
      <formula>0.01</formula>
    </cfRule>
  </conditionalFormatting>
  <conditionalFormatting sqref="S43:AD76 Q43:Q76">
    <cfRule type="containsText" dxfId="143" priority="23" stopIfTrue="1" operator="containsText" text="ELTÉRÉS!">
      <formula>NOT(ISERROR(SEARCH("ELTÉRÉS!",Q43)))</formula>
    </cfRule>
    <cfRule type="containsText" dxfId="142" priority="24" stopIfTrue="1" operator="containsText" text="STIMMEL!">
      <formula>NOT(ISERROR(SEARCH("STIMMEL!",Q43)))</formula>
    </cfRule>
  </conditionalFormatting>
  <conditionalFormatting sqref="S43:AD76 Q43:Q76">
    <cfRule type="cellIs" dxfId="141" priority="22" operator="equal">
      <formula>0.01</formula>
    </cfRule>
  </conditionalFormatting>
  <conditionalFormatting sqref="R43:R74">
    <cfRule type="containsText" dxfId="140" priority="20" stopIfTrue="1" operator="containsText" text="ELTÉRÉS!">
      <formula>NOT(ISERROR(SEARCH("ELTÉRÉS!",R43)))</formula>
    </cfRule>
    <cfRule type="containsText" dxfId="139" priority="21" stopIfTrue="1" operator="containsText" text="STIMMEL!">
      <formula>NOT(ISERROR(SEARCH("STIMMEL!",R43)))</formula>
    </cfRule>
  </conditionalFormatting>
  <conditionalFormatting sqref="R43:R74">
    <cfRule type="cellIs" dxfId="138" priority="19" operator="equal">
      <formula>0.01</formula>
    </cfRule>
  </conditionalFormatting>
  <conditionalFormatting sqref="F78:K78">
    <cfRule type="containsText" dxfId="137" priority="17" stopIfTrue="1" operator="containsText" text="ELTÉRÉS!">
      <formula>NOT(ISERROR(SEARCH("ELTÉRÉS!",F78)))</formula>
    </cfRule>
    <cfRule type="containsText" dxfId="136" priority="18" stopIfTrue="1" operator="containsText" text="STIMMEL!">
      <formula>NOT(ISERROR(SEARCH("STIMMEL!",F78)))</formula>
    </cfRule>
  </conditionalFormatting>
  <conditionalFormatting sqref="F78:K78">
    <cfRule type="cellIs" dxfId="135" priority="16" operator="equal">
      <formula>0.01</formula>
    </cfRule>
  </conditionalFormatting>
  <conditionalFormatting sqref="A78">
    <cfRule type="containsText" dxfId="134" priority="14" stopIfTrue="1" operator="containsText" text="ELTÉRÉS!">
      <formula>NOT(ISERROR(SEARCH("ELTÉRÉS!",A78)))</formula>
    </cfRule>
    <cfRule type="containsText" dxfId="133" priority="15" stopIfTrue="1" operator="containsText" text="STIMMEL!">
      <formula>NOT(ISERROR(SEARCH("STIMMEL!",A78)))</formula>
    </cfRule>
  </conditionalFormatting>
  <conditionalFormatting sqref="A78">
    <cfRule type="cellIs" dxfId="132" priority="13" operator="equal">
      <formula>0.01</formula>
    </cfRule>
  </conditionalFormatting>
  <conditionalFormatting sqref="B78">
    <cfRule type="containsText" dxfId="131" priority="11" stopIfTrue="1" operator="containsText" text="ELTÉRÉS!">
      <formula>NOT(ISERROR(SEARCH("ELTÉRÉS!",B78)))</formula>
    </cfRule>
    <cfRule type="containsText" dxfId="130" priority="12" stopIfTrue="1" operator="containsText" text="STIMMEL!">
      <formula>NOT(ISERROR(SEARCH("STIMMEL!",B78)))</formula>
    </cfRule>
  </conditionalFormatting>
  <conditionalFormatting sqref="B78">
    <cfRule type="cellIs" dxfId="129" priority="10" operator="equal">
      <formula>0.01</formula>
    </cfRule>
  </conditionalFormatting>
  <conditionalFormatting sqref="V78:AA78">
    <cfRule type="containsText" dxfId="128" priority="8" stopIfTrue="1" operator="containsText" text="ELTÉRÉS!">
      <formula>NOT(ISERROR(SEARCH("ELTÉRÉS!",V78)))</formula>
    </cfRule>
    <cfRule type="containsText" dxfId="127" priority="9" stopIfTrue="1" operator="containsText" text="STIMMEL!">
      <formula>NOT(ISERROR(SEARCH("STIMMEL!",V78)))</formula>
    </cfRule>
  </conditionalFormatting>
  <conditionalFormatting sqref="V78:AA78">
    <cfRule type="cellIs" dxfId="126" priority="7" operator="equal">
      <formula>0.01</formula>
    </cfRule>
  </conditionalFormatting>
  <conditionalFormatting sqref="Q78">
    <cfRule type="containsText" dxfId="125" priority="5" stopIfTrue="1" operator="containsText" text="ELTÉRÉS!">
      <formula>NOT(ISERROR(SEARCH("ELTÉRÉS!",Q78)))</formula>
    </cfRule>
    <cfRule type="containsText" dxfId="124" priority="6" stopIfTrue="1" operator="containsText" text="STIMMEL!">
      <formula>NOT(ISERROR(SEARCH("STIMMEL!",Q78)))</formula>
    </cfRule>
  </conditionalFormatting>
  <conditionalFormatting sqref="Q78">
    <cfRule type="cellIs" dxfId="123" priority="4" operator="equal">
      <formula>0.01</formula>
    </cfRule>
  </conditionalFormatting>
  <conditionalFormatting sqref="R78">
    <cfRule type="containsText" dxfId="122" priority="2" stopIfTrue="1" operator="containsText" text="ELTÉRÉS!">
      <formula>NOT(ISERROR(SEARCH("ELTÉRÉS!",R78)))</formula>
    </cfRule>
    <cfRule type="containsText" dxfId="121" priority="3" stopIfTrue="1" operator="containsText" text="STIMMEL!">
      <formula>NOT(ISERROR(SEARCH("STIMMEL!",R78)))</formula>
    </cfRule>
  </conditionalFormatting>
  <conditionalFormatting sqref="R78">
    <cfRule type="cellIs" dxfId="120" priority="1" operator="equal">
      <formula>0.01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2926-6D15-4A5D-B920-49FB7CFD48C5}">
  <dimension ref="A1:CG80"/>
  <sheetViews>
    <sheetView workbookViewId="0">
      <pane ySplit="1" topLeftCell="M48" activePane="bottomLeft" state="frozen"/>
      <selection pane="bottomLeft" activeCell="BB48" sqref="BB48"/>
    </sheetView>
  </sheetViews>
  <sheetFormatPr defaultRowHeight="15" customHeight="1"/>
  <cols>
    <col min="1" max="1" width="14.42578125" style="82" hidden="1" customWidth="1"/>
    <col min="2" max="3" width="12.7109375" style="4" hidden="1" customWidth="1"/>
    <col min="4" max="4" width="11.5703125" style="4" hidden="1" customWidth="1"/>
    <col min="5" max="5" width="11.42578125" style="4" hidden="1" customWidth="1"/>
    <col min="6" max="7" width="12.7109375" style="4" hidden="1" customWidth="1"/>
    <col min="8" max="8" width="12.7109375" hidden="1" customWidth="1"/>
    <col min="9" max="9" width="11.85546875" style="40" hidden="1" customWidth="1"/>
    <col min="10" max="11" width="15.5703125" style="4" hidden="1" customWidth="1"/>
    <col min="12" max="12" width="9.140625" hidden="1" customWidth="1"/>
    <col min="13" max="13" width="14.42578125" customWidth="1"/>
    <col min="14" max="16" width="12.7109375" style="4" customWidth="1"/>
    <col min="17" max="17" width="13.85546875" style="4" customWidth="1"/>
    <col min="18" max="21" width="12.7109375" style="4" customWidth="1"/>
    <col min="22" max="22" width="9.140625" style="40"/>
    <col min="23" max="23" width="15.85546875" style="4" customWidth="1"/>
    <col min="24" max="24" width="14.28515625" style="4" customWidth="1"/>
    <col min="26" max="26" width="15" customWidth="1"/>
    <col min="27" max="27" width="9.140625" customWidth="1"/>
    <col min="28" max="28" width="15.140625" customWidth="1"/>
    <col min="29" max="34" width="12.7109375" customWidth="1"/>
    <col min="35" max="35" width="15.42578125" style="40" customWidth="1"/>
    <col min="36" max="36" width="14.28515625" customWidth="1"/>
    <col min="37" max="37" width="14.140625" customWidth="1"/>
    <col min="38" max="38" width="16.28515625" customWidth="1"/>
    <col min="39" max="39" width="14.140625" customWidth="1"/>
    <col min="40" max="40" width="9.140625" bestFit="1" customWidth="1"/>
    <col min="41" max="41" width="15" customWidth="1"/>
    <col min="42" max="49" width="12.7109375" style="4" customWidth="1"/>
    <col min="50" max="50" width="14.140625" style="40" customWidth="1"/>
    <col min="51" max="51" width="16.7109375" style="4" bestFit="1" customWidth="1"/>
    <col min="52" max="52" width="17.5703125" customWidth="1"/>
    <col min="53" max="53" width="15.42578125" customWidth="1"/>
    <col min="54" max="54" width="16" style="4" customWidth="1"/>
    <col min="55" max="55" width="9.140625" bestFit="1" customWidth="1"/>
    <col min="56" max="56" width="15" customWidth="1"/>
    <col min="57" max="57" width="7.140625" style="4" customWidth="1"/>
    <col min="58" max="58" width="14.7109375" style="4" customWidth="1"/>
    <col min="59" max="59" width="10.140625" style="4" bestFit="1" customWidth="1"/>
    <col min="60" max="60" width="13.140625" style="4" customWidth="1"/>
    <col min="61" max="61" width="10.140625" style="4" bestFit="1" customWidth="1"/>
    <col min="62" max="62" width="11.7109375" style="4" customWidth="1"/>
    <col min="63" max="63" width="14.140625" style="40" customWidth="1"/>
    <col min="64" max="64" width="13.85546875" style="4" bestFit="1" customWidth="1"/>
    <col min="65" max="65" width="13.28515625" customWidth="1"/>
    <col min="66" max="66" width="8.5703125" customWidth="1"/>
    <col min="67" max="67" width="18.5703125" customWidth="1"/>
    <col min="68" max="68" width="9.7109375" customWidth="1"/>
    <col min="69" max="69" width="17.42578125" customWidth="1"/>
    <col min="70" max="70" width="9.140625" bestFit="1" customWidth="1"/>
    <col min="71" max="71" width="15" customWidth="1"/>
    <col min="73" max="73" width="14.140625" customWidth="1"/>
    <col min="77" max="77" width="10.85546875" customWidth="1"/>
    <col min="78" max="78" width="11.7109375" style="42" customWidth="1"/>
    <col min="80" max="80" width="12" customWidth="1"/>
    <col min="81" max="81" width="14" customWidth="1"/>
    <col min="82" max="82" width="12.85546875" customWidth="1"/>
    <col min="83" max="84" width="14.140625" customWidth="1"/>
    <col min="85" max="85" width="13.140625" customWidth="1"/>
  </cols>
  <sheetData>
    <row r="1" spans="1:85" ht="26.25" customHeight="1">
      <c r="A1" s="83"/>
      <c r="B1" s="3">
        <v>0</v>
      </c>
      <c r="C1" s="3">
        <v>0.05</v>
      </c>
      <c r="D1" s="3">
        <v>0.18</v>
      </c>
      <c r="E1" s="3">
        <v>0.27</v>
      </c>
      <c r="F1" s="2" t="s">
        <v>78</v>
      </c>
      <c r="G1" s="2" t="s">
        <v>79</v>
      </c>
      <c r="H1" s="48" t="s">
        <v>80</v>
      </c>
      <c r="I1" s="36" t="s">
        <v>116</v>
      </c>
      <c r="J1" s="2" t="s">
        <v>82</v>
      </c>
      <c r="K1" s="75" t="s">
        <v>83</v>
      </c>
      <c r="M1" s="35" t="s">
        <v>35</v>
      </c>
      <c r="N1" s="3">
        <v>0</v>
      </c>
      <c r="O1" s="3">
        <v>0.05</v>
      </c>
      <c r="P1" s="3">
        <v>0.18</v>
      </c>
      <c r="Q1" s="3">
        <v>0.27</v>
      </c>
      <c r="R1" s="2" t="s">
        <v>78</v>
      </c>
      <c r="S1" s="2" t="s">
        <v>79</v>
      </c>
      <c r="T1" s="48" t="s">
        <v>80</v>
      </c>
      <c r="U1" s="152" t="s">
        <v>115</v>
      </c>
      <c r="V1" s="36" t="s">
        <v>116</v>
      </c>
      <c r="W1" s="213" t="s">
        <v>82</v>
      </c>
      <c r="X1" s="76" t="s">
        <v>83</v>
      </c>
      <c r="Y1" s="59" t="s">
        <v>84</v>
      </c>
      <c r="Z1" s="59" t="s">
        <v>85</v>
      </c>
      <c r="AB1" s="35" t="s">
        <v>37</v>
      </c>
      <c r="AC1" s="3">
        <v>0</v>
      </c>
      <c r="AD1" s="3">
        <v>0.05</v>
      </c>
      <c r="AE1" s="3">
        <v>0.18</v>
      </c>
      <c r="AF1" s="3">
        <v>0.27</v>
      </c>
      <c r="AG1" s="2" t="s">
        <v>78</v>
      </c>
      <c r="AH1" s="2" t="s">
        <v>79</v>
      </c>
      <c r="AI1" s="48" t="s">
        <v>80</v>
      </c>
      <c r="AJ1" s="152" t="s">
        <v>115</v>
      </c>
      <c r="AK1" s="36" t="s">
        <v>116</v>
      </c>
      <c r="AL1" s="213" t="s">
        <v>82</v>
      </c>
      <c r="AM1" s="76" t="s">
        <v>83</v>
      </c>
      <c r="AN1" s="59" t="s">
        <v>84</v>
      </c>
      <c r="AO1" s="59" t="s">
        <v>85</v>
      </c>
      <c r="AP1"/>
      <c r="AQ1" s="2" t="s">
        <v>38</v>
      </c>
      <c r="AR1" s="3">
        <v>0</v>
      </c>
      <c r="AS1" s="3">
        <v>0.05</v>
      </c>
      <c r="AT1" s="3">
        <v>0.18</v>
      </c>
      <c r="AU1" s="3">
        <v>0.27</v>
      </c>
      <c r="AV1" s="2" t="s">
        <v>78</v>
      </c>
      <c r="AW1" s="2" t="s">
        <v>79</v>
      </c>
      <c r="AX1" s="48" t="s">
        <v>80</v>
      </c>
      <c r="AY1" s="152" t="s">
        <v>115</v>
      </c>
      <c r="AZ1" s="36" t="s">
        <v>116</v>
      </c>
      <c r="BA1" s="213" t="s">
        <v>301</v>
      </c>
      <c r="BB1" s="2" t="s">
        <v>83</v>
      </c>
      <c r="BC1" s="59" t="s">
        <v>84</v>
      </c>
      <c r="BD1" s="59" t="s">
        <v>85</v>
      </c>
      <c r="BE1" s="184"/>
      <c r="BF1" s="80" t="s">
        <v>40</v>
      </c>
      <c r="BG1" s="3">
        <v>0</v>
      </c>
      <c r="BH1" s="3">
        <v>0.05</v>
      </c>
      <c r="BI1" s="3">
        <v>0.18</v>
      </c>
      <c r="BJ1" s="3">
        <v>0.27</v>
      </c>
      <c r="BK1" s="2" t="s">
        <v>78</v>
      </c>
      <c r="BL1" s="2" t="s">
        <v>79</v>
      </c>
      <c r="BM1" s="48" t="s">
        <v>80</v>
      </c>
      <c r="BN1" s="2" t="s">
        <v>116</v>
      </c>
      <c r="BO1" s="2" t="s">
        <v>82</v>
      </c>
      <c r="BP1" s="76" t="s">
        <v>83</v>
      </c>
      <c r="BQ1" s="2" t="s">
        <v>302</v>
      </c>
      <c r="BR1" s="59" t="s">
        <v>84</v>
      </c>
      <c r="BS1" s="59" t="s">
        <v>85</v>
      </c>
      <c r="BT1" s="175"/>
      <c r="BU1" s="205"/>
      <c r="BV1" s="3">
        <v>0</v>
      </c>
      <c r="BW1" s="3">
        <v>0.05</v>
      </c>
      <c r="BX1" s="3">
        <v>0.18</v>
      </c>
      <c r="BY1" s="3">
        <v>0.27</v>
      </c>
      <c r="BZ1" s="2" t="s">
        <v>78</v>
      </c>
      <c r="CA1" s="2" t="s">
        <v>79</v>
      </c>
      <c r="CB1" s="48" t="s">
        <v>80</v>
      </c>
      <c r="CC1" s="2" t="s">
        <v>116</v>
      </c>
      <c r="CD1" s="2" t="s">
        <v>82</v>
      </c>
      <c r="CE1" s="76" t="s">
        <v>83</v>
      </c>
      <c r="CF1" s="206" t="s">
        <v>84</v>
      </c>
      <c r="CG1" s="206" t="s">
        <v>85</v>
      </c>
    </row>
    <row r="2" spans="1:85" ht="21">
      <c r="A2" s="81" t="s">
        <v>3</v>
      </c>
      <c r="B2" s="31"/>
      <c r="C2" s="31"/>
      <c r="D2" s="31"/>
      <c r="E2" s="31"/>
      <c r="F2" s="31"/>
      <c r="G2" s="31"/>
      <c r="H2" s="31"/>
      <c r="I2" s="31"/>
      <c r="J2" s="39"/>
      <c r="K2" s="31"/>
      <c r="L2" s="31"/>
      <c r="M2" s="81" t="s">
        <v>3</v>
      </c>
      <c r="N2" s="30"/>
      <c r="O2" s="30"/>
      <c r="P2" s="30"/>
      <c r="Q2" s="30"/>
      <c r="R2" s="30"/>
      <c r="S2" s="30"/>
      <c r="T2" s="30"/>
      <c r="U2" s="30"/>
      <c r="V2" s="39"/>
      <c r="W2" s="30"/>
      <c r="X2" s="31"/>
      <c r="Y2" s="31"/>
      <c r="Z2" s="31"/>
      <c r="AA2" s="31"/>
      <c r="AB2" s="81" t="s">
        <v>3</v>
      </c>
      <c r="AC2" s="30"/>
      <c r="AD2" s="30"/>
      <c r="AE2" s="30"/>
      <c r="AF2" s="30"/>
      <c r="AG2" s="30"/>
      <c r="AH2" s="30"/>
      <c r="AI2" s="30"/>
      <c r="AJ2" s="30"/>
      <c r="AK2" s="39"/>
      <c r="AL2" s="30"/>
      <c r="AM2" s="31"/>
      <c r="AN2" s="31"/>
      <c r="AO2" s="31"/>
      <c r="AP2" s="31"/>
      <c r="AQ2" s="81" t="s">
        <v>3</v>
      </c>
      <c r="AR2" s="30"/>
      <c r="AS2" s="30"/>
      <c r="AT2" s="30"/>
      <c r="AU2" s="30"/>
      <c r="AV2" s="30"/>
      <c r="AW2" s="30"/>
      <c r="AX2" s="30"/>
      <c r="AY2" s="30"/>
      <c r="AZ2" s="39"/>
      <c r="BA2" s="30"/>
      <c r="BB2" s="31"/>
      <c r="BC2" s="31"/>
      <c r="BD2" s="31"/>
      <c r="BE2" s="31"/>
      <c r="BF2" s="181" t="s">
        <v>3</v>
      </c>
      <c r="BG2" s="30"/>
      <c r="BH2" s="30"/>
      <c r="BI2" s="30"/>
      <c r="BJ2" s="30"/>
      <c r="BK2" s="30"/>
      <c r="BL2" s="30"/>
      <c r="BM2" s="30"/>
      <c r="BN2" s="30"/>
      <c r="BO2" s="39"/>
      <c r="BP2" s="30"/>
      <c r="BQ2" s="31"/>
      <c r="BR2" s="31"/>
      <c r="BS2" s="31"/>
      <c r="BT2" s="180"/>
      <c r="BU2" s="181" t="s">
        <v>3</v>
      </c>
      <c r="BV2" s="182"/>
      <c r="BW2" s="182"/>
      <c r="BX2" s="182"/>
      <c r="BY2" s="182"/>
      <c r="BZ2" s="182"/>
      <c r="CA2" s="182"/>
      <c r="CB2" s="182"/>
      <c r="CC2" s="182"/>
      <c r="CD2" s="183"/>
      <c r="CE2" s="182"/>
      <c r="CF2" s="178"/>
      <c r="CG2" s="178"/>
    </row>
    <row r="3" spans="1:85">
      <c r="A3" s="5">
        <v>45658</v>
      </c>
      <c r="B3" s="13"/>
      <c r="C3" s="13"/>
      <c r="D3" s="13"/>
      <c r="E3" s="13"/>
      <c r="F3" s="13"/>
      <c r="G3" s="13"/>
      <c r="H3" s="13"/>
      <c r="I3" s="14"/>
      <c r="J3" s="89"/>
      <c r="K3" s="18"/>
      <c r="M3" s="162">
        <v>46023</v>
      </c>
      <c r="N3" s="163"/>
      <c r="O3" s="163"/>
      <c r="P3" s="163"/>
      <c r="Q3" s="163"/>
      <c r="R3" s="163"/>
      <c r="S3" s="163"/>
      <c r="T3" s="163"/>
      <c r="U3" s="163"/>
      <c r="V3" s="164"/>
      <c r="W3" s="223"/>
      <c r="X3" s="166"/>
      <c r="Y3" s="174"/>
      <c r="Z3" s="174"/>
      <c r="AB3" s="162">
        <v>46023</v>
      </c>
      <c r="AC3" s="163"/>
      <c r="AD3" s="163"/>
      <c r="AE3" s="163"/>
      <c r="AF3" s="163"/>
      <c r="AG3" s="163"/>
      <c r="AH3" s="163"/>
      <c r="AI3" s="163"/>
      <c r="AJ3" s="163"/>
      <c r="AK3" s="164"/>
      <c r="AL3" s="165"/>
      <c r="AM3" s="166"/>
      <c r="AN3" s="174"/>
      <c r="AO3" s="174"/>
      <c r="AP3"/>
      <c r="AQ3" s="162">
        <v>46023</v>
      </c>
      <c r="AR3" s="163"/>
      <c r="AS3" s="163"/>
      <c r="AT3" s="163"/>
      <c r="AU3" s="163"/>
      <c r="AV3" s="163"/>
      <c r="AW3" s="163"/>
      <c r="AX3" s="163"/>
      <c r="AY3" s="163"/>
      <c r="AZ3" s="164"/>
      <c r="BA3" s="223"/>
      <c r="BB3" s="166"/>
      <c r="BC3" s="174"/>
      <c r="BD3" s="174"/>
      <c r="BE3"/>
      <c r="BF3" s="256">
        <v>46023</v>
      </c>
      <c r="BG3" s="163"/>
      <c r="BH3" s="163"/>
      <c r="BI3" s="163"/>
      <c r="BJ3" s="163"/>
      <c r="BK3" s="163"/>
      <c r="BL3" s="163"/>
      <c r="BM3" s="163"/>
      <c r="BN3" s="163"/>
      <c r="BO3" s="222"/>
      <c r="BP3" s="223"/>
      <c r="BQ3" s="166"/>
      <c r="BR3" s="174"/>
      <c r="BS3" s="174"/>
      <c r="BT3" s="186"/>
      <c r="BU3" s="162">
        <v>46023</v>
      </c>
      <c r="BV3" s="163"/>
      <c r="BW3" s="163"/>
      <c r="BX3" s="163"/>
      <c r="BY3" s="163"/>
      <c r="BZ3" s="163"/>
      <c r="CA3" s="163"/>
      <c r="CB3" s="163"/>
      <c r="CC3" s="163"/>
      <c r="CD3" s="164"/>
      <c r="CE3" s="165"/>
      <c r="CF3" s="174"/>
      <c r="CG3" s="174"/>
    </row>
    <row r="4" spans="1:85">
      <c r="A4" s="5">
        <v>45659</v>
      </c>
      <c r="B4" s="11"/>
      <c r="C4" s="11"/>
      <c r="D4" s="11"/>
      <c r="E4" s="11"/>
      <c r="F4" s="11"/>
      <c r="G4" s="11"/>
      <c r="H4" s="11"/>
      <c r="I4" s="10"/>
      <c r="J4" s="87"/>
      <c r="K4" s="11"/>
      <c r="M4" s="162">
        <v>46024</v>
      </c>
      <c r="N4" s="163"/>
      <c r="O4" s="163"/>
      <c r="P4" s="163"/>
      <c r="Q4" s="163"/>
      <c r="R4" s="163"/>
      <c r="S4" s="163"/>
      <c r="T4" s="163"/>
      <c r="U4" s="163"/>
      <c r="V4" s="164"/>
      <c r="W4" s="223"/>
      <c r="X4" s="166"/>
      <c r="Y4" s="174"/>
      <c r="Z4" s="174"/>
      <c r="AB4" s="162">
        <v>46024</v>
      </c>
      <c r="AC4" s="163"/>
      <c r="AD4" s="163"/>
      <c r="AE4" s="163"/>
      <c r="AF4" s="163"/>
      <c r="AG4" s="163"/>
      <c r="AH4" s="163"/>
      <c r="AI4" s="163"/>
      <c r="AJ4" s="163"/>
      <c r="AK4" s="164"/>
      <c r="AL4" s="165"/>
      <c r="AM4" s="166"/>
      <c r="AN4" s="174"/>
      <c r="AO4" s="174"/>
      <c r="AP4"/>
      <c r="AQ4" s="162">
        <v>46024</v>
      </c>
      <c r="AR4" s="163"/>
      <c r="AS4" s="163"/>
      <c r="AT4" s="163"/>
      <c r="AU4" s="163"/>
      <c r="AV4" s="163"/>
      <c r="AW4" s="163"/>
      <c r="AX4" s="163"/>
      <c r="AY4" s="163"/>
      <c r="AZ4" s="164"/>
      <c r="BA4" s="251"/>
      <c r="BB4" s="253"/>
      <c r="BC4" s="249"/>
      <c r="BD4" s="249"/>
      <c r="BE4"/>
      <c r="BF4" s="162">
        <v>46024</v>
      </c>
      <c r="BG4" s="163"/>
      <c r="BH4" s="163"/>
      <c r="BI4" s="163"/>
      <c r="BJ4" s="163"/>
      <c r="BK4" s="163"/>
      <c r="BL4" s="163"/>
      <c r="BM4" s="163"/>
      <c r="BN4" s="163"/>
      <c r="BO4" s="222"/>
      <c r="BP4" s="223"/>
      <c r="BQ4" s="166"/>
      <c r="BR4" s="174"/>
      <c r="BS4" s="174"/>
      <c r="BT4" s="186"/>
      <c r="BU4" s="162">
        <v>46024</v>
      </c>
      <c r="BV4" s="163"/>
      <c r="BW4" s="163"/>
      <c r="BX4" s="163"/>
      <c r="BY4" s="163"/>
      <c r="BZ4" s="163"/>
      <c r="CA4" s="163"/>
      <c r="CB4" s="163"/>
      <c r="CC4" s="163"/>
      <c r="CD4" s="164"/>
      <c r="CE4" s="165"/>
      <c r="CF4" s="174"/>
      <c r="CG4" s="174"/>
    </row>
    <row r="5" spans="1:85">
      <c r="A5" s="5">
        <v>45660</v>
      </c>
      <c r="B5" s="11"/>
      <c r="C5" s="11"/>
      <c r="D5" s="11"/>
      <c r="E5" s="11"/>
      <c r="F5" s="11"/>
      <c r="G5" s="11"/>
      <c r="H5" s="11"/>
      <c r="I5" s="10"/>
      <c r="J5" s="87"/>
      <c r="K5" s="11"/>
      <c r="M5" s="162">
        <v>46025</v>
      </c>
      <c r="N5" s="163"/>
      <c r="O5" s="163"/>
      <c r="P5" s="163"/>
      <c r="Q5" s="163"/>
      <c r="R5" s="163"/>
      <c r="S5" s="163"/>
      <c r="T5" s="163"/>
      <c r="U5" s="163"/>
      <c r="V5" s="164"/>
      <c r="W5" s="254"/>
      <c r="X5" s="255"/>
      <c r="Y5" s="249"/>
      <c r="Z5" s="249"/>
      <c r="AB5" s="162">
        <v>46025</v>
      </c>
      <c r="AC5" s="163"/>
      <c r="AD5" s="163"/>
      <c r="AE5" s="163"/>
      <c r="AF5" s="163"/>
      <c r="AG5" s="163"/>
      <c r="AH5" s="163"/>
      <c r="AI5" s="163"/>
      <c r="AJ5" s="163"/>
      <c r="AK5" s="164"/>
      <c r="AL5" s="167"/>
      <c r="AM5" s="255"/>
      <c r="AN5" s="249"/>
      <c r="AO5" s="249"/>
      <c r="AP5"/>
      <c r="AQ5" s="162">
        <v>46025</v>
      </c>
      <c r="AR5" s="163"/>
      <c r="AS5" s="163"/>
      <c r="AT5" s="163"/>
      <c r="AU5" s="163"/>
      <c r="AV5" s="163"/>
      <c r="AW5" s="163"/>
      <c r="AX5" s="163"/>
      <c r="AY5" s="163"/>
      <c r="AZ5" s="164"/>
      <c r="BA5" s="167"/>
      <c r="BB5" s="168"/>
      <c r="BC5" s="174"/>
      <c r="BD5" s="174"/>
      <c r="BE5"/>
      <c r="BF5" s="162">
        <v>46025</v>
      </c>
      <c r="BG5" s="163"/>
      <c r="BH5" s="163"/>
      <c r="BI5" s="163"/>
      <c r="BJ5" s="163"/>
      <c r="BK5" s="163"/>
      <c r="BL5" s="163"/>
      <c r="BM5" s="163"/>
      <c r="BN5" s="163"/>
      <c r="BO5" s="222"/>
      <c r="BP5" s="163"/>
      <c r="BQ5" s="168"/>
      <c r="BR5" s="174"/>
      <c r="BS5" s="174"/>
      <c r="BT5" s="187"/>
      <c r="BU5" s="162">
        <v>46025</v>
      </c>
      <c r="BV5" s="163"/>
      <c r="BW5" s="163"/>
      <c r="BX5" s="163"/>
      <c r="BY5" s="163"/>
      <c r="BZ5" s="163"/>
      <c r="CA5" s="163"/>
      <c r="CB5" s="163"/>
      <c r="CC5" s="163"/>
      <c r="CD5" s="164"/>
      <c r="CE5" s="167"/>
      <c r="CF5" s="174"/>
      <c r="CG5" s="174"/>
    </row>
    <row r="6" spans="1:85">
      <c r="A6" s="5">
        <v>45661</v>
      </c>
      <c r="B6" s="11"/>
      <c r="C6" s="11"/>
      <c r="D6" s="11"/>
      <c r="E6" s="11"/>
      <c r="F6" s="11"/>
      <c r="G6" s="11"/>
      <c r="H6" s="11"/>
      <c r="I6" s="10"/>
      <c r="J6" s="87"/>
      <c r="K6" s="11"/>
      <c r="M6" s="162">
        <v>46026</v>
      </c>
      <c r="N6" s="163"/>
      <c r="O6" s="163"/>
      <c r="P6" s="163"/>
      <c r="Q6" s="163"/>
      <c r="R6" s="163"/>
      <c r="S6" s="163"/>
      <c r="T6" s="163"/>
      <c r="U6" s="163"/>
      <c r="V6" s="164"/>
      <c r="W6" s="167"/>
      <c r="X6" s="168"/>
      <c r="Y6" s="174"/>
      <c r="Z6" s="174"/>
      <c r="AB6" s="162">
        <v>46026</v>
      </c>
      <c r="AC6" s="163"/>
      <c r="AD6" s="163"/>
      <c r="AE6" s="163"/>
      <c r="AF6" s="163"/>
      <c r="AG6" s="163"/>
      <c r="AH6" s="163"/>
      <c r="AI6" s="163"/>
      <c r="AJ6" s="163"/>
      <c r="AK6" s="164"/>
      <c r="AL6" s="167"/>
      <c r="AM6" s="168"/>
      <c r="AN6" s="174"/>
      <c r="AO6" s="174"/>
      <c r="AP6"/>
      <c r="AQ6" s="162">
        <v>46026</v>
      </c>
      <c r="AR6" s="163"/>
      <c r="AS6" s="163"/>
      <c r="AT6" s="163"/>
      <c r="AU6" s="163"/>
      <c r="AV6" s="163"/>
      <c r="AW6" s="163"/>
      <c r="AX6" s="163"/>
      <c r="AY6" s="163"/>
      <c r="AZ6" s="164"/>
      <c r="BA6" s="167"/>
      <c r="BB6" s="168"/>
      <c r="BC6" s="174"/>
      <c r="BD6" s="174"/>
      <c r="BE6"/>
      <c r="BF6" s="256">
        <v>46026</v>
      </c>
      <c r="BG6" s="257"/>
      <c r="BH6" s="257"/>
      <c r="BI6" s="257"/>
      <c r="BJ6" s="257"/>
      <c r="BK6" s="257"/>
      <c r="BL6" s="257"/>
      <c r="BM6" s="257"/>
      <c r="BN6" s="257"/>
      <c r="BO6" s="258"/>
      <c r="BP6" s="254"/>
      <c r="BQ6" s="255"/>
      <c r="BR6" s="249"/>
      <c r="BS6" s="249"/>
      <c r="BT6" s="187"/>
      <c r="BU6" s="162">
        <v>46026</v>
      </c>
      <c r="BV6" s="163"/>
      <c r="BW6" s="163"/>
      <c r="BX6" s="163"/>
      <c r="BY6" s="163"/>
      <c r="BZ6" s="163"/>
      <c r="CA6" s="163"/>
      <c r="CB6" s="163"/>
      <c r="CC6" s="163"/>
      <c r="CD6" s="164"/>
      <c r="CE6" s="167"/>
      <c r="CF6" s="174"/>
      <c r="CG6" s="174"/>
    </row>
    <row r="7" spans="1:85">
      <c r="A7" s="5">
        <v>45662</v>
      </c>
      <c r="B7" s="11"/>
      <c r="C7" s="11"/>
      <c r="D7" s="11"/>
      <c r="E7" s="11"/>
      <c r="F7" s="11"/>
      <c r="G7" s="11"/>
      <c r="H7" s="11"/>
      <c r="I7" s="10"/>
      <c r="J7" s="87"/>
      <c r="K7" s="11"/>
      <c r="M7" s="5">
        <v>46027</v>
      </c>
      <c r="N7" s="11"/>
      <c r="O7" s="11"/>
      <c r="P7" s="11"/>
      <c r="Q7" s="11"/>
      <c r="R7" s="11"/>
      <c r="S7" s="11"/>
      <c r="T7" s="11"/>
      <c r="U7" s="11"/>
      <c r="V7" s="44"/>
      <c r="W7" s="87"/>
      <c r="X7" s="159"/>
      <c r="Y7" s="169"/>
      <c r="Z7" s="169"/>
      <c r="AB7" s="5">
        <v>46027</v>
      </c>
      <c r="AC7" s="11"/>
      <c r="AD7" s="11"/>
      <c r="AE7" s="11"/>
      <c r="AF7" s="11"/>
      <c r="AG7" s="11"/>
      <c r="AH7" s="11"/>
      <c r="AI7" s="11"/>
      <c r="AJ7" s="11"/>
      <c r="AK7" s="44"/>
      <c r="AL7" s="87"/>
      <c r="AM7" s="159"/>
      <c r="AN7" s="169"/>
      <c r="AO7" s="169"/>
      <c r="AP7"/>
      <c r="AQ7" s="5">
        <v>46027</v>
      </c>
      <c r="AR7" s="11"/>
      <c r="AS7" s="11"/>
      <c r="AT7" s="11"/>
      <c r="AU7" s="11"/>
      <c r="AV7" s="11"/>
      <c r="AW7" s="11"/>
      <c r="AX7" s="11"/>
      <c r="AY7" s="11"/>
      <c r="AZ7" s="44"/>
      <c r="BA7" s="87"/>
      <c r="BB7" s="159"/>
      <c r="BC7" s="169"/>
      <c r="BD7" s="169"/>
      <c r="BE7"/>
      <c r="BF7" s="5">
        <v>46027</v>
      </c>
      <c r="BG7" s="11"/>
      <c r="BH7" s="11"/>
      <c r="BI7" s="11"/>
      <c r="BJ7" s="11"/>
      <c r="BK7" s="11"/>
      <c r="BL7" s="11"/>
      <c r="BM7" s="11"/>
      <c r="BN7" s="11"/>
      <c r="BO7" s="44"/>
      <c r="BP7" s="87"/>
      <c r="BQ7" s="159"/>
      <c r="BR7" s="169"/>
      <c r="BS7" s="169"/>
      <c r="BT7" s="187"/>
      <c r="BU7" s="5">
        <v>46027</v>
      </c>
      <c r="BV7" s="11"/>
      <c r="BW7" s="11"/>
      <c r="BX7" s="11"/>
      <c r="BY7" s="11"/>
      <c r="BZ7" s="11"/>
      <c r="CA7" s="11"/>
      <c r="CB7" s="11"/>
      <c r="CC7" s="11"/>
      <c r="CD7" s="44"/>
      <c r="CE7" s="87"/>
      <c r="CF7" s="169"/>
      <c r="CG7" s="169"/>
    </row>
    <row r="8" spans="1:85">
      <c r="A8" s="5">
        <v>45663</v>
      </c>
      <c r="B8" s="11"/>
      <c r="C8" s="11"/>
      <c r="D8" s="11"/>
      <c r="E8" s="11"/>
      <c r="F8" s="11"/>
      <c r="G8" s="11"/>
      <c r="H8" s="11"/>
      <c r="I8" s="10"/>
      <c r="J8" s="87"/>
      <c r="K8" s="11"/>
      <c r="M8" s="5">
        <v>46028</v>
      </c>
      <c r="N8" s="11"/>
      <c r="O8" s="11"/>
      <c r="P8" s="11"/>
      <c r="Q8" s="11"/>
      <c r="R8" s="11"/>
      <c r="S8" s="11"/>
      <c r="T8" s="11"/>
      <c r="U8" s="11"/>
      <c r="V8" s="44"/>
      <c r="W8" s="87"/>
      <c r="X8" s="159"/>
      <c r="Y8" s="169"/>
      <c r="Z8" s="169"/>
      <c r="AB8" s="5">
        <v>46028</v>
      </c>
      <c r="AC8" s="11"/>
      <c r="AD8" s="11"/>
      <c r="AE8" s="11"/>
      <c r="AF8" s="11"/>
      <c r="AG8" s="11"/>
      <c r="AH8" s="11"/>
      <c r="AI8" s="11"/>
      <c r="AJ8" s="11"/>
      <c r="AK8" s="44"/>
      <c r="AL8" s="87"/>
      <c r="AM8" s="159"/>
      <c r="AN8" s="169"/>
      <c r="AO8" s="169"/>
      <c r="AP8"/>
      <c r="AQ8" s="5">
        <v>46028</v>
      </c>
      <c r="AR8" s="11"/>
      <c r="AS8" s="11"/>
      <c r="AT8" s="11"/>
      <c r="AU8" s="11"/>
      <c r="AV8" s="11"/>
      <c r="AW8" s="11"/>
      <c r="AX8" s="11"/>
      <c r="AY8" s="11"/>
      <c r="AZ8" s="44"/>
      <c r="BA8" s="87"/>
      <c r="BB8" s="159"/>
      <c r="BC8" s="169"/>
      <c r="BD8" s="169"/>
      <c r="BE8"/>
      <c r="BF8" s="5">
        <v>46028</v>
      </c>
      <c r="BG8" s="11"/>
      <c r="BH8" s="11"/>
      <c r="BI8" s="11"/>
      <c r="BJ8" s="11"/>
      <c r="BK8" s="11"/>
      <c r="BL8" s="11"/>
      <c r="BM8" s="11"/>
      <c r="BN8" s="11"/>
      <c r="BO8" s="44"/>
      <c r="BP8" s="87"/>
      <c r="BQ8" s="159"/>
      <c r="BR8" s="169"/>
      <c r="BS8" s="169"/>
      <c r="BT8" s="187"/>
      <c r="BU8" s="5">
        <v>46028</v>
      </c>
      <c r="BV8" s="11"/>
      <c r="BW8" s="11"/>
      <c r="BX8" s="11"/>
      <c r="BY8" s="11"/>
      <c r="BZ8" s="11"/>
      <c r="CA8" s="11"/>
      <c r="CB8" s="11"/>
      <c r="CC8" s="11"/>
      <c r="CD8" s="44"/>
      <c r="CE8" s="87"/>
      <c r="CF8" s="169"/>
      <c r="CG8" s="169"/>
    </row>
    <row r="9" spans="1:85">
      <c r="A9" s="5">
        <v>45664</v>
      </c>
      <c r="B9" s="11"/>
      <c r="C9" s="11"/>
      <c r="D9" s="11"/>
      <c r="E9" s="11"/>
      <c r="F9" s="11"/>
      <c r="G9" s="11"/>
      <c r="H9" s="11"/>
      <c r="I9" s="10"/>
      <c r="J9" s="87"/>
      <c r="K9" s="11"/>
      <c r="M9" s="5">
        <v>46029</v>
      </c>
      <c r="N9" s="11"/>
      <c r="O9" s="11"/>
      <c r="P9" s="11"/>
      <c r="Q9" s="11"/>
      <c r="R9" s="11"/>
      <c r="S9" s="11"/>
      <c r="T9" s="11"/>
      <c r="U9" s="11"/>
      <c r="V9" s="44"/>
      <c r="W9" s="87"/>
      <c r="X9" s="159"/>
      <c r="Y9" s="170"/>
      <c r="Z9" s="170"/>
      <c r="AB9" s="5">
        <v>46029</v>
      </c>
      <c r="AC9" s="11"/>
      <c r="AD9" s="11"/>
      <c r="AE9" s="11"/>
      <c r="AF9" s="11"/>
      <c r="AG9" s="11"/>
      <c r="AH9" s="11"/>
      <c r="AI9" s="11"/>
      <c r="AJ9" s="11"/>
      <c r="AK9" s="44"/>
      <c r="AL9" s="87"/>
      <c r="AM9" s="159"/>
      <c r="AN9" s="170"/>
      <c r="AO9" s="170"/>
      <c r="AP9"/>
      <c r="AQ9" s="5">
        <v>46029</v>
      </c>
      <c r="AR9" s="11"/>
      <c r="AS9" s="11"/>
      <c r="AT9" s="11"/>
      <c r="AU9" s="11"/>
      <c r="AV9" s="11"/>
      <c r="AW9" s="11"/>
      <c r="AX9" s="11"/>
      <c r="AY9" s="11"/>
      <c r="AZ9" s="44"/>
      <c r="BA9" s="87"/>
      <c r="BB9" s="159"/>
      <c r="BC9" s="170"/>
      <c r="BD9" s="170"/>
      <c r="BE9"/>
      <c r="BF9" s="5">
        <v>46029</v>
      </c>
      <c r="BG9" s="11"/>
      <c r="BH9" s="11"/>
      <c r="BI9" s="11"/>
      <c r="BJ9" s="11"/>
      <c r="BK9" s="11"/>
      <c r="BL9" s="11"/>
      <c r="BM9" s="11"/>
      <c r="BN9" s="11"/>
      <c r="BO9" s="44"/>
      <c r="BP9" s="87"/>
      <c r="BQ9" s="159"/>
      <c r="BR9" s="170"/>
      <c r="BS9" s="170"/>
      <c r="BT9" s="187"/>
      <c r="BU9" s="5">
        <v>46029</v>
      </c>
      <c r="BV9" s="11"/>
      <c r="BW9" s="11"/>
      <c r="BX9" s="11"/>
      <c r="BY9" s="11"/>
      <c r="BZ9" s="11"/>
      <c r="CA9" s="11"/>
      <c r="CB9" s="11"/>
      <c r="CC9" s="11"/>
      <c r="CD9" s="44"/>
      <c r="CE9" s="87"/>
      <c r="CF9" s="170"/>
      <c r="CG9" s="170"/>
    </row>
    <row r="10" spans="1:85">
      <c r="A10" s="5">
        <v>45665</v>
      </c>
      <c r="B10" s="11"/>
      <c r="C10" s="11"/>
      <c r="D10" s="11"/>
      <c r="E10" s="11"/>
      <c r="F10" s="11"/>
      <c r="G10" s="11"/>
      <c r="H10" s="11"/>
      <c r="I10" s="10"/>
      <c r="J10" s="87"/>
      <c r="K10" s="11"/>
      <c r="M10" s="5">
        <v>46030</v>
      </c>
      <c r="N10" s="11"/>
      <c r="O10" s="11"/>
      <c r="P10" s="11"/>
      <c r="Q10" s="11"/>
      <c r="R10" s="11"/>
      <c r="S10" s="11"/>
      <c r="T10" s="11"/>
      <c r="U10" s="11"/>
      <c r="V10" s="44"/>
      <c r="W10" s="87"/>
      <c r="X10" s="159"/>
      <c r="Y10" s="169"/>
      <c r="Z10" s="169"/>
      <c r="AB10" s="5">
        <v>46030</v>
      </c>
      <c r="AC10" s="11"/>
      <c r="AD10" s="11"/>
      <c r="AE10" s="11"/>
      <c r="AF10" s="11"/>
      <c r="AG10" s="11"/>
      <c r="AH10" s="11"/>
      <c r="AI10" s="11"/>
      <c r="AJ10" s="11"/>
      <c r="AK10" s="44"/>
      <c r="AL10" s="87"/>
      <c r="AM10" s="159"/>
      <c r="AN10" s="169"/>
      <c r="AO10" s="169"/>
      <c r="AP10"/>
      <c r="AQ10" s="5">
        <v>46030</v>
      </c>
      <c r="AR10" s="11"/>
      <c r="AS10" s="11"/>
      <c r="AT10" s="11"/>
      <c r="AU10" s="11"/>
      <c r="AV10" s="11"/>
      <c r="AW10" s="11"/>
      <c r="AX10" s="11"/>
      <c r="AY10" s="11"/>
      <c r="AZ10" s="44"/>
      <c r="BA10" s="87"/>
      <c r="BB10" s="159"/>
      <c r="BC10" s="169"/>
      <c r="BD10" s="169"/>
      <c r="BE10"/>
      <c r="BF10" s="5">
        <v>46030</v>
      </c>
      <c r="BG10" s="11"/>
      <c r="BH10" s="11"/>
      <c r="BI10" s="11"/>
      <c r="BJ10" s="11"/>
      <c r="BK10" s="11"/>
      <c r="BL10" s="11"/>
      <c r="BM10" s="11"/>
      <c r="BN10" s="11"/>
      <c r="BO10" s="44"/>
      <c r="BP10" s="87"/>
      <c r="BQ10" s="159"/>
      <c r="BR10" s="169"/>
      <c r="BS10" s="169"/>
      <c r="BT10" s="187"/>
      <c r="BU10" s="5">
        <v>46030</v>
      </c>
      <c r="BV10" s="11"/>
      <c r="BW10" s="11"/>
      <c r="BX10" s="11"/>
      <c r="BY10" s="11"/>
      <c r="BZ10" s="11"/>
      <c r="CA10" s="11"/>
      <c r="CB10" s="11"/>
      <c r="CC10" s="11"/>
      <c r="CD10" s="44"/>
      <c r="CE10" s="87"/>
      <c r="CF10" s="169"/>
      <c r="CG10" s="169"/>
    </row>
    <row r="11" spans="1:85">
      <c r="A11" s="5">
        <v>45666</v>
      </c>
      <c r="B11" s="11"/>
      <c r="C11" s="11"/>
      <c r="D11" s="11"/>
      <c r="E11" s="11"/>
      <c r="F11" s="11"/>
      <c r="G11" s="11"/>
      <c r="H11" s="11"/>
      <c r="I11" s="10"/>
      <c r="J11" s="87"/>
      <c r="K11" s="11"/>
      <c r="M11" s="5">
        <v>46031</v>
      </c>
      <c r="N11" s="11"/>
      <c r="O11" s="11"/>
      <c r="P11" s="11"/>
      <c r="Q11" s="11"/>
      <c r="R11" s="11"/>
      <c r="S11" s="11"/>
      <c r="T11" s="11"/>
      <c r="U11" s="11"/>
      <c r="V11" s="44"/>
      <c r="W11" s="87"/>
      <c r="X11" s="159"/>
      <c r="Y11" s="169"/>
      <c r="Z11" s="169"/>
      <c r="AB11" s="5">
        <v>46031</v>
      </c>
      <c r="AC11" s="11"/>
      <c r="AD11" s="11"/>
      <c r="AE11" s="11"/>
      <c r="AF11" s="11"/>
      <c r="AG11" s="11"/>
      <c r="AH11" s="11"/>
      <c r="AI11" s="11"/>
      <c r="AJ11" s="11"/>
      <c r="AK11" s="44"/>
      <c r="AL11" s="87"/>
      <c r="AM11" s="159"/>
      <c r="AN11" s="169"/>
      <c r="AO11" s="169"/>
      <c r="AP11"/>
      <c r="AQ11" s="5">
        <v>46031</v>
      </c>
      <c r="AR11" s="11"/>
      <c r="AS11" s="11"/>
      <c r="AT11" s="11"/>
      <c r="AU11" s="11"/>
      <c r="AV11" s="11"/>
      <c r="AW11" s="11"/>
      <c r="AX11" s="11"/>
      <c r="AY11" s="11"/>
      <c r="AZ11" s="44"/>
      <c r="BA11" s="87"/>
      <c r="BB11" s="159"/>
      <c r="BC11" s="169"/>
      <c r="BD11" s="169"/>
      <c r="BE11"/>
      <c r="BF11" s="5">
        <v>46031</v>
      </c>
      <c r="BG11" s="11"/>
      <c r="BH11" s="11"/>
      <c r="BI11" s="11"/>
      <c r="BJ11" s="11"/>
      <c r="BK11" s="11"/>
      <c r="BL11" s="11"/>
      <c r="BM11" s="11"/>
      <c r="BN11" s="11"/>
      <c r="BO11" s="44"/>
      <c r="BP11" s="87"/>
      <c r="BQ11" s="159"/>
      <c r="BR11" s="169"/>
      <c r="BS11" s="169"/>
      <c r="BT11" s="187"/>
      <c r="BU11" s="5">
        <v>46031</v>
      </c>
      <c r="BV11" s="11"/>
      <c r="BW11" s="11"/>
      <c r="BX11" s="11"/>
      <c r="BY11" s="11"/>
      <c r="BZ11" s="11"/>
      <c r="CA11" s="11"/>
      <c r="CB11" s="11"/>
      <c r="CC11" s="11"/>
      <c r="CD11" s="44"/>
      <c r="CE11" s="87"/>
      <c r="CF11" s="169"/>
      <c r="CG11" s="169"/>
    </row>
    <row r="12" spans="1:85">
      <c r="A12" s="5">
        <v>45667</v>
      </c>
      <c r="B12" s="11"/>
      <c r="C12" s="11"/>
      <c r="D12" s="11"/>
      <c r="E12" s="11"/>
      <c r="F12" s="11"/>
      <c r="G12" s="11"/>
      <c r="H12" s="11"/>
      <c r="I12" s="10"/>
      <c r="J12" s="87"/>
      <c r="K12" s="11"/>
      <c r="M12" s="162">
        <v>46032</v>
      </c>
      <c r="N12" s="163"/>
      <c r="O12" s="163"/>
      <c r="P12" s="163"/>
      <c r="Q12" s="163"/>
      <c r="R12" s="163"/>
      <c r="S12" s="163"/>
      <c r="T12" s="163"/>
      <c r="U12" s="163"/>
      <c r="V12" s="164"/>
      <c r="W12" s="167"/>
      <c r="X12" s="168"/>
      <c r="Y12" s="174"/>
      <c r="Z12" s="174"/>
      <c r="AB12" s="162">
        <v>46032</v>
      </c>
      <c r="AC12" s="163"/>
      <c r="AD12" s="163"/>
      <c r="AE12" s="163"/>
      <c r="AF12" s="163"/>
      <c r="AG12" s="163"/>
      <c r="AH12" s="163"/>
      <c r="AI12" s="163"/>
      <c r="AJ12" s="163"/>
      <c r="AK12" s="164"/>
      <c r="AL12" s="167"/>
      <c r="AM12" s="168"/>
      <c r="AN12" s="174"/>
      <c r="AO12" s="174"/>
      <c r="AP12"/>
      <c r="AQ12" s="162">
        <v>46032</v>
      </c>
      <c r="AR12" s="163"/>
      <c r="AS12" s="163"/>
      <c r="AT12" s="163"/>
      <c r="AU12" s="163"/>
      <c r="AV12" s="163"/>
      <c r="AW12" s="163"/>
      <c r="AX12" s="163"/>
      <c r="AY12" s="163"/>
      <c r="AZ12" s="164"/>
      <c r="BA12" s="167"/>
      <c r="BB12" s="168"/>
      <c r="BC12" s="174"/>
      <c r="BD12" s="174"/>
      <c r="BE12"/>
      <c r="BF12" s="162">
        <v>46032</v>
      </c>
      <c r="BG12" s="163"/>
      <c r="BH12" s="163"/>
      <c r="BI12" s="163"/>
      <c r="BJ12" s="163"/>
      <c r="BK12" s="163"/>
      <c r="BL12" s="163"/>
      <c r="BM12" s="163"/>
      <c r="BN12" s="163"/>
      <c r="BO12" s="164"/>
      <c r="BP12" s="167"/>
      <c r="BQ12" s="168"/>
      <c r="BR12" s="174"/>
      <c r="BS12" s="174"/>
      <c r="BT12" s="187"/>
      <c r="BU12" s="162">
        <v>46032</v>
      </c>
      <c r="BV12" s="163"/>
      <c r="BW12" s="163"/>
      <c r="BX12" s="163"/>
      <c r="BY12" s="163"/>
      <c r="BZ12" s="163"/>
      <c r="CA12" s="163"/>
      <c r="CB12" s="163"/>
      <c r="CC12" s="163"/>
      <c r="CD12" s="164"/>
      <c r="CE12" s="167"/>
      <c r="CF12" s="174"/>
      <c r="CG12" s="174"/>
    </row>
    <row r="13" spans="1:85">
      <c r="A13" s="5">
        <v>45668</v>
      </c>
      <c r="B13" s="11"/>
      <c r="C13" s="11"/>
      <c r="D13" s="11"/>
      <c r="E13" s="11"/>
      <c r="F13" s="11"/>
      <c r="G13" s="11"/>
      <c r="H13" s="11"/>
      <c r="I13" s="10"/>
      <c r="J13" s="87"/>
      <c r="K13" s="11"/>
      <c r="M13" s="162">
        <v>46033</v>
      </c>
      <c r="N13" s="163"/>
      <c r="O13" s="163"/>
      <c r="P13" s="163"/>
      <c r="Q13" s="163"/>
      <c r="R13" s="163"/>
      <c r="S13" s="163"/>
      <c r="T13" s="163"/>
      <c r="U13" s="163"/>
      <c r="V13" s="164"/>
      <c r="W13" s="167"/>
      <c r="X13" s="168"/>
      <c r="Y13" s="174"/>
      <c r="Z13" s="174"/>
      <c r="AB13" s="162">
        <v>46033</v>
      </c>
      <c r="AC13" s="163"/>
      <c r="AD13" s="163"/>
      <c r="AE13" s="163"/>
      <c r="AF13" s="163"/>
      <c r="AG13" s="163"/>
      <c r="AH13" s="163"/>
      <c r="AI13" s="163"/>
      <c r="AJ13" s="163"/>
      <c r="AK13" s="164"/>
      <c r="AL13" s="167"/>
      <c r="AM13" s="168"/>
      <c r="AN13" s="174"/>
      <c r="AO13" s="174"/>
      <c r="AP13"/>
      <c r="AQ13" s="162">
        <v>46033</v>
      </c>
      <c r="AR13" s="163"/>
      <c r="AS13" s="163"/>
      <c r="AT13" s="163"/>
      <c r="AU13" s="163"/>
      <c r="AV13" s="163"/>
      <c r="AW13" s="163"/>
      <c r="AX13" s="163"/>
      <c r="AY13" s="163"/>
      <c r="AZ13" s="164"/>
      <c r="BA13" s="167"/>
      <c r="BB13" s="168"/>
      <c r="BC13" s="174"/>
      <c r="BD13" s="174"/>
      <c r="BE13"/>
      <c r="BF13" s="162">
        <v>46033</v>
      </c>
      <c r="BG13" s="163"/>
      <c r="BH13" s="163"/>
      <c r="BI13" s="163"/>
      <c r="BJ13" s="163"/>
      <c r="BK13" s="163"/>
      <c r="BL13" s="163"/>
      <c r="BM13" s="163"/>
      <c r="BN13" s="163"/>
      <c r="BO13" s="164"/>
      <c r="BP13" s="167"/>
      <c r="BQ13" s="168"/>
      <c r="BR13" s="174"/>
      <c r="BS13" s="174"/>
      <c r="BT13" s="187"/>
      <c r="BU13" s="162">
        <v>46033</v>
      </c>
      <c r="BV13" s="163"/>
      <c r="BW13" s="163"/>
      <c r="BX13" s="163"/>
      <c r="BY13" s="163"/>
      <c r="BZ13" s="163"/>
      <c r="CA13" s="163"/>
      <c r="CB13" s="163"/>
      <c r="CC13" s="163"/>
      <c r="CD13" s="164"/>
      <c r="CE13" s="167"/>
      <c r="CF13" s="174"/>
      <c r="CG13" s="174"/>
    </row>
    <row r="14" spans="1:85">
      <c r="A14" s="5">
        <v>45669</v>
      </c>
      <c r="B14" s="11"/>
      <c r="C14" s="11"/>
      <c r="D14" s="11"/>
      <c r="E14" s="11"/>
      <c r="F14" s="11"/>
      <c r="G14" s="11"/>
      <c r="H14" s="11"/>
      <c r="I14" s="10"/>
      <c r="J14" s="87"/>
      <c r="K14" s="11"/>
      <c r="M14" s="5">
        <v>46034</v>
      </c>
      <c r="N14" s="11"/>
      <c r="O14" s="11"/>
      <c r="P14" s="11"/>
      <c r="Q14" s="11"/>
      <c r="R14" s="11"/>
      <c r="S14" s="11"/>
      <c r="T14" s="11"/>
      <c r="U14" s="11"/>
      <c r="V14" s="44"/>
      <c r="W14" s="87"/>
      <c r="X14" s="159"/>
      <c r="Y14" s="169"/>
      <c r="Z14" s="169"/>
      <c r="AB14" s="5">
        <v>46034</v>
      </c>
      <c r="AC14" s="11"/>
      <c r="AD14" s="11"/>
      <c r="AE14" s="11"/>
      <c r="AF14" s="11"/>
      <c r="AG14" s="11"/>
      <c r="AH14" s="11"/>
      <c r="AI14" s="11"/>
      <c r="AJ14" s="11"/>
      <c r="AK14" s="44"/>
      <c r="AL14" s="87"/>
      <c r="AM14" s="159"/>
      <c r="AN14" s="169"/>
      <c r="AO14" s="169"/>
      <c r="AP14"/>
      <c r="AQ14" s="5">
        <v>46034</v>
      </c>
      <c r="AR14" s="11"/>
      <c r="AS14" s="11"/>
      <c r="AT14" s="11"/>
      <c r="AU14" s="11"/>
      <c r="AV14" s="11"/>
      <c r="AW14" s="11"/>
      <c r="AX14" s="11"/>
      <c r="AY14" s="11"/>
      <c r="AZ14" s="44"/>
      <c r="BA14" s="87"/>
      <c r="BB14" s="159"/>
      <c r="BC14" s="169"/>
      <c r="BD14" s="169"/>
      <c r="BE14"/>
      <c r="BF14" s="5">
        <v>46034</v>
      </c>
      <c r="BG14" s="11"/>
      <c r="BH14" s="11"/>
      <c r="BI14" s="11"/>
      <c r="BJ14" s="11"/>
      <c r="BK14" s="11"/>
      <c r="BL14" s="11"/>
      <c r="BM14" s="11"/>
      <c r="BN14" s="11"/>
      <c r="BO14" s="44"/>
      <c r="BP14" s="87"/>
      <c r="BQ14" s="159"/>
      <c r="BR14" s="169"/>
      <c r="BS14" s="169"/>
      <c r="BT14" s="187"/>
      <c r="BU14" s="5">
        <v>46034</v>
      </c>
      <c r="BV14" s="11"/>
      <c r="BW14" s="11"/>
      <c r="BX14" s="11"/>
      <c r="BY14" s="11"/>
      <c r="BZ14" s="11"/>
      <c r="CA14" s="11"/>
      <c r="CB14" s="11"/>
      <c r="CC14" s="11"/>
      <c r="CD14" s="44"/>
      <c r="CE14" s="87"/>
      <c r="CF14" s="169"/>
      <c r="CG14" s="169"/>
    </row>
    <row r="15" spans="1:85">
      <c r="A15" s="5">
        <v>45670</v>
      </c>
      <c r="B15" s="11"/>
      <c r="C15" s="11"/>
      <c r="D15" s="11"/>
      <c r="E15" s="11"/>
      <c r="F15" s="11"/>
      <c r="G15" s="11"/>
      <c r="H15" s="11"/>
      <c r="I15" s="10"/>
      <c r="J15" s="87"/>
      <c r="K15" s="11"/>
      <c r="M15" s="5">
        <v>46035</v>
      </c>
      <c r="N15" s="11"/>
      <c r="O15" s="11"/>
      <c r="P15" s="11"/>
      <c r="Q15" s="11"/>
      <c r="R15" s="11"/>
      <c r="S15" s="11"/>
      <c r="T15" s="11"/>
      <c r="U15" s="11"/>
      <c r="V15" s="44"/>
      <c r="W15" s="87"/>
      <c r="X15" s="159"/>
      <c r="Y15" s="169"/>
      <c r="Z15" s="169"/>
      <c r="AB15" s="5">
        <v>46035</v>
      </c>
      <c r="AC15" s="11"/>
      <c r="AD15" s="11"/>
      <c r="AE15" s="11"/>
      <c r="AF15" s="11"/>
      <c r="AG15" s="11"/>
      <c r="AH15" s="11"/>
      <c r="AI15" s="11"/>
      <c r="AJ15" s="11"/>
      <c r="AK15" s="44"/>
      <c r="AL15" s="87"/>
      <c r="AM15" s="159"/>
      <c r="AN15" s="169"/>
      <c r="AO15" s="169"/>
      <c r="AP15"/>
      <c r="AQ15" s="5">
        <v>46035</v>
      </c>
      <c r="AR15" s="11"/>
      <c r="AS15" s="11"/>
      <c r="AT15" s="11"/>
      <c r="AU15" s="11"/>
      <c r="AV15" s="11"/>
      <c r="AW15" s="11"/>
      <c r="AX15" s="11"/>
      <c r="AY15" s="11"/>
      <c r="AZ15" s="44"/>
      <c r="BA15" s="87"/>
      <c r="BB15" s="159"/>
      <c r="BC15" s="169"/>
      <c r="BD15" s="169"/>
      <c r="BE15"/>
      <c r="BF15" s="5">
        <v>46035</v>
      </c>
      <c r="BG15" s="11"/>
      <c r="BH15" s="11"/>
      <c r="BI15" s="11"/>
      <c r="BJ15" s="11"/>
      <c r="BK15" s="11"/>
      <c r="BL15" s="11"/>
      <c r="BM15" s="11"/>
      <c r="BN15" s="11"/>
      <c r="BO15" s="44"/>
      <c r="BP15" s="87"/>
      <c r="BQ15" s="159"/>
      <c r="BR15" s="169"/>
      <c r="BS15" s="169"/>
      <c r="BT15" s="187"/>
      <c r="BU15" s="5">
        <v>46035</v>
      </c>
      <c r="BV15" s="11"/>
      <c r="BW15" s="11"/>
      <c r="BX15" s="11"/>
      <c r="BY15" s="11"/>
      <c r="BZ15" s="11"/>
      <c r="CA15" s="11"/>
      <c r="CB15" s="11"/>
      <c r="CC15" s="11"/>
      <c r="CD15" s="44"/>
      <c r="CE15" s="87"/>
      <c r="CF15" s="169"/>
      <c r="CG15" s="169"/>
    </row>
    <row r="16" spans="1:85">
      <c r="A16" s="5">
        <v>45671</v>
      </c>
      <c r="B16" s="11"/>
      <c r="C16" s="11"/>
      <c r="D16" s="11"/>
      <c r="E16" s="11"/>
      <c r="F16" s="11"/>
      <c r="G16" s="11"/>
      <c r="H16" s="11"/>
      <c r="I16" s="10"/>
      <c r="J16" s="87"/>
      <c r="K16" s="11"/>
      <c r="M16" s="5">
        <v>46036</v>
      </c>
      <c r="N16" s="11"/>
      <c r="O16" s="11"/>
      <c r="P16" s="11"/>
      <c r="Q16" s="11"/>
      <c r="R16" s="11"/>
      <c r="S16" s="11"/>
      <c r="T16" s="11"/>
      <c r="U16" s="11"/>
      <c r="V16" s="44"/>
      <c r="W16" s="87"/>
      <c r="X16" s="159"/>
      <c r="Y16" s="169"/>
      <c r="Z16" s="169"/>
      <c r="AB16" s="5">
        <v>46036</v>
      </c>
      <c r="AC16" s="11"/>
      <c r="AD16" s="11"/>
      <c r="AE16" s="11"/>
      <c r="AF16" s="11"/>
      <c r="AG16" s="11"/>
      <c r="AH16" s="11"/>
      <c r="AI16" s="11"/>
      <c r="AJ16" s="11"/>
      <c r="AK16" s="44"/>
      <c r="AL16" s="87"/>
      <c r="AM16" s="159"/>
      <c r="AN16" s="169"/>
      <c r="AO16" s="169"/>
      <c r="AP16"/>
      <c r="AQ16" s="5">
        <v>46036</v>
      </c>
      <c r="AR16" s="11"/>
      <c r="AS16" s="11"/>
      <c r="AT16" s="11"/>
      <c r="AU16" s="11"/>
      <c r="AV16" s="11"/>
      <c r="AW16" s="11"/>
      <c r="AX16" s="11"/>
      <c r="AY16" s="11"/>
      <c r="AZ16" s="44"/>
      <c r="BA16" s="87"/>
      <c r="BB16" s="159"/>
      <c r="BC16" s="169"/>
      <c r="BD16" s="169"/>
      <c r="BE16"/>
      <c r="BF16" s="5">
        <v>46036</v>
      </c>
      <c r="BG16" s="11"/>
      <c r="BH16" s="11"/>
      <c r="BI16" s="11"/>
      <c r="BJ16" s="11"/>
      <c r="BK16" s="11"/>
      <c r="BL16" s="11"/>
      <c r="BM16" s="11"/>
      <c r="BN16" s="11"/>
      <c r="BO16" s="44"/>
      <c r="BP16" s="87"/>
      <c r="BQ16" s="159"/>
      <c r="BR16" s="169"/>
      <c r="BS16" s="169"/>
      <c r="BT16" s="187"/>
      <c r="BU16" s="5">
        <v>46036</v>
      </c>
      <c r="BV16" s="11"/>
      <c r="BW16" s="11"/>
      <c r="BX16" s="11"/>
      <c r="BY16" s="11"/>
      <c r="BZ16" s="11"/>
      <c r="CA16" s="11"/>
      <c r="CB16" s="11"/>
      <c r="CC16" s="11"/>
      <c r="CD16" s="44"/>
      <c r="CE16" s="87"/>
      <c r="CF16" s="169"/>
      <c r="CG16" s="169"/>
    </row>
    <row r="17" spans="1:85">
      <c r="A17" s="5">
        <v>45672</v>
      </c>
      <c r="B17" s="11"/>
      <c r="C17" s="11"/>
      <c r="D17" s="11"/>
      <c r="E17" s="11"/>
      <c r="F17" s="11"/>
      <c r="G17" s="11"/>
      <c r="H17" s="11"/>
      <c r="I17" s="10"/>
      <c r="J17" s="87"/>
      <c r="K17" s="11"/>
      <c r="M17" s="5">
        <v>46037</v>
      </c>
      <c r="N17" s="11"/>
      <c r="O17" s="11"/>
      <c r="P17" s="11"/>
      <c r="Q17" s="11"/>
      <c r="R17" s="11"/>
      <c r="S17" s="11"/>
      <c r="T17" s="11"/>
      <c r="U17" s="11"/>
      <c r="V17" s="44"/>
      <c r="W17" s="87"/>
      <c r="X17" s="159"/>
      <c r="Y17" s="169"/>
      <c r="Z17" s="169"/>
      <c r="AB17" s="5">
        <v>46037</v>
      </c>
      <c r="AC17" s="11"/>
      <c r="AD17" s="11"/>
      <c r="AE17" s="11"/>
      <c r="AF17" s="11"/>
      <c r="AG17" s="11"/>
      <c r="AH17" s="11"/>
      <c r="AI17" s="11"/>
      <c r="AJ17" s="11"/>
      <c r="AK17" s="44"/>
      <c r="AL17" s="87"/>
      <c r="AM17" s="159"/>
      <c r="AN17" s="169"/>
      <c r="AO17" s="169"/>
      <c r="AP17"/>
      <c r="AQ17" s="5">
        <v>46037</v>
      </c>
      <c r="AR17" s="11"/>
      <c r="AS17" s="11"/>
      <c r="AT17" s="11"/>
      <c r="AU17" s="11"/>
      <c r="AV17" s="11"/>
      <c r="AW17" s="11"/>
      <c r="AX17" s="11"/>
      <c r="AY17" s="11"/>
      <c r="AZ17" s="44"/>
      <c r="BA17" s="87"/>
      <c r="BB17" s="159"/>
      <c r="BC17" s="169"/>
      <c r="BD17" s="169"/>
      <c r="BE17"/>
      <c r="BF17" s="5">
        <v>46037</v>
      </c>
      <c r="BG17" s="11"/>
      <c r="BH17" s="11"/>
      <c r="BI17" s="11"/>
      <c r="BJ17" s="11"/>
      <c r="BK17" s="11"/>
      <c r="BL17" s="11"/>
      <c r="BM17" s="11"/>
      <c r="BN17" s="11"/>
      <c r="BO17" s="44"/>
      <c r="BP17" s="87"/>
      <c r="BQ17" s="159"/>
      <c r="BR17" s="169"/>
      <c r="BS17" s="169"/>
      <c r="BT17" s="187"/>
      <c r="BU17" s="5">
        <v>46037</v>
      </c>
      <c r="BV17" s="11"/>
      <c r="BW17" s="11"/>
      <c r="BX17" s="11"/>
      <c r="BY17" s="11"/>
      <c r="BZ17" s="11"/>
      <c r="CA17" s="11"/>
      <c r="CB17" s="11"/>
      <c r="CC17" s="11"/>
      <c r="CD17" s="44"/>
      <c r="CE17" s="87"/>
      <c r="CF17" s="169"/>
      <c r="CG17" s="169"/>
    </row>
    <row r="18" spans="1:85">
      <c r="A18" s="5">
        <v>45673</v>
      </c>
      <c r="B18" s="11"/>
      <c r="C18" s="11"/>
      <c r="D18" s="11"/>
      <c r="E18" s="11"/>
      <c r="F18" s="11"/>
      <c r="G18" s="11"/>
      <c r="H18" s="11"/>
      <c r="I18" s="10"/>
      <c r="J18" s="87"/>
      <c r="K18" s="11"/>
      <c r="M18" s="5">
        <v>46038</v>
      </c>
      <c r="N18" s="11"/>
      <c r="O18" s="11"/>
      <c r="P18" s="11"/>
      <c r="Q18" s="11"/>
      <c r="R18" s="11"/>
      <c r="S18" s="11"/>
      <c r="T18" s="11"/>
      <c r="U18" s="11"/>
      <c r="V18" s="44"/>
      <c r="W18" s="87"/>
      <c r="X18" s="159"/>
      <c r="Y18" s="169"/>
      <c r="Z18" s="169"/>
      <c r="AB18" s="5">
        <v>46038</v>
      </c>
      <c r="AC18" s="11"/>
      <c r="AD18" s="11"/>
      <c r="AE18" s="11"/>
      <c r="AF18" s="11"/>
      <c r="AG18" s="11"/>
      <c r="AH18" s="11"/>
      <c r="AI18" s="11"/>
      <c r="AJ18" s="11"/>
      <c r="AK18" s="44"/>
      <c r="AL18" s="87"/>
      <c r="AM18" s="159"/>
      <c r="AN18" s="169"/>
      <c r="AO18" s="169"/>
      <c r="AP18"/>
      <c r="AQ18" s="5">
        <v>46038</v>
      </c>
      <c r="AR18" s="11"/>
      <c r="AS18" s="11"/>
      <c r="AT18" s="11"/>
      <c r="AU18" s="11"/>
      <c r="AV18" s="11"/>
      <c r="AW18" s="11"/>
      <c r="AX18" s="11"/>
      <c r="AY18" s="11"/>
      <c r="AZ18" s="44"/>
      <c r="BA18" s="87"/>
      <c r="BB18" s="159"/>
      <c r="BC18" s="169"/>
      <c r="BD18" s="169"/>
      <c r="BE18"/>
      <c r="BF18" s="5">
        <v>46038</v>
      </c>
      <c r="BG18" s="11">
        <v>500</v>
      </c>
      <c r="BH18" s="11">
        <v>28983</v>
      </c>
      <c r="BI18" s="11"/>
      <c r="BJ18" s="11">
        <v>2513</v>
      </c>
      <c r="BK18" s="11">
        <v>2400</v>
      </c>
      <c r="BL18" s="11">
        <v>29596</v>
      </c>
      <c r="BM18" s="11">
        <v>29596</v>
      </c>
      <c r="BN18" s="374">
        <v>2243</v>
      </c>
      <c r="BO18" s="11">
        <v>284111390</v>
      </c>
      <c r="BP18" s="44"/>
      <c r="BQ18" s="159"/>
      <c r="BR18" s="169"/>
      <c r="BS18" s="169"/>
      <c r="BT18" s="187"/>
      <c r="BU18" s="5">
        <v>46038</v>
      </c>
      <c r="BV18" s="11"/>
      <c r="BW18" s="11"/>
      <c r="BX18" s="11"/>
      <c r="BY18" s="11"/>
      <c r="BZ18" s="11"/>
      <c r="CA18" s="11"/>
      <c r="CB18" s="11"/>
      <c r="CC18" s="11"/>
      <c r="CD18" s="44"/>
      <c r="CE18" s="87"/>
      <c r="CF18" s="169"/>
      <c r="CG18" s="169"/>
    </row>
    <row r="19" spans="1:85">
      <c r="A19" s="5">
        <v>45674</v>
      </c>
      <c r="B19" s="11"/>
      <c r="C19" s="11"/>
      <c r="D19" s="11"/>
      <c r="E19" s="11"/>
      <c r="F19" s="11"/>
      <c r="G19" s="11"/>
      <c r="H19" s="11"/>
      <c r="I19" s="10"/>
      <c r="J19" s="87"/>
      <c r="K19" s="11"/>
      <c r="M19" s="162">
        <v>46039</v>
      </c>
      <c r="N19" s="163"/>
      <c r="O19" s="163"/>
      <c r="P19" s="163"/>
      <c r="Q19" s="163"/>
      <c r="R19" s="163"/>
      <c r="S19" s="163"/>
      <c r="T19" s="163"/>
      <c r="U19" s="163"/>
      <c r="V19" s="164"/>
      <c r="W19" s="167"/>
      <c r="X19" s="168"/>
      <c r="Y19" s="174"/>
      <c r="Z19" s="174"/>
      <c r="AB19" s="162">
        <v>46039</v>
      </c>
      <c r="AC19" s="163"/>
      <c r="AD19" s="163"/>
      <c r="AE19" s="163"/>
      <c r="AF19" s="163"/>
      <c r="AG19" s="163"/>
      <c r="AH19" s="163"/>
      <c r="AI19" s="163"/>
      <c r="AJ19" s="163"/>
      <c r="AK19" s="164"/>
      <c r="AL19" s="167"/>
      <c r="AM19" s="168"/>
      <c r="AN19" s="174"/>
      <c r="AO19" s="174"/>
      <c r="AP19"/>
      <c r="AQ19" s="162">
        <v>46039</v>
      </c>
      <c r="AR19" s="163"/>
      <c r="AS19" s="163"/>
      <c r="AT19" s="163"/>
      <c r="AU19" s="163"/>
      <c r="AV19" s="163"/>
      <c r="AW19" s="163"/>
      <c r="AX19" s="163"/>
      <c r="AY19" s="163"/>
      <c r="AZ19" s="164"/>
      <c r="BA19" s="167"/>
      <c r="BB19" s="168"/>
      <c r="BC19" s="174"/>
      <c r="BD19" s="174"/>
      <c r="BE19"/>
      <c r="BF19" s="162">
        <v>46039</v>
      </c>
      <c r="BG19" s="163"/>
      <c r="BH19" s="163"/>
      <c r="BI19" s="163"/>
      <c r="BJ19" s="163"/>
      <c r="BK19" s="163"/>
      <c r="BL19" s="163"/>
      <c r="BM19" s="163"/>
      <c r="BN19" s="163"/>
      <c r="BO19" s="164"/>
      <c r="BP19" s="167"/>
      <c r="BQ19" s="168"/>
      <c r="BR19" s="174"/>
      <c r="BS19" s="174"/>
      <c r="BT19" s="187"/>
      <c r="BU19" s="162">
        <v>46039</v>
      </c>
      <c r="BV19" s="163"/>
      <c r="BW19" s="163"/>
      <c r="BX19" s="163"/>
      <c r="BY19" s="163"/>
      <c r="BZ19" s="163"/>
      <c r="CA19" s="163"/>
      <c r="CB19" s="163"/>
      <c r="CC19" s="163"/>
      <c r="CD19" s="164"/>
      <c r="CE19" s="167"/>
      <c r="CF19" s="174"/>
      <c r="CG19" s="174"/>
    </row>
    <row r="20" spans="1:85">
      <c r="A20" s="5">
        <v>45675</v>
      </c>
      <c r="B20" s="11"/>
      <c r="C20" s="11"/>
      <c r="D20" s="11"/>
      <c r="E20" s="11"/>
      <c r="F20" s="11"/>
      <c r="G20" s="11"/>
      <c r="H20" s="11"/>
      <c r="I20" s="10"/>
      <c r="J20" s="87"/>
      <c r="K20" s="11"/>
      <c r="M20" s="162">
        <v>46040</v>
      </c>
      <c r="N20" s="163"/>
      <c r="O20" s="163"/>
      <c r="P20" s="163"/>
      <c r="Q20" s="163"/>
      <c r="R20" s="163"/>
      <c r="S20" s="163"/>
      <c r="T20" s="163"/>
      <c r="U20" s="163"/>
      <c r="V20" s="164"/>
      <c r="W20" s="167"/>
      <c r="X20" s="168"/>
      <c r="Y20" s="174"/>
      <c r="Z20" s="174"/>
      <c r="AB20" s="162">
        <v>46040</v>
      </c>
      <c r="AC20" s="163"/>
      <c r="AD20" s="163"/>
      <c r="AE20" s="163"/>
      <c r="AF20" s="163"/>
      <c r="AG20" s="163"/>
      <c r="AH20" s="163"/>
      <c r="AI20" s="163"/>
      <c r="AJ20" s="163"/>
      <c r="AK20" s="164"/>
      <c r="AL20" s="167"/>
      <c r="AM20" s="168"/>
      <c r="AN20" s="174"/>
      <c r="AO20" s="174"/>
      <c r="AP20"/>
      <c r="AQ20" s="162">
        <v>46040</v>
      </c>
      <c r="AR20" s="163"/>
      <c r="AS20" s="163"/>
      <c r="AT20" s="163"/>
      <c r="AU20" s="163"/>
      <c r="AV20" s="163"/>
      <c r="AW20" s="163"/>
      <c r="AX20" s="163"/>
      <c r="AY20" s="163"/>
      <c r="AZ20" s="164"/>
      <c r="BA20" s="167"/>
      <c r="BB20" s="168"/>
      <c r="BC20" s="174"/>
      <c r="BD20" s="174"/>
      <c r="BE20"/>
      <c r="BF20" s="162">
        <v>46040</v>
      </c>
      <c r="BG20" s="163"/>
      <c r="BH20" s="163"/>
      <c r="BI20" s="163"/>
      <c r="BJ20" s="163"/>
      <c r="BK20" s="163"/>
      <c r="BL20" s="163"/>
      <c r="BM20" s="163"/>
      <c r="BN20" s="163"/>
      <c r="BO20" s="164"/>
      <c r="BP20" s="167"/>
      <c r="BQ20" s="168"/>
      <c r="BR20" s="174"/>
      <c r="BS20" s="174"/>
      <c r="BT20" s="187"/>
      <c r="BU20" s="162">
        <v>46040</v>
      </c>
      <c r="BV20" s="163"/>
      <c r="BW20" s="163"/>
      <c r="BX20" s="163"/>
      <c r="BY20" s="163"/>
      <c r="BZ20" s="163"/>
      <c r="CA20" s="163"/>
      <c r="CB20" s="163"/>
      <c r="CC20" s="163"/>
      <c r="CD20" s="164"/>
      <c r="CE20" s="167"/>
      <c r="CF20" s="174"/>
      <c r="CG20" s="174"/>
    </row>
    <row r="21" spans="1:85">
      <c r="A21" s="5">
        <v>45676</v>
      </c>
      <c r="B21" s="11"/>
      <c r="C21" s="11"/>
      <c r="D21" s="11"/>
      <c r="E21" s="11"/>
      <c r="F21" s="11"/>
      <c r="G21" s="11"/>
      <c r="H21" s="11"/>
      <c r="I21" s="10"/>
      <c r="J21" s="87"/>
      <c r="K21" s="11"/>
      <c r="M21" s="5">
        <v>46041</v>
      </c>
      <c r="N21" s="11"/>
      <c r="O21" s="11"/>
      <c r="P21" s="11"/>
      <c r="Q21" s="11"/>
      <c r="R21" s="11"/>
      <c r="S21" s="11"/>
      <c r="T21" s="11"/>
      <c r="U21" s="11"/>
      <c r="V21" s="44"/>
      <c r="W21" s="87"/>
      <c r="X21" s="159"/>
      <c r="Y21" s="169"/>
      <c r="Z21" s="169"/>
      <c r="AB21" s="5">
        <v>46041</v>
      </c>
      <c r="AC21" s="11"/>
      <c r="AD21" s="11"/>
      <c r="AE21" s="11"/>
      <c r="AF21" s="11"/>
      <c r="AG21" s="11"/>
      <c r="AH21" s="11"/>
      <c r="AI21" s="11"/>
      <c r="AJ21" s="11"/>
      <c r="AK21" s="44"/>
      <c r="AL21" s="87"/>
      <c r="AM21" s="159"/>
      <c r="AN21" s="169"/>
      <c r="AO21" s="169"/>
      <c r="AP21"/>
      <c r="AQ21" s="5">
        <v>46041</v>
      </c>
      <c r="AR21" s="11"/>
      <c r="AS21" s="11"/>
      <c r="AT21" s="11"/>
      <c r="AU21" s="11"/>
      <c r="AV21" s="11"/>
      <c r="AW21" s="11"/>
      <c r="AX21" s="11"/>
      <c r="AY21" s="11"/>
      <c r="AZ21" s="44"/>
      <c r="BA21" s="87"/>
      <c r="BB21" s="159"/>
      <c r="BC21" s="169"/>
      <c r="BD21" s="169"/>
      <c r="BE21"/>
      <c r="BF21" s="5">
        <v>46041</v>
      </c>
      <c r="BG21" s="11">
        <v>1250</v>
      </c>
      <c r="BH21" s="11">
        <v>58480</v>
      </c>
      <c r="BI21" s="11"/>
      <c r="BJ21" s="11">
        <v>17656</v>
      </c>
      <c r="BK21" s="11">
        <v>6440</v>
      </c>
      <c r="BL21" s="11">
        <v>70946</v>
      </c>
      <c r="BM21" s="11">
        <v>70946</v>
      </c>
      <c r="BN21" s="374">
        <v>2244</v>
      </c>
      <c r="BO21" s="87">
        <v>284188776</v>
      </c>
      <c r="BP21" s="87"/>
      <c r="BQ21" s="159"/>
      <c r="BR21" s="169"/>
      <c r="BS21" s="169"/>
      <c r="BT21" s="187"/>
      <c r="BU21" s="5">
        <v>46041</v>
      </c>
      <c r="BV21" s="11"/>
      <c r="BW21" s="11"/>
      <c r="BX21" s="11"/>
      <c r="BY21" s="11"/>
      <c r="BZ21" s="11"/>
      <c r="CA21" s="11"/>
      <c r="CB21" s="11"/>
      <c r="CC21" s="11"/>
      <c r="CD21" s="44"/>
      <c r="CE21" s="87"/>
      <c r="CF21" s="169"/>
      <c r="CG21" s="169"/>
    </row>
    <row r="22" spans="1:85">
      <c r="A22" s="5">
        <v>45677</v>
      </c>
      <c r="B22" s="11"/>
      <c r="C22" s="11"/>
      <c r="D22" s="11"/>
      <c r="E22" s="11"/>
      <c r="F22" s="11"/>
      <c r="G22" s="11"/>
      <c r="H22" s="11"/>
      <c r="I22" s="10"/>
      <c r="J22" s="87"/>
      <c r="K22" s="11"/>
      <c r="M22" s="5">
        <v>46042</v>
      </c>
      <c r="N22" s="11"/>
      <c r="O22" s="11"/>
      <c r="P22" s="11"/>
      <c r="Q22" s="11"/>
      <c r="R22" s="11"/>
      <c r="S22" s="11"/>
      <c r="T22" s="11"/>
      <c r="U22" s="11"/>
      <c r="V22" s="44"/>
      <c r="W22" s="87"/>
      <c r="X22" s="159"/>
      <c r="Y22" s="169"/>
      <c r="Z22" s="169"/>
      <c r="AB22" s="5">
        <v>46042</v>
      </c>
      <c r="AC22" s="11"/>
      <c r="AD22" s="11"/>
      <c r="AE22" s="11"/>
      <c r="AF22" s="11"/>
      <c r="AG22" s="11"/>
      <c r="AH22" s="11"/>
      <c r="AI22" s="11"/>
      <c r="AJ22" s="11"/>
      <c r="AK22" s="44"/>
      <c r="AL22" s="87"/>
      <c r="AM22" s="159"/>
      <c r="AN22" s="169"/>
      <c r="AO22" s="169"/>
      <c r="AP22"/>
      <c r="AQ22" s="5">
        <v>46042</v>
      </c>
      <c r="AR22" s="11"/>
      <c r="AS22" s="11"/>
      <c r="AT22" s="11"/>
      <c r="AU22" s="11"/>
      <c r="AV22" s="11"/>
      <c r="AW22" s="11"/>
      <c r="AX22" s="11"/>
      <c r="AY22" s="11"/>
      <c r="AZ22" s="44"/>
      <c r="BA22" s="87"/>
      <c r="BB22" s="159"/>
      <c r="BC22" s="169"/>
      <c r="BD22" s="169"/>
      <c r="BE22"/>
      <c r="BF22" s="5">
        <v>46042</v>
      </c>
      <c r="BG22" s="11">
        <v>600</v>
      </c>
      <c r="BH22" s="11">
        <v>56953</v>
      </c>
      <c r="BI22" s="11"/>
      <c r="BJ22" s="11">
        <v>8180</v>
      </c>
      <c r="BK22" s="11">
        <v>4940</v>
      </c>
      <c r="BL22" s="11">
        <v>60793</v>
      </c>
      <c r="BM22" s="11">
        <v>60793</v>
      </c>
      <c r="BN22" s="374">
        <v>2245</v>
      </c>
      <c r="BO22" s="87">
        <v>284254509</v>
      </c>
      <c r="BP22" s="87"/>
      <c r="BQ22" s="159"/>
      <c r="BR22" s="169"/>
      <c r="BS22" s="169"/>
      <c r="BT22" s="187"/>
      <c r="BU22" s="5">
        <v>46042</v>
      </c>
      <c r="BV22" s="11"/>
      <c r="BW22" s="11"/>
      <c r="BX22" s="11"/>
      <c r="BY22" s="11"/>
      <c r="BZ22" s="11"/>
      <c r="CA22" s="11"/>
      <c r="CB22" s="11"/>
      <c r="CC22" s="11"/>
      <c r="CD22" s="44"/>
      <c r="CE22" s="87"/>
      <c r="CF22" s="169"/>
      <c r="CG22" s="169"/>
    </row>
    <row r="23" spans="1:85">
      <c r="A23" s="5">
        <v>45678</v>
      </c>
      <c r="B23" s="11"/>
      <c r="C23" s="11"/>
      <c r="D23" s="11"/>
      <c r="E23" s="11"/>
      <c r="F23" s="11"/>
      <c r="G23" s="11"/>
      <c r="H23" s="11"/>
      <c r="I23" s="10"/>
      <c r="J23" s="87"/>
      <c r="K23" s="11"/>
      <c r="M23" s="5">
        <v>46043</v>
      </c>
      <c r="N23" s="11"/>
      <c r="O23" s="11"/>
      <c r="P23" s="11"/>
      <c r="Q23" s="11"/>
      <c r="R23" s="11"/>
      <c r="S23" s="11"/>
      <c r="T23" s="11"/>
      <c r="U23" s="11"/>
      <c r="V23" s="44"/>
      <c r="W23" s="87"/>
      <c r="X23" s="159"/>
      <c r="Y23" s="169"/>
      <c r="Z23" s="169"/>
      <c r="AB23" s="5">
        <v>46043</v>
      </c>
      <c r="AC23" s="11"/>
      <c r="AD23" s="11"/>
      <c r="AE23" s="11"/>
      <c r="AF23" s="11"/>
      <c r="AG23" s="11"/>
      <c r="AH23" s="11"/>
      <c r="AI23" s="11"/>
      <c r="AJ23" s="11"/>
      <c r="AK23" s="44"/>
      <c r="AL23" s="87"/>
      <c r="AM23" s="159"/>
      <c r="AN23" s="169"/>
      <c r="AO23" s="169"/>
      <c r="AP23"/>
      <c r="AQ23" s="5">
        <v>46043</v>
      </c>
      <c r="AR23" s="11"/>
      <c r="AS23" s="11"/>
      <c r="AT23" s="11"/>
      <c r="AU23" s="11"/>
      <c r="AV23" s="11"/>
      <c r="AW23" s="11"/>
      <c r="AX23" s="11"/>
      <c r="AY23" s="11"/>
      <c r="AZ23" s="44"/>
      <c r="BA23" s="87"/>
      <c r="BB23" s="159"/>
      <c r="BC23" s="169"/>
      <c r="BD23" s="169"/>
      <c r="BE23"/>
      <c r="BF23" s="5">
        <v>46043</v>
      </c>
      <c r="BG23" s="11">
        <v>650</v>
      </c>
      <c r="BH23" s="11">
        <v>60620</v>
      </c>
      <c r="BI23" s="11"/>
      <c r="BJ23" s="11">
        <v>11687</v>
      </c>
      <c r="BK23" s="11">
        <v>2950</v>
      </c>
      <c r="BL23" s="409">
        <v>70007</v>
      </c>
      <c r="BM23" s="409">
        <v>70667</v>
      </c>
      <c r="BN23" s="374">
        <v>2246</v>
      </c>
      <c r="BO23" s="408">
        <v>284327466</v>
      </c>
      <c r="BP23" s="87"/>
      <c r="BQ23" s="159"/>
      <c r="BR23" s="169"/>
      <c r="BS23" s="169"/>
      <c r="BT23" s="187"/>
      <c r="BU23" s="5">
        <v>46043</v>
      </c>
      <c r="BV23" s="11"/>
      <c r="BW23" s="11"/>
      <c r="BX23" s="11"/>
      <c r="BY23" s="11"/>
      <c r="BZ23" s="11"/>
      <c r="CA23" s="11"/>
      <c r="CB23" s="11"/>
      <c r="CC23" s="11"/>
      <c r="CD23" s="44"/>
      <c r="CE23" s="87"/>
      <c r="CF23" s="169"/>
      <c r="CG23" s="169"/>
    </row>
    <row r="24" spans="1:85">
      <c r="A24" s="5">
        <v>45679</v>
      </c>
      <c r="B24" s="11"/>
      <c r="C24" s="11"/>
      <c r="D24" s="11"/>
      <c r="E24" s="11"/>
      <c r="F24" s="11"/>
      <c r="G24" s="11"/>
      <c r="H24" s="11"/>
      <c r="I24" s="10"/>
      <c r="J24" s="87"/>
      <c r="K24" s="11"/>
      <c r="M24" s="5">
        <v>46044</v>
      </c>
      <c r="N24" s="11"/>
      <c r="O24" s="11"/>
      <c r="P24" s="11"/>
      <c r="Q24" s="11"/>
      <c r="R24" s="11"/>
      <c r="S24" s="11"/>
      <c r="T24" s="11"/>
      <c r="U24" s="11"/>
      <c r="V24" s="44"/>
      <c r="W24" s="87"/>
      <c r="X24" s="159"/>
      <c r="Y24" s="169"/>
      <c r="Z24" s="169"/>
      <c r="AB24" s="5">
        <v>46044</v>
      </c>
      <c r="AC24" s="11"/>
      <c r="AD24" s="11"/>
      <c r="AE24" s="11"/>
      <c r="AF24" s="11"/>
      <c r="AG24" s="11"/>
      <c r="AH24" s="11"/>
      <c r="AI24" s="11"/>
      <c r="AJ24" s="11"/>
      <c r="AK24" s="44"/>
      <c r="AL24" s="87"/>
      <c r="AM24" s="159"/>
      <c r="AN24" s="169"/>
      <c r="AO24" s="169"/>
      <c r="AP24"/>
      <c r="AQ24" s="5">
        <v>46044</v>
      </c>
      <c r="AR24" s="11"/>
      <c r="AS24" s="11"/>
      <c r="AT24" s="11"/>
      <c r="AU24" s="11"/>
      <c r="AV24" s="11"/>
      <c r="AW24" s="11"/>
      <c r="AX24" s="11"/>
      <c r="AY24" s="11"/>
      <c r="AZ24" s="44"/>
      <c r="BA24" s="87"/>
      <c r="BB24" s="159"/>
      <c r="BC24" s="169"/>
      <c r="BD24" s="169"/>
      <c r="BE24"/>
      <c r="BF24" s="5">
        <v>46044</v>
      </c>
      <c r="BG24" s="11">
        <v>850</v>
      </c>
      <c r="BH24" s="11">
        <v>106395</v>
      </c>
      <c r="BI24" s="11"/>
      <c r="BJ24" s="11">
        <v>5367</v>
      </c>
      <c r="BK24" s="11">
        <v>9835</v>
      </c>
      <c r="BL24" s="11">
        <v>102774</v>
      </c>
      <c r="BM24" s="11">
        <v>102774</v>
      </c>
      <c r="BN24" s="374">
        <v>2247</v>
      </c>
      <c r="BO24" s="87">
        <v>284440078</v>
      </c>
      <c r="BP24" s="87"/>
      <c r="BQ24" s="159"/>
      <c r="BR24" s="169"/>
      <c r="BS24" s="169"/>
      <c r="BT24" s="187"/>
      <c r="BU24" s="5">
        <v>46044</v>
      </c>
      <c r="BV24" s="11"/>
      <c r="BW24" s="11"/>
      <c r="BX24" s="11"/>
      <c r="BY24" s="11"/>
      <c r="BZ24" s="11"/>
      <c r="CA24" s="11"/>
      <c r="CB24" s="11"/>
      <c r="CC24" s="11"/>
      <c r="CD24" s="44"/>
      <c r="CE24" s="87"/>
      <c r="CF24" s="169"/>
      <c r="CG24" s="169"/>
    </row>
    <row r="25" spans="1:85">
      <c r="A25" s="5">
        <v>45680</v>
      </c>
      <c r="B25" s="11"/>
      <c r="C25" s="11"/>
      <c r="D25" s="11"/>
      <c r="E25" s="11"/>
      <c r="F25" s="11"/>
      <c r="G25" s="11"/>
      <c r="H25" s="11"/>
      <c r="I25" s="10"/>
      <c r="J25" s="87"/>
      <c r="K25" s="11"/>
      <c r="M25" s="5">
        <v>46045</v>
      </c>
      <c r="N25" s="11"/>
      <c r="O25" s="11"/>
      <c r="P25" s="11"/>
      <c r="Q25" s="11"/>
      <c r="R25" s="11"/>
      <c r="S25" s="11"/>
      <c r="T25" s="11"/>
      <c r="U25" s="11"/>
      <c r="V25" s="44"/>
      <c r="W25" s="87"/>
      <c r="X25" s="159"/>
      <c r="Y25" s="169"/>
      <c r="Z25" s="169"/>
      <c r="AB25" s="5">
        <v>46045</v>
      </c>
      <c r="AC25" s="11"/>
      <c r="AD25" s="11"/>
      <c r="AE25" s="11"/>
      <c r="AF25" s="11"/>
      <c r="AG25" s="11"/>
      <c r="AH25" s="11"/>
      <c r="AI25" s="11"/>
      <c r="AJ25" s="11"/>
      <c r="AK25" s="44"/>
      <c r="AL25" s="87"/>
      <c r="AM25" s="159"/>
      <c r="AN25" s="169"/>
      <c r="AO25" s="169"/>
      <c r="AP25"/>
      <c r="AQ25" s="5">
        <v>46045</v>
      </c>
      <c r="AR25" s="11">
        <v>1375</v>
      </c>
      <c r="AS25" s="11">
        <v>76286</v>
      </c>
      <c r="AT25" s="11">
        <v>1000</v>
      </c>
      <c r="AU25" s="11">
        <v>4540</v>
      </c>
      <c r="AV25" s="11">
        <v>5930</v>
      </c>
      <c r="AW25" s="11">
        <v>77271</v>
      </c>
      <c r="AX25" s="11">
        <v>77271</v>
      </c>
      <c r="AY25" s="11"/>
      <c r="AZ25" s="44" t="s">
        <v>303</v>
      </c>
      <c r="BA25" s="87">
        <v>264469787</v>
      </c>
      <c r="BB25" s="159"/>
      <c r="BC25" s="169"/>
      <c r="BD25" s="169"/>
      <c r="BE25"/>
      <c r="BF25" s="5">
        <v>46045</v>
      </c>
      <c r="BG25" s="11"/>
      <c r="BH25" s="11"/>
      <c r="BI25" s="11"/>
      <c r="BJ25" s="11"/>
      <c r="BK25" s="11"/>
      <c r="BL25" s="11"/>
      <c r="BM25" s="11"/>
      <c r="BN25" s="11"/>
      <c r="BO25" s="44"/>
      <c r="BP25" s="87"/>
      <c r="BQ25" s="159"/>
      <c r="BR25" s="169"/>
      <c r="BS25" s="169"/>
      <c r="BT25" s="187"/>
      <c r="BU25" s="5">
        <v>46045</v>
      </c>
      <c r="BV25" s="11"/>
      <c r="BW25" s="11"/>
      <c r="BX25" s="11"/>
      <c r="BY25" s="11"/>
      <c r="BZ25" s="11"/>
      <c r="CA25" s="11"/>
      <c r="CB25" s="11"/>
      <c r="CC25" s="11"/>
      <c r="CD25" s="44"/>
      <c r="CE25" s="87"/>
      <c r="CF25" s="169"/>
      <c r="CG25" s="169"/>
    </row>
    <row r="26" spans="1:85">
      <c r="A26" s="5">
        <v>45681</v>
      </c>
      <c r="B26" s="11"/>
      <c r="C26" s="11"/>
      <c r="D26" s="11"/>
      <c r="E26" s="11"/>
      <c r="F26" s="11"/>
      <c r="G26" s="11"/>
      <c r="H26" s="11"/>
      <c r="I26" s="10"/>
      <c r="J26" s="87"/>
      <c r="K26" s="11"/>
      <c r="M26" s="162">
        <v>46046</v>
      </c>
      <c r="N26" s="163"/>
      <c r="O26" s="163"/>
      <c r="P26" s="163"/>
      <c r="Q26" s="163"/>
      <c r="R26" s="163"/>
      <c r="S26" s="163"/>
      <c r="T26" s="163"/>
      <c r="U26" s="163"/>
      <c r="V26" s="164"/>
      <c r="W26" s="167"/>
      <c r="X26" s="168"/>
      <c r="Y26" s="174"/>
      <c r="Z26" s="174"/>
      <c r="AB26" s="162">
        <v>46046</v>
      </c>
      <c r="AC26" s="163"/>
      <c r="AD26" s="163"/>
      <c r="AE26" s="163"/>
      <c r="AF26" s="163"/>
      <c r="AG26" s="163"/>
      <c r="AH26" s="163"/>
      <c r="AI26" s="163"/>
      <c r="AJ26" s="163"/>
      <c r="AK26" s="164"/>
      <c r="AL26" s="167"/>
      <c r="AM26" s="168"/>
      <c r="AN26" s="174"/>
      <c r="AO26" s="174"/>
      <c r="AP26"/>
      <c r="AQ26" s="162">
        <v>46046</v>
      </c>
      <c r="AR26" s="163"/>
      <c r="AS26" s="163"/>
      <c r="AT26" s="163"/>
      <c r="AU26" s="163"/>
      <c r="AV26" s="163"/>
      <c r="AW26" s="163"/>
      <c r="AX26" s="163"/>
      <c r="AY26" s="163"/>
      <c r="AZ26" s="164"/>
      <c r="BA26" s="167"/>
      <c r="BB26" s="168"/>
      <c r="BC26" s="174"/>
      <c r="BD26" s="174"/>
      <c r="BE26"/>
      <c r="BF26" s="162">
        <v>46046</v>
      </c>
      <c r="BG26" s="163"/>
      <c r="BH26" s="163"/>
      <c r="BI26" s="163"/>
      <c r="BJ26" s="163"/>
      <c r="BK26" s="163"/>
      <c r="BL26" s="163"/>
      <c r="BM26" s="163"/>
      <c r="BN26" s="163"/>
      <c r="BO26" s="164"/>
      <c r="BP26" s="167"/>
      <c r="BQ26" s="168"/>
      <c r="BR26" s="174"/>
      <c r="BS26" s="174"/>
      <c r="BT26" s="187"/>
      <c r="BU26" s="162">
        <v>46046</v>
      </c>
      <c r="BV26" s="163"/>
      <c r="BW26" s="163"/>
      <c r="BX26" s="163"/>
      <c r="BY26" s="163"/>
      <c r="BZ26" s="163"/>
      <c r="CA26" s="163"/>
      <c r="CB26" s="163"/>
      <c r="CC26" s="163"/>
      <c r="CD26" s="164"/>
      <c r="CE26" s="167"/>
      <c r="CF26" s="174"/>
      <c r="CG26" s="174"/>
    </row>
    <row r="27" spans="1:85">
      <c r="A27" s="5">
        <v>45682</v>
      </c>
      <c r="B27" s="11"/>
      <c r="C27" s="11"/>
      <c r="D27" s="11"/>
      <c r="E27" s="11"/>
      <c r="F27" s="11"/>
      <c r="G27" s="11"/>
      <c r="H27" s="11"/>
      <c r="I27" s="10"/>
      <c r="J27" s="87"/>
      <c r="K27" s="11"/>
      <c r="M27" s="162">
        <v>46047</v>
      </c>
      <c r="N27" s="163"/>
      <c r="O27" s="163"/>
      <c r="P27" s="163"/>
      <c r="Q27" s="163"/>
      <c r="R27" s="163"/>
      <c r="S27" s="163"/>
      <c r="T27" s="163"/>
      <c r="U27" s="163"/>
      <c r="V27" s="164"/>
      <c r="W27" s="167"/>
      <c r="X27" s="168"/>
      <c r="Y27" s="174"/>
      <c r="Z27" s="174"/>
      <c r="AB27" s="162">
        <v>46047</v>
      </c>
      <c r="AC27" s="163"/>
      <c r="AD27" s="163"/>
      <c r="AE27" s="163"/>
      <c r="AF27" s="163"/>
      <c r="AG27" s="163"/>
      <c r="AH27" s="163"/>
      <c r="AI27" s="163"/>
      <c r="AJ27" s="163"/>
      <c r="AK27" s="164"/>
      <c r="AL27" s="167"/>
      <c r="AM27" s="168"/>
      <c r="AN27" s="174"/>
      <c r="AO27" s="174"/>
      <c r="AP27"/>
      <c r="AQ27" s="162">
        <v>46047</v>
      </c>
      <c r="AR27" s="163"/>
      <c r="AS27" s="163"/>
      <c r="AT27" s="163"/>
      <c r="AU27" s="163"/>
      <c r="AV27" s="163"/>
      <c r="AW27" s="163"/>
      <c r="AX27" s="163"/>
      <c r="AY27" s="163"/>
      <c r="AZ27" s="164"/>
      <c r="BA27" s="167"/>
      <c r="BB27" s="168"/>
      <c r="BC27" s="174"/>
      <c r="BD27" s="174"/>
      <c r="BE27"/>
      <c r="BF27" s="162">
        <v>46047</v>
      </c>
      <c r="BG27" s="163"/>
      <c r="BH27" s="163"/>
      <c r="BI27" s="163"/>
      <c r="BJ27" s="163"/>
      <c r="BK27" s="163"/>
      <c r="BL27" s="163"/>
      <c r="BM27" s="163"/>
      <c r="BN27" s="163"/>
      <c r="BO27" s="164"/>
      <c r="BP27" s="167"/>
      <c r="BQ27" s="168"/>
      <c r="BR27" s="174"/>
      <c r="BS27" s="174"/>
      <c r="BT27" s="187"/>
      <c r="BU27" s="162">
        <v>46047</v>
      </c>
      <c r="BV27" s="163"/>
      <c r="BW27" s="163"/>
      <c r="BX27" s="163"/>
      <c r="BY27" s="163"/>
      <c r="BZ27" s="163"/>
      <c r="CA27" s="163"/>
      <c r="CB27" s="163"/>
      <c r="CC27" s="163"/>
      <c r="CD27" s="164"/>
      <c r="CE27" s="167"/>
      <c r="CF27" s="174"/>
      <c r="CG27" s="174"/>
    </row>
    <row r="28" spans="1:85">
      <c r="A28" s="5">
        <v>45683</v>
      </c>
      <c r="B28" s="11"/>
      <c r="C28" s="11"/>
      <c r="D28" s="11"/>
      <c r="E28" s="11"/>
      <c r="F28" s="11"/>
      <c r="G28" s="11"/>
      <c r="H28" s="11"/>
      <c r="I28" s="10"/>
      <c r="J28" s="87"/>
      <c r="K28" s="11"/>
      <c r="M28" s="5">
        <v>46048</v>
      </c>
      <c r="N28" s="11"/>
      <c r="O28" s="11"/>
      <c r="P28" s="11"/>
      <c r="Q28" s="11"/>
      <c r="R28" s="11"/>
      <c r="S28" s="11"/>
      <c r="T28" s="11"/>
      <c r="U28" s="11"/>
      <c r="V28" s="44"/>
      <c r="W28" s="87"/>
      <c r="X28" s="159"/>
      <c r="Y28" s="169"/>
      <c r="Z28" s="169"/>
      <c r="AB28" s="5">
        <v>46048</v>
      </c>
      <c r="AC28" s="11"/>
      <c r="AD28" s="11"/>
      <c r="AE28" s="11"/>
      <c r="AF28" s="11"/>
      <c r="AG28" s="11"/>
      <c r="AH28" s="11"/>
      <c r="AI28" s="11"/>
      <c r="AJ28" s="11"/>
      <c r="AK28" s="44"/>
      <c r="AL28" s="87"/>
      <c r="AM28" s="159"/>
      <c r="AN28" s="169"/>
      <c r="AO28" s="169"/>
      <c r="AP28"/>
      <c r="AQ28" s="5">
        <v>46048</v>
      </c>
      <c r="AR28" s="11">
        <v>1100</v>
      </c>
      <c r="AS28" s="11">
        <v>78050</v>
      </c>
      <c r="AT28" s="11">
        <v>9185</v>
      </c>
      <c r="AU28" s="11"/>
      <c r="AV28" s="11">
        <v>6540</v>
      </c>
      <c r="AW28" s="11">
        <v>81795</v>
      </c>
      <c r="AX28" s="11">
        <v>81795</v>
      </c>
      <c r="AY28" s="11"/>
      <c r="AZ28" s="44" t="s">
        <v>304</v>
      </c>
      <c r="BA28" s="87">
        <v>264558122</v>
      </c>
      <c r="BB28" s="159"/>
      <c r="BC28" s="169"/>
      <c r="BD28" s="169"/>
      <c r="BE28"/>
      <c r="BF28" s="5">
        <v>46048</v>
      </c>
      <c r="BG28" s="11"/>
      <c r="BH28" s="11"/>
      <c r="BI28" s="11"/>
      <c r="BJ28" s="11"/>
      <c r="BK28" s="11"/>
      <c r="BL28" s="11"/>
      <c r="BM28" s="11"/>
      <c r="BN28" s="11"/>
      <c r="BO28" s="44"/>
      <c r="BP28" s="87"/>
      <c r="BQ28" s="159"/>
      <c r="BR28" s="169"/>
      <c r="BS28" s="169"/>
      <c r="BT28" s="187"/>
      <c r="BU28" s="5">
        <v>46048</v>
      </c>
      <c r="BV28" s="11"/>
      <c r="BW28" s="11"/>
      <c r="BX28" s="11"/>
      <c r="BY28" s="11"/>
      <c r="BZ28" s="11"/>
      <c r="CA28" s="11"/>
      <c r="CB28" s="11"/>
      <c r="CC28" s="11"/>
      <c r="CD28" s="44"/>
      <c r="CE28" s="87"/>
      <c r="CF28" s="169"/>
      <c r="CG28" s="169"/>
    </row>
    <row r="29" spans="1:85">
      <c r="A29" s="5">
        <v>45684</v>
      </c>
      <c r="B29" s="11"/>
      <c r="C29" s="11"/>
      <c r="D29" s="11"/>
      <c r="E29" s="11"/>
      <c r="F29" s="11"/>
      <c r="G29" s="11"/>
      <c r="H29" s="11"/>
      <c r="I29" s="10"/>
      <c r="J29" s="87"/>
      <c r="K29" s="11"/>
      <c r="M29" s="5">
        <v>46049</v>
      </c>
      <c r="N29" s="11"/>
      <c r="O29" s="11"/>
      <c r="P29" s="11"/>
      <c r="Q29" s="11"/>
      <c r="R29" s="11"/>
      <c r="S29" s="11"/>
      <c r="T29" s="11"/>
      <c r="U29" s="11"/>
      <c r="V29" s="44"/>
      <c r="W29" s="87"/>
      <c r="X29" s="159"/>
      <c r="Y29" s="169"/>
      <c r="Z29" s="169"/>
      <c r="AB29" s="5">
        <v>46049</v>
      </c>
      <c r="AC29" s="11"/>
      <c r="AD29" s="11"/>
      <c r="AE29" s="11"/>
      <c r="AF29" s="11"/>
      <c r="AG29" s="11"/>
      <c r="AH29" s="11"/>
      <c r="AI29" s="11"/>
      <c r="AJ29" s="11"/>
      <c r="AK29" s="44"/>
      <c r="AL29" s="87"/>
      <c r="AM29" s="159"/>
      <c r="AN29" s="169"/>
      <c r="AO29" s="169"/>
      <c r="AP29"/>
      <c r="AQ29" s="5">
        <v>46049</v>
      </c>
      <c r="AR29" s="11">
        <v>50</v>
      </c>
      <c r="AS29" s="11">
        <v>11900</v>
      </c>
      <c r="AT29" s="11">
        <v>350</v>
      </c>
      <c r="AU29" s="11"/>
      <c r="AV29" s="11">
        <v>0</v>
      </c>
      <c r="AW29" s="69"/>
      <c r="AX29" s="69">
        <v>12300</v>
      </c>
      <c r="AY29" s="11"/>
      <c r="AZ29" s="44" t="s">
        <v>305</v>
      </c>
      <c r="BA29" s="87"/>
      <c r="BB29" s="159"/>
      <c r="BC29" s="169"/>
      <c r="BD29" s="169"/>
      <c r="BE29"/>
      <c r="BF29" s="5">
        <v>46049</v>
      </c>
      <c r="BG29" s="11"/>
      <c r="BH29" s="11"/>
      <c r="BI29" s="11"/>
      <c r="BJ29" s="11"/>
      <c r="BK29" s="11"/>
      <c r="BL29" s="11"/>
      <c r="BM29" s="11"/>
      <c r="BN29" s="11"/>
      <c r="BO29" s="44"/>
      <c r="BP29" s="87"/>
      <c r="BQ29" s="159"/>
      <c r="BR29" s="169"/>
      <c r="BS29" s="169"/>
      <c r="BT29" s="187"/>
      <c r="BU29" s="5">
        <v>46049</v>
      </c>
      <c r="BV29" s="11"/>
      <c r="BW29" s="11"/>
      <c r="BX29" s="11"/>
      <c r="BY29" s="11"/>
      <c r="BZ29" s="11"/>
      <c r="CA29" s="11"/>
      <c r="CB29" s="11"/>
      <c r="CC29" s="11"/>
      <c r="CD29" s="44"/>
      <c r="CE29" s="87"/>
      <c r="CF29" s="169"/>
      <c r="CG29" s="169"/>
    </row>
    <row r="30" spans="1:85">
      <c r="A30" s="5">
        <v>45685</v>
      </c>
      <c r="B30" s="11"/>
      <c r="C30" s="11"/>
      <c r="D30" s="11"/>
      <c r="E30" s="11"/>
      <c r="F30" s="11"/>
      <c r="G30" s="11"/>
      <c r="H30" s="11"/>
      <c r="I30" s="10"/>
      <c r="J30" s="87"/>
      <c r="K30" s="11"/>
      <c r="M30" s="5">
        <v>46050</v>
      </c>
      <c r="N30" s="11"/>
      <c r="O30" s="11"/>
      <c r="P30" s="11"/>
      <c r="Q30" s="11"/>
      <c r="R30" s="11"/>
      <c r="S30" s="11"/>
      <c r="T30" s="11"/>
      <c r="U30" s="11"/>
      <c r="V30" s="44"/>
      <c r="W30" s="87"/>
      <c r="X30" s="159"/>
      <c r="Y30" s="169"/>
      <c r="Z30" s="169"/>
      <c r="AB30" s="5">
        <v>46050</v>
      </c>
      <c r="AC30" s="11"/>
      <c r="AD30" s="11"/>
      <c r="AE30" s="11"/>
      <c r="AF30" s="11"/>
      <c r="AG30" s="11"/>
      <c r="AH30" s="11"/>
      <c r="AI30" s="11"/>
      <c r="AJ30" s="11"/>
      <c r="AK30" s="44"/>
      <c r="AL30" s="87"/>
      <c r="AM30" s="159"/>
      <c r="AN30" s="169"/>
      <c r="AO30" s="169"/>
      <c r="AP30"/>
      <c r="AQ30" s="5">
        <v>46049</v>
      </c>
      <c r="AR30" s="11"/>
      <c r="AS30" s="11">
        <v>70000</v>
      </c>
      <c r="AT30" s="11"/>
      <c r="AU30" s="11">
        <v>3798</v>
      </c>
      <c r="AV30" s="11">
        <v>0</v>
      </c>
      <c r="AW30" s="69">
        <v>86098</v>
      </c>
      <c r="AX30" s="69">
        <v>73798</v>
      </c>
      <c r="AY30" s="11"/>
      <c r="AZ30" s="44" t="s">
        <v>306</v>
      </c>
      <c r="BA30" s="87">
        <v>264644220</v>
      </c>
      <c r="BB30" s="159"/>
      <c r="BC30" s="169"/>
      <c r="BD30" s="169"/>
      <c r="BE30"/>
      <c r="BF30" s="5">
        <v>46050</v>
      </c>
      <c r="BG30" s="11"/>
      <c r="BH30" s="11"/>
      <c r="BI30" s="11"/>
      <c r="BJ30" s="11"/>
      <c r="BK30" s="11"/>
      <c r="BL30" s="11"/>
      <c r="BM30" s="11"/>
      <c r="BN30" s="11"/>
      <c r="BO30" s="44"/>
      <c r="BP30" s="87"/>
      <c r="BQ30" s="159"/>
      <c r="BR30" s="169"/>
      <c r="BS30" s="169"/>
      <c r="BT30" s="187"/>
      <c r="BU30" s="5">
        <v>46050</v>
      </c>
      <c r="BV30" s="11"/>
      <c r="BW30" s="11"/>
      <c r="BX30" s="11"/>
      <c r="BY30" s="11"/>
      <c r="BZ30" s="11"/>
      <c r="CA30" s="11"/>
      <c r="CB30" s="11"/>
      <c r="CC30" s="11"/>
      <c r="CD30" s="44"/>
      <c r="CE30" s="87"/>
      <c r="CF30" s="169"/>
      <c r="CG30" s="169"/>
    </row>
    <row r="31" spans="1:85">
      <c r="A31" s="5">
        <v>45686</v>
      </c>
      <c r="B31" s="11"/>
      <c r="C31" s="11"/>
      <c r="D31" s="11"/>
      <c r="E31" s="11"/>
      <c r="F31" s="11"/>
      <c r="G31" s="11"/>
      <c r="H31" s="11"/>
      <c r="I31" s="10"/>
      <c r="J31" s="87"/>
      <c r="K31" s="11"/>
      <c r="M31" s="5">
        <v>46051</v>
      </c>
      <c r="N31" s="11"/>
      <c r="O31" s="11"/>
      <c r="P31" s="11"/>
      <c r="Q31" s="11"/>
      <c r="R31" s="11"/>
      <c r="S31" s="11"/>
      <c r="T31" s="11"/>
      <c r="U31" s="11"/>
      <c r="V31" s="44"/>
      <c r="W31" s="87"/>
      <c r="X31" s="159"/>
      <c r="Y31" s="169"/>
      <c r="Z31" s="169"/>
      <c r="AB31" s="5">
        <v>46051</v>
      </c>
      <c r="AC31" s="11"/>
      <c r="AD31" s="11"/>
      <c r="AE31" s="11"/>
      <c r="AF31" s="11"/>
      <c r="AG31" s="11"/>
      <c r="AH31" s="11"/>
      <c r="AI31" s="11"/>
      <c r="AJ31" s="11"/>
      <c r="AK31" s="44"/>
      <c r="AL31" s="87"/>
      <c r="AM31" s="159"/>
      <c r="AN31" s="169"/>
      <c r="AO31" s="169"/>
      <c r="AP31"/>
      <c r="AQ31" s="5">
        <v>46050</v>
      </c>
      <c r="AR31" s="11">
        <v>700</v>
      </c>
      <c r="AS31" s="11">
        <v>91110</v>
      </c>
      <c r="AT31" s="11">
        <v>3308</v>
      </c>
      <c r="AU31" s="11">
        <v>3870</v>
      </c>
      <c r="AV31" s="11">
        <v>3170</v>
      </c>
      <c r="AW31" s="11">
        <v>95818</v>
      </c>
      <c r="AX31" s="11">
        <v>95818</v>
      </c>
      <c r="AY31" s="11"/>
      <c r="AZ31" s="44" t="s">
        <v>307</v>
      </c>
      <c r="BA31" s="87">
        <v>264743208</v>
      </c>
      <c r="BB31" s="159"/>
      <c r="BC31" s="169"/>
      <c r="BD31" s="169"/>
      <c r="BE31"/>
      <c r="BF31" s="5">
        <v>46051</v>
      </c>
      <c r="BG31" s="11"/>
      <c r="BH31" s="11"/>
      <c r="BI31" s="11"/>
      <c r="BJ31" s="11"/>
      <c r="BK31" s="11"/>
      <c r="BL31" s="11"/>
      <c r="BM31" s="11"/>
      <c r="BN31" s="11"/>
      <c r="BO31" s="44"/>
      <c r="BP31" s="87"/>
      <c r="BQ31" s="159"/>
      <c r="BR31" s="169"/>
      <c r="BS31" s="169"/>
      <c r="BT31" s="187"/>
      <c r="BU31" s="5">
        <v>46051</v>
      </c>
      <c r="BV31" s="11"/>
      <c r="BW31" s="11"/>
      <c r="BX31" s="11"/>
      <c r="BY31" s="11"/>
      <c r="BZ31" s="11"/>
      <c r="CA31" s="11"/>
      <c r="CB31" s="11"/>
      <c r="CC31" s="11"/>
      <c r="CD31" s="44"/>
      <c r="CE31" s="87"/>
      <c r="CF31" s="169"/>
      <c r="CG31" s="169"/>
    </row>
    <row r="32" spans="1:85">
      <c r="A32" s="5">
        <v>45687</v>
      </c>
      <c r="B32" s="11"/>
      <c r="C32" s="11"/>
      <c r="D32" s="11"/>
      <c r="E32" s="11"/>
      <c r="F32" s="11"/>
      <c r="G32" s="11"/>
      <c r="H32" s="11"/>
      <c r="I32" s="10"/>
      <c r="J32" s="87"/>
      <c r="K32" s="11"/>
      <c r="M32" s="5">
        <v>46052</v>
      </c>
      <c r="N32" s="11"/>
      <c r="O32" s="11"/>
      <c r="P32" s="11"/>
      <c r="Q32" s="11"/>
      <c r="R32" s="11"/>
      <c r="S32" s="11"/>
      <c r="T32" s="11"/>
      <c r="U32" s="11"/>
      <c r="V32" s="44"/>
      <c r="W32" s="87"/>
      <c r="X32" s="159"/>
      <c r="Y32" s="169"/>
      <c r="Z32" s="169"/>
      <c r="AB32" s="5">
        <v>46052</v>
      </c>
      <c r="AC32" s="11"/>
      <c r="AD32" s="11"/>
      <c r="AE32" s="11"/>
      <c r="AF32" s="11"/>
      <c r="AG32" s="11"/>
      <c r="AH32" s="11"/>
      <c r="AI32" s="11"/>
      <c r="AJ32" s="11"/>
      <c r="AK32" s="44"/>
      <c r="AL32" s="87"/>
      <c r="AM32" s="159"/>
      <c r="AN32" s="169"/>
      <c r="AO32" s="169"/>
      <c r="AP32"/>
      <c r="AQ32" s="5">
        <v>46051</v>
      </c>
      <c r="AR32" s="11">
        <v>450</v>
      </c>
      <c r="AS32" s="11">
        <v>45820</v>
      </c>
      <c r="AT32" s="11">
        <v>435</v>
      </c>
      <c r="AU32" s="11">
        <v>4000</v>
      </c>
      <c r="AV32" s="11">
        <v>5350</v>
      </c>
      <c r="AW32" s="11">
        <v>45355</v>
      </c>
      <c r="AX32" s="11">
        <v>45355</v>
      </c>
      <c r="AY32" s="11"/>
      <c r="AZ32" s="44" t="s">
        <v>308</v>
      </c>
      <c r="BA32" s="87">
        <v>264793913</v>
      </c>
      <c r="BB32" s="159"/>
      <c r="BC32" s="169"/>
      <c r="BD32" s="169"/>
      <c r="BE32"/>
      <c r="BF32" s="5">
        <v>46052</v>
      </c>
      <c r="BG32" s="11"/>
      <c r="BH32" s="11"/>
      <c r="BI32" s="11"/>
      <c r="BJ32" s="11"/>
      <c r="BK32" s="11"/>
      <c r="BL32" s="11"/>
      <c r="BM32" s="11"/>
      <c r="BN32" s="11"/>
      <c r="BO32" s="44"/>
      <c r="BP32" s="87"/>
      <c r="BQ32" s="159"/>
      <c r="BR32" s="169"/>
      <c r="BS32" s="169"/>
      <c r="BT32" s="187"/>
      <c r="BU32" s="5">
        <v>46052</v>
      </c>
      <c r="BV32" s="11"/>
      <c r="BW32" s="11"/>
      <c r="BX32" s="11"/>
      <c r="BY32" s="11"/>
      <c r="BZ32" s="11"/>
      <c r="CA32" s="11"/>
      <c r="CB32" s="11"/>
      <c r="CC32" s="11"/>
      <c r="CD32" s="44"/>
      <c r="CE32" s="87"/>
      <c r="CF32" s="169"/>
      <c r="CG32" s="169"/>
    </row>
    <row r="33" spans="1:85" ht="18" customHeight="1">
      <c r="A33" s="5">
        <v>45688</v>
      </c>
      <c r="B33" s="11"/>
      <c r="C33" s="11"/>
      <c r="D33" s="11"/>
      <c r="E33" s="11"/>
      <c r="F33" s="11"/>
      <c r="G33" s="11"/>
      <c r="H33" s="11"/>
      <c r="I33" s="10"/>
      <c r="J33" s="86"/>
      <c r="K33" s="18"/>
      <c r="M33" s="162">
        <v>46053</v>
      </c>
      <c r="N33" s="163"/>
      <c r="O33" s="163"/>
      <c r="P33" s="163"/>
      <c r="Q33" s="163"/>
      <c r="R33" s="163"/>
      <c r="S33" s="163"/>
      <c r="T33" s="163"/>
      <c r="U33" s="163"/>
      <c r="V33" s="164"/>
      <c r="W33" s="167"/>
      <c r="X33" s="168"/>
      <c r="Y33" s="174"/>
      <c r="Z33" s="174"/>
      <c r="AB33" s="162">
        <v>46053</v>
      </c>
      <c r="AC33" s="163"/>
      <c r="AD33" s="163"/>
      <c r="AE33" s="163"/>
      <c r="AF33" s="163"/>
      <c r="AG33" s="163"/>
      <c r="AH33" s="163"/>
      <c r="AI33" s="163"/>
      <c r="AJ33" s="163"/>
      <c r="AK33" s="164"/>
      <c r="AL33" s="167"/>
      <c r="AM33" s="168"/>
      <c r="AN33" s="174"/>
      <c r="AO33" s="174"/>
      <c r="AP33"/>
      <c r="AQ33" s="5">
        <v>46052</v>
      </c>
      <c r="AR33" s="11">
        <v>400</v>
      </c>
      <c r="AS33" s="11">
        <v>55736</v>
      </c>
      <c r="AT33" s="11">
        <v>1360</v>
      </c>
      <c r="AU33" s="11">
        <v>2000</v>
      </c>
      <c r="AV33" s="11">
        <v>7940</v>
      </c>
      <c r="AW33" s="11">
        <v>51556</v>
      </c>
      <c r="AX33" s="11">
        <v>51556</v>
      </c>
      <c r="AY33" s="11"/>
      <c r="AZ33" s="44" t="s">
        <v>309</v>
      </c>
      <c r="BA33" s="87">
        <v>264853409</v>
      </c>
      <c r="BB33" s="159"/>
      <c r="BC33" s="174"/>
      <c r="BD33" s="174"/>
      <c r="BE33"/>
      <c r="BF33" s="162">
        <v>46053</v>
      </c>
      <c r="BG33" s="163"/>
      <c r="BH33" s="163"/>
      <c r="BI33" s="163"/>
      <c r="BJ33" s="163"/>
      <c r="BK33" s="163"/>
      <c r="BL33" s="163"/>
      <c r="BM33" s="163"/>
      <c r="BN33" s="163"/>
      <c r="BO33" s="164"/>
      <c r="BP33" s="167"/>
      <c r="BQ33" s="168"/>
      <c r="BR33" s="174"/>
      <c r="BS33" s="174"/>
      <c r="BT33" s="187"/>
      <c r="BU33" s="162">
        <v>46053</v>
      </c>
      <c r="BV33" s="163"/>
      <c r="BW33" s="163"/>
      <c r="BX33" s="163"/>
      <c r="BY33" s="217"/>
      <c r="BZ33" s="217"/>
      <c r="CA33" s="217"/>
      <c r="CB33" s="217"/>
      <c r="CC33" s="217"/>
      <c r="CD33" s="209"/>
      <c r="CE33" s="210"/>
      <c r="CF33" s="224"/>
      <c r="CG33" s="224"/>
    </row>
    <row r="34" spans="1:85" ht="18.75">
      <c r="A34" s="84" t="s">
        <v>43</v>
      </c>
      <c r="B34" s="22">
        <f>SUM(B1:B33)</f>
        <v>0</v>
      </c>
      <c r="C34" s="22">
        <f>SUM(C1:C33)</f>
        <v>0.05</v>
      </c>
      <c r="D34" s="22">
        <f>SUM(D1:D33)</f>
        <v>0.18</v>
      </c>
      <c r="E34" s="22">
        <f>SUM(E1:E33)</f>
        <v>0.27</v>
      </c>
      <c r="F34" s="23">
        <f>SUM(F3:F33)</f>
        <v>0</v>
      </c>
      <c r="G34" s="23">
        <f>SUM(G3:G33)</f>
        <v>0</v>
      </c>
      <c r="H34" s="47"/>
      <c r="I34" s="12"/>
      <c r="J34" s="19"/>
      <c r="K34" s="60"/>
      <c r="M34" s="24" t="s">
        <v>43</v>
      </c>
      <c r="N34" s="22">
        <f>SUM(N1:N33)</f>
        <v>0</v>
      </c>
      <c r="O34" s="22">
        <f>SUM(O1:O33)</f>
        <v>0.05</v>
      </c>
      <c r="P34" s="22">
        <f>SUM(P1:P33)</f>
        <v>0.18</v>
      </c>
      <c r="Q34" s="22">
        <f>SUM(Q1:Q33)</f>
        <v>0.27</v>
      </c>
      <c r="R34" s="23">
        <f>SUM(R3:R33)</f>
        <v>0</v>
      </c>
      <c r="S34" s="23">
        <f>SUM(S3:S33)</f>
        <v>0</v>
      </c>
      <c r="T34" s="47"/>
      <c r="U34" s="47"/>
      <c r="V34" s="12"/>
      <c r="W34" s="19"/>
      <c r="X34" s="60"/>
      <c r="Y34" s="9"/>
      <c r="Z34" s="9"/>
      <c r="AB34" s="24" t="s">
        <v>43</v>
      </c>
      <c r="AC34" s="22">
        <f>SUM(AC1:AC33)</f>
        <v>0</v>
      </c>
      <c r="AD34" s="22">
        <f>SUM(AD1:AD33)</f>
        <v>0.05</v>
      </c>
      <c r="AE34" s="22">
        <f>SUM(AE1:AE33)</f>
        <v>0.18</v>
      </c>
      <c r="AF34" s="22">
        <f>SUM(AF1:AF33)</f>
        <v>0.27</v>
      </c>
      <c r="AG34" s="23">
        <f>SUM(AG3:AG33)</f>
        <v>0</v>
      </c>
      <c r="AH34" s="23">
        <f>SUM(AH3:AH33)</f>
        <v>0</v>
      </c>
      <c r="AI34" s="47"/>
      <c r="AJ34" s="47"/>
      <c r="AK34" s="12"/>
      <c r="AL34" s="19"/>
      <c r="AM34" s="60"/>
      <c r="AN34" s="9"/>
      <c r="AO34" s="9"/>
      <c r="AP34"/>
      <c r="AQ34" s="162">
        <v>46053</v>
      </c>
      <c r="AR34" s="163"/>
      <c r="AS34" s="163"/>
      <c r="AT34" s="163"/>
      <c r="AU34" s="163"/>
      <c r="AV34" s="163"/>
      <c r="AW34" s="163"/>
      <c r="AX34" s="163"/>
      <c r="AY34" s="163"/>
      <c r="AZ34" s="164"/>
      <c r="BA34" s="167"/>
      <c r="BB34" s="168"/>
      <c r="BC34" s="9"/>
      <c r="BD34" s="9"/>
      <c r="BE34"/>
      <c r="BF34" s="24" t="s">
        <v>43</v>
      </c>
      <c r="BG34" s="22">
        <f>SUM(BG1:BG33)</f>
        <v>3850</v>
      </c>
      <c r="BH34" s="22">
        <f>SUM(BH1:BH33)</f>
        <v>311431.05</v>
      </c>
      <c r="BI34" s="22">
        <f>SUM(BI1:BI33)</f>
        <v>0.18</v>
      </c>
      <c r="BJ34" s="22">
        <f>SUM(BJ1:BJ33)</f>
        <v>45403.270000000004</v>
      </c>
      <c r="BK34" s="23">
        <f>SUM(BK3:BK33)</f>
        <v>26565</v>
      </c>
      <c r="BL34" s="23">
        <f>SUM(BL3:BL33)</f>
        <v>334116</v>
      </c>
      <c r="BM34" s="47"/>
      <c r="BN34" s="47"/>
      <c r="BO34" s="12"/>
      <c r="BP34" s="19"/>
      <c r="BQ34" s="60"/>
      <c r="BR34" s="9"/>
      <c r="BS34" s="9"/>
      <c r="BT34" s="60"/>
      <c r="BU34" s="24" t="s">
        <v>43</v>
      </c>
      <c r="BV34" s="22">
        <f>SUM(BV1:BV33)</f>
        <v>0</v>
      </c>
      <c r="BW34" s="22">
        <f>SUM(BW1:BW33)</f>
        <v>0.05</v>
      </c>
      <c r="BX34" s="233">
        <f>SUM(BX1:BX33)</f>
        <v>0.18</v>
      </c>
      <c r="BY34" s="246">
        <f>SUM(BY1:BY33)</f>
        <v>0.27</v>
      </c>
      <c r="BZ34" s="214">
        <f>SUM(BZ3:BZ33)</f>
        <v>0</v>
      </c>
      <c r="CA34" s="214">
        <f>SUM(CA3:CA33)</f>
        <v>0</v>
      </c>
      <c r="CB34" s="215"/>
      <c r="CC34" s="215"/>
      <c r="CD34" s="12"/>
      <c r="CE34" s="19"/>
      <c r="CF34" s="9"/>
      <c r="CG34" s="9"/>
    </row>
    <row r="35" spans="1:85" s="29" customFormat="1" ht="18.75">
      <c r="A35" s="85"/>
      <c r="B35" s="26">
        <f>B34+C34+D34+E34</f>
        <v>0.5</v>
      </c>
      <c r="C35" s="9"/>
      <c r="D35" s="9"/>
      <c r="E35" s="9"/>
      <c r="F35" s="25">
        <f>F34+G34</f>
        <v>0</v>
      </c>
      <c r="G35" s="9"/>
      <c r="H35"/>
      <c r="I35"/>
      <c r="J35"/>
      <c r="K35"/>
      <c r="L35"/>
      <c r="M35" s="10"/>
      <c r="N35" s="26">
        <f>N34+O34+P34+Q34</f>
        <v>0.5</v>
      </c>
      <c r="O35" s="10"/>
      <c r="P35" s="10"/>
      <c r="Q35" s="10"/>
      <c r="R35" s="27">
        <f>R34+S34</f>
        <v>0</v>
      </c>
      <c r="S35" s="10"/>
      <c r="T35" s="4"/>
      <c r="U35" s="4"/>
      <c r="V35" s="4"/>
      <c r="W35" s="4"/>
      <c r="X35" s="4"/>
      <c r="Y35"/>
      <c r="Z35" s="10"/>
      <c r="AA35" s="26">
        <f>AC34+AD34+AE34+AF34</f>
        <v>0.5</v>
      </c>
      <c r="AB35" s="10"/>
      <c r="AC35" s="10"/>
      <c r="AD35" s="10"/>
      <c r="AE35" s="27">
        <f>AG34+AH34</f>
        <v>0</v>
      </c>
      <c r="AF35" s="10"/>
      <c r="AG35" s="4"/>
      <c r="AH35" s="4"/>
      <c r="AI35" s="4"/>
      <c r="AJ35" s="4"/>
      <c r="AK35" s="4"/>
      <c r="AL35"/>
      <c r="AM35" s="10"/>
      <c r="AN35"/>
      <c r="AO35" s="10"/>
      <c r="AP35" s="26">
        <f>AR35+AS35+AT35+AU35</f>
        <v>466823.5</v>
      </c>
      <c r="AQ35" s="24" t="s">
        <v>43</v>
      </c>
      <c r="AR35" s="22">
        <f>SUM(AR1:AR34)</f>
        <v>4075</v>
      </c>
      <c r="AS35" s="22">
        <f>SUM(AS1:AS34)</f>
        <v>428902.05</v>
      </c>
      <c r="AT35" s="22">
        <f>SUM(AT1:AT34)</f>
        <v>15638.18</v>
      </c>
      <c r="AU35" s="22">
        <f>SUM(AU1:AU34)</f>
        <v>18208.27</v>
      </c>
      <c r="AV35" s="23">
        <f>SUM(AV3:AV34)</f>
        <v>28930</v>
      </c>
      <c r="AW35" s="23">
        <f>SUM(AW3:AW34)</f>
        <v>437893</v>
      </c>
      <c r="AX35" s="47"/>
      <c r="AY35" s="47"/>
      <c r="AZ35" s="12"/>
      <c r="BA35" s="19"/>
      <c r="BB35" s="60"/>
      <c r="BC35"/>
      <c r="BD35" s="10"/>
      <c r="BE35" s="26">
        <f>BG34+BH34+BI34+BJ34</f>
        <v>360684.5</v>
      </c>
      <c r="BF35" s="10"/>
      <c r="BG35" s="10"/>
      <c r="BH35" s="10"/>
      <c r="BI35" s="27">
        <f>BK34+BL34</f>
        <v>360681</v>
      </c>
      <c r="BJ35" s="10"/>
      <c r="BK35" s="4"/>
      <c r="BL35" s="4"/>
      <c r="BM35" s="4"/>
      <c r="BN35" s="4"/>
      <c r="BO35" s="4"/>
      <c r="BP35"/>
      <c r="BQ35" s="10"/>
      <c r="BR35"/>
      <c r="BS35" s="10"/>
      <c r="BT35" s="259"/>
      <c r="BU35" s="10"/>
      <c r="BV35" s="10"/>
      <c r="BW35" s="10"/>
      <c r="BX35" s="227">
        <f>BZ34+CA34</f>
        <v>0</v>
      </c>
      <c r="BY35" s="10"/>
      <c r="BZ35" s="10"/>
      <c r="CA35" s="10"/>
      <c r="CB35" s="10"/>
      <c r="CC35" s="10"/>
      <c r="CD35" s="10"/>
      <c r="CE35" s="9"/>
      <c r="CF35" s="9"/>
      <c r="CG35" s="10"/>
    </row>
    <row r="36" spans="1:85" s="180" customFormat="1" ht="21">
      <c r="A36" s="82"/>
      <c r="B36"/>
      <c r="C36"/>
      <c r="D36"/>
      <c r="E36"/>
      <c r="F36"/>
      <c r="G36"/>
      <c r="H36"/>
      <c r="I36"/>
      <c r="J36"/>
      <c r="K36"/>
      <c r="L3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/>
      <c r="AL36"/>
      <c r="AM36"/>
      <c r="AN36"/>
      <c r="AO36" s="4"/>
      <c r="AP36"/>
      <c r="AQ36" s="10"/>
      <c r="AR36" s="10"/>
      <c r="AS36" s="10"/>
      <c r="AT36" s="27">
        <f>AV35+AW35</f>
        <v>466823</v>
      </c>
      <c r="AU36" s="10"/>
      <c r="AV36" s="4"/>
      <c r="AW36" s="4"/>
      <c r="AX36" s="4"/>
      <c r="AY36" s="4"/>
      <c r="AZ36" s="4"/>
      <c r="BA36"/>
      <c r="BB36" s="10"/>
      <c r="BC36"/>
      <c r="BD36" s="4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 s="4"/>
      <c r="BT36"/>
      <c r="BU36"/>
      <c r="BV36"/>
      <c r="BW36"/>
      <c r="BX36"/>
      <c r="BY36"/>
      <c r="BZ36"/>
      <c r="CA36"/>
      <c r="CF36"/>
      <c r="CG36" s="4"/>
    </row>
    <row r="37" spans="1:85" ht="15" customHeight="1">
      <c r="AQ37"/>
      <c r="AR37"/>
      <c r="AS37"/>
      <c r="AT37"/>
      <c r="AU37"/>
      <c r="AV37"/>
      <c r="AW37"/>
      <c r="AX37"/>
      <c r="AY37"/>
      <c r="BB37"/>
    </row>
    <row r="39" spans="1:85" ht="15" customHeight="1">
      <c r="M39" s="263" t="s">
        <v>108</v>
      </c>
      <c r="N39" s="264"/>
      <c r="O39" s="264"/>
      <c r="P39" s="264"/>
      <c r="Q39" s="193"/>
      <c r="R39" s="193"/>
      <c r="S39" s="193"/>
      <c r="T39" s="193"/>
      <c r="U39" s="193"/>
      <c r="V39" s="194"/>
      <c r="W39" s="262"/>
      <c r="AB39" s="263" t="s">
        <v>108</v>
      </c>
      <c r="AC39" s="264"/>
      <c r="AD39" s="264"/>
      <c r="AE39" s="264"/>
      <c r="AF39" s="193"/>
      <c r="AG39" s="193"/>
      <c r="AH39" s="193"/>
      <c r="AI39" s="193"/>
      <c r="AJ39" s="193"/>
      <c r="AK39" s="194"/>
      <c r="AL39" s="262"/>
      <c r="AQ39" s="436" t="s">
        <v>108</v>
      </c>
      <c r="AR39" s="437"/>
      <c r="AS39" s="438"/>
      <c r="AT39" s="438"/>
      <c r="AU39" s="438"/>
      <c r="AV39" s="439"/>
      <c r="AW39" s="439"/>
      <c r="AX39" s="439"/>
      <c r="AY39" s="439"/>
      <c r="AZ39" s="440"/>
      <c r="BA39" s="441"/>
      <c r="BF39" s="263" t="s">
        <v>108</v>
      </c>
      <c r="BG39" s="264"/>
      <c r="BH39" s="264"/>
      <c r="BI39" s="264"/>
      <c r="BJ39" s="193"/>
      <c r="BK39" s="193"/>
      <c r="BL39" s="193"/>
      <c r="BM39" s="193"/>
      <c r="BN39" s="193"/>
      <c r="BO39" s="194"/>
      <c r="BP39" s="262"/>
      <c r="BU39" s="263" t="s">
        <v>108</v>
      </c>
      <c r="BV39" s="264"/>
      <c r="BW39" s="264"/>
      <c r="BX39" s="264"/>
      <c r="BY39" s="193"/>
      <c r="BZ39" s="193"/>
      <c r="CA39" s="193"/>
      <c r="CB39" s="193"/>
      <c r="CC39" s="193"/>
      <c r="CD39" s="194"/>
      <c r="CE39" s="262"/>
    </row>
    <row r="40" spans="1:85" ht="15" customHeight="1">
      <c r="M40" s="200"/>
      <c r="N40" s="82"/>
      <c r="O40" s="82"/>
      <c r="W40" s="67"/>
      <c r="AB40" s="200"/>
      <c r="AC40" s="82"/>
      <c r="AD40" s="82"/>
      <c r="AE40" s="4"/>
      <c r="AF40" s="4"/>
      <c r="AG40" s="4"/>
      <c r="AH40" s="4"/>
      <c r="AI40" s="4"/>
      <c r="AJ40" s="4"/>
      <c r="AK40" s="40"/>
      <c r="AL40" s="67"/>
      <c r="AQ40" s="442"/>
      <c r="AR40" s="435"/>
      <c r="AS40" s="435"/>
      <c r="AT40" s="435"/>
      <c r="AU40" s="435"/>
      <c r="AV40" s="435"/>
      <c r="AW40" s="429"/>
      <c r="AX40" s="429"/>
      <c r="AY40" s="429"/>
      <c r="AZ40" s="429"/>
      <c r="BA40" s="443"/>
      <c r="BF40" s="200"/>
      <c r="BG40" s="82"/>
      <c r="BH40" s="82"/>
      <c r="BK40" s="4"/>
      <c r="BM40" s="4"/>
      <c r="BN40" s="4"/>
      <c r="BO40" s="40"/>
      <c r="BP40" s="67"/>
      <c r="BU40" s="200"/>
      <c r="BV40" s="82"/>
      <c r="BW40" s="82"/>
      <c r="BX40" s="4"/>
      <c r="BY40" s="4"/>
      <c r="BZ40" s="4"/>
      <c r="CA40" s="4"/>
      <c r="CB40" s="4"/>
      <c r="CC40" s="4"/>
      <c r="CD40" s="40"/>
      <c r="CE40" s="67"/>
    </row>
    <row r="41" spans="1:85" ht="15" customHeight="1">
      <c r="M41" s="201"/>
      <c r="N41" s="202"/>
      <c r="O41" s="202"/>
      <c r="P41" s="196"/>
      <c r="Q41" s="196"/>
      <c r="R41" s="196"/>
      <c r="S41" s="196"/>
      <c r="T41" s="196"/>
      <c r="U41" s="196"/>
      <c r="V41" s="197"/>
      <c r="W41" s="261"/>
      <c r="AB41" s="201"/>
      <c r="AC41" s="202"/>
      <c r="AD41" s="202"/>
      <c r="AE41" s="196"/>
      <c r="AF41" s="196"/>
      <c r="AG41" s="196"/>
      <c r="AH41" s="196"/>
      <c r="AI41" s="196"/>
      <c r="AJ41" s="196"/>
      <c r="AK41" s="197"/>
      <c r="AL41" s="261"/>
      <c r="AQ41" s="477"/>
      <c r="AR41" s="478"/>
      <c r="AS41" s="478"/>
      <c r="AT41" s="478"/>
      <c r="AU41" s="478"/>
      <c r="AV41" s="478"/>
      <c r="AW41" s="444"/>
      <c r="AX41" s="444"/>
      <c r="AY41" s="444"/>
      <c r="AZ41" s="444"/>
      <c r="BA41" s="445"/>
      <c r="BF41" s="201"/>
      <c r="BG41" s="202"/>
      <c r="BH41" s="202"/>
      <c r="BI41" s="196"/>
      <c r="BJ41" s="196"/>
      <c r="BK41" s="196"/>
      <c r="BL41" s="196"/>
      <c r="BM41" s="196"/>
      <c r="BN41" s="196"/>
      <c r="BO41" s="197"/>
      <c r="BP41" s="261"/>
      <c r="BU41" s="201"/>
      <c r="BV41" s="202"/>
      <c r="BW41" s="202"/>
      <c r="BX41" s="196"/>
      <c r="BY41" s="196"/>
      <c r="BZ41" s="196"/>
      <c r="CA41" s="196"/>
      <c r="CB41" s="196"/>
      <c r="CC41" s="196"/>
      <c r="CD41" s="197"/>
      <c r="CE41" s="261"/>
    </row>
    <row r="42" spans="1:85" ht="15" customHeight="1">
      <c r="AQ42" s="201"/>
      <c r="AR42" s="202"/>
      <c r="AS42" s="202"/>
      <c r="AT42" s="196"/>
      <c r="AU42" s="196"/>
      <c r="AV42" s="196"/>
      <c r="AW42" s="196"/>
      <c r="AX42" s="196"/>
      <c r="AY42" s="196"/>
      <c r="AZ42" s="197"/>
      <c r="BA42" s="261"/>
    </row>
    <row r="43" spans="1:85" ht="15" customHeight="1">
      <c r="M43" s="81" t="s">
        <v>4</v>
      </c>
      <c r="N43" s="378"/>
      <c r="O43" s="30"/>
      <c r="P43" s="30"/>
      <c r="Q43" s="30"/>
      <c r="R43" s="30"/>
      <c r="S43" s="30"/>
      <c r="T43" s="30"/>
      <c r="U43" s="30"/>
      <c r="V43" s="39"/>
      <c r="W43" s="376"/>
      <c r="X43" s="281"/>
      <c r="Y43" s="418"/>
      <c r="Z43" s="178"/>
      <c r="AB43" s="81" t="s">
        <v>4</v>
      </c>
      <c r="AC43" s="378"/>
      <c r="AD43" s="30"/>
      <c r="AE43" s="30"/>
      <c r="AF43" s="30"/>
      <c r="AG43" s="30"/>
      <c r="AH43" s="30"/>
      <c r="AI43" s="30"/>
      <c r="AJ43" s="30"/>
      <c r="AK43" s="39"/>
      <c r="AL43" s="376"/>
      <c r="AM43" s="281"/>
      <c r="AN43" s="418"/>
      <c r="AO43" s="178"/>
      <c r="AQ43" s="81" t="s">
        <v>4</v>
      </c>
      <c r="AR43" s="378"/>
      <c r="AS43" s="30"/>
      <c r="AT43" s="30"/>
      <c r="AU43" s="30"/>
      <c r="AV43" s="30"/>
      <c r="AW43" s="30"/>
      <c r="AX43" s="30"/>
      <c r="AY43" s="30"/>
      <c r="AZ43" s="39"/>
      <c r="BA43" s="376"/>
      <c r="BB43" s="281"/>
      <c r="BC43" s="418"/>
      <c r="BD43" s="178"/>
      <c r="BF43" s="81" t="s">
        <v>4</v>
      </c>
      <c r="BG43" s="378"/>
      <c r="BH43" s="30"/>
      <c r="BI43" s="30"/>
      <c r="BJ43" s="30"/>
      <c r="BK43" s="30"/>
      <c r="BL43" s="30"/>
      <c r="BM43" s="30"/>
      <c r="BN43" s="30"/>
      <c r="BO43" s="39"/>
      <c r="BP43" s="376"/>
      <c r="BQ43" s="281"/>
      <c r="BR43" s="418"/>
      <c r="BS43" s="178"/>
    </row>
    <row r="44" spans="1:85" ht="15" customHeight="1">
      <c r="M44" s="162">
        <v>46054</v>
      </c>
      <c r="N44" s="163"/>
      <c r="O44" s="163"/>
      <c r="P44" s="163"/>
      <c r="Q44" s="163"/>
      <c r="R44" s="163"/>
      <c r="S44" s="163"/>
      <c r="T44" s="163"/>
      <c r="U44" s="163"/>
      <c r="V44" s="164"/>
      <c r="W44" s="165"/>
      <c r="X44" s="282"/>
      <c r="Y44" s="414"/>
      <c r="Z44" s="179"/>
      <c r="AB44" s="162">
        <v>46054</v>
      </c>
      <c r="AC44" s="163"/>
      <c r="AD44" s="163"/>
      <c r="AE44" s="163"/>
      <c r="AF44" s="163"/>
      <c r="AG44" s="163"/>
      <c r="AH44" s="163"/>
      <c r="AI44" s="163"/>
      <c r="AJ44" s="163"/>
      <c r="AK44" s="164"/>
      <c r="AL44" s="165"/>
      <c r="AM44" s="282"/>
      <c r="AN44" s="414"/>
      <c r="AO44" s="179"/>
      <c r="AQ44" s="162">
        <v>46054</v>
      </c>
      <c r="AR44" s="163"/>
      <c r="AS44" s="163"/>
      <c r="AT44" s="163"/>
      <c r="AU44" s="163"/>
      <c r="AV44" s="163"/>
      <c r="AW44" s="163"/>
      <c r="AX44" s="163"/>
      <c r="AY44" s="163"/>
      <c r="AZ44" s="164"/>
      <c r="BA44" s="165"/>
      <c r="BB44" s="282"/>
      <c r="BC44" s="414"/>
      <c r="BD44" s="179"/>
      <c r="BF44" s="162">
        <v>46054</v>
      </c>
      <c r="BG44" s="163"/>
      <c r="BH44" s="163"/>
      <c r="BI44" s="163"/>
      <c r="BJ44" s="163"/>
      <c r="BK44" s="163"/>
      <c r="BL44" s="163"/>
      <c r="BM44" s="163"/>
      <c r="BN44" s="163"/>
      <c r="BO44" s="164"/>
      <c r="BP44" s="165"/>
      <c r="BQ44" s="282"/>
      <c r="BR44" s="414"/>
      <c r="BS44" s="179"/>
    </row>
    <row r="45" spans="1:85" ht="15" customHeight="1">
      <c r="M45" s="162">
        <v>46055</v>
      </c>
      <c r="N45" s="11"/>
      <c r="O45" s="11"/>
      <c r="P45" s="11"/>
      <c r="Q45" s="11"/>
      <c r="R45" s="11"/>
      <c r="S45" s="11"/>
      <c r="T45" s="11"/>
      <c r="U45" s="11"/>
      <c r="V45" s="44"/>
      <c r="W45" s="86"/>
      <c r="X45" s="410"/>
      <c r="Y45" s="241"/>
      <c r="Z45" s="9"/>
      <c r="AB45" s="162">
        <v>46055</v>
      </c>
      <c r="AC45" s="11"/>
      <c r="AD45" s="11"/>
      <c r="AE45" s="11"/>
      <c r="AF45" s="11"/>
      <c r="AG45" s="11"/>
      <c r="AH45" s="11"/>
      <c r="AI45" s="11"/>
      <c r="AJ45" s="11"/>
      <c r="AK45" s="44"/>
      <c r="AL45" s="86"/>
      <c r="AM45" s="410"/>
      <c r="AN45" s="241"/>
      <c r="AO45" s="9"/>
      <c r="AQ45" s="162">
        <v>46055</v>
      </c>
      <c r="AR45" s="11">
        <v>700</v>
      </c>
      <c r="AS45" s="11">
        <v>47680</v>
      </c>
      <c r="AT45" s="11"/>
      <c r="AU45" s="11">
        <v>4971</v>
      </c>
      <c r="AV45" s="11">
        <v>6720</v>
      </c>
      <c r="AW45" s="11">
        <v>46631</v>
      </c>
      <c r="AX45" s="11">
        <v>46630</v>
      </c>
      <c r="AY45" s="11"/>
      <c r="AZ45" s="44" t="s">
        <v>310</v>
      </c>
      <c r="BA45" s="86">
        <v>264906760</v>
      </c>
      <c r="BB45" s="410"/>
      <c r="BC45" s="241"/>
      <c r="BD45" s="9"/>
      <c r="BF45" s="162">
        <v>46055</v>
      </c>
      <c r="BG45" s="11"/>
      <c r="BH45" s="11"/>
      <c r="BI45" s="11"/>
      <c r="BJ45" s="11"/>
      <c r="BK45" s="11"/>
      <c r="BL45" s="11"/>
      <c r="BM45" s="11"/>
      <c r="BN45" s="11"/>
      <c r="BO45" s="44"/>
      <c r="BP45" s="86"/>
      <c r="BQ45" s="410"/>
      <c r="BR45" s="241"/>
      <c r="BS45" s="9"/>
    </row>
    <row r="46" spans="1:85" ht="15" customHeight="1">
      <c r="M46" s="162">
        <v>46056</v>
      </c>
      <c r="N46" s="11"/>
      <c r="O46" s="11"/>
      <c r="P46" s="11"/>
      <c r="Q46" s="11"/>
      <c r="R46" s="11"/>
      <c r="S46" s="11"/>
      <c r="T46" s="11"/>
      <c r="U46" s="11"/>
      <c r="V46" s="44"/>
      <c r="W46" s="87"/>
      <c r="X46" s="284"/>
      <c r="Y46" s="241"/>
      <c r="Z46" s="9"/>
      <c r="AB46" s="162">
        <v>46056</v>
      </c>
      <c r="AC46" s="11"/>
      <c r="AD46" s="11"/>
      <c r="AE46" s="11"/>
      <c r="AF46" s="11"/>
      <c r="AG46" s="11"/>
      <c r="AH46" s="11"/>
      <c r="AI46" s="11"/>
      <c r="AJ46" s="11"/>
      <c r="AK46" s="44"/>
      <c r="AL46" s="87"/>
      <c r="AM46" s="284"/>
      <c r="AN46" s="241"/>
      <c r="AO46" s="9"/>
      <c r="AQ46" s="162">
        <v>46056</v>
      </c>
      <c r="AR46" s="11">
        <v>650</v>
      </c>
      <c r="AS46" s="11">
        <v>90110</v>
      </c>
      <c r="AT46" s="11"/>
      <c r="AU46" s="11">
        <v>5443</v>
      </c>
      <c r="AV46" s="11">
        <v>3500</v>
      </c>
      <c r="AW46" s="11">
        <v>92703</v>
      </c>
      <c r="AX46" s="11">
        <v>92703</v>
      </c>
      <c r="AY46" s="11"/>
      <c r="AZ46" s="44" t="s">
        <v>311</v>
      </c>
      <c r="BA46" s="87">
        <v>265002963</v>
      </c>
      <c r="BB46" s="284"/>
      <c r="BC46" s="241"/>
      <c r="BD46" s="9"/>
      <c r="BF46" s="162">
        <v>46056</v>
      </c>
      <c r="BG46" s="11"/>
      <c r="BH46" s="11"/>
      <c r="BI46" s="11"/>
      <c r="BJ46" s="11"/>
      <c r="BK46" s="11"/>
      <c r="BL46" s="11"/>
      <c r="BM46" s="11"/>
      <c r="BN46" s="11"/>
      <c r="BO46" s="44"/>
      <c r="BP46" s="87"/>
      <c r="BQ46" s="284"/>
      <c r="BR46" s="241"/>
      <c r="BS46" s="9"/>
    </row>
    <row r="47" spans="1:85" ht="15" customHeight="1">
      <c r="M47" s="162">
        <v>46057</v>
      </c>
      <c r="N47" s="11"/>
      <c r="O47" s="11"/>
      <c r="P47" s="11"/>
      <c r="Q47" s="11"/>
      <c r="R47" s="11"/>
      <c r="S47" s="11"/>
      <c r="T47" s="11"/>
      <c r="U47" s="11"/>
      <c r="V47" s="44"/>
      <c r="W47" s="87"/>
      <c r="X47" s="284"/>
      <c r="Y47" s="241"/>
      <c r="Z47" s="9"/>
      <c r="AB47" s="162">
        <v>46057</v>
      </c>
      <c r="AC47" s="11"/>
      <c r="AD47" s="11"/>
      <c r="AE47" s="11"/>
      <c r="AF47" s="11"/>
      <c r="AG47" s="11"/>
      <c r="AH47" s="11"/>
      <c r="AI47" s="11"/>
      <c r="AJ47" s="11"/>
      <c r="AK47" s="44"/>
      <c r="AL47" s="87"/>
      <c r="AM47" s="284"/>
      <c r="AN47" s="241"/>
      <c r="AO47" s="9"/>
      <c r="AQ47" s="162">
        <v>46057</v>
      </c>
      <c r="AR47" s="11">
        <v>700</v>
      </c>
      <c r="AS47" s="11">
        <v>68760</v>
      </c>
      <c r="AT47" s="11"/>
      <c r="AU47" s="11">
        <v>9521</v>
      </c>
      <c r="AV47" s="11">
        <v>7740</v>
      </c>
      <c r="AW47" s="11">
        <v>71241</v>
      </c>
      <c r="AX47" s="11">
        <v>71241</v>
      </c>
      <c r="AY47" s="11"/>
      <c r="AZ47" s="44" t="s">
        <v>312</v>
      </c>
      <c r="BA47" s="87">
        <v>265081944</v>
      </c>
      <c r="BB47" s="284" t="s">
        <v>274</v>
      </c>
      <c r="BC47" s="241"/>
      <c r="BD47" s="9"/>
      <c r="BF47" s="162">
        <v>46057</v>
      </c>
      <c r="BG47" s="11"/>
      <c r="BH47" s="11"/>
      <c r="BI47" s="11"/>
      <c r="BJ47" s="11"/>
      <c r="BK47" s="11"/>
      <c r="BL47" s="11"/>
      <c r="BM47" s="11"/>
      <c r="BN47" s="11"/>
      <c r="BO47" s="44"/>
      <c r="BP47" s="87"/>
      <c r="BQ47" s="284"/>
      <c r="BR47" s="241"/>
      <c r="BS47" s="9"/>
    </row>
    <row r="48" spans="1:85" ht="15" customHeight="1">
      <c r="M48" s="162">
        <v>46058</v>
      </c>
      <c r="N48" s="11"/>
      <c r="O48" s="11"/>
      <c r="P48" s="11"/>
      <c r="Q48" s="11"/>
      <c r="R48" s="11"/>
      <c r="S48" s="11"/>
      <c r="T48" s="11"/>
      <c r="U48" s="11"/>
      <c r="V48" s="44"/>
      <c r="W48" s="87"/>
      <c r="X48" s="284"/>
      <c r="Y48" s="241"/>
      <c r="Z48" s="9"/>
      <c r="AB48" s="162">
        <v>46058</v>
      </c>
      <c r="AC48" s="11"/>
      <c r="AD48" s="11"/>
      <c r="AE48" s="11"/>
      <c r="AF48" s="11"/>
      <c r="AG48" s="11"/>
      <c r="AH48" s="11"/>
      <c r="AI48" s="11"/>
      <c r="AJ48" s="11"/>
      <c r="AK48" s="44"/>
      <c r="AL48" s="87"/>
      <c r="AM48" s="284"/>
      <c r="AN48" s="241"/>
      <c r="AO48" s="9"/>
      <c r="AQ48" s="162">
        <v>46058</v>
      </c>
      <c r="AR48" s="11">
        <v>4900</v>
      </c>
      <c r="AS48" s="11">
        <v>61893</v>
      </c>
      <c r="AT48" s="11"/>
      <c r="AU48" s="11">
        <v>14451</v>
      </c>
      <c r="AV48" s="11">
        <v>4900</v>
      </c>
      <c r="AW48" s="11">
        <v>76344</v>
      </c>
      <c r="AX48" s="11">
        <v>76344</v>
      </c>
      <c r="AY48" s="11"/>
      <c r="AZ48" s="44" t="s">
        <v>313</v>
      </c>
      <c r="BA48" s="87">
        <v>265163188</v>
      </c>
      <c r="BB48" s="284"/>
      <c r="BC48" s="241"/>
      <c r="BD48" s="9"/>
      <c r="BF48" s="162">
        <v>46058</v>
      </c>
      <c r="BG48" s="11"/>
      <c r="BH48" s="11"/>
      <c r="BI48" s="11"/>
      <c r="BJ48" s="11"/>
      <c r="BK48" s="11"/>
      <c r="BL48" s="11"/>
      <c r="BM48" s="11"/>
      <c r="BN48" s="11"/>
      <c r="BO48" s="44"/>
      <c r="BP48" s="87"/>
      <c r="BQ48" s="284"/>
      <c r="BR48" s="241"/>
      <c r="BS48" s="9"/>
    </row>
    <row r="49" spans="13:71" ht="15" customHeight="1">
      <c r="M49" s="162">
        <v>46059</v>
      </c>
      <c r="N49" s="11"/>
      <c r="O49" s="11"/>
      <c r="P49" s="11"/>
      <c r="Q49" s="11"/>
      <c r="R49" s="11"/>
      <c r="S49" s="11"/>
      <c r="T49" s="11"/>
      <c r="U49" s="11"/>
      <c r="V49" s="44"/>
      <c r="W49" s="87"/>
      <c r="X49" s="284"/>
      <c r="Y49" s="241"/>
      <c r="Z49" s="9"/>
      <c r="AB49" s="162">
        <v>46059</v>
      </c>
      <c r="AC49" s="11"/>
      <c r="AD49" s="11"/>
      <c r="AE49" s="11"/>
      <c r="AF49" s="11"/>
      <c r="AG49" s="11"/>
      <c r="AH49" s="11"/>
      <c r="AI49" s="11"/>
      <c r="AJ49" s="11"/>
      <c r="AK49" s="44"/>
      <c r="AL49" s="87"/>
      <c r="AM49" s="284"/>
      <c r="AN49" s="241"/>
      <c r="AO49" s="9"/>
      <c r="AQ49" s="162">
        <v>46059</v>
      </c>
      <c r="AR49" s="11"/>
      <c r="AS49" s="11"/>
      <c r="AT49" s="11"/>
      <c r="AU49" s="11"/>
      <c r="AV49" s="11"/>
      <c r="AW49" s="11"/>
      <c r="AX49" s="11"/>
      <c r="AY49" s="11"/>
      <c r="AZ49" s="44"/>
      <c r="BA49" s="87"/>
      <c r="BB49" s="284"/>
      <c r="BC49" s="241"/>
      <c r="BD49" s="9"/>
      <c r="BF49" s="162">
        <v>46059</v>
      </c>
      <c r="BG49" s="11"/>
      <c r="BH49" s="11"/>
      <c r="BI49" s="11"/>
      <c r="BJ49" s="11"/>
      <c r="BK49" s="11"/>
      <c r="BL49" s="11"/>
      <c r="BM49" s="11"/>
      <c r="BN49" s="11"/>
      <c r="BO49" s="44"/>
      <c r="BP49" s="87"/>
      <c r="BQ49" s="284"/>
      <c r="BR49" s="241"/>
      <c r="BS49" s="9"/>
    </row>
    <row r="50" spans="13:71" ht="15" customHeight="1">
      <c r="M50" s="162">
        <v>46060</v>
      </c>
      <c r="N50" s="163"/>
      <c r="O50" s="163"/>
      <c r="P50" s="163"/>
      <c r="Q50" s="163"/>
      <c r="R50" s="163"/>
      <c r="S50" s="163"/>
      <c r="T50" s="163"/>
      <c r="U50" s="163"/>
      <c r="V50" s="164"/>
      <c r="W50" s="167"/>
      <c r="X50" s="283"/>
      <c r="Y50" s="414"/>
      <c r="Z50" s="179"/>
      <c r="AB50" s="162">
        <v>46060</v>
      </c>
      <c r="AC50" s="163"/>
      <c r="AD50" s="163"/>
      <c r="AE50" s="163"/>
      <c r="AF50" s="163"/>
      <c r="AG50" s="163"/>
      <c r="AH50" s="163"/>
      <c r="AI50" s="163"/>
      <c r="AJ50" s="163"/>
      <c r="AK50" s="164"/>
      <c r="AL50" s="167"/>
      <c r="AM50" s="283"/>
      <c r="AN50" s="414"/>
      <c r="AO50" s="179"/>
      <c r="AQ50" s="162">
        <v>46060</v>
      </c>
      <c r="AR50" s="163"/>
      <c r="AS50" s="163"/>
      <c r="AT50" s="163"/>
      <c r="AU50" s="163"/>
      <c r="AV50" s="163"/>
      <c r="AW50" s="163"/>
      <c r="AX50" s="163"/>
      <c r="AY50" s="163"/>
      <c r="AZ50" s="164"/>
      <c r="BA50" s="167"/>
      <c r="BB50" s="283"/>
      <c r="BC50" s="414"/>
      <c r="BD50" s="179"/>
      <c r="BF50" s="162">
        <v>46060</v>
      </c>
      <c r="BG50" s="163"/>
      <c r="BH50" s="163"/>
      <c r="BI50" s="163"/>
      <c r="BJ50" s="163"/>
      <c r="BK50" s="163"/>
      <c r="BL50" s="163"/>
      <c r="BM50" s="163"/>
      <c r="BN50" s="163"/>
      <c r="BO50" s="164"/>
      <c r="BP50" s="167"/>
      <c r="BQ50" s="283"/>
      <c r="BR50" s="414"/>
      <c r="BS50" s="179"/>
    </row>
    <row r="51" spans="13:71" ht="15" customHeight="1">
      <c r="M51" s="162">
        <v>46061</v>
      </c>
      <c r="N51" s="163"/>
      <c r="O51" s="163"/>
      <c r="P51" s="163"/>
      <c r="Q51" s="163"/>
      <c r="R51" s="163"/>
      <c r="S51" s="163"/>
      <c r="T51" s="163"/>
      <c r="U51" s="163"/>
      <c r="V51" s="164"/>
      <c r="W51" s="167"/>
      <c r="X51" s="283"/>
      <c r="Y51" s="414"/>
      <c r="Z51" s="179"/>
      <c r="AB51" s="162">
        <v>46061</v>
      </c>
      <c r="AC51" s="163"/>
      <c r="AD51" s="163"/>
      <c r="AE51" s="163"/>
      <c r="AF51" s="163"/>
      <c r="AG51" s="163"/>
      <c r="AH51" s="163"/>
      <c r="AI51" s="163"/>
      <c r="AJ51" s="163"/>
      <c r="AK51" s="164"/>
      <c r="AL51" s="167"/>
      <c r="AM51" s="283"/>
      <c r="AN51" s="414"/>
      <c r="AO51" s="179"/>
      <c r="AQ51" s="162">
        <v>46061</v>
      </c>
      <c r="AR51" s="163"/>
      <c r="AS51" s="163"/>
      <c r="AT51" s="163"/>
      <c r="AU51" s="163"/>
      <c r="AV51" s="163"/>
      <c r="AW51" s="163"/>
      <c r="AX51" s="163"/>
      <c r="AY51" s="163"/>
      <c r="AZ51" s="164"/>
      <c r="BA51" s="167"/>
      <c r="BB51" s="283"/>
      <c r="BC51" s="414"/>
      <c r="BD51" s="179"/>
      <c r="BF51" s="162">
        <v>46061</v>
      </c>
      <c r="BG51" s="163"/>
      <c r="BH51" s="163"/>
      <c r="BI51" s="163"/>
      <c r="BJ51" s="163"/>
      <c r="BK51" s="163"/>
      <c r="BL51" s="163"/>
      <c r="BM51" s="163"/>
      <c r="BN51" s="163"/>
      <c r="BO51" s="164"/>
      <c r="BP51" s="167"/>
      <c r="BQ51" s="283"/>
      <c r="BR51" s="414"/>
      <c r="BS51" s="179"/>
    </row>
    <row r="52" spans="13:71" ht="15" customHeight="1">
      <c r="M52" s="162">
        <v>46062</v>
      </c>
      <c r="N52" s="11"/>
      <c r="O52" s="11"/>
      <c r="P52" s="11"/>
      <c r="Q52" s="11"/>
      <c r="R52" s="11"/>
      <c r="S52" s="11"/>
      <c r="T52" s="11"/>
      <c r="U52" s="11"/>
      <c r="V52" s="44"/>
      <c r="W52" s="87"/>
      <c r="X52" s="284"/>
      <c r="Y52" s="241"/>
      <c r="Z52" s="9"/>
      <c r="AB52" s="162">
        <v>46062</v>
      </c>
      <c r="AC52" s="11"/>
      <c r="AD52" s="11"/>
      <c r="AE52" s="11"/>
      <c r="AF52" s="11"/>
      <c r="AG52" s="11"/>
      <c r="AH52" s="11"/>
      <c r="AI52" s="11"/>
      <c r="AJ52" s="11"/>
      <c r="AK52" s="44"/>
      <c r="AL52" s="87"/>
      <c r="AM52" s="284"/>
      <c r="AN52" s="241"/>
      <c r="AO52" s="9"/>
      <c r="AQ52" s="162">
        <v>46062</v>
      </c>
      <c r="AR52" s="11"/>
      <c r="AS52" s="11"/>
      <c r="AT52" s="11"/>
      <c r="AU52" s="11"/>
      <c r="AV52" s="11"/>
      <c r="AW52" s="11"/>
      <c r="AX52" s="11"/>
      <c r="AY52" s="11"/>
      <c r="AZ52" s="44"/>
      <c r="BA52" s="87"/>
      <c r="BB52" s="284"/>
      <c r="BC52" s="241"/>
      <c r="BD52" s="9"/>
      <c r="BF52" s="162">
        <v>46062</v>
      </c>
      <c r="BG52" s="11"/>
      <c r="BH52" s="11"/>
      <c r="BI52" s="11"/>
      <c r="BJ52" s="11"/>
      <c r="BK52" s="11"/>
      <c r="BL52" s="11"/>
      <c r="BM52" s="11"/>
      <c r="BN52" s="11"/>
      <c r="BO52" s="44"/>
      <c r="BP52" s="87"/>
      <c r="BQ52" s="284"/>
      <c r="BR52" s="241"/>
      <c r="BS52" s="9"/>
    </row>
    <row r="53" spans="13:71" ht="15" customHeight="1">
      <c r="M53" s="162">
        <v>46063</v>
      </c>
      <c r="N53" s="11"/>
      <c r="O53" s="11"/>
      <c r="P53" s="11"/>
      <c r="Q53" s="11"/>
      <c r="R53" s="11"/>
      <c r="S53" s="11"/>
      <c r="T53" s="11"/>
      <c r="U53" s="11"/>
      <c r="V53" s="44"/>
      <c r="W53" s="87"/>
      <c r="X53" s="284"/>
      <c r="Y53" s="241"/>
      <c r="Z53" s="9"/>
      <c r="AB53" s="162">
        <v>46063</v>
      </c>
      <c r="AC53" s="11"/>
      <c r="AD53" s="11"/>
      <c r="AE53" s="11"/>
      <c r="AF53" s="11"/>
      <c r="AG53" s="11"/>
      <c r="AH53" s="11"/>
      <c r="AI53" s="11"/>
      <c r="AJ53" s="11"/>
      <c r="AK53" s="44"/>
      <c r="AL53" s="87"/>
      <c r="AM53" s="284"/>
      <c r="AN53" s="241"/>
      <c r="AO53" s="9"/>
      <c r="AQ53" s="162">
        <v>46063</v>
      </c>
      <c r="AR53" s="11"/>
      <c r="AS53" s="11"/>
      <c r="AT53" s="11"/>
      <c r="AU53" s="11"/>
      <c r="AV53" s="11"/>
      <c r="AW53" s="11"/>
      <c r="AX53" s="11"/>
      <c r="AY53" s="11"/>
      <c r="AZ53" s="44"/>
      <c r="BA53" s="87"/>
      <c r="BB53" s="284"/>
      <c r="BC53" s="241"/>
      <c r="BD53" s="9"/>
      <c r="BF53" s="162">
        <v>46063</v>
      </c>
      <c r="BG53" s="11"/>
      <c r="BH53" s="11"/>
      <c r="BI53" s="11"/>
      <c r="BJ53" s="11"/>
      <c r="BK53" s="11"/>
      <c r="BL53" s="11"/>
      <c r="BM53" s="11"/>
      <c r="BN53" s="11"/>
      <c r="BO53" s="44"/>
      <c r="BP53" s="87"/>
      <c r="BQ53" s="284"/>
      <c r="BR53" s="241"/>
      <c r="BS53" s="9"/>
    </row>
    <row r="54" spans="13:71" ht="15" customHeight="1">
      <c r="M54" s="162">
        <v>46064</v>
      </c>
      <c r="N54" s="11"/>
      <c r="O54" s="11"/>
      <c r="P54" s="11"/>
      <c r="Q54" s="11"/>
      <c r="R54" s="11"/>
      <c r="S54" s="11"/>
      <c r="T54" s="11"/>
      <c r="U54" s="11"/>
      <c r="V54" s="44"/>
      <c r="W54" s="87"/>
      <c r="X54" s="284"/>
      <c r="Y54" s="241"/>
      <c r="Z54" s="9"/>
      <c r="AB54" s="162">
        <v>46064</v>
      </c>
      <c r="AC54" s="11"/>
      <c r="AD54" s="11"/>
      <c r="AE54" s="11"/>
      <c r="AF54" s="11"/>
      <c r="AG54" s="11"/>
      <c r="AH54" s="11"/>
      <c r="AI54" s="11"/>
      <c r="AJ54" s="11"/>
      <c r="AK54" s="44"/>
      <c r="AL54" s="87"/>
      <c r="AM54" s="284"/>
      <c r="AN54" s="241"/>
      <c r="AO54" s="9"/>
      <c r="AQ54" s="162">
        <v>46064</v>
      </c>
      <c r="AR54" s="11"/>
      <c r="AS54" s="11"/>
      <c r="AT54" s="11"/>
      <c r="AU54" s="11"/>
      <c r="AV54" s="11"/>
      <c r="AW54" s="11"/>
      <c r="AX54" s="11"/>
      <c r="AY54" s="11"/>
      <c r="AZ54" s="44"/>
      <c r="BA54" s="87"/>
      <c r="BB54" s="284"/>
      <c r="BC54" s="241"/>
      <c r="BD54" s="9"/>
      <c r="BF54" s="162">
        <v>46064</v>
      </c>
      <c r="BG54" s="11"/>
      <c r="BH54" s="11"/>
      <c r="BI54" s="11"/>
      <c r="BJ54" s="11"/>
      <c r="BK54" s="11"/>
      <c r="BL54" s="11"/>
      <c r="BM54" s="11"/>
      <c r="BN54" s="11"/>
      <c r="BO54" s="44"/>
      <c r="BP54" s="87"/>
      <c r="BQ54" s="284"/>
      <c r="BR54" s="241"/>
      <c r="BS54" s="9"/>
    </row>
    <row r="55" spans="13:71" ht="15" customHeight="1">
      <c r="M55" s="162">
        <v>46065</v>
      </c>
      <c r="N55" s="11"/>
      <c r="O55" s="11"/>
      <c r="P55" s="11"/>
      <c r="Q55" s="11"/>
      <c r="R55" s="11"/>
      <c r="S55" s="11"/>
      <c r="T55" s="11"/>
      <c r="U55" s="11"/>
      <c r="V55" s="44"/>
      <c r="W55" s="87"/>
      <c r="X55" s="284"/>
      <c r="Y55" s="126"/>
      <c r="Z55" s="9"/>
      <c r="AB55" s="162">
        <v>46065</v>
      </c>
      <c r="AC55" s="11"/>
      <c r="AD55" s="11"/>
      <c r="AE55" s="11"/>
      <c r="AF55" s="11"/>
      <c r="AG55" s="11"/>
      <c r="AH55" s="11"/>
      <c r="AI55" s="11"/>
      <c r="AJ55" s="11"/>
      <c r="AK55" s="44"/>
      <c r="AL55" s="87"/>
      <c r="AM55" s="284"/>
      <c r="AN55" s="126"/>
      <c r="AO55" s="9"/>
      <c r="AQ55" s="162">
        <v>46065</v>
      </c>
      <c r="AR55" s="11"/>
      <c r="AS55" s="11"/>
      <c r="AT55" s="11"/>
      <c r="AU55" s="11"/>
      <c r="AV55" s="11"/>
      <c r="AW55" s="11"/>
      <c r="AX55" s="11"/>
      <c r="AY55" s="11"/>
      <c r="AZ55" s="44"/>
      <c r="BA55" s="87"/>
      <c r="BB55" s="284"/>
      <c r="BC55" s="126"/>
      <c r="BD55" s="9"/>
      <c r="BF55" s="162">
        <v>46065</v>
      </c>
      <c r="BG55" s="11"/>
      <c r="BH55" s="11"/>
      <c r="BI55" s="11"/>
      <c r="BJ55" s="11"/>
      <c r="BK55" s="11"/>
      <c r="BL55" s="11"/>
      <c r="BM55" s="11"/>
      <c r="BN55" s="11"/>
      <c r="BO55" s="44"/>
      <c r="BP55" s="87"/>
      <c r="BQ55" s="284"/>
      <c r="BR55" s="126"/>
      <c r="BS55" s="9"/>
    </row>
    <row r="56" spans="13:71" ht="15" customHeight="1">
      <c r="M56" s="162">
        <v>46066</v>
      </c>
      <c r="N56" s="11"/>
      <c r="O56" s="11"/>
      <c r="P56" s="11"/>
      <c r="Q56" s="11"/>
      <c r="R56" s="11"/>
      <c r="S56" s="11"/>
      <c r="T56" s="11"/>
      <c r="U56" s="11"/>
      <c r="V56" s="44"/>
      <c r="W56" s="87"/>
      <c r="X56" s="284"/>
      <c r="Y56" s="241"/>
      <c r="Z56" s="9"/>
      <c r="AB56" s="162">
        <v>46066</v>
      </c>
      <c r="AC56" s="11"/>
      <c r="AD56" s="11"/>
      <c r="AE56" s="11"/>
      <c r="AF56" s="11"/>
      <c r="AG56" s="11"/>
      <c r="AH56" s="11"/>
      <c r="AI56" s="11"/>
      <c r="AJ56" s="11"/>
      <c r="AK56" s="44"/>
      <c r="AL56" s="87"/>
      <c r="AM56" s="284"/>
      <c r="AN56" s="241"/>
      <c r="AO56" s="9"/>
      <c r="AQ56" s="162">
        <v>46066</v>
      </c>
      <c r="AR56" s="11"/>
      <c r="AS56" s="11"/>
      <c r="AT56" s="11"/>
      <c r="AU56" s="11"/>
      <c r="AV56" s="11"/>
      <c r="AW56" s="11"/>
      <c r="AX56" s="11"/>
      <c r="AY56" s="11"/>
      <c r="AZ56" s="44"/>
      <c r="BA56" s="87"/>
      <c r="BB56" s="284"/>
      <c r="BC56" s="241"/>
      <c r="BD56" s="9"/>
      <c r="BF56" s="162">
        <v>46066</v>
      </c>
      <c r="BG56" s="11"/>
      <c r="BH56" s="11"/>
      <c r="BI56" s="11"/>
      <c r="BJ56" s="11"/>
      <c r="BK56" s="11"/>
      <c r="BL56" s="11"/>
      <c r="BM56" s="11"/>
      <c r="BN56" s="11"/>
      <c r="BO56" s="44"/>
      <c r="BP56" s="87"/>
      <c r="BQ56" s="284"/>
      <c r="BR56" s="241"/>
      <c r="BS56" s="9"/>
    </row>
    <row r="57" spans="13:71" ht="15" customHeight="1">
      <c r="M57" s="162">
        <v>46067</v>
      </c>
      <c r="N57" s="163"/>
      <c r="O57" s="163"/>
      <c r="P57" s="163"/>
      <c r="Q57" s="163"/>
      <c r="R57" s="163"/>
      <c r="S57" s="163"/>
      <c r="T57" s="163"/>
      <c r="U57" s="163"/>
      <c r="V57" s="164"/>
      <c r="W57" s="167"/>
      <c r="X57" s="283"/>
      <c r="Y57" s="414"/>
      <c r="Z57" s="179"/>
      <c r="AB57" s="162">
        <v>46067</v>
      </c>
      <c r="AC57" s="163"/>
      <c r="AD57" s="163"/>
      <c r="AE57" s="163"/>
      <c r="AF57" s="163"/>
      <c r="AG57" s="163"/>
      <c r="AH57" s="163"/>
      <c r="AI57" s="163"/>
      <c r="AJ57" s="163"/>
      <c r="AK57" s="164"/>
      <c r="AL57" s="167"/>
      <c r="AM57" s="283"/>
      <c r="AN57" s="414"/>
      <c r="AO57" s="179"/>
      <c r="AQ57" s="162">
        <v>46067</v>
      </c>
      <c r="AR57" s="163"/>
      <c r="AS57" s="163"/>
      <c r="AT57" s="163"/>
      <c r="AU57" s="163"/>
      <c r="AV57" s="163"/>
      <c r="AW57" s="163"/>
      <c r="AX57" s="163"/>
      <c r="AY57" s="163"/>
      <c r="AZ57" s="164"/>
      <c r="BA57" s="167"/>
      <c r="BB57" s="283"/>
      <c r="BC57" s="414"/>
      <c r="BD57" s="179"/>
      <c r="BF57" s="162">
        <v>46067</v>
      </c>
      <c r="BG57" s="163"/>
      <c r="BH57" s="163"/>
      <c r="BI57" s="163"/>
      <c r="BJ57" s="163"/>
      <c r="BK57" s="163"/>
      <c r="BL57" s="163"/>
      <c r="BM57" s="163"/>
      <c r="BN57" s="163"/>
      <c r="BO57" s="164"/>
      <c r="BP57" s="167"/>
      <c r="BQ57" s="283"/>
      <c r="BR57" s="414"/>
      <c r="BS57" s="179"/>
    </row>
    <row r="58" spans="13:71" ht="15" customHeight="1">
      <c r="M58" s="162">
        <v>46068</v>
      </c>
      <c r="N58" s="163"/>
      <c r="O58" s="163"/>
      <c r="P58" s="163"/>
      <c r="Q58" s="163"/>
      <c r="R58" s="163"/>
      <c r="S58" s="163"/>
      <c r="T58" s="163"/>
      <c r="U58" s="163"/>
      <c r="V58" s="164"/>
      <c r="W58" s="167"/>
      <c r="X58" s="283"/>
      <c r="Y58" s="414"/>
      <c r="Z58" s="179"/>
      <c r="AB58" s="162">
        <v>46068</v>
      </c>
      <c r="AC58" s="163"/>
      <c r="AD58" s="163"/>
      <c r="AE58" s="163"/>
      <c r="AF58" s="163"/>
      <c r="AG58" s="163"/>
      <c r="AH58" s="163"/>
      <c r="AI58" s="163"/>
      <c r="AJ58" s="163"/>
      <c r="AK58" s="164"/>
      <c r="AL58" s="167"/>
      <c r="AM58" s="283"/>
      <c r="AN58" s="414"/>
      <c r="AO58" s="179"/>
      <c r="AQ58" s="162">
        <v>46068</v>
      </c>
      <c r="AR58" s="163"/>
      <c r="AS58" s="163"/>
      <c r="AT58" s="163"/>
      <c r="AU58" s="163"/>
      <c r="AV58" s="163"/>
      <c r="AW58" s="163"/>
      <c r="AX58" s="163"/>
      <c r="AY58" s="163"/>
      <c r="AZ58" s="164"/>
      <c r="BA58" s="167"/>
      <c r="BB58" s="283"/>
      <c r="BC58" s="414"/>
      <c r="BD58" s="179"/>
      <c r="BF58" s="162">
        <v>46068</v>
      </c>
      <c r="BG58" s="163"/>
      <c r="BH58" s="163"/>
      <c r="BI58" s="163"/>
      <c r="BJ58" s="163"/>
      <c r="BK58" s="163"/>
      <c r="BL58" s="163"/>
      <c r="BM58" s="163"/>
      <c r="BN58" s="163"/>
      <c r="BO58" s="164"/>
      <c r="BP58" s="167"/>
      <c r="BQ58" s="283"/>
      <c r="BR58" s="414"/>
      <c r="BS58" s="179"/>
    </row>
    <row r="59" spans="13:71" ht="15" customHeight="1">
      <c r="M59" s="162">
        <v>46069</v>
      </c>
      <c r="N59" s="11"/>
      <c r="O59" s="11"/>
      <c r="P59" s="11"/>
      <c r="Q59" s="11"/>
      <c r="R59" s="11"/>
      <c r="S59" s="11"/>
      <c r="T59" s="11"/>
      <c r="U59" s="11"/>
      <c r="V59" s="44"/>
      <c r="W59" s="87"/>
      <c r="X59" s="284"/>
      <c r="Y59" s="241"/>
      <c r="Z59" s="9"/>
      <c r="AB59" s="162">
        <v>46069</v>
      </c>
      <c r="AC59" s="11"/>
      <c r="AD59" s="11"/>
      <c r="AE59" s="11"/>
      <c r="AF59" s="11"/>
      <c r="AG59" s="11"/>
      <c r="AH59" s="11"/>
      <c r="AI59" s="11"/>
      <c r="AJ59" s="11"/>
      <c r="AK59" s="44"/>
      <c r="AL59" s="87"/>
      <c r="AM59" s="284"/>
      <c r="AN59" s="241"/>
      <c r="AO59" s="9"/>
      <c r="AQ59" s="162">
        <v>46069</v>
      </c>
      <c r="AR59" s="11"/>
      <c r="AS59" s="11"/>
      <c r="AT59" s="11"/>
      <c r="AU59" s="11"/>
      <c r="AV59" s="11"/>
      <c r="AW59" s="11"/>
      <c r="AX59" s="11"/>
      <c r="AY59" s="11"/>
      <c r="AZ59" s="44"/>
      <c r="BA59" s="87"/>
      <c r="BB59" s="284"/>
      <c r="BC59" s="241"/>
      <c r="BD59" s="9"/>
      <c r="BF59" s="162">
        <v>46069</v>
      </c>
      <c r="BG59" s="11"/>
      <c r="BH59" s="11"/>
      <c r="BI59" s="11"/>
      <c r="BJ59" s="11"/>
      <c r="BK59" s="11"/>
      <c r="BL59" s="11"/>
      <c r="BM59" s="11"/>
      <c r="BN59" s="11"/>
      <c r="BO59" s="44"/>
      <c r="BP59" s="87"/>
      <c r="BQ59" s="284"/>
      <c r="BR59" s="241"/>
      <c r="BS59" s="9"/>
    </row>
    <row r="60" spans="13:71" ht="15" customHeight="1">
      <c r="M60" s="162">
        <v>46070</v>
      </c>
      <c r="N60" s="11"/>
      <c r="O60" s="11"/>
      <c r="P60" s="11"/>
      <c r="Q60" s="11"/>
      <c r="R60" s="11"/>
      <c r="S60" s="11"/>
      <c r="T60" s="11"/>
      <c r="U60" s="11"/>
      <c r="V60" s="44"/>
      <c r="W60" s="87"/>
      <c r="X60" s="284"/>
      <c r="Y60" s="241"/>
      <c r="Z60" s="9"/>
      <c r="AB60" s="162">
        <v>46070</v>
      </c>
      <c r="AC60" s="11"/>
      <c r="AD60" s="11"/>
      <c r="AE60" s="11"/>
      <c r="AF60" s="11"/>
      <c r="AG60" s="11"/>
      <c r="AH60" s="11"/>
      <c r="AI60" s="11"/>
      <c r="AJ60" s="11"/>
      <c r="AK60" s="44"/>
      <c r="AL60" s="87"/>
      <c r="AM60" s="284"/>
      <c r="AN60" s="241"/>
      <c r="AO60" s="9"/>
      <c r="AQ60" s="162">
        <v>46070</v>
      </c>
      <c r="AR60" s="11"/>
      <c r="AS60" s="11"/>
      <c r="AT60" s="11"/>
      <c r="AU60" s="11"/>
      <c r="AV60" s="11"/>
      <c r="AW60" s="11"/>
      <c r="AX60" s="11"/>
      <c r="AY60" s="11"/>
      <c r="AZ60" s="44"/>
      <c r="BA60" s="87"/>
      <c r="BB60" s="284"/>
      <c r="BC60" s="241"/>
      <c r="BD60" s="9"/>
      <c r="BF60" s="162">
        <v>46070</v>
      </c>
      <c r="BG60" s="11"/>
      <c r="BH60" s="11"/>
      <c r="BI60" s="11"/>
      <c r="BJ60" s="11"/>
      <c r="BK60" s="11"/>
      <c r="BL60" s="11"/>
      <c r="BM60" s="11"/>
      <c r="BN60" s="11"/>
      <c r="BO60" s="44"/>
      <c r="BP60" s="87"/>
      <c r="BQ60" s="284"/>
      <c r="BR60" s="241"/>
      <c r="BS60" s="9"/>
    </row>
    <row r="61" spans="13:71" ht="15" customHeight="1">
      <c r="M61" s="162">
        <v>46071</v>
      </c>
      <c r="N61" s="11"/>
      <c r="O61" s="11"/>
      <c r="P61" s="11"/>
      <c r="Q61" s="11"/>
      <c r="R61" s="11"/>
      <c r="S61" s="11"/>
      <c r="T61" s="11"/>
      <c r="U61" s="11"/>
      <c r="V61" s="44"/>
      <c r="W61" s="87"/>
      <c r="X61" s="284"/>
      <c r="Y61" s="241"/>
      <c r="Z61" s="9"/>
      <c r="AB61" s="162">
        <v>46071</v>
      </c>
      <c r="AC61" s="11"/>
      <c r="AD61" s="11"/>
      <c r="AE61" s="11"/>
      <c r="AF61" s="11"/>
      <c r="AG61" s="11"/>
      <c r="AH61" s="11"/>
      <c r="AI61" s="11"/>
      <c r="AJ61" s="11"/>
      <c r="AK61" s="44"/>
      <c r="AL61" s="87"/>
      <c r="AM61" s="284"/>
      <c r="AN61" s="241"/>
      <c r="AO61" s="9"/>
      <c r="AQ61" s="162">
        <v>46071</v>
      </c>
      <c r="AR61" s="11"/>
      <c r="AS61" s="11"/>
      <c r="AT61" s="11"/>
      <c r="AU61" s="11"/>
      <c r="AV61" s="11"/>
      <c r="AW61" s="11"/>
      <c r="AX61" s="11"/>
      <c r="AY61" s="11"/>
      <c r="AZ61" s="44"/>
      <c r="BA61" s="87"/>
      <c r="BB61" s="284"/>
      <c r="BC61" s="241"/>
      <c r="BD61" s="9"/>
      <c r="BF61" s="162">
        <v>46071</v>
      </c>
      <c r="BG61" s="11"/>
      <c r="BH61" s="11"/>
      <c r="BI61" s="11"/>
      <c r="BJ61" s="11"/>
      <c r="BK61" s="11"/>
      <c r="BL61" s="11"/>
      <c r="BM61" s="11"/>
      <c r="BN61" s="11"/>
      <c r="BO61" s="44"/>
      <c r="BP61" s="87"/>
      <c r="BQ61" s="284"/>
      <c r="BR61" s="241"/>
      <c r="BS61" s="9"/>
    </row>
    <row r="62" spans="13:71" ht="15" customHeight="1">
      <c r="M62" s="162">
        <v>46072</v>
      </c>
      <c r="N62" s="11"/>
      <c r="O62" s="11"/>
      <c r="P62" s="11"/>
      <c r="Q62" s="11"/>
      <c r="R62" s="11"/>
      <c r="S62" s="11"/>
      <c r="T62" s="11"/>
      <c r="U62" s="11"/>
      <c r="V62" s="44"/>
      <c r="W62" s="87"/>
      <c r="X62" s="284"/>
      <c r="Y62" s="241"/>
      <c r="Z62" s="9"/>
      <c r="AB62" s="162">
        <v>46072</v>
      </c>
      <c r="AC62" s="11"/>
      <c r="AD62" s="11"/>
      <c r="AE62" s="11"/>
      <c r="AF62" s="11"/>
      <c r="AG62" s="11"/>
      <c r="AH62" s="11"/>
      <c r="AI62" s="11"/>
      <c r="AJ62" s="11"/>
      <c r="AK62" s="44"/>
      <c r="AL62" s="87"/>
      <c r="AM62" s="284"/>
      <c r="AN62" s="241"/>
      <c r="AO62" s="9"/>
      <c r="AQ62" s="162">
        <v>46072</v>
      </c>
      <c r="AR62" s="11"/>
      <c r="AS62" s="11"/>
      <c r="AT62" s="11"/>
      <c r="AU62" s="11"/>
      <c r="AV62" s="11"/>
      <c r="AW62" s="11"/>
      <c r="AX62" s="11"/>
      <c r="AY62" s="11"/>
      <c r="AZ62" s="44"/>
      <c r="BA62" s="87"/>
      <c r="BB62" s="284"/>
      <c r="BC62" s="241"/>
      <c r="BD62" s="9"/>
      <c r="BF62" s="162">
        <v>46072</v>
      </c>
      <c r="BG62" s="11"/>
      <c r="BH62" s="11"/>
      <c r="BI62" s="11"/>
      <c r="BJ62" s="11"/>
      <c r="BK62" s="11"/>
      <c r="BL62" s="11"/>
      <c r="BM62" s="11"/>
      <c r="BN62" s="11"/>
      <c r="BO62" s="44"/>
      <c r="BP62" s="87"/>
      <c r="BQ62" s="284"/>
      <c r="BR62" s="241"/>
      <c r="BS62" s="9"/>
    </row>
    <row r="63" spans="13:71" ht="15" customHeight="1">
      <c r="M63" s="162">
        <v>46073</v>
      </c>
      <c r="N63" s="11"/>
      <c r="O63" s="11"/>
      <c r="P63" s="11"/>
      <c r="Q63" s="11"/>
      <c r="R63" s="11"/>
      <c r="S63" s="11"/>
      <c r="T63" s="11"/>
      <c r="U63" s="11"/>
      <c r="V63" s="44"/>
      <c r="W63" s="87"/>
      <c r="X63" s="284"/>
      <c r="Y63" s="241"/>
      <c r="Z63" s="9"/>
      <c r="AB63" s="162">
        <v>46073</v>
      </c>
      <c r="AC63" s="11"/>
      <c r="AD63" s="11"/>
      <c r="AE63" s="11"/>
      <c r="AF63" s="11"/>
      <c r="AG63" s="11"/>
      <c r="AH63" s="11"/>
      <c r="AI63" s="11"/>
      <c r="AJ63" s="11"/>
      <c r="AK63" s="44"/>
      <c r="AL63" s="87"/>
      <c r="AM63" s="284"/>
      <c r="AN63" s="241"/>
      <c r="AO63" s="9"/>
      <c r="AQ63" s="162">
        <v>46073</v>
      </c>
      <c r="AR63" s="11"/>
      <c r="AS63" s="11"/>
      <c r="AT63" s="11"/>
      <c r="AU63" s="11"/>
      <c r="AV63" s="11"/>
      <c r="AW63" s="11"/>
      <c r="AX63" s="11"/>
      <c r="AY63" s="11"/>
      <c r="AZ63" s="44"/>
      <c r="BA63" s="87"/>
      <c r="BB63" s="284"/>
      <c r="BC63" s="241"/>
      <c r="BD63" s="9"/>
      <c r="BF63" s="162">
        <v>46073</v>
      </c>
      <c r="BG63" s="11"/>
      <c r="BH63" s="11"/>
      <c r="BI63" s="11"/>
      <c r="BJ63" s="11"/>
      <c r="BK63" s="11"/>
      <c r="BL63" s="11"/>
      <c r="BM63" s="11"/>
      <c r="BN63" s="11"/>
      <c r="BO63" s="44"/>
      <c r="BP63" s="87"/>
      <c r="BQ63" s="284"/>
      <c r="BR63" s="241"/>
      <c r="BS63" s="9"/>
    </row>
    <row r="64" spans="13:71" ht="15" customHeight="1">
      <c r="M64" s="162">
        <v>46074</v>
      </c>
      <c r="N64" s="163"/>
      <c r="O64" s="163"/>
      <c r="P64" s="163"/>
      <c r="Q64" s="163"/>
      <c r="R64" s="163"/>
      <c r="S64" s="163"/>
      <c r="T64" s="163"/>
      <c r="U64" s="163"/>
      <c r="V64" s="164"/>
      <c r="W64" s="167"/>
      <c r="X64" s="283"/>
      <c r="Y64" s="414"/>
      <c r="Z64" s="179"/>
      <c r="AB64" s="162">
        <v>46074</v>
      </c>
      <c r="AC64" s="163"/>
      <c r="AD64" s="163"/>
      <c r="AE64" s="163"/>
      <c r="AF64" s="163"/>
      <c r="AG64" s="163"/>
      <c r="AH64" s="163"/>
      <c r="AI64" s="163"/>
      <c r="AJ64" s="163"/>
      <c r="AK64" s="164"/>
      <c r="AL64" s="167"/>
      <c r="AM64" s="283"/>
      <c r="AN64" s="414"/>
      <c r="AO64" s="179"/>
      <c r="AQ64" s="162">
        <v>46074</v>
      </c>
      <c r="AR64" s="163"/>
      <c r="AS64" s="163"/>
      <c r="AT64" s="163"/>
      <c r="AU64" s="163"/>
      <c r="AV64" s="163"/>
      <c r="AW64" s="163"/>
      <c r="AX64" s="163"/>
      <c r="AY64" s="163"/>
      <c r="AZ64" s="164"/>
      <c r="BA64" s="167"/>
      <c r="BB64" s="283"/>
      <c r="BC64" s="414"/>
      <c r="BD64" s="179"/>
      <c r="BF64" s="162">
        <v>46074</v>
      </c>
      <c r="BG64" s="163"/>
      <c r="BH64" s="163"/>
      <c r="BI64" s="163"/>
      <c r="BJ64" s="163"/>
      <c r="BK64" s="163"/>
      <c r="BL64" s="163"/>
      <c r="BM64" s="163"/>
      <c r="BN64" s="163"/>
      <c r="BO64" s="164"/>
      <c r="BP64" s="167"/>
      <c r="BQ64" s="283"/>
      <c r="BR64" s="414"/>
      <c r="BS64" s="179"/>
    </row>
    <row r="65" spans="13:71" ht="15" customHeight="1">
      <c r="M65" s="162">
        <v>46075</v>
      </c>
      <c r="N65" s="163"/>
      <c r="O65" s="163"/>
      <c r="P65" s="163"/>
      <c r="Q65" s="163"/>
      <c r="R65" s="163"/>
      <c r="S65" s="163"/>
      <c r="T65" s="163"/>
      <c r="U65" s="163"/>
      <c r="V65" s="164"/>
      <c r="W65" s="167"/>
      <c r="X65" s="283"/>
      <c r="Y65" s="414"/>
      <c r="Z65" s="179"/>
      <c r="AB65" s="162">
        <v>46075</v>
      </c>
      <c r="AC65" s="163"/>
      <c r="AD65" s="163"/>
      <c r="AE65" s="163"/>
      <c r="AF65" s="163"/>
      <c r="AG65" s="163"/>
      <c r="AH65" s="163"/>
      <c r="AI65" s="163"/>
      <c r="AJ65" s="163"/>
      <c r="AK65" s="164"/>
      <c r="AL65" s="167"/>
      <c r="AM65" s="283"/>
      <c r="AN65" s="414"/>
      <c r="AO65" s="179"/>
      <c r="AQ65" s="162">
        <v>46075</v>
      </c>
      <c r="AR65" s="163"/>
      <c r="AS65" s="163"/>
      <c r="AT65" s="163"/>
      <c r="AU65" s="163"/>
      <c r="AV65" s="163"/>
      <c r="AW65" s="163"/>
      <c r="AX65" s="163"/>
      <c r="AY65" s="163"/>
      <c r="AZ65" s="164"/>
      <c r="BA65" s="167"/>
      <c r="BB65" s="283"/>
      <c r="BC65" s="414"/>
      <c r="BD65" s="179"/>
      <c r="BF65" s="162">
        <v>46075</v>
      </c>
      <c r="BG65" s="163"/>
      <c r="BH65" s="163"/>
      <c r="BI65" s="163"/>
      <c r="BJ65" s="163"/>
      <c r="BK65" s="163"/>
      <c r="BL65" s="163"/>
      <c r="BM65" s="163"/>
      <c r="BN65" s="163"/>
      <c r="BO65" s="164"/>
      <c r="BP65" s="167"/>
      <c r="BQ65" s="283"/>
      <c r="BR65" s="414"/>
      <c r="BS65" s="179"/>
    </row>
    <row r="66" spans="13:71" ht="15" customHeight="1">
      <c r="M66" s="162">
        <v>46076</v>
      </c>
      <c r="N66" s="11"/>
      <c r="O66" s="11"/>
      <c r="P66" s="11"/>
      <c r="Q66" s="11"/>
      <c r="R66" s="11"/>
      <c r="S66" s="11"/>
      <c r="T66" s="11"/>
      <c r="U66" s="11"/>
      <c r="V66" s="44"/>
      <c r="W66" s="87"/>
      <c r="X66" s="284"/>
      <c r="Y66" s="241"/>
      <c r="Z66" s="9"/>
      <c r="AB66" s="162">
        <v>46076</v>
      </c>
      <c r="AC66" s="11"/>
      <c r="AD66" s="11"/>
      <c r="AE66" s="11"/>
      <c r="AF66" s="11"/>
      <c r="AG66" s="11"/>
      <c r="AH66" s="11"/>
      <c r="AI66" s="11"/>
      <c r="AJ66" s="11"/>
      <c r="AK66" s="44"/>
      <c r="AL66" s="87"/>
      <c r="AM66" s="284"/>
      <c r="AN66" s="241"/>
      <c r="AO66" s="9"/>
      <c r="AQ66" s="162">
        <v>46076</v>
      </c>
      <c r="AR66" s="11"/>
      <c r="AS66" s="11"/>
      <c r="AT66" s="11"/>
      <c r="AU66" s="11"/>
      <c r="AV66" s="11"/>
      <c r="AW66" s="11"/>
      <c r="AX66" s="11"/>
      <c r="AY66" s="11"/>
      <c r="AZ66" s="44"/>
      <c r="BA66" s="87"/>
      <c r="BB66" s="284"/>
      <c r="BC66" s="241"/>
      <c r="BD66" s="9"/>
      <c r="BF66" s="162">
        <v>46076</v>
      </c>
      <c r="BG66" s="11"/>
      <c r="BH66" s="11"/>
      <c r="BI66" s="11"/>
      <c r="BJ66" s="11"/>
      <c r="BK66" s="11"/>
      <c r="BL66" s="11"/>
      <c r="BM66" s="11"/>
      <c r="BN66" s="11"/>
      <c r="BO66" s="44"/>
      <c r="BP66" s="87"/>
      <c r="BQ66" s="284"/>
      <c r="BR66" s="241"/>
      <c r="BS66" s="9"/>
    </row>
    <row r="67" spans="13:71" ht="15" customHeight="1">
      <c r="M67" s="162">
        <v>46077</v>
      </c>
      <c r="N67" s="11"/>
      <c r="O67" s="11"/>
      <c r="P67" s="11"/>
      <c r="Q67" s="11"/>
      <c r="R67" s="11"/>
      <c r="S67" s="11"/>
      <c r="T67" s="11"/>
      <c r="U67" s="11"/>
      <c r="V67" s="44"/>
      <c r="W67" s="87"/>
      <c r="X67" s="284"/>
      <c r="Y67" s="241"/>
      <c r="Z67" s="9"/>
      <c r="AB67" s="162">
        <v>46077</v>
      </c>
      <c r="AC67" s="11"/>
      <c r="AD67" s="11"/>
      <c r="AE67" s="11"/>
      <c r="AF67" s="11"/>
      <c r="AG67" s="11"/>
      <c r="AH67" s="11"/>
      <c r="AI67" s="11"/>
      <c r="AJ67" s="11"/>
      <c r="AK67" s="44"/>
      <c r="AL67" s="87"/>
      <c r="AM67" s="284"/>
      <c r="AN67" s="241"/>
      <c r="AO67" s="9"/>
      <c r="AQ67" s="162">
        <v>46077</v>
      </c>
      <c r="AR67" s="11"/>
      <c r="AS67" s="11"/>
      <c r="AT67" s="11"/>
      <c r="AU67" s="11"/>
      <c r="AV67" s="11"/>
      <c r="AW67" s="11"/>
      <c r="AX67" s="11"/>
      <c r="AY67" s="11"/>
      <c r="AZ67" s="44"/>
      <c r="BA67" s="87"/>
      <c r="BB67" s="284"/>
      <c r="BC67" s="241"/>
      <c r="BD67" s="9"/>
      <c r="BF67" s="162">
        <v>46077</v>
      </c>
      <c r="BG67" s="11"/>
      <c r="BH67" s="11"/>
      <c r="BI67" s="11"/>
      <c r="BJ67" s="11"/>
      <c r="BK67" s="11"/>
      <c r="BL67" s="11"/>
      <c r="BM67" s="11"/>
      <c r="BN67" s="11"/>
      <c r="BO67" s="44"/>
      <c r="BP67" s="87"/>
      <c r="BQ67" s="284"/>
      <c r="BR67" s="241"/>
      <c r="BS67" s="9"/>
    </row>
    <row r="68" spans="13:71" ht="15" customHeight="1">
      <c r="M68" s="162">
        <v>46078</v>
      </c>
      <c r="N68" s="11"/>
      <c r="O68" s="11"/>
      <c r="P68" s="11"/>
      <c r="Q68" s="11"/>
      <c r="R68" s="11"/>
      <c r="S68" s="11"/>
      <c r="T68" s="11"/>
      <c r="U68" s="11"/>
      <c r="V68" s="44"/>
      <c r="W68" s="87"/>
      <c r="X68" s="284"/>
      <c r="Y68" s="241"/>
      <c r="Z68" s="9"/>
      <c r="AB68" s="162">
        <v>46078</v>
      </c>
      <c r="AC68" s="11"/>
      <c r="AD68" s="11"/>
      <c r="AE68" s="11"/>
      <c r="AF68" s="11"/>
      <c r="AG68" s="11"/>
      <c r="AH68" s="11"/>
      <c r="AI68" s="11"/>
      <c r="AJ68" s="11"/>
      <c r="AK68" s="44"/>
      <c r="AL68" s="87"/>
      <c r="AM68" s="284"/>
      <c r="AN68" s="241"/>
      <c r="AO68" s="9"/>
      <c r="AQ68" s="162">
        <v>46078</v>
      </c>
      <c r="AR68" s="11"/>
      <c r="AS68" s="11"/>
      <c r="AT68" s="11"/>
      <c r="AU68" s="11"/>
      <c r="AV68" s="11"/>
      <c r="AW68" s="11"/>
      <c r="AX68" s="11"/>
      <c r="AY68" s="11"/>
      <c r="AZ68" s="44"/>
      <c r="BA68" s="87"/>
      <c r="BB68" s="284"/>
      <c r="BC68" s="241"/>
      <c r="BD68" s="9"/>
      <c r="BF68" s="162">
        <v>46078</v>
      </c>
      <c r="BG68" s="11"/>
      <c r="BH68" s="11"/>
      <c r="BI68" s="11"/>
      <c r="BJ68" s="11"/>
      <c r="BK68" s="11"/>
      <c r="BL68" s="11"/>
      <c r="BM68" s="11"/>
      <c r="BN68" s="11"/>
      <c r="BO68" s="44"/>
      <c r="BP68" s="87"/>
      <c r="BQ68" s="284"/>
      <c r="BR68" s="241"/>
      <c r="BS68" s="9"/>
    </row>
    <row r="69" spans="13:71" ht="15" customHeight="1">
      <c r="M69" s="162">
        <v>46079</v>
      </c>
      <c r="N69" s="11"/>
      <c r="O69" s="11"/>
      <c r="P69" s="11"/>
      <c r="Q69" s="11"/>
      <c r="R69" s="11"/>
      <c r="S69" s="11"/>
      <c r="T69" s="11"/>
      <c r="U69" s="11"/>
      <c r="V69" s="44"/>
      <c r="W69" s="87"/>
      <c r="X69" s="284"/>
      <c r="Y69" s="241"/>
      <c r="Z69" s="9"/>
      <c r="AB69" s="162">
        <v>46079</v>
      </c>
      <c r="AC69" s="11"/>
      <c r="AD69" s="11"/>
      <c r="AE69" s="11"/>
      <c r="AF69" s="11"/>
      <c r="AG69" s="11"/>
      <c r="AH69" s="11"/>
      <c r="AI69" s="11"/>
      <c r="AJ69" s="11"/>
      <c r="AK69" s="44"/>
      <c r="AL69" s="87"/>
      <c r="AM69" s="284"/>
      <c r="AN69" s="241"/>
      <c r="AO69" s="9"/>
      <c r="AQ69" s="162">
        <v>46079</v>
      </c>
      <c r="AR69" s="11"/>
      <c r="AS69" s="11"/>
      <c r="AT69" s="11"/>
      <c r="AU69" s="11"/>
      <c r="AV69" s="11"/>
      <c r="AW69" s="11"/>
      <c r="AX69" s="11"/>
      <c r="AY69" s="11"/>
      <c r="AZ69" s="44"/>
      <c r="BA69" s="87"/>
      <c r="BB69" s="284"/>
      <c r="BC69" s="241"/>
      <c r="BD69" s="9"/>
      <c r="BF69" s="162">
        <v>46079</v>
      </c>
      <c r="BG69" s="11"/>
      <c r="BH69" s="11"/>
      <c r="BI69" s="11"/>
      <c r="BJ69" s="11"/>
      <c r="BK69" s="11"/>
      <c r="BL69" s="11"/>
      <c r="BM69" s="11"/>
      <c r="BN69" s="11"/>
      <c r="BO69" s="44"/>
      <c r="BP69" s="87"/>
      <c r="BQ69" s="284"/>
      <c r="BR69" s="241"/>
      <c r="BS69" s="9"/>
    </row>
    <row r="70" spans="13:71" ht="15" customHeight="1">
      <c r="M70" s="162">
        <v>46080</v>
      </c>
      <c r="N70" s="11"/>
      <c r="O70" s="11"/>
      <c r="P70" s="11"/>
      <c r="Q70" s="11"/>
      <c r="R70" s="11"/>
      <c r="S70" s="11"/>
      <c r="T70" s="11"/>
      <c r="U70" s="11"/>
      <c r="V70" s="44"/>
      <c r="W70" s="87"/>
      <c r="X70" s="284"/>
      <c r="Y70" s="241"/>
      <c r="Z70" s="9"/>
      <c r="AB70" s="162">
        <v>46080</v>
      </c>
      <c r="AC70" s="11"/>
      <c r="AD70" s="11"/>
      <c r="AE70" s="11"/>
      <c r="AF70" s="11"/>
      <c r="AG70" s="11"/>
      <c r="AH70" s="11"/>
      <c r="AI70" s="11"/>
      <c r="AJ70" s="11"/>
      <c r="AK70" s="44"/>
      <c r="AL70" s="87"/>
      <c r="AM70" s="284"/>
      <c r="AN70" s="241"/>
      <c r="AO70" s="9"/>
      <c r="AQ70" s="162">
        <v>46080</v>
      </c>
      <c r="AR70" s="11"/>
      <c r="AS70" s="11"/>
      <c r="AT70" s="11"/>
      <c r="AU70" s="11"/>
      <c r="AV70" s="11"/>
      <c r="AW70" s="11"/>
      <c r="AX70" s="11"/>
      <c r="AY70" s="11"/>
      <c r="AZ70" s="44"/>
      <c r="BA70" s="87"/>
      <c r="BB70" s="284"/>
      <c r="BC70" s="241"/>
      <c r="BD70" s="9"/>
      <c r="BF70" s="162">
        <v>46080</v>
      </c>
      <c r="BG70" s="11"/>
      <c r="BH70" s="11"/>
      <c r="BI70" s="11"/>
      <c r="BJ70" s="11"/>
      <c r="BK70" s="11"/>
      <c r="BL70" s="11"/>
      <c r="BM70" s="11"/>
      <c r="BN70" s="11"/>
      <c r="BO70" s="44"/>
      <c r="BP70" s="87"/>
      <c r="BQ70" s="284"/>
      <c r="BR70" s="241"/>
      <c r="BS70" s="9"/>
    </row>
    <row r="71" spans="13:71" ht="15" customHeight="1">
      <c r="M71" s="162">
        <v>46081</v>
      </c>
      <c r="N71" s="163"/>
      <c r="O71" s="163"/>
      <c r="P71" s="163"/>
      <c r="Q71" s="163"/>
      <c r="R71" s="163"/>
      <c r="S71" s="163"/>
      <c r="T71" s="163"/>
      <c r="U71" s="163"/>
      <c r="V71" s="164"/>
      <c r="W71" s="167"/>
      <c r="X71" s="283"/>
      <c r="Y71" s="414"/>
      <c r="Z71" s="179"/>
      <c r="AB71" s="162">
        <v>46081</v>
      </c>
      <c r="AC71" s="163"/>
      <c r="AD71" s="163"/>
      <c r="AE71" s="163"/>
      <c r="AF71" s="163"/>
      <c r="AG71" s="163"/>
      <c r="AH71" s="163"/>
      <c r="AI71" s="163"/>
      <c r="AJ71" s="163"/>
      <c r="AK71" s="164"/>
      <c r="AL71" s="167"/>
      <c r="AM71" s="283"/>
      <c r="AN71" s="414"/>
      <c r="AO71" s="179"/>
      <c r="AQ71" s="162">
        <v>46081</v>
      </c>
      <c r="AR71" s="163"/>
      <c r="AS71" s="163"/>
      <c r="AT71" s="163"/>
      <c r="AU71" s="163"/>
      <c r="AV71" s="163"/>
      <c r="AW71" s="163"/>
      <c r="AX71" s="163"/>
      <c r="AY71" s="163"/>
      <c r="AZ71" s="164"/>
      <c r="BA71" s="167"/>
      <c r="BB71" s="283"/>
      <c r="BC71" s="414"/>
      <c r="BD71" s="179"/>
      <c r="BF71" s="162">
        <v>46081</v>
      </c>
      <c r="BG71" s="163"/>
      <c r="BH71" s="163"/>
      <c r="BI71" s="163"/>
      <c r="BJ71" s="163"/>
      <c r="BK71" s="163"/>
      <c r="BL71" s="163"/>
      <c r="BM71" s="163"/>
      <c r="BN71" s="163"/>
      <c r="BO71" s="164"/>
      <c r="BP71" s="167"/>
      <c r="BQ71" s="283"/>
      <c r="BR71" s="414"/>
      <c r="BS71" s="179"/>
    </row>
    <row r="72" spans="13:71" ht="15" customHeight="1">
      <c r="M72" s="5"/>
      <c r="N72" s="11"/>
      <c r="O72" s="11"/>
      <c r="P72" s="11"/>
      <c r="Q72" s="11"/>
      <c r="R72" s="11"/>
      <c r="S72" s="11"/>
      <c r="T72" s="11"/>
      <c r="U72" s="11"/>
      <c r="V72" s="44"/>
      <c r="W72" s="87"/>
      <c r="X72" s="284"/>
      <c r="Y72" s="241"/>
      <c r="Z72" s="9"/>
      <c r="AB72" s="5"/>
      <c r="AC72" s="11"/>
      <c r="AD72" s="11"/>
      <c r="AE72" s="11"/>
      <c r="AF72" s="11"/>
      <c r="AG72" s="11"/>
      <c r="AH72" s="11"/>
      <c r="AI72" s="11"/>
      <c r="AJ72" s="11"/>
      <c r="AK72" s="44"/>
      <c r="AL72" s="87"/>
      <c r="AM72" s="284"/>
      <c r="AN72" s="241"/>
      <c r="AO72" s="9"/>
      <c r="AQ72" s="5"/>
      <c r="AR72" s="11"/>
      <c r="AS72" s="11"/>
      <c r="AT72" s="11"/>
      <c r="AU72" s="11"/>
      <c r="AV72" s="11"/>
      <c r="AW72" s="11"/>
      <c r="AX72" s="11"/>
      <c r="AY72" s="11"/>
      <c r="AZ72" s="44"/>
      <c r="BA72" s="87"/>
      <c r="BB72" s="284"/>
      <c r="BC72" s="241"/>
      <c r="BD72" s="9"/>
      <c r="BF72" s="5"/>
      <c r="BG72" s="11"/>
      <c r="BH72" s="11"/>
      <c r="BI72" s="11"/>
      <c r="BJ72" s="11"/>
      <c r="BK72" s="11"/>
      <c r="BL72" s="11"/>
      <c r="BM72" s="11"/>
      <c r="BN72" s="11"/>
      <c r="BO72" s="44"/>
      <c r="BP72" s="87"/>
      <c r="BQ72" s="284"/>
      <c r="BR72" s="241"/>
      <c r="BS72" s="9"/>
    </row>
    <row r="73" spans="13:71" ht="15" customHeight="1">
      <c r="M73" s="5"/>
      <c r="N73" s="11"/>
      <c r="O73" s="11"/>
      <c r="P73" s="11"/>
      <c r="Q73" s="11"/>
      <c r="R73" s="11"/>
      <c r="S73" s="11"/>
      <c r="T73" s="11"/>
      <c r="U73" s="11"/>
      <c r="V73" s="44"/>
      <c r="W73" s="87"/>
      <c r="X73" s="284"/>
      <c r="Y73" s="241"/>
      <c r="Z73" s="9"/>
      <c r="AB73" s="5"/>
      <c r="AC73" s="11"/>
      <c r="AD73" s="11"/>
      <c r="AE73" s="11"/>
      <c r="AF73" s="11"/>
      <c r="AG73" s="11"/>
      <c r="AH73" s="11"/>
      <c r="AI73" s="11"/>
      <c r="AJ73" s="11"/>
      <c r="AK73" s="44"/>
      <c r="AL73" s="87"/>
      <c r="AM73" s="284"/>
      <c r="AN73" s="241"/>
      <c r="AO73" s="9"/>
      <c r="AQ73" s="5"/>
      <c r="AR73" s="11"/>
      <c r="AS73" s="11"/>
      <c r="AT73" s="11"/>
      <c r="AU73" s="11"/>
      <c r="AV73" s="11"/>
      <c r="AW73" s="11"/>
      <c r="AX73" s="11"/>
      <c r="AY73" s="11"/>
      <c r="AZ73" s="44"/>
      <c r="BA73" s="87"/>
      <c r="BB73" s="284"/>
      <c r="BC73" s="241"/>
      <c r="BD73" s="9"/>
      <c r="BF73" s="5"/>
      <c r="BG73" s="11"/>
      <c r="BH73" s="11"/>
      <c r="BI73" s="11"/>
      <c r="BJ73" s="11"/>
      <c r="BK73" s="11"/>
      <c r="BL73" s="11"/>
      <c r="BM73" s="11"/>
      <c r="BN73" s="11"/>
      <c r="BO73" s="44"/>
      <c r="BP73" s="87"/>
      <c r="BQ73" s="284"/>
      <c r="BR73" s="241"/>
      <c r="BS73" s="9"/>
    </row>
    <row r="74" spans="13:71" ht="15" customHeight="1">
      <c r="M74" s="162"/>
      <c r="N74" s="11"/>
      <c r="O74" s="11"/>
      <c r="P74" s="11"/>
      <c r="Q74" s="11"/>
      <c r="R74" s="11"/>
      <c r="S74" s="11"/>
      <c r="T74" s="11"/>
      <c r="U74" s="11"/>
      <c r="V74" s="229"/>
      <c r="W74" s="230"/>
      <c r="X74" s="412"/>
      <c r="Y74" s="421"/>
      <c r="Z74" s="9"/>
      <c r="AB74" s="162"/>
      <c r="AC74" s="11"/>
      <c r="AD74" s="11"/>
      <c r="AE74" s="11"/>
      <c r="AF74" s="11"/>
      <c r="AG74" s="11"/>
      <c r="AH74" s="11"/>
      <c r="AI74" s="11"/>
      <c r="AJ74" s="11"/>
      <c r="AK74" s="229"/>
      <c r="AL74" s="230"/>
      <c r="AM74" s="412"/>
      <c r="AN74" s="421"/>
      <c r="AO74" s="9"/>
      <c r="AQ74" s="162"/>
      <c r="AR74" s="11"/>
      <c r="AS74" s="11"/>
      <c r="AT74" s="11"/>
      <c r="AU74" s="11"/>
      <c r="AV74" s="11"/>
      <c r="AW74" s="11"/>
      <c r="AX74" s="11"/>
      <c r="AY74" s="11"/>
      <c r="AZ74" s="229"/>
      <c r="BA74" s="230"/>
      <c r="BB74" s="412"/>
      <c r="BC74" s="421"/>
      <c r="BD74" s="9"/>
      <c r="BF74" s="162"/>
      <c r="BG74" s="11"/>
      <c r="BH74" s="11"/>
      <c r="BI74" s="11"/>
      <c r="BJ74" s="11"/>
      <c r="BK74" s="11"/>
      <c r="BL74" s="11"/>
      <c r="BM74" s="11"/>
      <c r="BN74" s="11"/>
      <c r="BO74" s="229"/>
      <c r="BP74" s="230"/>
      <c r="BQ74" s="412"/>
      <c r="BR74" s="421"/>
      <c r="BS74" s="9"/>
    </row>
    <row r="75" spans="13:71" ht="15" customHeight="1">
      <c r="M75" s="21" t="s">
        <v>43</v>
      </c>
      <c r="N75" s="389"/>
      <c r="O75" s="22">
        <f>SUM(O42:O74)</f>
        <v>0</v>
      </c>
      <c r="P75" s="22">
        <f>SUM(P42:P74)</f>
        <v>0</v>
      </c>
      <c r="Q75" s="22">
        <f>SUM(Q42:Q74)</f>
        <v>0</v>
      </c>
      <c r="R75" s="22">
        <f>SUM(R42:R74)</f>
        <v>0</v>
      </c>
      <c r="S75" s="23">
        <f>SUM(S42:S74)</f>
        <v>0</v>
      </c>
      <c r="T75" s="23">
        <f>SUM(T44:T74)</f>
        <v>0</v>
      </c>
      <c r="U75" s="47"/>
      <c r="V75" s="37"/>
      <c r="W75" s="19"/>
      <c r="X75" s="278"/>
      <c r="Y75" s="241"/>
      <c r="Z75" s="9"/>
      <c r="AB75" s="21" t="s">
        <v>43</v>
      </c>
      <c r="AC75" s="389"/>
      <c r="AD75" s="22">
        <f>SUM(AD42:AD74)</f>
        <v>0</v>
      </c>
      <c r="AE75" s="22">
        <f>SUM(AE42:AE74)</f>
        <v>0</v>
      </c>
      <c r="AF75" s="22">
        <f>SUM(AF42:AF74)</f>
        <v>0</v>
      </c>
      <c r="AG75" s="22">
        <f>SUM(AG42:AG74)</f>
        <v>0</v>
      </c>
      <c r="AH75" s="23">
        <f>SUM(AH42:AH74)</f>
        <v>0</v>
      </c>
      <c r="AI75" s="23">
        <f>SUM(AI44:AI74)</f>
        <v>0</v>
      </c>
      <c r="AJ75" s="47"/>
      <c r="AK75" s="37"/>
      <c r="AL75" s="19"/>
      <c r="AM75" s="278"/>
      <c r="AN75" s="241"/>
      <c r="AO75" s="9"/>
      <c r="AQ75" s="21" t="s">
        <v>43</v>
      </c>
      <c r="AR75" s="389"/>
      <c r="AS75" s="22">
        <f>SUM(AS43:AS74)</f>
        <v>268443</v>
      </c>
      <c r="AT75" s="22">
        <f>SUM(AT43:AT74)</f>
        <v>0</v>
      </c>
      <c r="AU75" s="22">
        <f>SUM(AU43:AU74)</f>
        <v>34386</v>
      </c>
      <c r="AV75" s="22">
        <f>SUM(AV43:AV74)</f>
        <v>22860</v>
      </c>
      <c r="AW75" s="23">
        <f>SUM(AW43:AW74)</f>
        <v>286919</v>
      </c>
      <c r="AX75" s="23">
        <f>SUM(AX44:AX74)</f>
        <v>286918</v>
      </c>
      <c r="AY75" s="47"/>
      <c r="AZ75" s="37"/>
      <c r="BA75" s="19"/>
      <c r="BB75" s="278"/>
      <c r="BC75" s="241"/>
      <c r="BD75" s="9"/>
      <c r="BF75" s="21" t="s">
        <v>43</v>
      </c>
      <c r="BG75" s="389"/>
      <c r="BH75" s="22">
        <f>SUM(BH42:BH74)</f>
        <v>0</v>
      </c>
      <c r="BI75" s="22">
        <f>SUM(BI42:BI74)</f>
        <v>0</v>
      </c>
      <c r="BJ75" s="22">
        <f>SUM(BJ42:BJ74)</f>
        <v>0</v>
      </c>
      <c r="BK75" s="22">
        <f>SUM(BK42:BK74)</f>
        <v>0</v>
      </c>
      <c r="BL75" s="23">
        <f>SUM(BL42:BL74)</f>
        <v>0</v>
      </c>
      <c r="BM75" s="23">
        <f>SUM(BM44:BM74)</f>
        <v>0</v>
      </c>
      <c r="BN75" s="47"/>
      <c r="BO75" s="37"/>
      <c r="BP75" s="19"/>
      <c r="BQ75" s="278"/>
      <c r="BR75" s="241"/>
      <c r="BS75" s="9"/>
    </row>
    <row r="76" spans="13:71" ht="15" customHeight="1">
      <c r="M76" s="5"/>
      <c r="N76" s="11"/>
      <c r="O76" s="34">
        <f>O75+P75+Q75+R75</f>
        <v>0</v>
      </c>
      <c r="P76" s="10"/>
      <c r="Q76" s="10"/>
      <c r="R76" s="10"/>
      <c r="S76" s="62">
        <f>S75+T75</f>
        <v>0</v>
      </c>
      <c r="T76" s="10"/>
      <c r="U76" s="10"/>
      <c r="V76" s="38"/>
      <c r="W76" s="11"/>
      <c r="X76" s="286"/>
      <c r="Y76" s="241"/>
      <c r="Z76" s="9"/>
      <c r="AB76" s="5"/>
      <c r="AC76" s="11"/>
      <c r="AD76" s="34">
        <f>AD75+AE75+AF75+AG75</f>
        <v>0</v>
      </c>
      <c r="AE76" s="10"/>
      <c r="AF76" s="10"/>
      <c r="AG76" s="10"/>
      <c r="AH76" s="62">
        <f>AH75+AI75</f>
        <v>0</v>
      </c>
      <c r="AI76" s="10"/>
      <c r="AJ76" s="10"/>
      <c r="AK76" s="38"/>
      <c r="AL76" s="11"/>
      <c r="AM76" s="286"/>
      <c r="AN76" s="241"/>
      <c r="AO76" s="9"/>
      <c r="AQ76" s="5"/>
      <c r="AR76" s="11"/>
      <c r="AS76" s="34">
        <f>AS75+AT75+AU75+AV75</f>
        <v>325689</v>
      </c>
      <c r="AT76" s="10"/>
      <c r="AU76" s="10"/>
      <c r="AV76" s="10"/>
      <c r="AW76" s="62">
        <f>AW75+AX75</f>
        <v>573837</v>
      </c>
      <c r="AX76" s="10"/>
      <c r="AY76" s="10"/>
      <c r="AZ76" s="38"/>
      <c r="BA76" s="11"/>
      <c r="BB76" s="286"/>
      <c r="BC76" s="241"/>
      <c r="BD76" s="9"/>
      <c r="BF76" s="5"/>
      <c r="BG76" s="11"/>
      <c r="BH76" s="34">
        <f>BH75+BI75+BJ75+BK75</f>
        <v>0</v>
      </c>
      <c r="BI76" s="10"/>
      <c r="BJ76" s="10"/>
      <c r="BK76" s="10"/>
      <c r="BL76" s="62">
        <f>BL75+BM75</f>
        <v>0</v>
      </c>
      <c r="BM76" s="10"/>
      <c r="BN76" s="10"/>
      <c r="BO76" s="38"/>
      <c r="BP76" s="11"/>
      <c r="BQ76" s="286"/>
      <c r="BR76" s="241"/>
      <c r="BS76" s="9"/>
    </row>
    <row r="78" spans="13:71" ht="15" customHeight="1">
      <c r="M78" s="436" t="s">
        <v>108</v>
      </c>
      <c r="N78" s="437"/>
      <c r="O78" s="438"/>
      <c r="P78" s="438"/>
      <c r="Q78" s="438"/>
      <c r="R78" s="439"/>
      <c r="S78" s="439"/>
      <c r="T78" s="439"/>
      <c r="U78" s="439"/>
      <c r="V78" s="440"/>
      <c r="W78" s="441"/>
      <c r="AB78" s="436" t="s">
        <v>108</v>
      </c>
      <c r="AC78" s="437"/>
      <c r="AD78" s="438"/>
      <c r="AE78" s="438"/>
      <c r="AF78" s="438"/>
      <c r="AG78" s="439"/>
      <c r="AH78" s="439"/>
      <c r="AI78" s="439"/>
      <c r="AJ78" s="439"/>
      <c r="AK78" s="440"/>
      <c r="AL78" s="441"/>
      <c r="AQ78" s="436" t="s">
        <v>108</v>
      </c>
      <c r="AR78" s="437"/>
      <c r="AS78" s="438"/>
      <c r="AT78" s="438"/>
      <c r="AU78" s="438"/>
      <c r="AV78" s="439"/>
      <c r="AW78" s="439"/>
      <c r="AX78" s="439"/>
      <c r="AY78" s="439"/>
      <c r="AZ78" s="440"/>
      <c r="BA78" s="441"/>
      <c r="BF78" s="436" t="s">
        <v>108</v>
      </c>
      <c r="BG78" s="437"/>
      <c r="BH78" s="438"/>
      <c r="BI78" s="438"/>
      <c r="BJ78" s="438"/>
      <c r="BK78" s="439"/>
      <c r="BL78" s="439"/>
      <c r="BM78" s="439"/>
      <c r="BN78" s="439"/>
      <c r="BO78" s="440"/>
      <c r="BP78" s="441"/>
    </row>
    <row r="79" spans="13:71" ht="15" customHeight="1">
      <c r="M79" s="442"/>
      <c r="N79" s="435"/>
      <c r="O79" s="435"/>
      <c r="P79" s="435"/>
      <c r="Q79" s="435"/>
      <c r="R79" s="435"/>
      <c r="S79" s="429"/>
      <c r="T79" s="429"/>
      <c r="U79" s="429"/>
      <c r="V79" s="429"/>
      <c r="W79" s="443"/>
      <c r="AB79" s="442"/>
      <c r="AC79" s="435"/>
      <c r="AD79" s="435"/>
      <c r="AE79" s="435"/>
      <c r="AF79" s="435"/>
      <c r="AG79" s="435"/>
      <c r="AH79" s="429"/>
      <c r="AI79" s="429"/>
      <c r="AJ79" s="429"/>
      <c r="AK79" s="429"/>
      <c r="AL79" s="443"/>
      <c r="AQ79" s="442"/>
      <c r="AR79" s="435"/>
      <c r="AS79" s="435"/>
      <c r="AT79" s="435"/>
      <c r="AU79" s="435"/>
      <c r="AV79" s="435"/>
      <c r="AW79" s="429"/>
      <c r="AX79" s="429"/>
      <c r="AY79" s="429"/>
      <c r="AZ79" s="429"/>
      <c r="BA79" s="443"/>
      <c r="BF79" s="442"/>
      <c r="BG79" s="435"/>
      <c r="BH79" s="435"/>
      <c r="BI79" s="435"/>
      <c r="BJ79" s="435"/>
      <c r="BK79" s="435"/>
      <c r="BL79" s="429"/>
      <c r="BM79" s="429"/>
      <c r="BN79" s="429"/>
      <c r="BO79" s="429"/>
      <c r="BP79" s="443"/>
    </row>
    <row r="80" spans="13:71" ht="15" customHeight="1">
      <c r="M80" s="477"/>
      <c r="N80" s="478"/>
      <c r="O80" s="478"/>
      <c r="P80" s="478"/>
      <c r="Q80" s="478"/>
      <c r="R80" s="478"/>
      <c r="S80" s="444"/>
      <c r="T80" s="444"/>
      <c r="U80" s="444"/>
      <c r="V80" s="444"/>
      <c r="W80" s="445"/>
      <c r="AB80" s="477"/>
      <c r="AC80" s="478"/>
      <c r="AD80" s="478"/>
      <c r="AE80" s="478"/>
      <c r="AF80" s="478"/>
      <c r="AG80" s="478"/>
      <c r="AH80" s="444"/>
      <c r="AI80" s="444"/>
      <c r="AJ80" s="444"/>
      <c r="AK80" s="444"/>
      <c r="AL80" s="445"/>
      <c r="AQ80" s="477"/>
      <c r="AR80" s="478"/>
      <c r="AS80" s="478"/>
      <c r="AT80" s="478"/>
      <c r="AU80" s="478"/>
      <c r="AV80" s="478"/>
      <c r="AW80" s="444"/>
      <c r="AX80" s="444"/>
      <c r="AY80" s="444"/>
      <c r="AZ80" s="444"/>
      <c r="BA80" s="445"/>
      <c r="BF80" s="477"/>
      <c r="BG80" s="478"/>
      <c r="BH80" s="478"/>
      <c r="BI80" s="478"/>
      <c r="BJ80" s="478"/>
      <c r="BK80" s="478"/>
      <c r="BL80" s="444"/>
      <c r="BM80" s="444"/>
      <c r="BN80" s="444"/>
      <c r="BO80" s="444"/>
      <c r="BP80" s="445"/>
    </row>
  </sheetData>
  <sheetProtection formatCells="0" formatColumns="0" formatRows="0"/>
  <protectedRanges>
    <protectedRange sqref="CH1:JF1 A1:J1 AP1 L1:W1 AA1:AL1 AR1:BB1" name="Range2"/>
    <protectedRange sqref="A2:L2 BB2 X2 AM2 AA2 AP2 BE2" name="Range1_2_1"/>
    <protectedRange sqref="BM1 CB1" name="Range2_1"/>
    <protectedRange sqref="Y2:Z2 AN2:AO2 BC2:BD2 BR2:BS2 CF2:CG2" name="Range1_2_1_1"/>
  </protectedRanges>
  <mergeCells count="5">
    <mergeCell ref="M80:R80"/>
    <mergeCell ref="AB80:AG80"/>
    <mergeCell ref="AQ41:AV41"/>
    <mergeCell ref="AQ80:AV80"/>
    <mergeCell ref="BF80:BK80"/>
  </mergeCells>
  <conditionalFormatting sqref="M2:W2 AS43:BD76 AQ3:BB34">
    <cfRule type="containsText" dxfId="119" priority="122" stopIfTrue="1" operator="containsText" text="ELTÉRÉS!">
      <formula>NOT(ISERROR(SEARCH("ELTÉRÉS!",M2)))</formula>
    </cfRule>
    <cfRule type="containsText" dxfId="118" priority="123" stopIfTrue="1" operator="containsText" text="STIMMEL!">
      <formula>NOT(ISERROR(SEARCH("STIMMEL!",M2)))</formula>
    </cfRule>
  </conditionalFormatting>
  <conditionalFormatting sqref="M2:W2 AS43:BD76 AQ3:BB34">
    <cfRule type="cellIs" dxfId="117" priority="121" operator="equal">
      <formula>0.01</formula>
    </cfRule>
  </conditionalFormatting>
  <conditionalFormatting sqref="AB2:AL2">
    <cfRule type="containsText" dxfId="116" priority="119" stopIfTrue="1" operator="containsText" text="ELTÉRÉS!">
      <formula>NOT(ISERROR(SEARCH("ELTÉRÉS!",AB2)))</formula>
    </cfRule>
    <cfRule type="containsText" dxfId="115" priority="120" stopIfTrue="1" operator="containsText" text="STIMMEL!">
      <formula>NOT(ISERROR(SEARCH("STIMMEL!",AB2)))</formula>
    </cfRule>
  </conditionalFormatting>
  <conditionalFormatting sqref="AB2:AL2">
    <cfRule type="cellIs" dxfId="114" priority="118" operator="equal">
      <formula>0.01</formula>
    </cfRule>
  </conditionalFormatting>
  <conditionalFormatting sqref="AQ2:BA2">
    <cfRule type="containsText" dxfId="113" priority="116" stopIfTrue="1" operator="containsText" text="ELTÉRÉS!">
      <formula>NOT(ISERROR(SEARCH("ELTÉRÉS!",AQ2)))</formula>
    </cfRule>
    <cfRule type="containsText" dxfId="112" priority="117" stopIfTrue="1" operator="containsText" text="STIMMEL!">
      <formula>NOT(ISERROR(SEARCH("STIMMEL!",AQ2)))</formula>
    </cfRule>
  </conditionalFormatting>
  <conditionalFormatting sqref="AQ2:BA2">
    <cfRule type="cellIs" dxfId="111" priority="115" operator="equal">
      <formula>0.01</formula>
    </cfRule>
  </conditionalFormatting>
  <conditionalFormatting sqref="M3:X33">
    <cfRule type="containsText" dxfId="110" priority="113" stopIfTrue="1" operator="containsText" text="ELTÉRÉS!">
      <formula>NOT(ISERROR(SEARCH("ELTÉRÉS!",M3)))</formula>
    </cfRule>
    <cfRule type="containsText" dxfId="109" priority="114" stopIfTrue="1" operator="containsText" text="STIMMEL!">
      <formula>NOT(ISERROR(SEARCH("STIMMEL!",M3)))</formula>
    </cfRule>
  </conditionalFormatting>
  <conditionalFormatting sqref="M3:X33">
    <cfRule type="cellIs" dxfId="108" priority="112" operator="equal">
      <formula>0.01</formula>
    </cfRule>
  </conditionalFormatting>
  <conditionalFormatting sqref="AB3:AM33">
    <cfRule type="containsText" dxfId="107" priority="110" stopIfTrue="1" operator="containsText" text="ELTÉRÉS!">
      <formula>NOT(ISERROR(SEARCH("ELTÉRÉS!",AB3)))</formula>
    </cfRule>
    <cfRule type="containsText" dxfId="106" priority="111" stopIfTrue="1" operator="containsText" text="STIMMEL!">
      <formula>NOT(ISERROR(SEARCH("STIMMEL!",AB3)))</formula>
    </cfRule>
  </conditionalFormatting>
  <conditionalFormatting sqref="AB3:AM33">
    <cfRule type="cellIs" dxfId="105" priority="109" operator="equal">
      <formula>0.01</formula>
    </cfRule>
  </conditionalFormatting>
  <conditionalFormatting sqref="BF2:BQ2 BT2:BT33">
    <cfRule type="containsText" dxfId="104" priority="104" stopIfTrue="1" operator="containsText" text="ELTÉRÉS!">
      <formula>NOT(ISERROR(SEARCH("ELTÉRÉS!",BF2)))</formula>
    </cfRule>
    <cfRule type="containsText" dxfId="103" priority="105" stopIfTrue="1" operator="containsText" text="STIMMEL!">
      <formula>NOT(ISERROR(SEARCH("STIMMEL!",BF2)))</formula>
    </cfRule>
  </conditionalFormatting>
  <conditionalFormatting sqref="BF2:BQ2 BT2:BT33">
    <cfRule type="cellIs" dxfId="102" priority="103" operator="equal">
      <formula>0.01</formula>
    </cfRule>
  </conditionalFormatting>
  <conditionalFormatting sqref="BU2:CE2">
    <cfRule type="containsText" dxfId="101" priority="101" stopIfTrue="1" operator="containsText" text="ELTÉRÉS!">
      <formula>NOT(ISERROR(SEARCH("ELTÉRÉS!",BU2)))</formula>
    </cfRule>
    <cfRule type="containsText" dxfId="100" priority="102" stopIfTrue="1" operator="containsText" text="STIMMEL!">
      <formula>NOT(ISERROR(SEARCH("STIMMEL!",BU2)))</formula>
    </cfRule>
  </conditionalFormatting>
  <conditionalFormatting sqref="BU2:CE2">
    <cfRule type="cellIs" dxfId="99" priority="100" operator="equal">
      <formula>0.01</formula>
    </cfRule>
  </conditionalFormatting>
  <conditionalFormatting sqref="BF3:BQ17 BF18 BQ18 BF19:BQ33">
    <cfRule type="containsText" dxfId="98" priority="98" stopIfTrue="1" operator="containsText" text="ELTÉRÉS!">
      <formula>NOT(ISERROR(SEARCH("ELTÉRÉS!",BF3)))</formula>
    </cfRule>
    <cfRule type="containsText" dxfId="97" priority="99" stopIfTrue="1" operator="containsText" text="STIMMEL!">
      <formula>NOT(ISERROR(SEARCH("STIMMEL!",BF3)))</formula>
    </cfRule>
  </conditionalFormatting>
  <conditionalFormatting sqref="BF3:BQ17 BF18 BQ18 BF19:BQ33">
    <cfRule type="cellIs" dxfId="96" priority="97" operator="equal">
      <formula>0.01</formula>
    </cfRule>
  </conditionalFormatting>
  <conditionalFormatting sqref="BU3:CE33">
    <cfRule type="containsText" dxfId="95" priority="95" stopIfTrue="1" operator="containsText" text="ELTÉRÉS!">
      <formula>NOT(ISERROR(SEARCH("ELTÉRÉS!",BU3)))</formula>
    </cfRule>
    <cfRule type="containsText" dxfId="94" priority="96" stopIfTrue="1" operator="containsText" text="STIMMEL!">
      <formula>NOT(ISERROR(SEARCH("STIMMEL!",BU3)))</formula>
    </cfRule>
  </conditionalFormatting>
  <conditionalFormatting sqref="BU3:CE33">
    <cfRule type="cellIs" dxfId="93" priority="94" operator="equal">
      <formula>0.01</formula>
    </cfRule>
  </conditionalFormatting>
  <conditionalFormatting sqref="M39 P40:W41 Q39:W39">
    <cfRule type="containsText" dxfId="92" priority="92" stopIfTrue="1" operator="containsText" text="ELTÉRÉS!">
      <formula>NOT(ISERROR(SEARCH("ELTÉRÉS!",M39)))</formula>
    </cfRule>
    <cfRule type="containsText" dxfId="91" priority="93" stopIfTrue="1" operator="containsText" text="STIMMEL!">
      <formula>NOT(ISERROR(SEARCH("STIMMEL!",M39)))</formula>
    </cfRule>
  </conditionalFormatting>
  <conditionalFormatting sqref="M39 P40:W41 Q39:W39">
    <cfRule type="cellIs" dxfId="90" priority="91" operator="equal">
      <formula>0.01</formula>
    </cfRule>
  </conditionalFormatting>
  <conditionalFormatting sqref="AB39 AE40:AL41 AF39:AL39">
    <cfRule type="containsText" dxfId="89" priority="89" stopIfTrue="1" operator="containsText" text="ELTÉRÉS!">
      <formula>NOT(ISERROR(SEARCH("ELTÉRÉS!",AB39)))</formula>
    </cfRule>
    <cfRule type="containsText" dxfId="88" priority="90" stopIfTrue="1" operator="containsText" text="STIMMEL!">
      <formula>NOT(ISERROR(SEARCH("STIMMEL!",AB39)))</formula>
    </cfRule>
  </conditionalFormatting>
  <conditionalFormatting sqref="AB39 AE40:AL41 AF39:AL39">
    <cfRule type="cellIs" dxfId="87" priority="88" operator="equal">
      <formula>0.01</formula>
    </cfRule>
  </conditionalFormatting>
  <conditionalFormatting sqref="AT42:BA42">
    <cfRule type="containsText" dxfId="86" priority="86" stopIfTrue="1" operator="containsText" text="ELTÉRÉS!">
      <formula>NOT(ISERROR(SEARCH("ELTÉRÉS!",AT42)))</formula>
    </cfRule>
    <cfRule type="containsText" dxfId="85" priority="87" stopIfTrue="1" operator="containsText" text="STIMMEL!">
      <formula>NOT(ISERROR(SEARCH("STIMMEL!",AT42)))</formula>
    </cfRule>
  </conditionalFormatting>
  <conditionalFormatting sqref="AT42:BA42">
    <cfRule type="cellIs" dxfId="84" priority="85" operator="equal">
      <formula>0.01</formula>
    </cfRule>
  </conditionalFormatting>
  <conditionalFormatting sqref="BF39 BI40:BP41 BJ39:BP39">
    <cfRule type="containsText" dxfId="83" priority="83" stopIfTrue="1" operator="containsText" text="ELTÉRÉS!">
      <formula>NOT(ISERROR(SEARCH("ELTÉRÉS!",BF39)))</formula>
    </cfRule>
    <cfRule type="containsText" dxfId="82" priority="84" stopIfTrue="1" operator="containsText" text="STIMMEL!">
      <formula>NOT(ISERROR(SEARCH("STIMMEL!",BF39)))</formula>
    </cfRule>
  </conditionalFormatting>
  <conditionalFormatting sqref="BF39 BI40:BP41 BJ39:BP39">
    <cfRule type="cellIs" dxfId="81" priority="82" operator="equal">
      <formula>0.01</formula>
    </cfRule>
  </conditionalFormatting>
  <conditionalFormatting sqref="BU39 BX40:CE41 BY39:CE39">
    <cfRule type="containsText" dxfId="80" priority="80" stopIfTrue="1" operator="containsText" text="ELTÉRÉS!">
      <formula>NOT(ISERROR(SEARCH("ELTÉRÉS!",BU39)))</formula>
    </cfRule>
    <cfRule type="containsText" dxfId="79" priority="81" stopIfTrue="1" operator="containsText" text="STIMMEL!">
      <formula>NOT(ISERROR(SEARCH("STIMMEL!",BU39)))</formula>
    </cfRule>
  </conditionalFormatting>
  <conditionalFormatting sqref="BU39 BX40:CE41 BY39:CE39">
    <cfRule type="cellIs" dxfId="78" priority="79" operator="equal">
      <formula>0.01</formula>
    </cfRule>
  </conditionalFormatting>
  <conditionalFormatting sqref="BH18:BN18 BP18">
    <cfRule type="containsText" dxfId="77" priority="77" stopIfTrue="1" operator="containsText" text="ELTÉRÉS!">
      <formula>NOT(ISERROR(SEARCH("ELTÉRÉS!",BH18)))</formula>
    </cfRule>
    <cfRule type="containsText" dxfId="76" priority="78" stopIfTrue="1" operator="containsText" text="STIMMEL!">
      <formula>NOT(ISERROR(SEARCH("STIMMEL!",BH18)))</formula>
    </cfRule>
  </conditionalFormatting>
  <conditionalFormatting sqref="BH18:BN18 BP18">
    <cfRule type="cellIs" dxfId="75" priority="76" operator="equal">
      <formula>0.01</formula>
    </cfRule>
  </conditionalFormatting>
  <conditionalFormatting sqref="BO18">
    <cfRule type="containsText" dxfId="74" priority="74" stopIfTrue="1" operator="containsText" text="ELTÉRÉS!">
      <formula>NOT(ISERROR(SEARCH("ELTÉRÉS!",BO18)))</formula>
    </cfRule>
    <cfRule type="containsText" dxfId="73" priority="75" stopIfTrue="1" operator="containsText" text="STIMMEL!">
      <formula>NOT(ISERROR(SEARCH("STIMMEL!",BO18)))</formula>
    </cfRule>
  </conditionalFormatting>
  <conditionalFormatting sqref="BO18">
    <cfRule type="cellIs" dxfId="72" priority="73" operator="equal">
      <formula>0.01</formula>
    </cfRule>
  </conditionalFormatting>
  <conditionalFormatting sqref="BG18">
    <cfRule type="containsText" dxfId="71" priority="71" stopIfTrue="1" operator="containsText" text="ELTÉRÉS!">
      <formula>NOT(ISERROR(SEARCH("ELTÉRÉS!",BG18)))</formula>
    </cfRule>
    <cfRule type="containsText" dxfId="70" priority="72" stopIfTrue="1" operator="containsText" text="STIMMEL!">
      <formula>NOT(ISERROR(SEARCH("STIMMEL!",BG18)))</formula>
    </cfRule>
  </conditionalFormatting>
  <conditionalFormatting sqref="BG18">
    <cfRule type="cellIs" dxfId="69" priority="70" operator="equal">
      <formula>0.01</formula>
    </cfRule>
  </conditionalFormatting>
  <conditionalFormatting sqref="O43:Z76 M43:M76">
    <cfRule type="containsText" dxfId="68" priority="68" stopIfTrue="1" operator="containsText" text="ELTÉRÉS!">
      <formula>NOT(ISERROR(SEARCH("ELTÉRÉS!",M43)))</formula>
    </cfRule>
    <cfRule type="containsText" dxfId="67" priority="69" stopIfTrue="1" operator="containsText" text="STIMMEL!">
      <formula>NOT(ISERROR(SEARCH("STIMMEL!",M43)))</formula>
    </cfRule>
  </conditionalFormatting>
  <conditionalFormatting sqref="O43:Z76 M43:M76">
    <cfRule type="cellIs" dxfId="66" priority="67" operator="equal">
      <formula>0.01</formula>
    </cfRule>
  </conditionalFormatting>
  <conditionalFormatting sqref="N43:N74">
    <cfRule type="containsText" dxfId="65" priority="65" stopIfTrue="1" operator="containsText" text="ELTÉRÉS!">
      <formula>NOT(ISERROR(SEARCH("ELTÉRÉS!",N43)))</formula>
    </cfRule>
    <cfRule type="containsText" dxfId="64" priority="66" stopIfTrue="1" operator="containsText" text="STIMMEL!">
      <formula>NOT(ISERROR(SEARCH("STIMMEL!",N43)))</formula>
    </cfRule>
  </conditionalFormatting>
  <conditionalFormatting sqref="N43:N74">
    <cfRule type="cellIs" dxfId="63" priority="64" operator="equal">
      <formula>0.01</formula>
    </cfRule>
  </conditionalFormatting>
  <conditionalFormatting sqref="AD43:AO76 AB43:AB76">
    <cfRule type="containsText" dxfId="62" priority="62" stopIfTrue="1" operator="containsText" text="ELTÉRÉS!">
      <formula>NOT(ISERROR(SEARCH("ELTÉRÉS!",AB43)))</formula>
    </cfRule>
    <cfRule type="containsText" dxfId="61" priority="63" stopIfTrue="1" operator="containsText" text="STIMMEL!">
      <formula>NOT(ISERROR(SEARCH("STIMMEL!",AB43)))</formula>
    </cfRule>
  </conditionalFormatting>
  <conditionalFormatting sqref="AD43:AO76 AB43:AB76">
    <cfRule type="cellIs" dxfId="60" priority="61" operator="equal">
      <formula>0.01</formula>
    </cfRule>
  </conditionalFormatting>
  <conditionalFormatting sqref="AC43:AC74">
    <cfRule type="containsText" dxfId="59" priority="59" stopIfTrue="1" operator="containsText" text="ELTÉRÉS!">
      <formula>NOT(ISERROR(SEARCH("ELTÉRÉS!",AC43)))</formula>
    </cfRule>
    <cfRule type="containsText" dxfId="58" priority="60" stopIfTrue="1" operator="containsText" text="STIMMEL!">
      <formula>NOT(ISERROR(SEARCH("STIMMEL!",AC43)))</formula>
    </cfRule>
  </conditionalFormatting>
  <conditionalFormatting sqref="AC43:AC74">
    <cfRule type="cellIs" dxfId="57" priority="58" operator="equal">
      <formula>0.01</formula>
    </cfRule>
  </conditionalFormatting>
  <conditionalFormatting sqref="AQ43:AQ76">
    <cfRule type="containsText" dxfId="56" priority="56" stopIfTrue="1" operator="containsText" text="ELTÉRÉS!">
      <formula>NOT(ISERROR(SEARCH("ELTÉRÉS!",AQ43)))</formula>
    </cfRule>
    <cfRule type="containsText" dxfId="55" priority="57" stopIfTrue="1" operator="containsText" text="STIMMEL!">
      <formula>NOT(ISERROR(SEARCH("STIMMEL!",AQ43)))</formula>
    </cfRule>
  </conditionalFormatting>
  <conditionalFormatting sqref="AQ43:AQ76">
    <cfRule type="cellIs" dxfId="54" priority="55" operator="equal">
      <formula>0.01</formula>
    </cfRule>
  </conditionalFormatting>
  <conditionalFormatting sqref="AR43:AR74">
    <cfRule type="containsText" dxfId="53" priority="53" stopIfTrue="1" operator="containsText" text="ELTÉRÉS!">
      <formula>NOT(ISERROR(SEARCH("ELTÉRÉS!",AR43)))</formula>
    </cfRule>
    <cfRule type="containsText" dxfId="52" priority="54" stopIfTrue="1" operator="containsText" text="STIMMEL!">
      <formula>NOT(ISERROR(SEARCH("STIMMEL!",AR43)))</formula>
    </cfRule>
  </conditionalFormatting>
  <conditionalFormatting sqref="AR43:AR74">
    <cfRule type="cellIs" dxfId="51" priority="52" operator="equal">
      <formula>0.01</formula>
    </cfRule>
  </conditionalFormatting>
  <conditionalFormatting sqref="BH43:BS76 BF43:BF76">
    <cfRule type="containsText" dxfId="50" priority="50" stopIfTrue="1" operator="containsText" text="ELTÉRÉS!">
      <formula>NOT(ISERROR(SEARCH("ELTÉRÉS!",BF43)))</formula>
    </cfRule>
    <cfRule type="containsText" dxfId="49" priority="51" stopIfTrue="1" operator="containsText" text="STIMMEL!">
      <formula>NOT(ISERROR(SEARCH("STIMMEL!",BF43)))</formula>
    </cfRule>
  </conditionalFormatting>
  <conditionalFormatting sqref="BH43:BS76 BF43:BF76">
    <cfRule type="cellIs" dxfId="48" priority="49" operator="equal">
      <formula>0.01</formula>
    </cfRule>
  </conditionalFormatting>
  <conditionalFormatting sqref="BG43:BG74">
    <cfRule type="containsText" dxfId="47" priority="47" stopIfTrue="1" operator="containsText" text="ELTÉRÉS!">
      <formula>NOT(ISERROR(SEARCH("ELTÉRÉS!",BG43)))</formula>
    </cfRule>
    <cfRule type="containsText" dxfId="46" priority="48" stopIfTrue="1" operator="containsText" text="STIMMEL!">
      <formula>NOT(ISERROR(SEARCH("STIMMEL!",BG43)))</formula>
    </cfRule>
  </conditionalFormatting>
  <conditionalFormatting sqref="BG43:BG74">
    <cfRule type="cellIs" dxfId="45" priority="46" operator="equal">
      <formula>0.01</formula>
    </cfRule>
  </conditionalFormatting>
  <conditionalFormatting sqref="R78:W78">
    <cfRule type="containsText" dxfId="44" priority="44" stopIfTrue="1" operator="containsText" text="ELTÉRÉS!">
      <formula>NOT(ISERROR(SEARCH("ELTÉRÉS!",R78)))</formula>
    </cfRule>
    <cfRule type="containsText" dxfId="43" priority="45" stopIfTrue="1" operator="containsText" text="STIMMEL!">
      <formula>NOT(ISERROR(SEARCH("STIMMEL!",R78)))</formula>
    </cfRule>
  </conditionalFormatting>
  <conditionalFormatting sqref="R78:W78">
    <cfRule type="cellIs" dxfId="42" priority="43" operator="equal">
      <formula>0.01</formula>
    </cfRule>
  </conditionalFormatting>
  <conditionalFormatting sqref="M78">
    <cfRule type="containsText" dxfId="41" priority="41" stopIfTrue="1" operator="containsText" text="ELTÉRÉS!">
      <formula>NOT(ISERROR(SEARCH("ELTÉRÉS!",M78)))</formula>
    </cfRule>
    <cfRule type="containsText" dxfId="40" priority="42" stopIfTrue="1" operator="containsText" text="STIMMEL!">
      <formula>NOT(ISERROR(SEARCH("STIMMEL!",M78)))</formula>
    </cfRule>
  </conditionalFormatting>
  <conditionalFormatting sqref="M78">
    <cfRule type="cellIs" dxfId="39" priority="40" operator="equal">
      <formula>0.01</formula>
    </cfRule>
  </conditionalFormatting>
  <conditionalFormatting sqref="N78">
    <cfRule type="containsText" dxfId="38" priority="38" stopIfTrue="1" operator="containsText" text="ELTÉRÉS!">
      <formula>NOT(ISERROR(SEARCH("ELTÉRÉS!",N78)))</formula>
    </cfRule>
    <cfRule type="containsText" dxfId="37" priority="39" stopIfTrue="1" operator="containsText" text="STIMMEL!">
      <formula>NOT(ISERROR(SEARCH("STIMMEL!",N78)))</formula>
    </cfRule>
  </conditionalFormatting>
  <conditionalFormatting sqref="N78">
    <cfRule type="cellIs" dxfId="36" priority="37" operator="equal">
      <formula>0.01</formula>
    </cfRule>
  </conditionalFormatting>
  <conditionalFormatting sqref="AG78:AL78">
    <cfRule type="containsText" dxfId="35" priority="35" stopIfTrue="1" operator="containsText" text="ELTÉRÉS!">
      <formula>NOT(ISERROR(SEARCH("ELTÉRÉS!",AG78)))</formula>
    </cfRule>
    <cfRule type="containsText" dxfId="34" priority="36" stopIfTrue="1" operator="containsText" text="STIMMEL!">
      <formula>NOT(ISERROR(SEARCH("STIMMEL!",AG78)))</formula>
    </cfRule>
  </conditionalFormatting>
  <conditionalFormatting sqref="AG78:AL78">
    <cfRule type="cellIs" dxfId="33" priority="34" operator="equal">
      <formula>0.01</formula>
    </cfRule>
  </conditionalFormatting>
  <conditionalFormatting sqref="AB78">
    <cfRule type="containsText" dxfId="32" priority="32" stopIfTrue="1" operator="containsText" text="ELTÉRÉS!">
      <formula>NOT(ISERROR(SEARCH("ELTÉRÉS!",AB78)))</formula>
    </cfRule>
    <cfRule type="containsText" dxfId="31" priority="33" stopIfTrue="1" operator="containsText" text="STIMMEL!">
      <formula>NOT(ISERROR(SEARCH("STIMMEL!",AB78)))</formula>
    </cfRule>
  </conditionalFormatting>
  <conditionalFormatting sqref="AB78">
    <cfRule type="cellIs" dxfId="30" priority="31" operator="equal">
      <formula>0.01</formula>
    </cfRule>
  </conditionalFormatting>
  <conditionalFormatting sqref="AC78">
    <cfRule type="containsText" dxfId="29" priority="29" stopIfTrue="1" operator="containsText" text="ELTÉRÉS!">
      <formula>NOT(ISERROR(SEARCH("ELTÉRÉS!",AC78)))</formula>
    </cfRule>
    <cfRule type="containsText" dxfId="28" priority="30" stopIfTrue="1" operator="containsText" text="STIMMEL!">
      <formula>NOT(ISERROR(SEARCH("STIMMEL!",AC78)))</formula>
    </cfRule>
  </conditionalFormatting>
  <conditionalFormatting sqref="AC78">
    <cfRule type="cellIs" dxfId="27" priority="28" operator="equal">
      <formula>0.01</formula>
    </cfRule>
  </conditionalFormatting>
  <conditionalFormatting sqref="AV39:BA39">
    <cfRule type="containsText" dxfId="26" priority="26" stopIfTrue="1" operator="containsText" text="ELTÉRÉS!">
      <formula>NOT(ISERROR(SEARCH("ELTÉRÉS!",AV39)))</formula>
    </cfRule>
    <cfRule type="containsText" dxfId="25" priority="27" stopIfTrue="1" operator="containsText" text="STIMMEL!">
      <formula>NOT(ISERROR(SEARCH("STIMMEL!",AV39)))</formula>
    </cfRule>
  </conditionalFormatting>
  <conditionalFormatting sqref="AV39:BA39">
    <cfRule type="cellIs" dxfId="24" priority="25" operator="equal">
      <formula>0.01</formula>
    </cfRule>
  </conditionalFormatting>
  <conditionalFormatting sqref="AQ39">
    <cfRule type="containsText" dxfId="23" priority="23" stopIfTrue="1" operator="containsText" text="ELTÉRÉS!">
      <formula>NOT(ISERROR(SEARCH("ELTÉRÉS!",AQ39)))</formula>
    </cfRule>
    <cfRule type="containsText" dxfId="22" priority="24" stopIfTrue="1" operator="containsText" text="STIMMEL!">
      <formula>NOT(ISERROR(SEARCH("STIMMEL!",AQ39)))</formula>
    </cfRule>
  </conditionalFormatting>
  <conditionalFormatting sqref="AQ39">
    <cfRule type="cellIs" dxfId="21" priority="22" operator="equal">
      <formula>0.01</formula>
    </cfRule>
  </conditionalFormatting>
  <conditionalFormatting sqref="AR39">
    <cfRule type="containsText" dxfId="20" priority="20" stopIfTrue="1" operator="containsText" text="ELTÉRÉS!">
      <formula>NOT(ISERROR(SEARCH("ELTÉRÉS!",AR39)))</formula>
    </cfRule>
    <cfRule type="containsText" dxfId="19" priority="21" stopIfTrue="1" operator="containsText" text="STIMMEL!">
      <formula>NOT(ISERROR(SEARCH("STIMMEL!",AR39)))</formula>
    </cfRule>
  </conditionalFormatting>
  <conditionalFormatting sqref="AR39">
    <cfRule type="cellIs" dxfId="18" priority="19" operator="equal">
      <formula>0.01</formula>
    </cfRule>
  </conditionalFormatting>
  <conditionalFormatting sqref="AV78:BA78">
    <cfRule type="containsText" dxfId="17" priority="17" stopIfTrue="1" operator="containsText" text="ELTÉRÉS!">
      <formula>NOT(ISERROR(SEARCH("ELTÉRÉS!",AV78)))</formula>
    </cfRule>
    <cfRule type="containsText" dxfId="16" priority="18" stopIfTrue="1" operator="containsText" text="STIMMEL!">
      <formula>NOT(ISERROR(SEARCH("STIMMEL!",AV78)))</formula>
    </cfRule>
  </conditionalFormatting>
  <conditionalFormatting sqref="AV78:BA78">
    <cfRule type="cellIs" dxfId="15" priority="16" operator="equal">
      <formula>0.01</formula>
    </cfRule>
  </conditionalFormatting>
  <conditionalFormatting sqref="AQ78">
    <cfRule type="containsText" dxfId="14" priority="14" stopIfTrue="1" operator="containsText" text="ELTÉRÉS!">
      <formula>NOT(ISERROR(SEARCH("ELTÉRÉS!",AQ78)))</formula>
    </cfRule>
    <cfRule type="containsText" dxfId="13" priority="15" stopIfTrue="1" operator="containsText" text="STIMMEL!">
      <formula>NOT(ISERROR(SEARCH("STIMMEL!",AQ78)))</formula>
    </cfRule>
  </conditionalFormatting>
  <conditionalFormatting sqref="AQ78">
    <cfRule type="cellIs" dxfId="12" priority="13" operator="equal">
      <formula>0.01</formula>
    </cfRule>
  </conditionalFormatting>
  <conditionalFormatting sqref="AR78">
    <cfRule type="containsText" dxfId="11" priority="11" stopIfTrue="1" operator="containsText" text="ELTÉRÉS!">
      <formula>NOT(ISERROR(SEARCH("ELTÉRÉS!",AR78)))</formula>
    </cfRule>
    <cfRule type="containsText" dxfId="10" priority="12" stopIfTrue="1" operator="containsText" text="STIMMEL!">
      <formula>NOT(ISERROR(SEARCH("STIMMEL!",AR78)))</formula>
    </cfRule>
  </conditionalFormatting>
  <conditionalFormatting sqref="AR78">
    <cfRule type="cellIs" dxfId="9" priority="10" operator="equal">
      <formula>0.01</formula>
    </cfRule>
  </conditionalFormatting>
  <conditionalFormatting sqref="BK78:BP78">
    <cfRule type="containsText" dxfId="8" priority="8" stopIfTrue="1" operator="containsText" text="ELTÉRÉS!">
      <formula>NOT(ISERROR(SEARCH("ELTÉRÉS!",BK78)))</formula>
    </cfRule>
    <cfRule type="containsText" dxfId="7" priority="9" stopIfTrue="1" operator="containsText" text="STIMMEL!">
      <formula>NOT(ISERROR(SEARCH("STIMMEL!",BK78)))</formula>
    </cfRule>
  </conditionalFormatting>
  <conditionalFormatting sqref="BK78:BP78">
    <cfRule type="cellIs" dxfId="6" priority="7" operator="equal">
      <formula>0.01</formula>
    </cfRule>
  </conditionalFormatting>
  <conditionalFormatting sqref="BF78">
    <cfRule type="containsText" dxfId="5" priority="5" stopIfTrue="1" operator="containsText" text="ELTÉRÉS!">
      <formula>NOT(ISERROR(SEARCH("ELTÉRÉS!",BF78)))</formula>
    </cfRule>
    <cfRule type="containsText" dxfId="4" priority="6" stopIfTrue="1" operator="containsText" text="STIMMEL!">
      <formula>NOT(ISERROR(SEARCH("STIMMEL!",BF78)))</formula>
    </cfRule>
  </conditionalFormatting>
  <conditionalFormatting sqref="BF78">
    <cfRule type="cellIs" dxfId="3" priority="4" operator="equal">
      <formula>0.01</formula>
    </cfRule>
  </conditionalFormatting>
  <conditionalFormatting sqref="BG78">
    <cfRule type="containsText" dxfId="2" priority="2" stopIfTrue="1" operator="containsText" text="ELTÉRÉS!">
      <formula>NOT(ISERROR(SEARCH("ELTÉRÉS!",BG78)))</formula>
    </cfRule>
    <cfRule type="containsText" dxfId="1" priority="3" stopIfTrue="1" operator="containsText" text="STIMMEL!">
      <formula>NOT(ISERROR(SEARCH("STIMMEL!",BG78)))</formula>
    </cfRule>
  </conditionalFormatting>
  <conditionalFormatting sqref="BG78">
    <cfRule type="cellIs" dxfId="0" priority="1" operator="equal">
      <formula>0.01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D7BE1-2154-4359-9556-12EA20051693}">
  <dimension ref="A1:J146"/>
  <sheetViews>
    <sheetView workbookViewId="0">
      <pane ySplit="1" topLeftCell="A2" activePane="bottomLeft" state="frozen"/>
      <selection pane="bottomLeft" activeCell="M17" sqref="M17"/>
    </sheetView>
  </sheetViews>
  <sheetFormatPr defaultRowHeight="14.45"/>
  <cols>
    <col min="1" max="1" width="15.140625" customWidth="1"/>
    <col min="2" max="2" width="11" customWidth="1"/>
    <col min="3" max="3" width="12.140625" customWidth="1"/>
    <col min="5" max="5" width="11.5703125" customWidth="1"/>
    <col min="6" max="8" width="10.85546875" customWidth="1"/>
    <col min="9" max="9" width="15.28515625" style="42" customWidth="1"/>
    <col min="10" max="10" width="15.28515625" customWidth="1"/>
  </cols>
  <sheetData>
    <row r="1" spans="1:10" ht="27" customHeight="1">
      <c r="A1" s="2" t="str">
        <f>'[8]2024 július'!X1</f>
        <v>AP A09110892</v>
      </c>
      <c r="B1" s="3">
        <f>'[8]2024 július'!Y1</f>
        <v>0</v>
      </c>
      <c r="C1" s="3">
        <f>'[8]2024 július'!Z1</f>
        <v>0.05</v>
      </c>
      <c r="D1" s="3">
        <f>'[8]2024 július'!AA1</f>
        <v>0.18</v>
      </c>
      <c r="E1" s="3">
        <f>'[8]2024 július'!AB1</f>
        <v>0.27</v>
      </c>
      <c r="F1" s="2" t="str">
        <f>'[8]2024 július'!AC1</f>
        <v>készpénz</v>
      </c>
      <c r="G1" s="2" t="str">
        <f>'[8]2024 július'!AD1</f>
        <v>kártya</v>
      </c>
      <c r="H1" s="48" t="s">
        <v>80</v>
      </c>
      <c r="I1" s="36" t="str">
        <f>'[8]2024 július'!AE1</f>
        <v>zárás ssz</v>
      </c>
      <c r="J1" s="2" t="str">
        <f>'[8]2024 július'!AF1</f>
        <v>göngyölt e.</v>
      </c>
    </row>
    <row r="2" spans="1:10">
      <c r="A2" s="5">
        <v>45474</v>
      </c>
      <c r="B2" s="11">
        <f>'[8]2024 július'!Y2</f>
        <v>0</v>
      </c>
      <c r="C2" s="11">
        <f>'[8]2024 július'!Z2</f>
        <v>0</v>
      </c>
      <c r="D2" s="11">
        <f>'[8]2024 július'!AA2</f>
        <v>0</v>
      </c>
      <c r="E2" s="11">
        <f>'[8]2024 július'!AB2</f>
        <v>0</v>
      </c>
      <c r="F2" s="11">
        <f>'[8]2024 július'!AC2</f>
        <v>0</v>
      </c>
      <c r="G2" s="11">
        <f>'[8]2024 július'!AD2</f>
        <v>0</v>
      </c>
      <c r="H2" s="11"/>
      <c r="I2" s="38">
        <f>'[8]2024 július'!AE2</f>
        <v>0</v>
      </c>
      <c r="J2" s="11">
        <f>'[8]2024 július'!AF2</f>
        <v>0</v>
      </c>
    </row>
    <row r="3" spans="1:10">
      <c r="A3" s="5">
        <v>45475</v>
      </c>
      <c r="B3" s="17">
        <f>'[8]2024 július'!Y3</f>
        <v>0</v>
      </c>
      <c r="C3" s="11">
        <f>'[8]2024 július'!Z3</f>
        <v>0</v>
      </c>
      <c r="D3" s="11">
        <f>'[8]2024 július'!AA3</f>
        <v>0</v>
      </c>
      <c r="E3" s="17">
        <f>'[8]2024 július'!AB3</f>
        <v>0</v>
      </c>
      <c r="F3" s="17">
        <f>'[8]2024 július'!AC3</f>
        <v>0</v>
      </c>
      <c r="G3" s="17">
        <f>'[8]2024 július'!AD3</f>
        <v>0</v>
      </c>
      <c r="H3" s="17"/>
      <c r="I3" s="46">
        <f>'[8]2024 július'!AE3</f>
        <v>0</v>
      </c>
      <c r="J3" s="17">
        <f>'[8]2024 július'!AF3</f>
        <v>0</v>
      </c>
    </row>
    <row r="4" spans="1:10">
      <c r="A4" s="5">
        <v>45476</v>
      </c>
      <c r="B4" s="17">
        <f>'[8]2024 július'!Y4</f>
        <v>0</v>
      </c>
      <c r="C4" s="11">
        <f>'[8]2024 július'!Z4</f>
        <v>0</v>
      </c>
      <c r="D4" s="11">
        <f>'[8]2024 július'!AA4</f>
        <v>0</v>
      </c>
      <c r="E4" s="17">
        <f>'[8]2024 július'!AB4</f>
        <v>0</v>
      </c>
      <c r="F4" s="17">
        <f>'[8]2024 július'!AC4</f>
        <v>0</v>
      </c>
      <c r="G4" s="17">
        <f>'[8]2024 július'!AD4</f>
        <v>0</v>
      </c>
      <c r="H4" s="17"/>
      <c r="I4" s="46">
        <v>719</v>
      </c>
      <c r="J4" s="20">
        <v>131436201</v>
      </c>
    </row>
    <row r="5" spans="1:10">
      <c r="A5" s="5">
        <v>45477</v>
      </c>
      <c r="B5" s="17">
        <f>'[8]2024 július'!Y5</f>
        <v>0</v>
      </c>
      <c r="C5" s="11">
        <f>'[8]2024 július'!Z5</f>
        <v>0</v>
      </c>
      <c r="D5" s="11">
        <f>'[8]2024 július'!AA5</f>
        <v>0</v>
      </c>
      <c r="E5" s="17">
        <f>'[8]2024 július'!AB5</f>
        <v>0</v>
      </c>
      <c r="F5" s="17">
        <f>'[8]2024 július'!AC5</f>
        <v>0</v>
      </c>
      <c r="G5" s="17">
        <f>'[8]2024 július'!AD5</f>
        <v>0</v>
      </c>
      <c r="H5" s="17"/>
      <c r="I5" s="46">
        <f>'[8]2024 július'!AE5</f>
        <v>0</v>
      </c>
      <c r="J5" s="17">
        <f>'[8]2024 július'!AF5</f>
        <v>0</v>
      </c>
    </row>
    <row r="6" spans="1:10">
      <c r="A6" s="5">
        <v>45478</v>
      </c>
      <c r="B6" s="17">
        <f>'[8]2024 július'!Y6</f>
        <v>0</v>
      </c>
      <c r="C6" s="11">
        <v>1</v>
      </c>
      <c r="D6" s="11">
        <f>'[8]2024 július'!AA6</f>
        <v>0</v>
      </c>
      <c r="E6" s="17">
        <f>'[8]2024 július'!AB6</f>
        <v>0</v>
      </c>
      <c r="F6" s="17">
        <v>1</v>
      </c>
      <c r="G6" s="17">
        <f>'[8]2024 július'!AD6</f>
        <v>0</v>
      </c>
      <c r="H6" s="17"/>
      <c r="I6" s="46">
        <v>720</v>
      </c>
      <c r="J6" s="17">
        <v>131436202</v>
      </c>
    </row>
    <row r="7" spans="1:10">
      <c r="A7" s="5">
        <v>45479</v>
      </c>
      <c r="B7" s="17">
        <f>'[8]2024 július'!Y7</f>
        <v>0</v>
      </c>
      <c r="C7" s="11">
        <f>'[8]2024 július'!Z7</f>
        <v>0</v>
      </c>
      <c r="D7" s="11">
        <f>'[8]2024 július'!AA7</f>
        <v>0</v>
      </c>
      <c r="E7" s="17">
        <v>239806</v>
      </c>
      <c r="F7" s="17">
        <v>47130</v>
      </c>
      <c r="G7" s="17">
        <v>192676</v>
      </c>
      <c r="H7" s="17"/>
      <c r="I7" s="46">
        <v>721</v>
      </c>
      <c r="J7" s="20">
        <v>131676008</v>
      </c>
    </row>
    <row r="8" spans="1:10">
      <c r="A8" s="5">
        <v>45480</v>
      </c>
      <c r="B8" s="11">
        <f>'[8]2024 július'!Y8</f>
        <v>0</v>
      </c>
      <c r="C8" s="11">
        <f>'[8]2024 július'!Z8</f>
        <v>0</v>
      </c>
      <c r="D8" s="11">
        <f>'[8]2024 július'!AA8</f>
        <v>0</v>
      </c>
      <c r="E8" s="11">
        <f>'[8]2024 július'!AB8</f>
        <v>0</v>
      </c>
      <c r="F8" s="11">
        <f>'[8]2024 július'!AC8</f>
        <v>0</v>
      </c>
      <c r="G8" s="11">
        <f>'[8]2024 július'!AD8</f>
        <v>0</v>
      </c>
      <c r="H8" s="11"/>
      <c r="I8" s="38">
        <f>'[8]2024 július'!AE8</f>
        <v>0</v>
      </c>
      <c r="J8" s="11">
        <f>'[8]2024 július'!AF8</f>
        <v>0</v>
      </c>
    </row>
    <row r="9" spans="1:10">
      <c r="A9" s="5">
        <v>45481</v>
      </c>
      <c r="B9" s="17">
        <f>'[8]2024 július'!Y9</f>
        <v>0</v>
      </c>
      <c r="C9" s="11">
        <f>'[8]2024 július'!Z9</f>
        <v>0</v>
      </c>
      <c r="D9" s="11">
        <f>'[8]2024 július'!AA9</f>
        <v>0</v>
      </c>
      <c r="E9" s="17">
        <f>'[8]2024 július'!AB9</f>
        <v>0</v>
      </c>
      <c r="F9" s="17">
        <f>'[8]2024 július'!AC9</f>
        <v>0</v>
      </c>
      <c r="G9" s="17">
        <f>'[8]2024 július'!AD9</f>
        <v>0</v>
      </c>
      <c r="H9" s="17"/>
      <c r="I9" s="46">
        <f>'[8]2024 július'!AE9</f>
        <v>0</v>
      </c>
      <c r="J9" s="17">
        <f>'[8]2024 július'!AF9</f>
        <v>0</v>
      </c>
    </row>
    <row r="10" spans="1:10">
      <c r="A10" s="5">
        <v>45482</v>
      </c>
      <c r="B10" s="17">
        <f>'[8]2024 július'!Y10</f>
        <v>0</v>
      </c>
      <c r="C10" s="11">
        <f>'[8]2024 július'!Z10</f>
        <v>0</v>
      </c>
      <c r="D10" s="11">
        <f>'[8]2024 július'!AA10</f>
        <v>0</v>
      </c>
      <c r="E10" s="17">
        <f>'[8]2024 július'!AB10</f>
        <v>0</v>
      </c>
      <c r="F10" s="17">
        <f>'[8]2024 július'!AC10</f>
        <v>0</v>
      </c>
      <c r="G10" s="17">
        <f>'[8]2024 július'!AD10</f>
        <v>0</v>
      </c>
      <c r="H10" s="17"/>
      <c r="I10" s="46">
        <f>'[8]2024 július'!AE10</f>
        <v>0</v>
      </c>
      <c r="J10" s="17">
        <f>'[8]2024 július'!AF10</f>
        <v>0</v>
      </c>
    </row>
    <row r="11" spans="1:10">
      <c r="A11" s="5">
        <v>45483</v>
      </c>
      <c r="B11" s="17">
        <f>'[8]2024 július'!Y11</f>
        <v>0</v>
      </c>
      <c r="C11" s="11">
        <f>'[8]2024 július'!Z11</f>
        <v>0</v>
      </c>
      <c r="D11" s="11">
        <f>'[8]2024 július'!AA11</f>
        <v>0</v>
      </c>
      <c r="E11" s="17">
        <f>'[8]2024 július'!AB11</f>
        <v>0</v>
      </c>
      <c r="F11" s="17">
        <f>'[8]2024 július'!AC11</f>
        <v>0</v>
      </c>
      <c r="G11" s="17">
        <f>'[8]2024 július'!AD11</f>
        <v>0</v>
      </c>
      <c r="H11" s="17"/>
      <c r="I11" s="46">
        <f>'[8]2024 július'!AE11</f>
        <v>0</v>
      </c>
      <c r="J11" s="17">
        <f>'[8]2024 július'!AF11</f>
        <v>0</v>
      </c>
    </row>
    <row r="12" spans="1:10">
      <c r="A12" s="5">
        <v>45484</v>
      </c>
      <c r="B12" s="17">
        <f>'[8]2024 július'!Y12</f>
        <v>0</v>
      </c>
      <c r="C12" s="11">
        <f>'[8]2024 július'!Z12</f>
        <v>0</v>
      </c>
      <c r="D12" s="11">
        <f>'[8]2024 július'!AA12</f>
        <v>0</v>
      </c>
      <c r="E12" s="17">
        <f>'[8]2024 július'!AB12</f>
        <v>0</v>
      </c>
      <c r="F12" s="17">
        <f>'[8]2024 július'!AC12</f>
        <v>0</v>
      </c>
      <c r="G12" s="17">
        <f>'[8]2024 július'!AD12</f>
        <v>0</v>
      </c>
      <c r="H12" s="17"/>
      <c r="I12" s="46">
        <f>'[8]2024 július'!AE12</f>
        <v>0</v>
      </c>
      <c r="J12" s="17">
        <f>'[8]2024 július'!AF12</f>
        <v>0</v>
      </c>
    </row>
    <row r="13" spans="1:10">
      <c r="A13" s="5">
        <v>45485</v>
      </c>
      <c r="B13" s="11">
        <f>'[8]2024 július'!Y13</f>
        <v>0</v>
      </c>
      <c r="C13" s="11">
        <f>'[8]2024 július'!Z13</f>
        <v>0</v>
      </c>
      <c r="D13" s="11">
        <f>'[8]2024 július'!AA13</f>
        <v>0</v>
      </c>
      <c r="E13" s="11">
        <f>'[8]2024 július'!AB13</f>
        <v>0</v>
      </c>
      <c r="F13" s="11">
        <f>'[8]2024 július'!AC13</f>
        <v>0</v>
      </c>
      <c r="G13" s="11">
        <f>'[8]2024 július'!AD13</f>
        <v>0</v>
      </c>
      <c r="H13" s="11"/>
      <c r="I13" s="38">
        <f>'[8]2024 július'!AE13</f>
        <v>0</v>
      </c>
      <c r="J13" s="11">
        <f>'[8]2024 július'!AF13</f>
        <v>0</v>
      </c>
    </row>
    <row r="14" spans="1:10">
      <c r="A14" s="5">
        <v>45486</v>
      </c>
      <c r="B14" s="11">
        <f>'[8]2024 július'!Y14</f>
        <v>0</v>
      </c>
      <c r="C14" s="11">
        <f>'[8]2024 július'!Z14</f>
        <v>0</v>
      </c>
      <c r="D14" s="11">
        <f>'[8]2024 július'!AA14</f>
        <v>0</v>
      </c>
      <c r="E14" s="11">
        <f>'[8]2024 július'!AB14</f>
        <v>0</v>
      </c>
      <c r="F14" s="11">
        <f>'[8]2024 július'!AC14</f>
        <v>0</v>
      </c>
      <c r="G14" s="11">
        <f>'[8]2024 július'!AD14</f>
        <v>0</v>
      </c>
      <c r="H14" s="11"/>
      <c r="I14" s="38">
        <f>'[8]2024 július'!AE14</f>
        <v>0</v>
      </c>
      <c r="J14" s="11">
        <f>'[8]2024 július'!AF14</f>
        <v>0</v>
      </c>
    </row>
    <row r="15" spans="1:10">
      <c r="A15" s="5">
        <v>45487</v>
      </c>
      <c r="B15" s="11">
        <f>'[8]2024 július'!Y15</f>
        <v>0</v>
      </c>
      <c r="C15" s="11">
        <f>'[8]2024 július'!Z15</f>
        <v>0</v>
      </c>
      <c r="D15" s="11">
        <f>'[8]2024 július'!AA15</f>
        <v>0</v>
      </c>
      <c r="E15" s="11">
        <f>'[8]2024 július'!AB15</f>
        <v>0</v>
      </c>
      <c r="F15" s="11">
        <f>'[8]2024 július'!AC15</f>
        <v>0</v>
      </c>
      <c r="G15" s="11">
        <f>'[8]2024 július'!AD15</f>
        <v>0</v>
      </c>
      <c r="H15" s="11"/>
      <c r="I15" s="38">
        <f>'[8]2024 július'!AE15</f>
        <v>0</v>
      </c>
      <c r="J15" s="11">
        <f>'[8]2024 július'!AF15</f>
        <v>0</v>
      </c>
    </row>
    <row r="16" spans="1:10">
      <c r="A16" s="5">
        <v>45488</v>
      </c>
      <c r="B16" s="11">
        <f>'[8]2024 július'!Y16</f>
        <v>0</v>
      </c>
      <c r="C16" s="11">
        <f>'[8]2024 július'!Z16</f>
        <v>0</v>
      </c>
      <c r="D16" s="11">
        <f>'[8]2024 július'!AA16</f>
        <v>0</v>
      </c>
      <c r="E16" s="11">
        <f>'[8]2024 július'!AB16</f>
        <v>0</v>
      </c>
      <c r="F16" s="11">
        <f>'[8]2024 július'!AC16</f>
        <v>0</v>
      </c>
      <c r="G16" s="11">
        <f>'[8]2024 július'!AD16</f>
        <v>0</v>
      </c>
      <c r="H16" s="11"/>
      <c r="I16" s="38">
        <f>'[8]2024 július'!AE16</f>
        <v>0</v>
      </c>
      <c r="J16" s="11">
        <f>'[8]2024 július'!AF16</f>
        <v>0</v>
      </c>
    </row>
    <row r="17" spans="1:10">
      <c r="A17" s="5">
        <v>45489</v>
      </c>
      <c r="B17" s="11">
        <f>'[8]2024 július'!Y17</f>
        <v>0</v>
      </c>
      <c r="C17" s="11">
        <f>'[8]2024 július'!Z17</f>
        <v>0</v>
      </c>
      <c r="D17" s="11">
        <f>'[8]2024 július'!AA17</f>
        <v>0</v>
      </c>
      <c r="E17" s="11">
        <f>'[8]2024 július'!AB17</f>
        <v>0</v>
      </c>
      <c r="F17" s="11">
        <f>'[8]2024 július'!AC17</f>
        <v>0</v>
      </c>
      <c r="G17" s="11">
        <f>'[8]2024 július'!AD17</f>
        <v>0</v>
      </c>
      <c r="H17" s="11"/>
      <c r="I17" s="38">
        <f>'[8]2024 július'!AE17</f>
        <v>0</v>
      </c>
      <c r="J17" s="11">
        <f>'[8]2024 július'!AF17</f>
        <v>0</v>
      </c>
    </row>
    <row r="18" spans="1:10">
      <c r="A18" s="5">
        <v>45490</v>
      </c>
      <c r="B18" s="11">
        <f>'[8]2024 július'!Y18</f>
        <v>0</v>
      </c>
      <c r="C18" s="11">
        <f>'[8]2024 július'!Z18</f>
        <v>0</v>
      </c>
      <c r="D18" s="11">
        <f>'[8]2024 július'!AA18</f>
        <v>0</v>
      </c>
      <c r="E18" s="11">
        <f>'[8]2024 július'!AB18</f>
        <v>0</v>
      </c>
      <c r="F18" s="11">
        <f>'[8]2024 július'!AC18</f>
        <v>0</v>
      </c>
      <c r="G18" s="11">
        <f>'[8]2024 július'!AD18</f>
        <v>0</v>
      </c>
      <c r="H18" s="11"/>
      <c r="I18" s="38">
        <f>'[8]2024 július'!AE18</f>
        <v>0</v>
      </c>
      <c r="J18" s="11">
        <f>'[8]2024 július'!AF18</f>
        <v>0</v>
      </c>
    </row>
    <row r="19" spans="1:10">
      <c r="A19" s="5">
        <v>45491</v>
      </c>
      <c r="B19" s="17">
        <f>'[8]2024 július'!Y19</f>
        <v>0</v>
      </c>
      <c r="C19" s="17">
        <f>'[8]2024 július'!Z19</f>
        <v>0</v>
      </c>
      <c r="D19" s="17">
        <f>'[8]2024 július'!AA19</f>
        <v>0</v>
      </c>
      <c r="E19" s="17">
        <f>'[8]2024 július'!AB19</f>
        <v>0</v>
      </c>
      <c r="F19" s="17">
        <f>'[8]2024 július'!AC19</f>
        <v>0</v>
      </c>
      <c r="G19" s="17">
        <f>'[8]2024 július'!AD19</f>
        <v>0</v>
      </c>
      <c r="H19" s="17"/>
      <c r="I19" s="46">
        <f>'[8]2024 július'!AE19</f>
        <v>0</v>
      </c>
      <c r="J19" s="17">
        <f>'[8]2024 július'!AF19</f>
        <v>0</v>
      </c>
    </row>
    <row r="20" spans="1:10">
      <c r="A20" s="5">
        <v>45492</v>
      </c>
      <c r="B20" s="17">
        <f>'[8]2024 július'!Y20</f>
        <v>0</v>
      </c>
      <c r="C20" s="17">
        <f>'[8]2024 július'!Z20</f>
        <v>0</v>
      </c>
      <c r="D20" s="17">
        <f>'[8]2024 július'!AA20</f>
        <v>0</v>
      </c>
      <c r="E20" s="17">
        <f>'[8]2024 július'!AB20</f>
        <v>0</v>
      </c>
      <c r="F20" s="17">
        <f>'[8]2024 július'!AC20</f>
        <v>0</v>
      </c>
      <c r="G20" s="17">
        <f>'[8]2024 július'!AD20</f>
        <v>0</v>
      </c>
      <c r="H20" s="17"/>
      <c r="I20" s="46">
        <f>'[8]2024 július'!AE20</f>
        <v>0</v>
      </c>
      <c r="J20" s="17">
        <f>'[8]2024 július'!AF20</f>
        <v>0</v>
      </c>
    </row>
    <row r="21" spans="1:10">
      <c r="A21" s="5">
        <v>45493</v>
      </c>
      <c r="B21" s="11">
        <f>'[8]2024 július'!Y21</f>
        <v>0</v>
      </c>
      <c r="C21" s="11">
        <f>'[8]2024 július'!Z21</f>
        <v>0</v>
      </c>
      <c r="D21" s="11">
        <f>'[8]2024 július'!AA21</f>
        <v>0</v>
      </c>
      <c r="E21" s="11">
        <f>'[8]2024 július'!AB21</f>
        <v>0</v>
      </c>
      <c r="F21" s="11">
        <f>'[8]2024 július'!AC21</f>
        <v>0</v>
      </c>
      <c r="G21" s="11">
        <f>'[8]2024 július'!AD21</f>
        <v>0</v>
      </c>
      <c r="H21" s="11"/>
      <c r="I21" s="38">
        <f>'[8]2024 július'!AE21</f>
        <v>0</v>
      </c>
      <c r="J21" s="16">
        <f>'[8]2024 július'!AF21</f>
        <v>0</v>
      </c>
    </row>
    <row r="22" spans="1:10">
      <c r="A22" s="5">
        <v>45494</v>
      </c>
      <c r="B22" s="11">
        <f>'[8]2024 július'!Y22</f>
        <v>0</v>
      </c>
      <c r="C22" s="11">
        <f>'[8]2024 július'!Z22</f>
        <v>0</v>
      </c>
      <c r="D22" s="11">
        <f>'[8]2024 július'!AA22</f>
        <v>0</v>
      </c>
      <c r="E22" s="11">
        <f>'[8]2024 július'!AB22</f>
        <v>0</v>
      </c>
      <c r="F22" s="11">
        <f>'[8]2024 július'!AC22</f>
        <v>0</v>
      </c>
      <c r="G22" s="11">
        <f>'[8]2024 július'!AD22</f>
        <v>0</v>
      </c>
      <c r="H22" s="11"/>
      <c r="I22" s="38">
        <f>'[8]2024 július'!AE22</f>
        <v>0</v>
      </c>
      <c r="J22" s="11">
        <f>'[8]2024 július'!AF22</f>
        <v>0</v>
      </c>
    </row>
    <row r="23" spans="1:10">
      <c r="A23" s="5">
        <v>45495</v>
      </c>
      <c r="B23" s="11">
        <f>'[8]2024 július'!Y23</f>
        <v>0</v>
      </c>
      <c r="C23" s="11">
        <f>'[8]2024 július'!Z23</f>
        <v>0</v>
      </c>
      <c r="D23" s="11">
        <f>'[8]2024 július'!AA23</f>
        <v>0</v>
      </c>
      <c r="E23" s="11">
        <f>'[8]2024 július'!AB23</f>
        <v>0</v>
      </c>
      <c r="F23" s="11">
        <f>'[8]2024 július'!AC23</f>
        <v>0</v>
      </c>
      <c r="G23" s="11">
        <f>'[8]2024 július'!AD23</f>
        <v>0</v>
      </c>
      <c r="H23" s="11"/>
      <c r="I23" s="38">
        <f>'[8]2024 július'!AE23</f>
        <v>0</v>
      </c>
      <c r="J23" s="11">
        <f>'[8]2024 július'!AF23</f>
        <v>0</v>
      </c>
    </row>
    <row r="24" spans="1:10">
      <c r="A24" s="5">
        <v>45496</v>
      </c>
      <c r="B24" s="11">
        <f>'[8]2024 július'!Y24</f>
        <v>0</v>
      </c>
      <c r="C24" s="11">
        <f>'[8]2024 július'!Z24</f>
        <v>0</v>
      </c>
      <c r="D24" s="11">
        <f>'[8]2024 július'!AA24</f>
        <v>0</v>
      </c>
      <c r="E24" s="11">
        <f>'[8]2024 július'!AB24</f>
        <v>0</v>
      </c>
      <c r="F24" s="11">
        <f>'[8]2024 július'!AC24</f>
        <v>0</v>
      </c>
      <c r="G24" s="11">
        <f>'[8]2024 július'!AD24</f>
        <v>0</v>
      </c>
      <c r="H24" s="11"/>
      <c r="I24" s="38">
        <f>'[8]2024 július'!AE24</f>
        <v>0</v>
      </c>
      <c r="J24" s="11">
        <f>'[8]2024 július'!AF24</f>
        <v>0</v>
      </c>
    </row>
    <row r="25" spans="1:10">
      <c r="A25" s="5">
        <v>45497</v>
      </c>
      <c r="B25" s="11">
        <f>'[8]2024 július'!Y25</f>
        <v>0</v>
      </c>
      <c r="C25" s="11">
        <f>'[8]2024 július'!Z25</f>
        <v>0</v>
      </c>
      <c r="D25" s="11">
        <f>'[8]2024 július'!AA25</f>
        <v>0</v>
      </c>
      <c r="E25" s="11">
        <f>'[8]2024 július'!AB25</f>
        <v>0</v>
      </c>
      <c r="F25" s="11">
        <f>'[8]2024 július'!AC25</f>
        <v>0</v>
      </c>
      <c r="G25" s="11">
        <f>'[8]2024 július'!AD25</f>
        <v>0</v>
      </c>
      <c r="H25" s="11"/>
      <c r="I25" s="38">
        <f>'[8]2024 július'!AE25</f>
        <v>0</v>
      </c>
      <c r="J25" s="11">
        <f>'[8]2024 július'!AF25</f>
        <v>0</v>
      </c>
    </row>
    <row r="26" spans="1:10">
      <c r="A26" s="5">
        <v>45498</v>
      </c>
      <c r="B26" s="11">
        <f>'[8]2024 július'!Y26</f>
        <v>0</v>
      </c>
      <c r="C26" s="11">
        <f>'[8]2024 július'!Z26</f>
        <v>0</v>
      </c>
      <c r="D26" s="11">
        <f>'[8]2024 július'!AA26</f>
        <v>0</v>
      </c>
      <c r="E26" s="11">
        <f>'[8]2024 július'!AB26</f>
        <v>0</v>
      </c>
      <c r="F26" s="11">
        <f>'[8]2024 július'!AC26</f>
        <v>0</v>
      </c>
      <c r="G26" s="11">
        <f>'[8]2024 július'!AD26</f>
        <v>0</v>
      </c>
      <c r="H26" s="11"/>
      <c r="I26" s="38">
        <f>'[8]2024 július'!AE26</f>
        <v>0</v>
      </c>
      <c r="J26" s="11">
        <f>'[8]2024 július'!AF26</f>
        <v>0</v>
      </c>
    </row>
    <row r="27" spans="1:10">
      <c r="A27" s="5">
        <v>45499</v>
      </c>
      <c r="B27" s="11">
        <f>'[8]2024 július'!Y27</f>
        <v>0</v>
      </c>
      <c r="C27" s="11">
        <f>'[8]2024 július'!Z27</f>
        <v>0</v>
      </c>
      <c r="D27" s="11">
        <f>'[8]2024 július'!AA27</f>
        <v>0</v>
      </c>
      <c r="E27" s="11">
        <f>'[8]2024 július'!AB27</f>
        <v>0</v>
      </c>
      <c r="F27" s="11">
        <f>'[8]2024 július'!AC27</f>
        <v>0</v>
      </c>
      <c r="G27" s="11">
        <f>'[8]2024 július'!AD27</f>
        <v>0</v>
      </c>
      <c r="H27" s="11"/>
      <c r="I27" s="38">
        <f>'[8]2024 július'!AE27</f>
        <v>0</v>
      </c>
      <c r="J27" s="11">
        <f>'[8]2024 július'!AF27</f>
        <v>0</v>
      </c>
    </row>
    <row r="28" spans="1:10">
      <c r="A28" s="5">
        <v>45500</v>
      </c>
      <c r="B28" s="11">
        <f>'[8]2024 július'!Y28</f>
        <v>0</v>
      </c>
      <c r="C28" s="11">
        <f>'[8]2024 július'!Z28</f>
        <v>0</v>
      </c>
      <c r="D28" s="11">
        <f>'[8]2024 július'!AA28</f>
        <v>0</v>
      </c>
      <c r="E28" s="11">
        <f>'[8]2024 július'!AB28</f>
        <v>0</v>
      </c>
      <c r="F28" s="11">
        <f>'[8]2024 július'!AC28</f>
        <v>0</v>
      </c>
      <c r="G28" s="11">
        <f>'[8]2024 július'!AD28</f>
        <v>0</v>
      </c>
      <c r="H28" s="11"/>
      <c r="I28" s="38">
        <f>'[8]2024 július'!AE28</f>
        <v>0</v>
      </c>
      <c r="J28" s="11">
        <f>'[8]2024 július'!AF28</f>
        <v>0</v>
      </c>
    </row>
    <row r="29" spans="1:10">
      <c r="A29" s="5">
        <v>45501</v>
      </c>
      <c r="B29" s="11">
        <f>'[8]2024 július'!Y29</f>
        <v>0</v>
      </c>
      <c r="C29" s="11">
        <f>'[8]2024 július'!Z29</f>
        <v>0</v>
      </c>
      <c r="D29" s="11">
        <f>'[8]2024 július'!AA29</f>
        <v>0</v>
      </c>
      <c r="E29" s="11">
        <f>'[8]2024 július'!AB29</f>
        <v>0</v>
      </c>
      <c r="F29" s="11">
        <f>'[8]2024 július'!AC29</f>
        <v>0</v>
      </c>
      <c r="G29" s="11">
        <f>'[8]2024 július'!AD29</f>
        <v>0</v>
      </c>
      <c r="H29" s="11"/>
      <c r="I29" s="38">
        <f>'[8]2024 július'!AE29</f>
        <v>0</v>
      </c>
      <c r="J29" s="11">
        <f>'[8]2024 július'!AF29</f>
        <v>0</v>
      </c>
    </row>
    <row r="30" spans="1:10">
      <c r="A30" s="5">
        <v>45502</v>
      </c>
      <c r="B30" s="11">
        <f>'[8]2024 július'!Y30</f>
        <v>0</v>
      </c>
      <c r="C30" s="11">
        <f>'[8]2024 július'!Z30</f>
        <v>0</v>
      </c>
      <c r="D30" s="11">
        <f>'[8]2024 július'!AA30</f>
        <v>0</v>
      </c>
      <c r="E30" s="11">
        <f>'[8]2024 július'!AB30</f>
        <v>0</v>
      </c>
      <c r="F30" s="11">
        <f>'[8]2024 július'!AC30</f>
        <v>0</v>
      </c>
      <c r="G30" s="11">
        <f>'[8]2024 július'!AD30</f>
        <v>0</v>
      </c>
      <c r="H30" s="11"/>
      <c r="I30" s="38">
        <f>'[8]2024 július'!AE30</f>
        <v>0</v>
      </c>
      <c r="J30" s="11">
        <f>'[8]2024 július'!AF30</f>
        <v>0</v>
      </c>
    </row>
    <row r="31" spans="1:10">
      <c r="A31" s="5">
        <v>45503</v>
      </c>
      <c r="B31" s="11">
        <f>'[8]2024 július'!Y31</f>
        <v>0</v>
      </c>
      <c r="C31" s="11">
        <f>'[8]2024 július'!Z31</f>
        <v>0</v>
      </c>
      <c r="D31" s="11">
        <f>'[8]2024 július'!AA31</f>
        <v>0</v>
      </c>
      <c r="E31" s="11">
        <f>'[8]2024 július'!AB31</f>
        <v>0</v>
      </c>
      <c r="F31" s="11">
        <f>'[8]2024 július'!AC31</f>
        <v>0</v>
      </c>
      <c r="G31" s="11">
        <f>'[8]2024 július'!AD31</f>
        <v>0</v>
      </c>
      <c r="H31" s="11"/>
      <c r="I31" s="38">
        <f>'[8]2024 július'!AE31</f>
        <v>0</v>
      </c>
      <c r="J31" s="11">
        <f>'[8]2024 július'!AF31</f>
        <v>0</v>
      </c>
    </row>
    <row r="32" spans="1:10">
      <c r="A32" s="5">
        <v>45504</v>
      </c>
      <c r="B32" s="11">
        <f>'[8]2024 július'!Y32</f>
        <v>0</v>
      </c>
      <c r="C32" s="11">
        <f>'[8]2024 július'!Z32</f>
        <v>0</v>
      </c>
      <c r="D32" s="11">
        <f>'[8]2024 július'!AA32</f>
        <v>0</v>
      </c>
      <c r="E32" s="11">
        <f>'[8]2024 július'!AB32</f>
        <v>0</v>
      </c>
      <c r="F32" s="11">
        <f>'[8]2024 július'!AC32</f>
        <v>0</v>
      </c>
      <c r="G32" s="11">
        <f>'[8]2024 július'!AD32</f>
        <v>0</v>
      </c>
      <c r="H32" s="11"/>
      <c r="I32" s="38">
        <f>'[8]2024 július'!AE32</f>
        <v>0</v>
      </c>
      <c r="J32" s="11">
        <f>'[8]2024 július'!AF32</f>
        <v>0</v>
      </c>
    </row>
    <row r="33" spans="1:10" ht="19.5" customHeight="1">
      <c r="A33" s="24" t="s">
        <v>43</v>
      </c>
      <c r="B33" s="22">
        <f>SUM(B1:B32)</f>
        <v>0</v>
      </c>
      <c r="C33" s="22">
        <f>SUM(C1:C32)</f>
        <v>1.05</v>
      </c>
      <c r="D33" s="22">
        <f>SUM(D1:D32)</f>
        <v>0.18</v>
      </c>
      <c r="E33" s="22">
        <f>SUM(E1:E32)</f>
        <v>239806.27</v>
      </c>
      <c r="F33" s="23">
        <f>SUM(F2:F32)</f>
        <v>47131</v>
      </c>
      <c r="G33" s="23">
        <f>SUM(G2:G32)</f>
        <v>192676</v>
      </c>
      <c r="H33" s="47"/>
      <c r="I33" s="37"/>
      <c r="J33" s="19"/>
    </row>
    <row r="34" spans="1:10" ht="23.25" customHeight="1">
      <c r="A34" s="9"/>
      <c r="B34" s="26">
        <f>B33+C33+D33+E33</f>
        <v>239807.5</v>
      </c>
      <c r="C34" s="9"/>
      <c r="D34" s="9"/>
      <c r="E34" s="9"/>
      <c r="F34" s="27">
        <f>F33+G33</f>
        <v>239807</v>
      </c>
      <c r="G34" s="9"/>
    </row>
    <row r="37" spans="1:10" s="31" customFormat="1" ht="21">
      <c r="A37" s="32" t="s">
        <v>10</v>
      </c>
      <c r="I37" s="43"/>
    </row>
    <row r="39" spans="1:10">
      <c r="A39" s="2">
        <v>0</v>
      </c>
      <c r="B39" s="3">
        <v>0</v>
      </c>
      <c r="C39" s="3">
        <v>0</v>
      </c>
      <c r="D39" s="3">
        <v>0</v>
      </c>
      <c r="E39" s="3">
        <v>0</v>
      </c>
      <c r="F39" s="2">
        <v>0</v>
      </c>
      <c r="G39" s="2">
        <v>0</v>
      </c>
      <c r="H39" s="2"/>
      <c r="I39" s="36">
        <v>0</v>
      </c>
      <c r="J39" s="2">
        <v>0</v>
      </c>
    </row>
    <row r="40" spans="1:10">
      <c r="A40" s="5">
        <v>45505</v>
      </c>
      <c r="B40" s="11"/>
      <c r="C40" s="11"/>
      <c r="D40" s="11"/>
      <c r="E40" s="11"/>
      <c r="F40" s="11"/>
      <c r="G40" s="11"/>
      <c r="H40" s="11"/>
      <c r="I40" s="38">
        <v>0</v>
      </c>
      <c r="J40" s="11">
        <v>131676008</v>
      </c>
    </row>
    <row r="41" spans="1:10">
      <c r="A41" s="5">
        <v>45506</v>
      </c>
      <c r="B41" s="17">
        <v>1400</v>
      </c>
      <c r="C41" s="11">
        <v>133770</v>
      </c>
      <c r="D41" s="11">
        <v>0</v>
      </c>
      <c r="E41" s="17">
        <v>0</v>
      </c>
      <c r="F41" s="17">
        <v>29010</v>
      </c>
      <c r="G41" s="17">
        <v>106160</v>
      </c>
      <c r="H41" s="17"/>
      <c r="I41" s="46">
        <v>722</v>
      </c>
      <c r="J41" s="17">
        <v>131811178</v>
      </c>
    </row>
    <row r="42" spans="1:10">
      <c r="A42" s="5">
        <v>45507</v>
      </c>
      <c r="B42" s="17"/>
      <c r="C42" s="11"/>
      <c r="D42" s="11"/>
      <c r="E42" s="17"/>
      <c r="F42" s="17"/>
      <c r="G42" s="17"/>
      <c r="H42" s="17"/>
      <c r="I42" s="46"/>
      <c r="J42" s="20"/>
    </row>
    <row r="43" spans="1:10">
      <c r="A43" s="5">
        <v>45508</v>
      </c>
      <c r="B43" s="17"/>
      <c r="C43" s="11"/>
      <c r="D43" s="11"/>
      <c r="E43" s="17"/>
      <c r="F43" s="17"/>
      <c r="G43" s="17"/>
      <c r="H43" s="17"/>
      <c r="I43" s="46"/>
      <c r="J43" s="17"/>
    </row>
    <row r="44" spans="1:10">
      <c r="A44" s="5">
        <v>45509</v>
      </c>
      <c r="B44" s="17"/>
      <c r="C44" s="11"/>
      <c r="D44" s="11"/>
      <c r="E44" s="17"/>
      <c r="F44" s="17"/>
      <c r="G44" s="17"/>
      <c r="H44" s="17"/>
      <c r="I44" s="46"/>
      <c r="J44" s="17"/>
    </row>
    <row r="45" spans="1:10">
      <c r="A45" s="5">
        <v>45510</v>
      </c>
      <c r="B45" s="17"/>
      <c r="C45" s="11"/>
      <c r="D45" s="11"/>
      <c r="E45" s="17"/>
      <c r="F45" s="17"/>
      <c r="G45" s="17"/>
      <c r="H45" s="17"/>
      <c r="I45" s="46"/>
      <c r="J45" s="20"/>
    </row>
    <row r="46" spans="1:10">
      <c r="A46" s="5">
        <v>45511</v>
      </c>
      <c r="B46" s="11"/>
      <c r="C46" s="11"/>
      <c r="D46" s="11"/>
      <c r="E46" s="11"/>
      <c r="F46" s="11"/>
      <c r="G46" s="11"/>
      <c r="H46" s="11"/>
      <c r="I46" s="38"/>
      <c r="J46" s="11"/>
    </row>
    <row r="47" spans="1:10">
      <c r="A47" s="5">
        <v>45512</v>
      </c>
      <c r="B47" s="17"/>
      <c r="C47" s="11"/>
      <c r="D47" s="11"/>
      <c r="E47" s="17"/>
      <c r="F47" s="17"/>
      <c r="G47" s="17"/>
      <c r="H47" s="17"/>
      <c r="I47" s="46"/>
      <c r="J47" s="17"/>
    </row>
    <row r="48" spans="1:10">
      <c r="A48" s="5">
        <v>45513</v>
      </c>
      <c r="B48" s="17"/>
      <c r="C48" s="11"/>
      <c r="D48" s="11"/>
      <c r="E48" s="17"/>
      <c r="F48" s="17"/>
      <c r="G48" s="17"/>
      <c r="H48" s="17"/>
      <c r="I48" s="46"/>
      <c r="J48" s="17"/>
    </row>
    <row r="49" spans="1:10">
      <c r="A49" s="5">
        <v>45514</v>
      </c>
      <c r="B49" s="17"/>
      <c r="C49" s="11"/>
      <c r="D49" s="11"/>
      <c r="E49" s="17"/>
      <c r="F49" s="17"/>
      <c r="G49" s="17"/>
      <c r="H49" s="17"/>
      <c r="I49" s="46"/>
      <c r="J49" s="17"/>
    </row>
    <row r="50" spans="1:10">
      <c r="A50" s="5">
        <v>45515</v>
      </c>
      <c r="B50" s="17"/>
      <c r="C50" s="11">
        <v>182640</v>
      </c>
      <c r="D50" s="11"/>
      <c r="E50" s="17">
        <v>2500</v>
      </c>
      <c r="F50" s="17">
        <v>53340</v>
      </c>
      <c r="G50" s="17">
        <v>131800</v>
      </c>
      <c r="H50" s="17"/>
      <c r="I50" s="46" t="s">
        <v>314</v>
      </c>
      <c r="J50" s="17">
        <v>132891062</v>
      </c>
    </row>
    <row r="51" spans="1:10">
      <c r="A51" s="5">
        <v>45516</v>
      </c>
      <c r="B51" s="11"/>
      <c r="C51" s="11"/>
      <c r="D51" s="11"/>
      <c r="E51" s="11"/>
      <c r="F51" s="11"/>
      <c r="G51" s="11"/>
      <c r="H51" s="11"/>
      <c r="I51" s="38"/>
      <c r="J51" s="11"/>
    </row>
    <row r="52" spans="1:10">
      <c r="A52" s="5">
        <v>45517</v>
      </c>
      <c r="B52" s="11"/>
      <c r="C52" s="11"/>
      <c r="D52" s="11"/>
      <c r="E52" s="11"/>
      <c r="F52" s="11"/>
      <c r="G52" s="11"/>
      <c r="H52" s="11"/>
      <c r="I52" s="38"/>
      <c r="J52" s="11"/>
    </row>
    <row r="53" spans="1:10">
      <c r="A53" s="5">
        <v>45518</v>
      </c>
      <c r="B53" s="11"/>
      <c r="C53" s="11"/>
      <c r="D53" s="11"/>
      <c r="E53" s="11"/>
      <c r="F53" s="11"/>
      <c r="G53" s="11"/>
      <c r="H53" s="11"/>
      <c r="I53" s="38"/>
      <c r="J53" s="11"/>
    </row>
    <row r="54" spans="1:10">
      <c r="A54" s="5">
        <v>45519</v>
      </c>
      <c r="B54" s="11">
        <v>700</v>
      </c>
      <c r="C54" s="11">
        <v>713080</v>
      </c>
      <c r="D54" s="11"/>
      <c r="E54" s="11">
        <v>5960</v>
      </c>
      <c r="F54" s="11">
        <v>293720</v>
      </c>
      <c r="G54" s="11">
        <v>426020</v>
      </c>
      <c r="H54" s="11"/>
      <c r="I54" s="38" t="s">
        <v>315</v>
      </c>
      <c r="J54" s="11">
        <v>133610802</v>
      </c>
    </row>
    <row r="55" spans="1:10">
      <c r="A55" s="5">
        <v>45520</v>
      </c>
      <c r="B55" s="11"/>
      <c r="C55" s="11"/>
      <c r="D55" s="11"/>
      <c r="E55" s="11"/>
      <c r="F55" s="11"/>
      <c r="G55" s="11"/>
      <c r="H55" s="11"/>
      <c r="I55" s="38"/>
      <c r="J55" s="11"/>
    </row>
    <row r="56" spans="1:10">
      <c r="A56" s="5">
        <v>45521</v>
      </c>
      <c r="B56" s="11"/>
      <c r="C56" s="11"/>
      <c r="D56" s="11"/>
      <c r="E56" s="11"/>
      <c r="F56" s="11"/>
      <c r="G56" s="11"/>
      <c r="H56" s="11"/>
      <c r="I56" s="38"/>
      <c r="J56" s="11"/>
    </row>
    <row r="57" spans="1:10">
      <c r="A57" s="5">
        <v>45522</v>
      </c>
      <c r="B57" s="17"/>
      <c r="C57" s="17"/>
      <c r="D57" s="17"/>
      <c r="E57" s="17"/>
      <c r="F57" s="17"/>
      <c r="G57" s="17"/>
      <c r="H57" s="17"/>
      <c r="I57" s="46"/>
      <c r="J57" s="17"/>
    </row>
    <row r="58" spans="1:10">
      <c r="A58" s="5">
        <v>45523</v>
      </c>
      <c r="B58" s="17"/>
      <c r="C58" s="17"/>
      <c r="D58" s="17"/>
      <c r="E58" s="17"/>
      <c r="F58" s="17"/>
      <c r="G58" s="17"/>
      <c r="H58" s="17"/>
      <c r="I58" s="46"/>
      <c r="J58" s="17"/>
    </row>
    <row r="59" spans="1:10">
      <c r="A59" s="5">
        <v>45524</v>
      </c>
      <c r="B59" s="11"/>
      <c r="C59" s="11"/>
      <c r="D59" s="11"/>
      <c r="E59" s="11"/>
      <c r="F59" s="11"/>
      <c r="G59" s="11"/>
      <c r="H59" s="11"/>
      <c r="I59" s="38"/>
      <c r="J59" s="16"/>
    </row>
    <row r="60" spans="1:10">
      <c r="A60" s="5">
        <v>45525</v>
      </c>
      <c r="B60" s="11"/>
      <c r="C60" s="11"/>
      <c r="D60" s="11"/>
      <c r="E60" s="11"/>
      <c r="F60" s="11"/>
      <c r="G60" s="11"/>
      <c r="H60" s="11"/>
      <c r="I60" s="38"/>
      <c r="J60" s="11"/>
    </row>
    <row r="61" spans="1:10">
      <c r="A61" s="5">
        <v>45526</v>
      </c>
      <c r="B61" s="11"/>
      <c r="C61" s="11"/>
      <c r="D61" s="11"/>
      <c r="E61" s="11"/>
      <c r="F61" s="11"/>
      <c r="G61" s="11"/>
      <c r="H61" s="11"/>
      <c r="I61" s="38"/>
      <c r="J61" s="11"/>
    </row>
    <row r="62" spans="1:10">
      <c r="A62" s="5">
        <v>45527</v>
      </c>
      <c r="B62" s="11"/>
      <c r="C62" s="11"/>
      <c r="D62" s="11"/>
      <c r="E62" s="11"/>
      <c r="F62" s="11"/>
      <c r="G62" s="11"/>
      <c r="H62" s="11"/>
      <c r="I62" s="38"/>
      <c r="J62" s="11"/>
    </row>
    <row r="63" spans="1:10">
      <c r="A63" s="5">
        <v>45528</v>
      </c>
      <c r="B63" s="11"/>
      <c r="C63" s="11"/>
      <c r="D63" s="11"/>
      <c r="E63" s="11"/>
      <c r="F63" s="11"/>
      <c r="G63" s="11"/>
      <c r="H63" s="11"/>
      <c r="I63" s="38"/>
      <c r="J63" s="11"/>
    </row>
    <row r="64" spans="1:10">
      <c r="A64" s="5">
        <v>45529</v>
      </c>
      <c r="B64" s="11"/>
      <c r="C64" s="11"/>
      <c r="D64" s="11"/>
      <c r="E64" s="11"/>
      <c r="F64" s="11"/>
      <c r="G64" s="11"/>
      <c r="H64" s="11"/>
      <c r="I64" s="38"/>
      <c r="J64" s="11"/>
    </row>
    <row r="65" spans="1:10">
      <c r="A65" s="5">
        <v>45530</v>
      </c>
      <c r="B65" s="11"/>
      <c r="C65" s="11"/>
      <c r="D65" s="11"/>
      <c r="E65" s="11"/>
      <c r="F65" s="11"/>
      <c r="G65" s="11"/>
      <c r="H65" s="11"/>
      <c r="I65" s="38"/>
      <c r="J65" s="11"/>
    </row>
    <row r="66" spans="1:10">
      <c r="A66" s="5">
        <v>45531</v>
      </c>
      <c r="B66" s="11"/>
      <c r="C66" s="11"/>
      <c r="D66" s="11"/>
      <c r="E66" s="11"/>
      <c r="F66" s="11"/>
      <c r="G66" s="11"/>
      <c r="H66" s="11"/>
      <c r="I66" s="38"/>
      <c r="J66" s="11"/>
    </row>
    <row r="67" spans="1:10">
      <c r="A67" s="5">
        <v>45532</v>
      </c>
      <c r="B67" s="11"/>
      <c r="C67" s="11"/>
      <c r="D67" s="11"/>
      <c r="E67" s="11"/>
      <c r="F67" s="11"/>
      <c r="G67" s="11"/>
      <c r="H67" s="11"/>
      <c r="I67" s="38"/>
      <c r="J67" s="11"/>
    </row>
    <row r="68" spans="1:10">
      <c r="A68" s="5">
        <v>45533</v>
      </c>
      <c r="B68" s="11"/>
      <c r="C68" s="11"/>
      <c r="D68" s="11"/>
      <c r="E68" s="11"/>
      <c r="F68" s="11"/>
      <c r="G68" s="11"/>
      <c r="H68" s="11"/>
      <c r="I68" s="38"/>
      <c r="J68" s="11"/>
    </row>
    <row r="69" spans="1:10">
      <c r="A69" s="5">
        <v>45534</v>
      </c>
      <c r="B69" s="11"/>
      <c r="C69" s="11"/>
      <c r="D69" s="11"/>
      <c r="E69" s="11"/>
      <c r="F69" s="11"/>
      <c r="G69" s="11"/>
      <c r="H69" s="11"/>
      <c r="I69" s="38"/>
      <c r="J69" s="11"/>
    </row>
    <row r="70" spans="1:10">
      <c r="A70" s="5">
        <v>45535</v>
      </c>
      <c r="B70" s="11"/>
      <c r="C70" s="11"/>
      <c r="D70" s="11"/>
      <c r="E70" s="11"/>
      <c r="F70" s="11"/>
      <c r="G70" s="11"/>
      <c r="H70" s="11"/>
      <c r="I70" s="38"/>
      <c r="J70" s="11"/>
    </row>
    <row r="71" spans="1:10" ht="18">
      <c r="A71" s="24" t="s">
        <v>43</v>
      </c>
      <c r="B71" s="22">
        <f>SUM(B39:B70)</f>
        <v>2100</v>
      </c>
      <c r="C71" s="22">
        <f>SUM(C39:C70)</f>
        <v>1029490</v>
      </c>
      <c r="D71" s="22">
        <f>SUM(D39:D70)</f>
        <v>0</v>
      </c>
      <c r="E71" s="22">
        <f>SUM(E39:E70)</f>
        <v>8460</v>
      </c>
      <c r="F71" s="23">
        <f>SUM(F40:F70)</f>
        <v>376070</v>
      </c>
      <c r="G71" s="23">
        <f>SUM(G40:G70)</f>
        <v>663980</v>
      </c>
      <c r="H71" s="47"/>
      <c r="I71" s="37"/>
      <c r="J71" s="19"/>
    </row>
    <row r="72" spans="1:10">
      <c r="A72" s="9"/>
      <c r="B72" s="26">
        <f>B71+C71+D71+E71</f>
        <v>1040050</v>
      </c>
      <c r="C72" s="9"/>
      <c r="D72" s="9"/>
      <c r="E72" s="9"/>
      <c r="F72" s="27">
        <f>F71+G71</f>
        <v>1040050</v>
      </c>
      <c r="G72" s="9"/>
    </row>
    <row r="74" spans="1:10" ht="21">
      <c r="A74" s="32" t="s">
        <v>11</v>
      </c>
      <c r="B74" s="31"/>
      <c r="C74" s="31"/>
      <c r="D74" s="31"/>
      <c r="E74" s="31"/>
      <c r="F74" s="31"/>
      <c r="G74" s="31"/>
      <c r="H74" s="31"/>
      <c r="I74" s="43"/>
      <c r="J74" s="31"/>
    </row>
    <row r="76" spans="1:10">
      <c r="A76" s="2">
        <v>0</v>
      </c>
      <c r="B76" s="3">
        <v>0</v>
      </c>
      <c r="C76" s="3">
        <v>0.05</v>
      </c>
      <c r="D76" s="3">
        <v>0.18</v>
      </c>
      <c r="E76" s="3">
        <v>0.27</v>
      </c>
      <c r="F76" s="2" t="s">
        <v>16</v>
      </c>
      <c r="G76" s="2" t="s">
        <v>70</v>
      </c>
      <c r="H76" s="2"/>
      <c r="I76" s="36">
        <v>0</v>
      </c>
      <c r="J76" s="2">
        <v>0</v>
      </c>
    </row>
    <row r="77" spans="1:10">
      <c r="A77" s="5">
        <v>45536</v>
      </c>
      <c r="B77" s="33">
        <v>0</v>
      </c>
      <c r="C77" s="33">
        <v>0</v>
      </c>
      <c r="D77" s="33">
        <v>0</v>
      </c>
      <c r="E77" s="33">
        <v>0</v>
      </c>
      <c r="F77" s="33">
        <v>0</v>
      </c>
      <c r="G77" s="33">
        <v>0</v>
      </c>
      <c r="H77" s="33"/>
      <c r="I77" s="45"/>
      <c r="J77" s="33"/>
    </row>
    <row r="78" spans="1:10">
      <c r="A78" s="5">
        <v>45537</v>
      </c>
      <c r="B78" s="28">
        <v>50</v>
      </c>
      <c r="C78" s="15">
        <v>0</v>
      </c>
      <c r="D78" s="15">
        <v>0</v>
      </c>
      <c r="E78" s="28">
        <v>12325</v>
      </c>
      <c r="F78" s="28">
        <v>3725</v>
      </c>
      <c r="G78" s="28">
        <v>8652</v>
      </c>
      <c r="H78" s="28">
        <v>6051</v>
      </c>
      <c r="I78" s="56" t="s">
        <v>316</v>
      </c>
      <c r="J78" s="28">
        <v>132367093</v>
      </c>
    </row>
    <row r="79" spans="1:10">
      <c r="A79" s="5">
        <v>45538</v>
      </c>
      <c r="B79" s="28">
        <v>150</v>
      </c>
      <c r="C79" s="15">
        <v>0</v>
      </c>
      <c r="D79" s="15">
        <v>0</v>
      </c>
      <c r="E79" s="28">
        <v>7047</v>
      </c>
      <c r="F79" s="28">
        <v>2610</v>
      </c>
      <c r="G79" s="28">
        <v>4587</v>
      </c>
      <c r="H79" s="28">
        <v>4587</v>
      </c>
      <c r="I79" s="56" t="s">
        <v>317</v>
      </c>
      <c r="J79" s="57">
        <v>132374290</v>
      </c>
    </row>
    <row r="80" spans="1:10">
      <c r="A80" s="5">
        <v>45539</v>
      </c>
      <c r="B80" s="17">
        <v>350</v>
      </c>
      <c r="C80" s="11">
        <v>0</v>
      </c>
      <c r="D80" s="11">
        <v>0</v>
      </c>
      <c r="E80" s="28">
        <v>16640</v>
      </c>
      <c r="F80" s="17">
        <v>4930</v>
      </c>
      <c r="G80" s="17">
        <v>12060</v>
      </c>
      <c r="H80" s="17">
        <v>12060</v>
      </c>
      <c r="I80" s="46" t="s">
        <v>318</v>
      </c>
      <c r="J80" s="17">
        <v>132391280</v>
      </c>
    </row>
    <row r="81" spans="1:10">
      <c r="A81" s="5">
        <v>45540</v>
      </c>
      <c r="B81" s="17">
        <v>200</v>
      </c>
      <c r="C81" s="11">
        <v>0</v>
      </c>
      <c r="D81" s="11">
        <v>0</v>
      </c>
      <c r="E81" s="17">
        <v>12413</v>
      </c>
      <c r="F81" s="17">
        <v>9920</v>
      </c>
      <c r="G81" s="17">
        <v>2693</v>
      </c>
      <c r="H81" s="17">
        <v>2693</v>
      </c>
      <c r="I81" s="46" t="s">
        <v>319</v>
      </c>
      <c r="J81" s="17">
        <v>132403893</v>
      </c>
    </row>
    <row r="82" spans="1:10">
      <c r="A82" s="5">
        <v>45541</v>
      </c>
      <c r="B82" s="17">
        <v>50</v>
      </c>
      <c r="C82" s="11">
        <v>0</v>
      </c>
      <c r="D82" s="11">
        <v>0</v>
      </c>
      <c r="E82" s="17">
        <v>7330</v>
      </c>
      <c r="F82" s="17">
        <v>3635</v>
      </c>
      <c r="G82" s="17">
        <v>3745</v>
      </c>
      <c r="H82" s="17">
        <v>3745</v>
      </c>
      <c r="I82" s="46" t="s">
        <v>320</v>
      </c>
      <c r="J82" s="20">
        <v>132411273</v>
      </c>
    </row>
    <row r="83" spans="1:10">
      <c r="A83" s="5">
        <v>45542</v>
      </c>
      <c r="B83" s="11">
        <v>450</v>
      </c>
      <c r="C83" s="11">
        <v>0</v>
      </c>
      <c r="D83" s="11">
        <v>0</v>
      </c>
      <c r="E83" s="11">
        <v>36491</v>
      </c>
      <c r="F83" s="11">
        <v>6930</v>
      </c>
      <c r="G83" s="11">
        <v>30011</v>
      </c>
      <c r="H83" s="11"/>
      <c r="I83" s="38" t="s">
        <v>321</v>
      </c>
      <c r="J83" s="11">
        <v>132545976</v>
      </c>
    </row>
    <row r="84" spans="1:10">
      <c r="A84" s="5">
        <v>45543</v>
      </c>
      <c r="B84" s="17">
        <v>0</v>
      </c>
      <c r="C84" s="11">
        <v>0</v>
      </c>
      <c r="D84" s="11">
        <v>0</v>
      </c>
      <c r="E84" s="17">
        <v>0</v>
      </c>
      <c r="F84" s="17">
        <v>0</v>
      </c>
      <c r="G84" s="17">
        <v>0</v>
      </c>
      <c r="H84" s="17"/>
      <c r="I84" s="46">
        <v>0</v>
      </c>
      <c r="J84" s="17">
        <v>0</v>
      </c>
    </row>
    <row r="85" spans="1:10">
      <c r="A85" s="5">
        <v>45544</v>
      </c>
      <c r="B85" s="17">
        <v>0</v>
      </c>
      <c r="C85" s="11">
        <v>0</v>
      </c>
      <c r="D85" s="11">
        <v>0</v>
      </c>
      <c r="E85" s="17">
        <v>0</v>
      </c>
      <c r="F85" s="17">
        <v>0</v>
      </c>
      <c r="G85" s="17">
        <v>0</v>
      </c>
      <c r="H85" s="17">
        <v>29322</v>
      </c>
      <c r="I85" s="46">
        <v>0</v>
      </c>
      <c r="J85" s="17">
        <v>0</v>
      </c>
    </row>
    <row r="86" spans="1:10">
      <c r="A86" s="53">
        <v>45545</v>
      </c>
      <c r="B86" s="54">
        <v>2300</v>
      </c>
      <c r="C86" s="50">
        <v>82010</v>
      </c>
      <c r="D86" s="50">
        <v>10140</v>
      </c>
      <c r="E86" s="54">
        <v>10500</v>
      </c>
      <c r="F86" s="54">
        <v>82030</v>
      </c>
      <c r="G86" s="54">
        <v>52920</v>
      </c>
      <c r="H86" s="54">
        <v>82095</v>
      </c>
      <c r="I86" s="55">
        <v>0</v>
      </c>
      <c r="J86" s="54">
        <v>0</v>
      </c>
    </row>
    <row r="87" spans="1:10">
      <c r="A87" s="5">
        <v>45546</v>
      </c>
      <c r="B87" s="17">
        <v>300</v>
      </c>
      <c r="C87" s="11">
        <v>0</v>
      </c>
      <c r="D87" s="11">
        <v>0</v>
      </c>
      <c r="E87" s="17">
        <v>18432</v>
      </c>
      <c r="F87" s="17">
        <v>11770</v>
      </c>
      <c r="G87" s="17">
        <v>6960</v>
      </c>
      <c r="H87" s="17">
        <v>6959</v>
      </c>
      <c r="I87" s="46" t="s">
        <v>322</v>
      </c>
      <c r="J87" s="17">
        <v>132674076</v>
      </c>
    </row>
    <row r="88" spans="1:10">
      <c r="A88" s="5">
        <v>45547</v>
      </c>
      <c r="B88" s="11">
        <v>50</v>
      </c>
      <c r="C88" s="11">
        <v>0</v>
      </c>
      <c r="D88" s="11">
        <v>0</v>
      </c>
      <c r="E88" s="11">
        <v>11031</v>
      </c>
      <c r="F88" s="11">
        <v>8035</v>
      </c>
      <c r="G88" s="11">
        <v>3046</v>
      </c>
      <c r="H88" s="11">
        <v>3046</v>
      </c>
      <c r="I88" s="38" t="s">
        <v>323</v>
      </c>
      <c r="J88" s="11">
        <v>132685157</v>
      </c>
    </row>
    <row r="89" spans="1:10">
      <c r="A89" s="5">
        <v>45548</v>
      </c>
      <c r="B89" s="11">
        <v>0</v>
      </c>
      <c r="C89" s="11">
        <v>0</v>
      </c>
      <c r="D89" s="11">
        <v>0</v>
      </c>
      <c r="E89" s="11">
        <v>20765</v>
      </c>
      <c r="F89" s="11">
        <v>7065</v>
      </c>
      <c r="G89" s="11">
        <v>13699</v>
      </c>
      <c r="H89" s="11">
        <v>13699</v>
      </c>
      <c r="I89" s="38" t="s">
        <v>324</v>
      </c>
      <c r="J89" s="11">
        <v>132705922</v>
      </c>
    </row>
    <row r="90" spans="1:10">
      <c r="A90" s="5">
        <v>45549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/>
      <c r="I90" s="38">
        <v>0</v>
      </c>
      <c r="J90" s="11">
        <v>0</v>
      </c>
    </row>
    <row r="91" spans="1:10">
      <c r="A91" s="5">
        <v>45550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/>
      <c r="I91" s="38">
        <v>0</v>
      </c>
      <c r="J91" s="11">
        <v>0</v>
      </c>
    </row>
    <row r="92" spans="1:10">
      <c r="A92" s="5">
        <v>45551</v>
      </c>
      <c r="B92" s="11">
        <v>350</v>
      </c>
      <c r="C92" s="11">
        <v>0</v>
      </c>
      <c r="D92" s="11">
        <v>0</v>
      </c>
      <c r="E92" s="11">
        <v>31986</v>
      </c>
      <c r="F92" s="11">
        <v>11910</v>
      </c>
      <c r="G92" s="11">
        <v>20425</v>
      </c>
      <c r="H92" s="11">
        <v>20427</v>
      </c>
      <c r="I92" s="38" t="s">
        <v>325</v>
      </c>
      <c r="J92" s="11">
        <v>133643138</v>
      </c>
    </row>
    <row r="93" spans="1:10">
      <c r="A93" s="5">
        <v>45552</v>
      </c>
      <c r="B93" s="11">
        <v>250</v>
      </c>
      <c r="C93" s="11">
        <v>0</v>
      </c>
      <c r="D93" s="11">
        <v>0</v>
      </c>
      <c r="E93" s="11">
        <v>27327</v>
      </c>
      <c r="F93" s="11">
        <v>0</v>
      </c>
      <c r="G93" s="11">
        <v>0</v>
      </c>
      <c r="H93" s="11">
        <v>20444</v>
      </c>
      <c r="I93" s="38" t="s">
        <v>326</v>
      </c>
      <c r="J93" s="11">
        <v>133670715</v>
      </c>
    </row>
    <row r="94" spans="1:10">
      <c r="A94" s="5">
        <v>45553</v>
      </c>
      <c r="B94" s="17">
        <v>450</v>
      </c>
      <c r="C94" s="17">
        <v>43790</v>
      </c>
      <c r="D94" s="17">
        <v>36910</v>
      </c>
      <c r="E94" s="17">
        <v>231957</v>
      </c>
      <c r="F94" s="17">
        <v>102545</v>
      </c>
      <c r="G94" s="17">
        <v>210562</v>
      </c>
      <c r="H94" s="17">
        <v>210562</v>
      </c>
      <c r="I94" s="46" t="s">
        <v>327</v>
      </c>
      <c r="J94" s="17">
        <v>133983822</v>
      </c>
    </row>
    <row r="95" spans="1:10">
      <c r="A95" s="5">
        <v>45554</v>
      </c>
      <c r="B95" s="17">
        <v>100</v>
      </c>
      <c r="C95" s="17">
        <v>0</v>
      </c>
      <c r="D95" s="17">
        <v>0</v>
      </c>
      <c r="E95" s="17">
        <v>15557</v>
      </c>
      <c r="F95" s="17">
        <v>8415</v>
      </c>
      <c r="G95" s="17">
        <v>7238</v>
      </c>
      <c r="H95" s="17">
        <v>7654</v>
      </c>
      <c r="I95" s="46" t="s">
        <v>328</v>
      </c>
      <c r="J95" s="17">
        <v>133999479</v>
      </c>
    </row>
    <row r="96" spans="1:10">
      <c r="A96" s="5">
        <v>45555</v>
      </c>
      <c r="B96" s="11">
        <v>3650</v>
      </c>
      <c r="C96" s="11">
        <v>39191</v>
      </c>
      <c r="D96" s="11">
        <v>15340</v>
      </c>
      <c r="E96" s="11">
        <v>80914</v>
      </c>
      <c r="F96" s="11">
        <v>32360</v>
      </c>
      <c r="G96" s="11">
        <v>106735</v>
      </c>
      <c r="H96" s="11">
        <v>106735</v>
      </c>
      <c r="I96" s="38" t="s">
        <v>329</v>
      </c>
      <c r="J96" s="16">
        <v>134138574</v>
      </c>
    </row>
    <row r="97" spans="1:10">
      <c r="A97" s="5">
        <v>45556</v>
      </c>
      <c r="B97" s="11">
        <v>24670</v>
      </c>
      <c r="C97" s="11">
        <v>148671</v>
      </c>
      <c r="D97" s="11">
        <v>62762</v>
      </c>
      <c r="E97" s="11">
        <v>532469</v>
      </c>
      <c r="F97" s="11">
        <v>205900</v>
      </c>
      <c r="G97" s="11">
        <v>562672</v>
      </c>
      <c r="H97" s="11">
        <v>562672</v>
      </c>
      <c r="I97" s="38" t="s">
        <v>330</v>
      </c>
      <c r="J97" s="11">
        <v>134907146</v>
      </c>
    </row>
    <row r="98" spans="1:10">
      <c r="A98" s="5">
        <v>45557</v>
      </c>
      <c r="B98" s="11">
        <v>25460</v>
      </c>
      <c r="C98" s="11">
        <v>459856</v>
      </c>
      <c r="D98" s="11">
        <v>38080</v>
      </c>
      <c r="E98" s="11">
        <v>561244</v>
      </c>
      <c r="F98" s="11">
        <v>351600</v>
      </c>
      <c r="G98" s="11">
        <v>734040</v>
      </c>
      <c r="H98" s="11">
        <v>734040</v>
      </c>
      <c r="I98" s="38" t="s">
        <v>331</v>
      </c>
      <c r="J98" s="11">
        <v>135992786</v>
      </c>
    </row>
    <row r="99" spans="1:10">
      <c r="A99" s="5">
        <v>45558</v>
      </c>
      <c r="B99" s="11">
        <v>250</v>
      </c>
      <c r="C99" s="11">
        <v>0</v>
      </c>
      <c r="D99" s="11">
        <v>0</v>
      </c>
      <c r="E99" s="11">
        <v>30119</v>
      </c>
      <c r="F99" s="11">
        <v>10455</v>
      </c>
      <c r="G99" s="11">
        <v>19914</v>
      </c>
      <c r="H99" s="11">
        <v>19914</v>
      </c>
      <c r="I99" s="38" t="s">
        <v>332</v>
      </c>
      <c r="J99" s="11">
        <v>136023155</v>
      </c>
    </row>
    <row r="100" spans="1:10">
      <c r="A100" s="53">
        <v>45559</v>
      </c>
      <c r="B100" s="50">
        <v>0</v>
      </c>
      <c r="C100" s="50">
        <v>0</v>
      </c>
      <c r="D100" s="50">
        <v>0</v>
      </c>
      <c r="E100" s="50">
        <v>0</v>
      </c>
      <c r="F100" s="50">
        <v>0</v>
      </c>
      <c r="G100" s="50">
        <v>0</v>
      </c>
      <c r="H100" s="50">
        <v>10484</v>
      </c>
      <c r="I100" s="51">
        <v>0</v>
      </c>
      <c r="J100" s="50">
        <v>0</v>
      </c>
    </row>
    <row r="101" spans="1:10">
      <c r="A101" s="53">
        <v>45560</v>
      </c>
      <c r="B101" s="50">
        <v>0</v>
      </c>
      <c r="C101" s="50">
        <v>0</v>
      </c>
      <c r="D101" s="50">
        <v>0</v>
      </c>
      <c r="E101" s="50">
        <v>0</v>
      </c>
      <c r="F101" s="50">
        <v>0</v>
      </c>
      <c r="G101" s="50">
        <v>0</v>
      </c>
      <c r="H101" s="50">
        <v>5318</v>
      </c>
      <c r="I101" s="51">
        <v>0</v>
      </c>
      <c r="J101" s="50">
        <v>0</v>
      </c>
    </row>
    <row r="102" spans="1:10">
      <c r="A102" s="53">
        <v>45561</v>
      </c>
      <c r="B102" s="50">
        <v>0</v>
      </c>
      <c r="C102" s="50">
        <v>0</v>
      </c>
      <c r="D102" s="50">
        <v>0</v>
      </c>
      <c r="E102" s="50">
        <v>0</v>
      </c>
      <c r="F102" s="50">
        <v>0</v>
      </c>
      <c r="G102" s="50">
        <v>0</v>
      </c>
      <c r="H102" s="50">
        <v>3343</v>
      </c>
      <c r="I102" s="51">
        <v>0</v>
      </c>
      <c r="J102" s="50">
        <v>0</v>
      </c>
    </row>
    <row r="103" spans="1:10">
      <c r="A103" s="5">
        <v>45562</v>
      </c>
      <c r="B103" s="11">
        <v>150</v>
      </c>
      <c r="C103" s="11">
        <v>0</v>
      </c>
      <c r="D103" s="11">
        <v>0</v>
      </c>
      <c r="E103" s="11">
        <v>17826</v>
      </c>
      <c r="F103" s="11">
        <v>8340</v>
      </c>
      <c r="G103" s="11">
        <v>9637</v>
      </c>
      <c r="H103" s="11">
        <v>9638</v>
      </c>
      <c r="I103" s="38" t="s">
        <v>333</v>
      </c>
      <c r="J103" s="11">
        <v>136056068</v>
      </c>
    </row>
    <row r="104" spans="1:10">
      <c r="A104" s="5">
        <v>45563</v>
      </c>
      <c r="B104" s="11">
        <v>8950</v>
      </c>
      <c r="C104" s="11">
        <v>0</v>
      </c>
      <c r="D104" s="11">
        <v>0</v>
      </c>
      <c r="E104" s="11">
        <v>311250</v>
      </c>
      <c r="F104" s="11">
        <v>140980</v>
      </c>
      <c r="G104" s="11">
        <v>179220</v>
      </c>
      <c r="H104" s="11">
        <v>179220</v>
      </c>
      <c r="I104" s="38" t="s">
        <v>334</v>
      </c>
      <c r="J104" s="11">
        <v>136376268</v>
      </c>
    </row>
    <row r="105" spans="1:10">
      <c r="A105" s="5">
        <v>45564</v>
      </c>
      <c r="B105" s="11">
        <v>50</v>
      </c>
      <c r="C105" s="11">
        <v>111230</v>
      </c>
      <c r="D105" s="11">
        <v>10450</v>
      </c>
      <c r="E105" s="11">
        <v>102410</v>
      </c>
      <c r="F105" s="11">
        <v>84000</v>
      </c>
      <c r="G105" s="11">
        <v>140140</v>
      </c>
      <c r="H105" s="11">
        <v>140140</v>
      </c>
      <c r="I105" s="38" t="s">
        <v>335</v>
      </c>
      <c r="J105" s="11">
        <v>136600408</v>
      </c>
    </row>
    <row r="106" spans="1:10">
      <c r="A106" s="5">
        <v>45565</v>
      </c>
      <c r="B106" s="11">
        <v>250</v>
      </c>
      <c r="C106" s="11">
        <v>0</v>
      </c>
      <c r="D106" s="11">
        <v>0</v>
      </c>
      <c r="E106" s="11">
        <v>32260</v>
      </c>
      <c r="F106" s="11">
        <v>12105</v>
      </c>
      <c r="G106" s="11">
        <v>20404</v>
      </c>
      <c r="H106" s="11">
        <v>20678</v>
      </c>
      <c r="I106" s="38" t="s">
        <v>336</v>
      </c>
      <c r="J106" s="11">
        <v>136632918</v>
      </c>
    </row>
    <row r="107" spans="1:10">
      <c r="A107" s="5"/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/>
      <c r="I107" s="38">
        <v>0</v>
      </c>
      <c r="J107" s="11">
        <v>0</v>
      </c>
    </row>
    <row r="108" spans="1:10" ht="18">
      <c r="A108" s="24" t="s">
        <v>43</v>
      </c>
      <c r="B108" s="22">
        <f>SUM(B76:B107)</f>
        <v>68480</v>
      </c>
      <c r="C108" s="22">
        <f>SUM(C76:C107)</f>
        <v>884748.05</v>
      </c>
      <c r="D108" s="22">
        <f>SUM(D76:D107)</f>
        <v>173682.18</v>
      </c>
      <c r="E108" s="22">
        <f>SUM(E76:E107)</f>
        <v>2128293.27</v>
      </c>
      <c r="F108" s="23">
        <f>SUM(F77:F107)</f>
        <v>1109260</v>
      </c>
      <c r="G108" s="23">
        <f>SUM(G77:G107)</f>
        <v>2149360</v>
      </c>
      <c r="H108" s="47"/>
      <c r="I108" s="37"/>
      <c r="J108" s="19"/>
    </row>
    <row r="109" spans="1:10">
      <c r="A109" s="9"/>
      <c r="B109" s="26">
        <f>B108+C108+D108+E108</f>
        <v>3255203.5</v>
      </c>
      <c r="C109" s="9"/>
      <c r="D109" s="9"/>
      <c r="E109" s="9"/>
      <c r="F109" s="27">
        <f>F108+G108</f>
        <v>3258620</v>
      </c>
      <c r="G109" s="9"/>
    </row>
    <row r="111" spans="1:10" ht="21">
      <c r="A111" s="32" t="s">
        <v>12</v>
      </c>
      <c r="B111" s="31"/>
      <c r="C111" s="31"/>
      <c r="D111" s="31"/>
      <c r="E111" s="31"/>
      <c r="F111" s="31"/>
      <c r="G111" s="31"/>
      <c r="H111" s="31"/>
      <c r="I111" s="43"/>
      <c r="J111" s="31"/>
    </row>
    <row r="113" spans="1:10">
      <c r="A113" s="2">
        <v>0</v>
      </c>
      <c r="B113" s="3">
        <v>0</v>
      </c>
      <c r="C113" s="3">
        <v>0</v>
      </c>
      <c r="D113" s="3">
        <v>0</v>
      </c>
      <c r="E113" s="3">
        <v>0</v>
      </c>
      <c r="F113" s="2">
        <v>0</v>
      </c>
      <c r="G113" s="2">
        <v>0</v>
      </c>
      <c r="H113" s="2"/>
      <c r="I113" s="36">
        <v>0</v>
      </c>
      <c r="J113" s="2">
        <v>0</v>
      </c>
    </row>
    <row r="114" spans="1:10">
      <c r="A114" s="5">
        <v>45566</v>
      </c>
      <c r="B114" s="11">
        <v>0</v>
      </c>
      <c r="C114" s="11">
        <v>0</v>
      </c>
      <c r="D114" s="11">
        <v>0</v>
      </c>
      <c r="E114" s="11">
        <v>0</v>
      </c>
      <c r="F114" s="11">
        <v>0</v>
      </c>
      <c r="G114" s="11">
        <v>0</v>
      </c>
      <c r="H114" s="11"/>
      <c r="I114" s="38">
        <v>0</v>
      </c>
      <c r="J114" s="11">
        <v>0</v>
      </c>
    </row>
    <row r="115" spans="1:10">
      <c r="A115" s="5">
        <v>45567</v>
      </c>
      <c r="B115" s="17">
        <v>0</v>
      </c>
      <c r="C115" s="11">
        <v>0</v>
      </c>
      <c r="D115" s="11">
        <v>0</v>
      </c>
      <c r="E115" s="17">
        <v>0</v>
      </c>
      <c r="F115" s="17">
        <v>0</v>
      </c>
      <c r="G115" s="17">
        <v>0</v>
      </c>
      <c r="H115" s="17"/>
      <c r="I115" s="46">
        <v>0</v>
      </c>
      <c r="J115" s="17">
        <v>0</v>
      </c>
    </row>
    <row r="116" spans="1:10">
      <c r="A116" s="5">
        <v>45568</v>
      </c>
      <c r="B116" s="17">
        <v>0</v>
      </c>
      <c r="C116" s="11">
        <v>0</v>
      </c>
      <c r="D116" s="11">
        <v>0</v>
      </c>
      <c r="E116" s="17">
        <v>0</v>
      </c>
      <c r="F116" s="17">
        <v>0</v>
      </c>
      <c r="G116" s="17">
        <v>0</v>
      </c>
      <c r="H116" s="17"/>
      <c r="I116" s="46">
        <v>0</v>
      </c>
      <c r="J116" s="20">
        <v>0</v>
      </c>
    </row>
    <row r="117" spans="1:10">
      <c r="A117" s="5">
        <v>45569</v>
      </c>
      <c r="B117" s="17">
        <v>0</v>
      </c>
      <c r="C117" s="11">
        <v>0</v>
      </c>
      <c r="D117" s="11">
        <v>0</v>
      </c>
      <c r="E117" s="17">
        <v>0</v>
      </c>
      <c r="F117" s="17">
        <v>0</v>
      </c>
      <c r="G117" s="17">
        <v>0</v>
      </c>
      <c r="H117" s="17"/>
      <c r="I117" s="46">
        <v>0</v>
      </c>
      <c r="J117" s="17">
        <v>0</v>
      </c>
    </row>
    <row r="118" spans="1:10">
      <c r="A118" s="5">
        <v>45570</v>
      </c>
      <c r="B118" s="17">
        <v>0</v>
      </c>
      <c r="C118" s="11">
        <v>1</v>
      </c>
      <c r="D118" s="11">
        <v>0</v>
      </c>
      <c r="E118" s="17">
        <v>0</v>
      </c>
      <c r="F118" s="17">
        <v>0</v>
      </c>
      <c r="G118" s="17">
        <v>0</v>
      </c>
      <c r="H118" s="17"/>
      <c r="I118" s="46">
        <v>0</v>
      </c>
      <c r="J118" s="17">
        <v>0</v>
      </c>
    </row>
    <row r="119" spans="1:10">
      <c r="A119" s="5">
        <v>45571</v>
      </c>
      <c r="B119" s="17">
        <v>0</v>
      </c>
      <c r="C119" s="11">
        <v>0</v>
      </c>
      <c r="D119" s="11">
        <v>0</v>
      </c>
      <c r="E119" s="17">
        <v>0</v>
      </c>
      <c r="F119" s="17">
        <v>0</v>
      </c>
      <c r="G119" s="17">
        <v>0</v>
      </c>
      <c r="H119" s="17"/>
      <c r="I119" s="46">
        <v>0</v>
      </c>
      <c r="J119" s="20">
        <v>0</v>
      </c>
    </row>
    <row r="120" spans="1:10">
      <c r="A120" s="5">
        <v>45572</v>
      </c>
      <c r="B120" s="11">
        <v>0</v>
      </c>
      <c r="C120" s="11">
        <v>0</v>
      </c>
      <c r="D120" s="11">
        <v>0</v>
      </c>
      <c r="E120" s="11">
        <v>0</v>
      </c>
      <c r="F120" s="11">
        <v>0</v>
      </c>
      <c r="G120" s="11">
        <v>0</v>
      </c>
      <c r="H120" s="11"/>
      <c r="I120" s="38">
        <v>0</v>
      </c>
      <c r="J120" s="11">
        <v>0</v>
      </c>
    </row>
    <row r="121" spans="1:10">
      <c r="A121" s="5">
        <v>45573</v>
      </c>
      <c r="B121" s="17">
        <v>0</v>
      </c>
      <c r="C121" s="11">
        <v>0</v>
      </c>
      <c r="D121" s="11">
        <v>0</v>
      </c>
      <c r="E121" s="17">
        <v>0</v>
      </c>
      <c r="F121" s="17">
        <v>0</v>
      </c>
      <c r="G121" s="17">
        <v>0</v>
      </c>
      <c r="H121" s="17"/>
      <c r="I121" s="46">
        <v>0</v>
      </c>
      <c r="J121" s="17">
        <v>0</v>
      </c>
    </row>
    <row r="122" spans="1:10">
      <c r="A122" s="5">
        <v>45574</v>
      </c>
      <c r="B122" s="17">
        <v>0</v>
      </c>
      <c r="C122" s="11">
        <v>0</v>
      </c>
      <c r="D122" s="11">
        <v>0</v>
      </c>
      <c r="E122" s="17">
        <v>0</v>
      </c>
      <c r="F122" s="17">
        <v>0</v>
      </c>
      <c r="G122" s="17">
        <v>0</v>
      </c>
      <c r="H122" s="17"/>
      <c r="I122" s="46">
        <v>0</v>
      </c>
      <c r="J122" s="17">
        <v>0</v>
      </c>
    </row>
    <row r="123" spans="1:10">
      <c r="A123" s="5">
        <v>45575</v>
      </c>
      <c r="B123" s="17">
        <v>0</v>
      </c>
      <c r="C123" s="11">
        <v>0</v>
      </c>
      <c r="D123" s="11">
        <v>0</v>
      </c>
      <c r="E123" s="17">
        <v>0</v>
      </c>
      <c r="F123" s="17">
        <v>0</v>
      </c>
      <c r="G123" s="17">
        <v>0</v>
      </c>
      <c r="H123" s="17"/>
      <c r="I123" s="46">
        <v>0</v>
      </c>
      <c r="J123" s="17">
        <v>0</v>
      </c>
    </row>
    <row r="124" spans="1:10">
      <c r="A124" s="5">
        <v>45576</v>
      </c>
      <c r="B124" s="17">
        <v>0</v>
      </c>
      <c r="C124" s="11">
        <v>0</v>
      </c>
      <c r="D124" s="11">
        <v>0</v>
      </c>
      <c r="E124" s="17">
        <v>0</v>
      </c>
      <c r="F124" s="17">
        <v>0</v>
      </c>
      <c r="G124" s="17">
        <v>0</v>
      </c>
      <c r="H124" s="17"/>
      <c r="I124" s="46">
        <v>0</v>
      </c>
      <c r="J124" s="17">
        <v>0</v>
      </c>
    </row>
    <row r="125" spans="1:10">
      <c r="A125" s="5">
        <v>45577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/>
      <c r="I125" s="38">
        <v>0</v>
      </c>
      <c r="J125" s="11">
        <v>0</v>
      </c>
    </row>
    <row r="126" spans="1:10">
      <c r="A126" s="5">
        <v>45578</v>
      </c>
      <c r="B126" s="11">
        <v>0</v>
      </c>
      <c r="C126" s="11">
        <v>0</v>
      </c>
      <c r="D126" s="11">
        <v>0</v>
      </c>
      <c r="E126" s="11">
        <v>0</v>
      </c>
      <c r="F126" s="11">
        <v>0</v>
      </c>
      <c r="G126" s="11">
        <v>0</v>
      </c>
      <c r="H126" s="11"/>
      <c r="I126" s="38">
        <v>0</v>
      </c>
      <c r="J126" s="11">
        <v>0</v>
      </c>
    </row>
    <row r="127" spans="1:10">
      <c r="A127" s="5">
        <v>45579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/>
      <c r="I127" s="38">
        <v>0</v>
      </c>
      <c r="J127" s="11">
        <v>0</v>
      </c>
    </row>
    <row r="128" spans="1:10">
      <c r="A128" s="5">
        <v>45580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/>
      <c r="I128" s="38">
        <v>0</v>
      </c>
      <c r="J128" s="11">
        <v>0</v>
      </c>
    </row>
    <row r="129" spans="1:10">
      <c r="A129" s="5">
        <v>45581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/>
      <c r="I129" s="38">
        <v>0</v>
      </c>
      <c r="J129" s="11">
        <v>0</v>
      </c>
    </row>
    <row r="130" spans="1:10">
      <c r="A130" s="5">
        <v>45582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/>
      <c r="I130" s="38">
        <v>0</v>
      </c>
      <c r="J130" s="11">
        <v>0</v>
      </c>
    </row>
    <row r="131" spans="1:10">
      <c r="A131" s="5">
        <v>45583</v>
      </c>
      <c r="B131" s="17">
        <v>0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/>
      <c r="I131" s="46">
        <v>0</v>
      </c>
      <c r="J131" s="17">
        <v>0</v>
      </c>
    </row>
    <row r="132" spans="1:10">
      <c r="A132" s="5">
        <v>45584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/>
      <c r="I132" s="46">
        <v>0</v>
      </c>
      <c r="J132" s="17">
        <v>0</v>
      </c>
    </row>
    <row r="133" spans="1:10">
      <c r="A133" s="5">
        <v>45585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/>
      <c r="I133" s="38">
        <v>0</v>
      </c>
      <c r="J133" s="16">
        <v>0</v>
      </c>
    </row>
    <row r="134" spans="1:10">
      <c r="A134" s="5">
        <v>45586</v>
      </c>
      <c r="B134" s="11">
        <v>0</v>
      </c>
      <c r="C134" s="11">
        <v>0</v>
      </c>
      <c r="D134" s="11">
        <v>0</v>
      </c>
      <c r="E134" s="11">
        <v>0</v>
      </c>
      <c r="F134" s="11">
        <v>0</v>
      </c>
      <c r="G134" s="11">
        <v>0</v>
      </c>
      <c r="H134" s="11"/>
      <c r="I134" s="38">
        <v>0</v>
      </c>
      <c r="J134" s="11">
        <v>0</v>
      </c>
    </row>
    <row r="135" spans="1:10">
      <c r="A135" s="5">
        <v>45587</v>
      </c>
      <c r="B135" s="11">
        <v>0</v>
      </c>
      <c r="C135" s="11">
        <v>0</v>
      </c>
      <c r="D135" s="11">
        <v>0</v>
      </c>
      <c r="E135" s="11">
        <v>0</v>
      </c>
      <c r="F135" s="11">
        <v>0</v>
      </c>
      <c r="G135" s="11">
        <v>0</v>
      </c>
      <c r="H135" s="11"/>
      <c r="I135" s="38">
        <v>0</v>
      </c>
      <c r="J135" s="11">
        <v>0</v>
      </c>
    </row>
    <row r="136" spans="1:10">
      <c r="A136" s="5">
        <v>45588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/>
      <c r="I136" s="38">
        <v>0</v>
      </c>
      <c r="J136" s="11">
        <v>0</v>
      </c>
    </row>
    <row r="137" spans="1:10">
      <c r="A137" s="5">
        <v>45589</v>
      </c>
      <c r="B137" s="11">
        <v>0</v>
      </c>
      <c r="C137" s="11">
        <v>0</v>
      </c>
      <c r="D137" s="11">
        <v>0</v>
      </c>
      <c r="E137" s="11">
        <v>0</v>
      </c>
      <c r="F137" s="11">
        <v>0</v>
      </c>
      <c r="G137" s="11">
        <v>0</v>
      </c>
      <c r="H137" s="11"/>
      <c r="I137" s="38">
        <v>0</v>
      </c>
      <c r="J137" s="11">
        <v>0</v>
      </c>
    </row>
    <row r="138" spans="1:10">
      <c r="A138" s="5">
        <v>45590</v>
      </c>
      <c r="B138" s="11">
        <v>0</v>
      </c>
      <c r="C138" s="11">
        <v>0</v>
      </c>
      <c r="D138" s="11">
        <v>0</v>
      </c>
      <c r="E138" s="11">
        <v>0</v>
      </c>
      <c r="F138" s="11">
        <v>0</v>
      </c>
      <c r="G138" s="11">
        <v>0</v>
      </c>
      <c r="H138" s="11"/>
      <c r="I138" s="38">
        <v>0</v>
      </c>
      <c r="J138" s="11">
        <v>0</v>
      </c>
    </row>
    <row r="139" spans="1:10">
      <c r="A139" s="5">
        <v>45591</v>
      </c>
      <c r="B139" s="11">
        <v>0</v>
      </c>
      <c r="C139" s="11">
        <v>0</v>
      </c>
      <c r="D139" s="11">
        <v>0</v>
      </c>
      <c r="E139" s="11">
        <v>0</v>
      </c>
      <c r="F139" s="11">
        <v>0</v>
      </c>
      <c r="G139" s="11">
        <v>0</v>
      </c>
      <c r="H139" s="11"/>
      <c r="I139" s="38">
        <v>0</v>
      </c>
      <c r="J139" s="11">
        <v>0</v>
      </c>
    </row>
    <row r="140" spans="1:10">
      <c r="A140" s="5">
        <v>45592</v>
      </c>
      <c r="B140" s="11">
        <v>0</v>
      </c>
      <c r="C140" s="11">
        <v>0</v>
      </c>
      <c r="D140" s="11">
        <v>0</v>
      </c>
      <c r="E140" s="11">
        <v>0</v>
      </c>
      <c r="F140" s="11">
        <v>0</v>
      </c>
      <c r="G140" s="11">
        <v>0</v>
      </c>
      <c r="H140" s="11"/>
      <c r="I140" s="38">
        <v>0</v>
      </c>
      <c r="J140" s="11">
        <v>0</v>
      </c>
    </row>
    <row r="141" spans="1:10">
      <c r="A141" s="5">
        <v>45593</v>
      </c>
      <c r="B141" s="11">
        <v>0</v>
      </c>
      <c r="C141" s="11">
        <v>0</v>
      </c>
      <c r="D141" s="11">
        <v>0</v>
      </c>
      <c r="E141" s="11">
        <v>0</v>
      </c>
      <c r="F141" s="11">
        <v>0</v>
      </c>
      <c r="G141" s="11">
        <v>0</v>
      </c>
      <c r="H141" s="11"/>
      <c r="I141" s="38">
        <v>0</v>
      </c>
      <c r="J141" s="11">
        <v>0</v>
      </c>
    </row>
    <row r="142" spans="1:10">
      <c r="A142" s="5">
        <v>45594</v>
      </c>
      <c r="B142" s="11">
        <v>0</v>
      </c>
      <c r="C142" s="11">
        <v>0</v>
      </c>
      <c r="D142" s="11">
        <v>0</v>
      </c>
      <c r="E142" s="11">
        <v>0</v>
      </c>
      <c r="F142" s="11">
        <v>0</v>
      </c>
      <c r="G142" s="11">
        <v>0</v>
      </c>
      <c r="H142" s="11"/>
      <c r="I142" s="38">
        <v>0</v>
      </c>
      <c r="J142" s="11">
        <v>0</v>
      </c>
    </row>
    <row r="143" spans="1:10">
      <c r="A143" s="5">
        <v>45595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/>
      <c r="I143" s="38">
        <v>0</v>
      </c>
      <c r="J143" s="11">
        <v>0</v>
      </c>
    </row>
    <row r="144" spans="1:10">
      <c r="A144" s="5">
        <v>45596</v>
      </c>
      <c r="B144" s="11">
        <v>0</v>
      </c>
      <c r="C144" s="11">
        <v>0</v>
      </c>
      <c r="D144" s="11">
        <v>0</v>
      </c>
      <c r="E144" s="11">
        <v>0</v>
      </c>
      <c r="F144" s="11">
        <v>0</v>
      </c>
      <c r="G144" s="11">
        <v>0</v>
      </c>
      <c r="H144" s="11"/>
      <c r="I144" s="38">
        <v>0</v>
      </c>
      <c r="J144" s="11">
        <v>0</v>
      </c>
    </row>
    <row r="145" spans="1:10" ht="18">
      <c r="A145" s="24" t="s">
        <v>43</v>
      </c>
      <c r="B145" s="22">
        <f>SUM(B113:B144)</f>
        <v>0</v>
      </c>
      <c r="C145" s="22">
        <f>SUM(C113:C144)</f>
        <v>1</v>
      </c>
      <c r="D145" s="22">
        <f>SUM(D113:D144)</f>
        <v>0</v>
      </c>
      <c r="E145" s="22">
        <f>SUM(E113:E144)</f>
        <v>0</v>
      </c>
      <c r="F145" s="23">
        <f>SUM(F114:F144)</f>
        <v>0</v>
      </c>
      <c r="G145" s="23">
        <f>SUM(G114:G144)</f>
        <v>0</v>
      </c>
      <c r="H145" s="47"/>
      <c r="I145" s="37"/>
      <c r="J145" s="19"/>
    </row>
    <row r="146" spans="1:10">
      <c r="A146" s="9"/>
      <c r="B146" s="26">
        <f>B145+C145+D145+E145</f>
        <v>1</v>
      </c>
      <c r="C146" s="9"/>
      <c r="D146" s="9"/>
      <c r="E146" s="9"/>
      <c r="F146" s="27">
        <f>F145+G145</f>
        <v>0</v>
      </c>
      <c r="G146" s="9"/>
    </row>
  </sheetData>
  <sheetProtection algorithmName="SHA-512" hashValue="DqTqOJ3tZfYwzc2JLEN5+arYOtycDeKXGcS9qv3d2qiimDbxKXFec6Ib1Q4zRyjdzH0VsDh1pvMrrGXmKNhAXw==" saltValue="ZIu5c4oUf+odPkQ4x+OXPQ==" spinCount="100000" sheet="1" objects="1" scenarios="1" formatCells="0" formatColumns="0" formatRows="0"/>
  <protectedRanges>
    <protectedRange sqref="A36:BN1000" name="Range1"/>
    <protectedRange sqref="H1" name="Range2"/>
  </protectedRange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2024-08-01T19:15:08Z</dcterms:created>
  <dcterms:modified xsi:type="dcterms:W3CDTF">2026-02-09T09:52:21Z</dcterms:modified>
  <cp:category/>
  <cp:contentStatus/>
</cp:coreProperties>
</file>